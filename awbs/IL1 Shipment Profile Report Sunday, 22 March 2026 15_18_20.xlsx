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3372" yWindow="1800" windowWidth="17280" windowHeight="9960"/>
  </bookViews>
  <sheets>
    <sheet name="Shipment Profile" sheetId="1" r:id="flId1"/>
    <sheet name="Filter" sheetId="2" r:id="flId2" state="veryHidden"/>
    <sheet name="Sort" sheetId="3" r:id="flId3" state="veryHidden"/>
  </sheets>
  <definedNames>
    <definedName name="_xlnm.Print_Titles" localSheetId="0">'Shipment Profile'!$1:$14</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<sst xmlns="http://schemas.openxmlformats.org/spreadsheetml/2006/main" count="50061" uniqueCount="5571">
  <si>
    <t>Shipment Profile Report</t>
  </si>
  <si>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</si>
  <si>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</si>
  <si>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</si>
  <si>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</si>
  <si>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</si>
  <si>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</si>
  <si>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</si>
  <si>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</si>
  <si>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</si>
  <si>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</si>
  <si>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</si>
  <si>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</si>
  <si>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</si>
  <si>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</si>
  <si>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</si>
  <si>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</si>
  <si>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</si>
  <si>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</si>
  <si>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</si>
  <si>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</si>
  <si>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</si>
  <si>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</si>
  <si>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</si>
  <si>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</si>
  <si>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</si>
  <si>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</si>
  <si>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</si>
  <si>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</si>
  <si>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</si>
  <si>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</si>
  <si>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</si>
  <si>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</si>
  <si>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</si>
  <si>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</si>
  <si>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</si>
  <si>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</si>
  <si>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</si>
  <si>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</si>
  <si>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</si>
  <si>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</si>
  <si>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</si>
  <si>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</si>
  <si>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</si>
  <si>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</si>
  <si>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</si>
  <si>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</si>
  <si>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</si>
  <si>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</si>
  <si>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</si>
  <si>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</si>
  <si>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</si>
  <si>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</si>
  <si>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</si>
  <si>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</si>
  <si>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</si>
  <si>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</si>
  <si>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</si>
  <si>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</si>
  <si>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</si>
  <si>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</si>
  <si>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</si>
  <si>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</si>
  <si>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</si>
  <si>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</si>
  <si>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</si>
  <si>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</si>
  <si>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</si>
  <si>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</si>
  <si>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</si>
  <si>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</si>
  <si>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</si>
  <si>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</si>
  <si>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</si>
  <si>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</si>
  <si>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</si>
  <si>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</si>
  <si>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</si>
  <si>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</si>
  <si>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</si>
  <si>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</si>
  <si>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</si>
  <si>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</si>
  <si>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</si>
  <si>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</si>
  <si>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</si>
  <si>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</si>
  <si>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</si>
  <si>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</si>
  <si>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</si>
  <si>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</si>
  <si>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</si>
  <si>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</si>
  <si>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</si>
  <si>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</si>
  <si>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</si>
  <si>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</si>
  <si>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</si>
  <si>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</si>
  <si>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</si>
  <si>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</si>
  <si>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</si>
  <si>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</si>
  <si>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</si>
  <si>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</si>
  <si>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</si>
  <si>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</si>
  <si>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</si>
  <si>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</si>
  <si>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</si>
  <si>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</si>
  <si>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</si>
  <si>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</si>
  <si>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</si>
  <si>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</si>
  <si>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</si>
  <si>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</si>
  <si>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</si>
  <si>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</si>
  <si>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</si>
  <si>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</si>
  <si>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</si>
  <si>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</si>
  <si>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</si>
  <si>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</si>
  <si>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</si>
  <si>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</si>
  <si>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</si>
  <si>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</si>
  <si>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</si>
  <si>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</si>
  <si>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</si>
  <si>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</si>
  <si>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</si>
  <si>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</si>
  <si>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</si>
  <si>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</si>
  <si>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</si>
  <si>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</si>
  <si>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</si>
  <si>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</si>
  <si>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</si>
  <si>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</si>
  <si>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</si>
  <si>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</si>
  <si>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</si>
  <si>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</si>
  <si>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</si>
  <si>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</si>
  <si>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</si>
  <si>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</si>
  <si>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</si>
  <si>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</si>
  <si>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</si>
  <si>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</si>
  <si>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</si>
  <si>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</si>
  <si>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</si>
  <si>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</si>
  <si>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</si>
  <si>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</si>
  <si>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</si>
  <si>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</si>
  <si>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</si>
  <si>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</si>
  <si>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</si>
  <si>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</si>
  <si>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</si>
  <si>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</si>
  <si>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</si>
  <si>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</si>
  <si>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</si>
  <si>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</si>
  <si>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</si>
  <si>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</si>
  <si>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</si>
  <si>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</si>
  <si>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</si>
  <si>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</si>
  <si>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</si>
  <si>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</si>
  <si>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</si>
  <si>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</si>
  <si>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</si>
  <si>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</si>
  <si>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</si>
  <si>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</si>
  <si>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</si>
  <si>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</si>
  <si>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</si>
  <si>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</si>
  <si>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</si>
  <si>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</si>
  <si>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 xml:space="preserve">Because a TRANSACTIONS RECOGNIZED DATE RANGE  was used, results listed are PROFIT MOVEMENTS RECOGNIZED IN THAT DATE RANGE.</t>
  </si>
  <si>
    <t>Transaction</t>
  </si>
  <si>
    <t>ConvertToUtc</t>
  </si>
  <si>
    <t>Controlling Customer</t>
  </si>
  <si>
    <r>
      <t>ShipmentControlling</t>
    </r>
    <r>
      <rPr>
        <sz val="10"/>
        <color auto="1"/>
        <rFont val="Arial"/>
        <family val="2"/>
        <charset val="204"/>
      </rPr>
      <t>Customer</t>
    </r>
    <r>
      <rPr>
        <sz val="10"/>
        <color auto="1"/>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</si>
  <si>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</si>
  <si>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</si>
  <si>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</si>
  <si>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</si>
  <si>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</si>
  <si>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</si>
  <si>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</si>
  <si>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</si>
  <si>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</si>
  <si>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</si>
  <si>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</si>
  <si>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</si>
  <si>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</si>
  <si>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</si>
  <si>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</si>
  <si>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</si>
  <si>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</si>
  <si>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</si>
  <si>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</si>
  <si>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</si>
  <si>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</si>
  <si>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</si>
  <si>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</si>
  <si>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</si>
  <si>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</si>
  <si>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</si>
  <si>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</si>
  <si>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</si>
  <si>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</si>
  <si>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</si>
  <si>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</si>
  <si>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</si>
  <si>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</si>
  <si>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</si>
  <si>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</si>
  <si>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</si>
  <si>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</si>
  <si>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</si>
  <si>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</si>
  <si>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</si>
  <si>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</si>
  <si>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</si>
  <si>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</si>
  <si>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</si>
  <si>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</si>
  <si>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</si>
  <si>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</si>
  <si>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</si>
  <si>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</si>
  <si>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</si>
  <si>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</si>
  <si>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</si>
  <si>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</si>
  <si>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</si>
  <si>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</si>
  <si>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</si>
  <si>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</si>
  <si>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</si>
  <si>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</si>
  <si>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</si>
  <si>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</si>
  <si>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</si>
  <si>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</si>
  <si>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</si>
  <si>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</si>
  <si>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</si>
  <si>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</si>
  <si>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</si>
  <si>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 xml:space="preserve">(CASE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</si>
  <si>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</si>
  <si>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</si>
  <si>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</si>
  <si>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</si>
  <si>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</si>
  <si>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</si>
  <si>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</si>
  <si>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</si>
  <si>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</si>
  <si>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</si>
  <si>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</si>
  <si>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</si>
  <si>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</si>
  <si>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</si>
  <si>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</si>
  <si>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</si>
  <si>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</si>
  <si>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</si>
  <si>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</si>
  <si>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</si>
  <si>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</si>
  <si>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</si>
  <si>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</si>
  <si>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</si>
  <si>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</si>
  <si>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</si>
  <si>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</si>
  <si>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</si>
  <si>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</si>
  <si>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</si>
  <si>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</si>
  <si>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</si>
  <si>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</si>
  <si>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</si>
  <si>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</si>
  <si>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</si>
  <si>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</si>
  <si>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</si>
  <si>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</si>
  <si>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</si>
  <si>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</si>
  <si>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</si>
  <si>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</si>
  <si>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</si>
  <si>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</si>
  <si>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 xml:space="preserve">(CASE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</si>
  <si>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</si>
  <si>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</si>
  <si>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</si>
  <si>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</si>
  <si>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</si>
  <si>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</si>
  <si>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</si>
  <si>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</si>
  <si>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</si>
  <si>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</si>
  <si>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</si>
  <si>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</si>
  <si>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</si>
  <si>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</si>
  <si>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</si>
  <si>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</si>
  <si>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</si>
  <si>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</si>
  <si>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</si>
  <si>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</si>
  <si>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</si>
  <si>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</si>
  <si>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</si>
  <si>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</si>
  <si>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</si>
  <si>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</si>
  <si>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</si>
  <si>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</si>
  <si>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</si>
  <si>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</si>
  <si>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</si>
  <si>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</si>
  <si>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</si>
  <si>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 xml:space="preserve">(CASE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</si>
  <si>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</si>
  <si>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</si>
  <si>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</si>
  <si>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</si>
  <si>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</si>
  <si>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</si>
  <si>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</si>
  <si>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</si>
  <si>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</si>
  <si>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</si>
  <si>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 xml:space="preserve">DSV Air &amp; Sea Ltd. (IL1) </t>
  </si>
  <si>
    <t xml:space="preserve">Origin: IL, Shipment Registered: From: 01-Dec-25 To: 22-Mar-26, </t>
  </si>
  <si>
    <t xml:space="preserve">
</t>
  </si>
  <si>
    <t>Only Listing Shipments that have Accounting/Workflow Job Headers in DSV Air &amp; Sea Ltd. (IL1)</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</si>
  <si>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</si>
  <si>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</si>
  <si>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</si>
  <si>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</si>
  <si>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</si>
  <si>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</si>
  <si>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</si>
  <si>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</si>
  <si>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</si>
  <si>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</si>
  <si>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</si>
  <si>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</si>
  <si>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</si>
  <si>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</si>
  <si>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</si>
  <si>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</si>
  <si>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</si>
  <si>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</si>
  <si>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</si>
  <si>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</si>
  <si>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SDSV1307944</t>
  </si>
  <si>
    <t>ILTLV</t>
  </si>
  <si>
    <t>DEFRA</t>
  </si>
  <si>
    <t>11463888580</t>
  </si>
  <si>
    <t>ISR10050434</t>
  </si>
  <si>
    <t>EXW</t>
  </si>
  <si>
    <t>Dimona</t>
  </si>
  <si>
    <t>KG</t>
  </si>
  <si>
    <t>M3</t>
  </si>
  <si>
    <t>CTN</t>
  </si>
  <si>
    <t>PLT</t>
  </si>
  <si>
    <t>DEBWS</t>
  </si>
  <si>
    <t>SDSV1308352</t>
  </si>
  <si>
    <t>02022252834</t>
  </si>
  <si>
    <t>ISR10050445</t>
  </si>
  <si>
    <t>SEDC1658114</t>
  </si>
  <si>
    <t>INMAA</t>
  </si>
  <si>
    <t>16083499360</t>
  </si>
  <si>
    <t>ISR10051862</t>
  </si>
  <si>
    <t>DAP</t>
  </si>
  <si>
    <t>Chennai (ex Madras) (INMAA)</t>
  </si>
  <si>
    <t>CYLCA</t>
  </si>
  <si>
    <t>HKHKG</t>
  </si>
  <si>
    <t>SEDC1688913</t>
  </si>
  <si>
    <t>CAYYZ</t>
  </si>
  <si>
    <t>01437623401</t>
  </si>
  <si>
    <t>ISR10053192</t>
  </si>
  <si>
    <t>GRATH</t>
  </si>
  <si>
    <t>SFRA1096933</t>
  </si>
  <si>
    <t>7555785414</t>
  </si>
  <si>
    <t>CPT</t>
  </si>
  <si>
    <t>Frankfurt</t>
  </si>
  <si>
    <t>STLV0109925</t>
  </si>
  <si>
    <t>USJFK</t>
  </si>
  <si>
    <t>11463889711</t>
  </si>
  <si>
    <t>ISR10045289</t>
  </si>
  <si>
    <t>PCE</t>
  </si>
  <si>
    <t>STLV0112374</t>
  </si>
  <si>
    <t>USATL</t>
  </si>
  <si>
    <t>01656472500</t>
  </si>
  <si>
    <t>ISR10046514</t>
  </si>
  <si>
    <t>USEWR</t>
  </si>
  <si>
    <t>STLV0112941</t>
  </si>
  <si>
    <t>70051238714</t>
  </si>
  <si>
    <t>ISR10046858</t>
  </si>
  <si>
    <t>CIP</t>
  </si>
  <si>
    <t>BOX</t>
  </si>
  <si>
    <t>STLV0113876</t>
  </si>
  <si>
    <t>70051238180</t>
  </si>
  <si>
    <t>ISR10047406</t>
  </si>
  <si>
    <t>b+</t>
  </si>
  <si>
    <t>STLV0114256</t>
  </si>
  <si>
    <t>USMIA</t>
  </si>
  <si>
    <t>11463889512</t>
  </si>
  <si>
    <t>CFR</t>
  </si>
  <si>
    <t>STLV0114667</t>
  </si>
  <si>
    <t>AUSYD</t>
  </si>
  <si>
    <t>60753063500</t>
  </si>
  <si>
    <t>ISR10047851</t>
  </si>
  <si>
    <t>CIP , Sidney Airport</t>
  </si>
  <si>
    <t>AEAUH</t>
  </si>
  <si>
    <t>STLV0115697</t>
  </si>
  <si>
    <t>USSFO</t>
  </si>
  <si>
    <t>01675527141</t>
  </si>
  <si>
    <t>ISR10048292</t>
  </si>
  <si>
    <t>PKG</t>
  </si>
  <si>
    <t>STLV0115895</t>
  </si>
  <si>
    <t>01675527406</t>
  </si>
  <si>
    <t>ISR10048339</t>
  </si>
  <si>
    <t>STLV0116743</t>
  </si>
  <si>
    <t>ITFCO</t>
  </si>
  <si>
    <t>11463885135</t>
  </si>
  <si>
    <t>ISR10048733</t>
  </si>
  <si>
    <t>FCA</t>
  </si>
  <si>
    <t>STLV0116750</t>
  </si>
  <si>
    <t>11463885065</t>
  </si>
  <si>
    <t>ISR10048738</t>
  </si>
  <si>
    <t>STLV0116757</t>
  </si>
  <si>
    <t>11463885124</t>
  </si>
  <si>
    <t>ISR10048742</t>
  </si>
  <si>
    <t>STLV0117245</t>
  </si>
  <si>
    <t>DEDRS</t>
  </si>
  <si>
    <t>50120080480</t>
  </si>
  <si>
    <t>ISR10048979</t>
  </si>
  <si>
    <t>AZGYD</t>
  </si>
  <si>
    <t>BELGG</t>
  </si>
  <si>
    <t>STLV0117265</t>
  </si>
  <si>
    <t>USDFW</t>
  </si>
  <si>
    <t>01636223493</t>
  </si>
  <si>
    <t>ISR10048988</t>
  </si>
  <si>
    <t>USORD</t>
  </si>
  <si>
    <t>STLV0117404</t>
  </si>
  <si>
    <t>02020614160</t>
  </si>
  <si>
    <t>ISR10049078</t>
  </si>
  <si>
    <t>STLV0117452</t>
  </si>
  <si>
    <t>SGSIN</t>
  </si>
  <si>
    <t>50119759165</t>
  </si>
  <si>
    <t>ISR10049120</t>
  </si>
  <si>
    <t>STLV0117468</t>
  </si>
  <si>
    <t>CAYUL</t>
  </si>
  <si>
    <t>01437618405</t>
  </si>
  <si>
    <t>ISR10049131</t>
  </si>
  <si>
    <t>DDP</t>
  </si>
  <si>
    <t>STLV0117491</t>
  </si>
  <si>
    <t>USBOS</t>
  </si>
  <si>
    <t>01636223305</t>
  </si>
  <si>
    <t>ISR10049147</t>
  </si>
  <si>
    <t>STLV0117501</t>
  </si>
  <si>
    <t>01675527174</t>
  </si>
  <si>
    <t>ISR10049152</t>
  </si>
  <si>
    <t>STLV0117532</t>
  </si>
  <si>
    <t>70051238272</t>
  </si>
  <si>
    <t>ISR10049167</t>
  </si>
  <si>
    <t>DEERF</t>
  </si>
  <si>
    <t>STLV0117595</t>
  </si>
  <si>
    <t>ROOTP</t>
  </si>
  <si>
    <t>02020614370</t>
  </si>
  <si>
    <t>ISR10049213</t>
  </si>
  <si>
    <t>STLV0117604</t>
  </si>
  <si>
    <t>ISR10049222</t>
  </si>
  <si>
    <t>STLV0117632</t>
  </si>
  <si>
    <t>11463884052</t>
  </si>
  <si>
    <t>ISR10049239</t>
  </si>
  <si>
    <t>DEHAM</t>
  </si>
  <si>
    <t>STLV0117662</t>
  </si>
  <si>
    <t>CHBSL</t>
  </si>
  <si>
    <t>02002053822</t>
  </si>
  <si>
    <t>ISR10049258</t>
  </si>
  <si>
    <t>STLV0117681</t>
  </si>
  <si>
    <t>USHOU</t>
  </si>
  <si>
    <t>01675527104</t>
  </si>
  <si>
    <t>ISR10049274</t>
  </si>
  <si>
    <t>STLV0117697</t>
  </si>
  <si>
    <t>USPDX</t>
  </si>
  <si>
    <t>01675527152</t>
  </si>
  <si>
    <t>ISR10049285</t>
  </si>
  <si>
    <t>STLV0117698</t>
  </si>
  <si>
    <t>USSEA</t>
  </si>
  <si>
    <t>02020614521</t>
  </si>
  <si>
    <t>ISR10049286</t>
  </si>
  <si>
    <t>STLV0117699</t>
  </si>
  <si>
    <t>CZPRG</t>
  </si>
  <si>
    <t>02022253884</t>
  </si>
  <si>
    <t>ISR10049287</t>
  </si>
  <si>
    <t>STLV0117706</t>
  </si>
  <si>
    <t>USLAX</t>
  </si>
  <si>
    <t>11463884785</t>
  </si>
  <si>
    <t>ISR10049288</t>
  </si>
  <si>
    <t>STLV0117712</t>
  </si>
  <si>
    <t>01675527071</t>
  </si>
  <si>
    <t>STLV0117713</t>
  </si>
  <si>
    <t>01437623036</t>
  </si>
  <si>
    <t>STLV0117728</t>
  </si>
  <si>
    <t>01675527126</t>
  </si>
  <si>
    <t>ISR10049302</t>
  </si>
  <si>
    <t>CRT</t>
  </si>
  <si>
    <t>STLV0117729</t>
  </si>
  <si>
    <t>ISR10049303</t>
  </si>
  <si>
    <t>STLV0117747</t>
  </si>
  <si>
    <t>ISR10049316</t>
  </si>
  <si>
    <t>STLV0117748</t>
  </si>
  <si>
    <t>USORL</t>
  </si>
  <si>
    <t>01675527222</t>
  </si>
  <si>
    <t>ISR10049317</t>
  </si>
  <si>
    <t>STLV0117755</t>
  </si>
  <si>
    <t>GBLHR</t>
  </si>
  <si>
    <t>11463881370</t>
  </si>
  <si>
    <t>ISR10049323</t>
  </si>
  <si>
    <t>STLV0117765</t>
  </si>
  <si>
    <t>UAIEV</t>
  </si>
  <si>
    <t>ISR10049327</t>
  </si>
  <si>
    <t>UAKBP</t>
  </si>
  <si>
    <t>STLV0117790</t>
  </si>
  <si>
    <t>28124905215</t>
  </si>
  <si>
    <t>ISR10049343</t>
  </si>
  <si>
    <t>STLV0117800</t>
  </si>
  <si>
    <t>11463884575</t>
  </si>
  <si>
    <t>ISR10049350</t>
  </si>
  <si>
    <t>FC2</t>
  </si>
  <si>
    <t>GBBON</t>
  </si>
  <si>
    <t>GBBIN</t>
  </si>
  <si>
    <t>STLV0117803</t>
  </si>
  <si>
    <t>IQISU</t>
  </si>
  <si>
    <t>50119759913</t>
  </si>
  <si>
    <t>AEDWC</t>
  </si>
  <si>
    <t>STLV0117827</t>
  </si>
  <si>
    <t>11463881322</t>
  </si>
  <si>
    <t>ISR10049366</t>
  </si>
  <si>
    <t>STLV0117829</t>
  </si>
  <si>
    <t>11463884741</t>
  </si>
  <si>
    <t>ISR10049367</t>
  </si>
  <si>
    <t>STLV0117837</t>
  </si>
  <si>
    <t>CHZRH</t>
  </si>
  <si>
    <t>114</t>
  </si>
  <si>
    <t>SWP00868043</t>
  </si>
  <si>
    <t>STLV0117843</t>
  </si>
  <si>
    <t>FRCDG</t>
  </si>
  <si>
    <t>05758600301</t>
  </si>
  <si>
    <t>ISR10049379</t>
  </si>
  <si>
    <t>STLV0117853</t>
  </si>
  <si>
    <t>01437618416</t>
  </si>
  <si>
    <t>ISR10049385</t>
  </si>
  <si>
    <t>STLV0117855</t>
  </si>
  <si>
    <t>28124905484</t>
  </si>
  <si>
    <t>ISR10049387</t>
  </si>
  <si>
    <t>STLV0117862</t>
  </si>
  <si>
    <t>MXMEX</t>
  </si>
  <si>
    <t>99614387343</t>
  </si>
  <si>
    <t>ISR10049392</t>
  </si>
  <si>
    <t>ESMAD</t>
  </si>
  <si>
    <t>MXCUN</t>
  </si>
  <si>
    <t>STLV0117865</t>
  </si>
  <si>
    <t>02020614580</t>
  </si>
  <si>
    <t>ISR10049395</t>
  </si>
  <si>
    <t>ATVIE</t>
  </si>
  <si>
    <t>STLV0117867</t>
  </si>
  <si>
    <t>NLAMS</t>
  </si>
  <si>
    <t>02020614576</t>
  </si>
  <si>
    <t>ISR10049397</t>
  </si>
  <si>
    <t>STLV0117874</t>
  </si>
  <si>
    <t>ISR10049402</t>
  </si>
  <si>
    <t>STLV0117879</t>
  </si>
  <si>
    <t>ISR10049404</t>
  </si>
  <si>
    <t>STLV0117880</t>
  </si>
  <si>
    <t>ISR10049405</t>
  </si>
  <si>
    <t>STLV0117885</t>
  </si>
  <si>
    <t>ISR10049408</t>
  </si>
  <si>
    <t>STLV0117887</t>
  </si>
  <si>
    <t>02020614591</t>
  </si>
  <si>
    <t>ISR10049410</t>
  </si>
  <si>
    <t>DPU</t>
  </si>
  <si>
    <t>STLV0117928</t>
  </si>
  <si>
    <t>01675527244</t>
  </si>
  <si>
    <t>ISR10049422</t>
  </si>
  <si>
    <t>STLV0117934</t>
  </si>
  <si>
    <t>HNSAP</t>
  </si>
  <si>
    <t>72991358050</t>
  </si>
  <si>
    <t>COBOG</t>
  </si>
  <si>
    <t>SVSAL</t>
  </si>
  <si>
    <t>STLV0117942</t>
  </si>
  <si>
    <t>01675527185</t>
  </si>
  <si>
    <t>ISR10049431</t>
  </si>
  <si>
    <t>STLV0117948</t>
  </si>
  <si>
    <t>ISR10049436</t>
  </si>
  <si>
    <t>STLV0117950</t>
  </si>
  <si>
    <t>11463884763</t>
  </si>
  <si>
    <t>ISR10049437</t>
  </si>
  <si>
    <t>STLV0117971</t>
  </si>
  <si>
    <t>HRZAG</t>
  </si>
  <si>
    <t>02020614053</t>
  </si>
  <si>
    <t>ISR10049453</t>
  </si>
  <si>
    <t>STLV0117976</t>
  </si>
  <si>
    <t>ISR10049456</t>
  </si>
  <si>
    <t>STLV0117992</t>
  </si>
  <si>
    <t>01675527211</t>
  </si>
  <si>
    <t>ISR10049461</t>
  </si>
  <si>
    <t>STLV0117996</t>
  </si>
  <si>
    <t>ISR10049463</t>
  </si>
  <si>
    <t>STLV0117997</t>
  </si>
  <si>
    <t>VNHAN</t>
  </si>
  <si>
    <t>23850000263</t>
  </si>
  <si>
    <t>STLV0117998</t>
  </si>
  <si>
    <t>11463884796</t>
  </si>
  <si>
    <t>ISR10049465</t>
  </si>
  <si>
    <t>STLV0118004</t>
  </si>
  <si>
    <t>28124905241</t>
  </si>
  <si>
    <t>ISR10049470</t>
  </si>
  <si>
    <t>STLV0118007</t>
  </si>
  <si>
    <t>ISR10049472</t>
  </si>
  <si>
    <t>STLV0118008</t>
  </si>
  <si>
    <t>BRGRU</t>
  </si>
  <si>
    <t>99614384952</t>
  </si>
  <si>
    <t>ISR10049473</t>
  </si>
  <si>
    <t>STLV0118011</t>
  </si>
  <si>
    <t>ISR10049476</t>
  </si>
  <si>
    <t>STLV0118013</t>
  </si>
  <si>
    <t>ISR10049478</t>
  </si>
  <si>
    <t>STLV0118014</t>
  </si>
  <si>
    <t>ISR10049479</t>
  </si>
  <si>
    <t>STLV0118018</t>
  </si>
  <si>
    <t>ISR10049482</t>
  </si>
  <si>
    <t>STLV0118020</t>
  </si>
  <si>
    <t>ISR10049484</t>
  </si>
  <si>
    <t>STLV0118025</t>
  </si>
  <si>
    <t>ISR10049489</t>
  </si>
  <si>
    <t>STLV0118037</t>
  </si>
  <si>
    <t>DEMUC</t>
  </si>
  <si>
    <t>02020614510</t>
  </si>
  <si>
    <t>ISR10049500</t>
  </si>
  <si>
    <t>STLV0118041</t>
  </si>
  <si>
    <t>02020614661</t>
  </si>
  <si>
    <t>ISR10049503</t>
  </si>
  <si>
    <t>STLV0118043</t>
  </si>
  <si>
    <t>02020614650</t>
  </si>
  <si>
    <t>ISR10049505</t>
  </si>
  <si>
    <t>STLV0118053</t>
  </si>
  <si>
    <t>DENUE</t>
  </si>
  <si>
    <t>02020614672</t>
  </si>
  <si>
    <t>STLV0118061</t>
  </si>
  <si>
    <t>DESTR</t>
  </si>
  <si>
    <t>02020614694</t>
  </si>
  <si>
    <t>ISR10049518</t>
  </si>
  <si>
    <t>STLV0118082</t>
  </si>
  <si>
    <t>ITMXP</t>
  </si>
  <si>
    <t>11463884822</t>
  </si>
  <si>
    <t>STLV0118087</t>
  </si>
  <si>
    <t>MAAGA</t>
  </si>
  <si>
    <t>14793393101</t>
  </si>
  <si>
    <t>MACMN</t>
  </si>
  <si>
    <t>STLV0118093</t>
  </si>
  <si>
    <t>61566486733</t>
  </si>
  <si>
    <t>ISR10049530</t>
  </si>
  <si>
    <t>STLV0118094</t>
  </si>
  <si>
    <t>11463881333</t>
  </si>
  <si>
    <t>ISR10049531</t>
  </si>
  <si>
    <t>STLV0118104</t>
  </si>
  <si>
    <t>01675527255</t>
  </si>
  <si>
    <t>ISR10049535</t>
  </si>
  <si>
    <t>STLV0118106</t>
  </si>
  <si>
    <t>ISR10049537</t>
  </si>
  <si>
    <t>STLV0118108</t>
  </si>
  <si>
    <t>JPNRT</t>
  </si>
  <si>
    <t>11463884844</t>
  </si>
  <si>
    <t>ISR10049539</t>
  </si>
  <si>
    <t>STLV0118109</t>
  </si>
  <si>
    <t>01675527303</t>
  </si>
  <si>
    <t>ISR10049540</t>
  </si>
  <si>
    <t>STLV0118110</t>
  </si>
  <si>
    <t>ISR10049541</t>
  </si>
  <si>
    <t>STLV0118111</t>
  </si>
  <si>
    <t>ISR10049542</t>
  </si>
  <si>
    <t>STLV0118113</t>
  </si>
  <si>
    <t>ISR10049543</t>
  </si>
  <si>
    <t>STLV0118115</t>
  </si>
  <si>
    <t>11463884833</t>
  </si>
  <si>
    <t>STLV0118116</t>
  </si>
  <si>
    <t>ISR10049546</t>
  </si>
  <si>
    <t>STLV0118118</t>
  </si>
  <si>
    <t>ISR10049547</t>
  </si>
  <si>
    <t>STLV0118119</t>
  </si>
  <si>
    <t>ISR10049548</t>
  </si>
  <si>
    <t>STLV0118120</t>
  </si>
  <si>
    <t>ISR10049549</t>
  </si>
  <si>
    <t>STLV0118122</t>
  </si>
  <si>
    <t>ISR10049551</t>
  </si>
  <si>
    <t>STLV0118123</t>
  </si>
  <si>
    <t>ISR10049552</t>
  </si>
  <si>
    <t>STLV0118129</t>
  </si>
  <si>
    <t>ISR10049553</t>
  </si>
  <si>
    <t>STLV0118136</t>
  </si>
  <si>
    <t>ISR10049555</t>
  </si>
  <si>
    <t>STLV0118137</t>
  </si>
  <si>
    <t>ISR10049556</t>
  </si>
  <si>
    <t>STLV0118138</t>
  </si>
  <si>
    <t>ISR10049557</t>
  </si>
  <si>
    <t>STLV0118143</t>
  </si>
  <si>
    <t>01675527266</t>
  </si>
  <si>
    <t>ISR10049558</t>
  </si>
  <si>
    <t>STLV0118152</t>
  </si>
  <si>
    <t>ISR10049561</t>
  </si>
  <si>
    <t>STLV0118163</t>
  </si>
  <si>
    <t>11463884914</t>
  </si>
  <si>
    <t>ISR10049562</t>
  </si>
  <si>
    <t>STLV0118178</t>
  </si>
  <si>
    <t>DEKFS</t>
  </si>
  <si>
    <t>61566486873</t>
  </si>
  <si>
    <t>ISR10049564</t>
  </si>
  <si>
    <t>DELEJ</t>
  </si>
  <si>
    <t>STLV0118208</t>
  </si>
  <si>
    <t>39099596792</t>
  </si>
  <si>
    <t>ISR10049565</t>
  </si>
  <si>
    <t>STLV0118210</t>
  </si>
  <si>
    <t>60752000642</t>
  </si>
  <si>
    <t>ISR10049566</t>
  </si>
  <si>
    <t>DAT</t>
  </si>
  <si>
    <t>STLV0118211</t>
  </si>
  <si>
    <t>11463884402</t>
  </si>
  <si>
    <t>ISR10049567</t>
  </si>
  <si>
    <t>B+</t>
  </si>
  <si>
    <t>STLV0118213</t>
  </si>
  <si>
    <t>61566486755</t>
  </si>
  <si>
    <t>ISR10049569</t>
  </si>
  <si>
    <t>STLV0118215</t>
  </si>
  <si>
    <t>11463881344</t>
  </si>
  <si>
    <t>ISR10049570</t>
  </si>
  <si>
    <t>STLV0118218</t>
  </si>
  <si>
    <t>ISR10049571</t>
  </si>
  <si>
    <t>LFD 2/11</t>
  </si>
  <si>
    <t>STLV0118219</t>
  </si>
  <si>
    <t>ISR10049572</t>
  </si>
  <si>
    <t>STLV0118220</t>
  </si>
  <si>
    <t>ISR10049573</t>
  </si>
  <si>
    <t>STLV0118221</t>
  </si>
  <si>
    <t>CNPVG</t>
  </si>
  <si>
    <t>02020614705</t>
  </si>
  <si>
    <t>ISR10049574</t>
  </si>
  <si>
    <t>STLV0118222</t>
  </si>
  <si>
    <t>72424443370</t>
  </si>
  <si>
    <t>STLV0118223</t>
  </si>
  <si>
    <t>ISR10049576</t>
  </si>
  <si>
    <t>STLV0118224</t>
  </si>
  <si>
    <t>ISR10049577</t>
  </si>
  <si>
    <t>STLV0118225</t>
  </si>
  <si>
    <t>ISR10049578</t>
  </si>
  <si>
    <t>STLV0118228</t>
  </si>
  <si>
    <t>01675527270</t>
  </si>
  <si>
    <t>ISR10049581</t>
  </si>
  <si>
    <t>STLV0118230</t>
  </si>
  <si>
    <t>ISR10049583</t>
  </si>
  <si>
    <t>STLV0118233</t>
  </si>
  <si>
    <t>ISR10049584</t>
  </si>
  <si>
    <t>STLV0118235</t>
  </si>
  <si>
    <t>ISR10049586</t>
  </si>
  <si>
    <t>STLV0118238</t>
  </si>
  <si>
    <t>ISR10049588</t>
  </si>
  <si>
    <t>STLV0118246</t>
  </si>
  <si>
    <t>28124905252</t>
  </si>
  <si>
    <t>ISR10049589</t>
  </si>
  <si>
    <t>STLV0118247</t>
  </si>
  <si>
    <t>ISR10049590</t>
  </si>
  <si>
    <t>STLV0118248</t>
  </si>
  <si>
    <t>ISR10049591</t>
  </si>
  <si>
    <t>STLV0118251</t>
  </si>
  <si>
    <t>ISR10049594</t>
  </si>
  <si>
    <t>STLV0118252</t>
  </si>
  <si>
    <t>ISR10049595</t>
  </si>
  <si>
    <t>STLV0118253</t>
  </si>
  <si>
    <t>ILMOD</t>
  </si>
  <si>
    <t>INBOM</t>
  </si>
  <si>
    <t>ISR10049596</t>
  </si>
  <si>
    <t>CIF</t>
  </si>
  <si>
    <t>STLV0118261</t>
  </si>
  <si>
    <t>ISR10049597</t>
  </si>
  <si>
    <t>STLV0118262</t>
  </si>
  <si>
    <t>ISR10049598</t>
  </si>
  <si>
    <t>STLV0118273</t>
  </si>
  <si>
    <t>INDEL</t>
  </si>
  <si>
    <t>09877102476</t>
  </si>
  <si>
    <t>ISR10049601</t>
  </si>
  <si>
    <t>STLV0118281</t>
  </si>
  <si>
    <t>01675527281</t>
  </si>
  <si>
    <t>ISR10049603</t>
  </si>
  <si>
    <t>STLV0118285</t>
  </si>
  <si>
    <t>ISR10049606</t>
  </si>
  <si>
    <t>STLV0118286</t>
  </si>
  <si>
    <t>ISR10049607</t>
  </si>
  <si>
    <t>STLV0118287</t>
  </si>
  <si>
    <t>50120080395</t>
  </si>
  <si>
    <t>STLV0118292</t>
  </si>
  <si>
    <t>02020614731</t>
  </si>
  <si>
    <t>ISR10049610</t>
  </si>
  <si>
    <t>STLV0118293</t>
  </si>
  <si>
    <t>THBKK</t>
  </si>
  <si>
    <t>02020614720</t>
  </si>
  <si>
    <t>ISR10049611</t>
  </si>
  <si>
    <t>STLV0118300</t>
  </si>
  <si>
    <t>UAUCK</t>
  </si>
  <si>
    <t>STLV0118301</t>
  </si>
  <si>
    <t>STLV0118304</t>
  </si>
  <si>
    <t>ISR10049614</t>
  </si>
  <si>
    <t>STLV0118306</t>
  </si>
  <si>
    <t>28124905263</t>
  </si>
  <si>
    <t>ISR10049616</t>
  </si>
  <si>
    <t>STLV0118310</t>
  </si>
  <si>
    <t>11463884870</t>
  </si>
  <si>
    <t>ISR10049619</t>
  </si>
  <si>
    <t>STLV0118317</t>
  </si>
  <si>
    <t>11463884881</t>
  </si>
  <si>
    <t>ISR10049623</t>
  </si>
  <si>
    <t>STLV0118319</t>
  </si>
  <si>
    <t>11463884892</t>
  </si>
  <si>
    <t>ISR10049624</t>
  </si>
  <si>
    <t>STLV0118320</t>
  </si>
  <si>
    <t>01675527292</t>
  </si>
  <si>
    <t>ISR10049625</t>
  </si>
  <si>
    <t>STLV0118324</t>
  </si>
  <si>
    <t>05700767524</t>
  </si>
  <si>
    <t>ISR10049627</t>
  </si>
  <si>
    <t>STLV0118325</t>
  </si>
  <si>
    <t>02020614753</t>
  </si>
  <si>
    <t>ISR10049628</t>
  </si>
  <si>
    <t>STLV0118327</t>
  </si>
  <si>
    <t>DEDTM</t>
  </si>
  <si>
    <t>ISR10049630</t>
  </si>
  <si>
    <t>STLV0118332</t>
  </si>
  <si>
    <t>ISR10049632</t>
  </si>
  <si>
    <t>STLV0118333</t>
  </si>
  <si>
    <t>05700787776</t>
  </si>
  <si>
    <t>ISR10049633</t>
  </si>
  <si>
    <t>STLV0118335</t>
  </si>
  <si>
    <t>50120080432</t>
  </si>
  <si>
    <t>STLV0118336</t>
  </si>
  <si>
    <t>02020614764</t>
  </si>
  <si>
    <t>ISR10049635</t>
  </si>
  <si>
    <t>JPHND</t>
  </si>
  <si>
    <t>STLV0118341</t>
  </si>
  <si>
    <t>05758655800</t>
  </si>
  <si>
    <t>ISR10049637</t>
  </si>
  <si>
    <t>STLV0118345</t>
  </si>
  <si>
    <t>ISR10049639</t>
  </si>
  <si>
    <t>STLV0118351</t>
  </si>
  <si>
    <t>ISR10049642</t>
  </si>
  <si>
    <t>STLV0118353</t>
  </si>
  <si>
    <t>ISR10049643</t>
  </si>
  <si>
    <t>STLV0118354</t>
  </si>
  <si>
    <t>61566486766</t>
  </si>
  <si>
    <t>ISR10049644</t>
  </si>
  <si>
    <t>ITOTA</t>
  </si>
  <si>
    <t>STLV0118355</t>
  </si>
  <si>
    <t>60752000723</t>
  </si>
  <si>
    <t>ISR10049645</t>
  </si>
  <si>
    <t>STLV0118361</t>
  </si>
  <si>
    <t>ISR10049646</t>
  </si>
  <si>
    <t>STLV0118364</t>
  </si>
  <si>
    <t>ISR10049648</t>
  </si>
  <si>
    <t>STLV0118365</t>
  </si>
  <si>
    <t>ISR10049649</t>
  </si>
  <si>
    <t>STLV0118372</t>
  </si>
  <si>
    <t>ISR10049653</t>
  </si>
  <si>
    <t>STLV0118375</t>
  </si>
  <si>
    <t>ISR10049656</t>
  </si>
  <si>
    <t>STLV0118394</t>
  </si>
  <si>
    <t>11463884903</t>
  </si>
  <si>
    <t>STLV0118397</t>
  </si>
  <si>
    <t>02022252296</t>
  </si>
  <si>
    <t>ISR10049663</t>
  </si>
  <si>
    <t>STLV0118400</t>
  </si>
  <si>
    <t>ISR10049665</t>
  </si>
  <si>
    <t>STLV0118408</t>
  </si>
  <si>
    <t>ISR10049670</t>
  </si>
  <si>
    <t>STLV0118409</t>
  </si>
  <si>
    <t>02022252285</t>
  </si>
  <si>
    <t>ISR10049671</t>
  </si>
  <si>
    <t>STLV0118411</t>
  </si>
  <si>
    <t>02001853541</t>
  </si>
  <si>
    <t>STLV0118415</t>
  </si>
  <si>
    <t>50120080513</t>
  </si>
  <si>
    <t>STLV0118416</t>
  </si>
  <si>
    <t>CNPEK</t>
  </si>
  <si>
    <t>02022252300</t>
  </si>
  <si>
    <t>ISR10049675</t>
  </si>
  <si>
    <t>STLV0118417</t>
  </si>
  <si>
    <t>398301212550</t>
  </si>
  <si>
    <t>STLV0118424</t>
  </si>
  <si>
    <t>16003078526</t>
  </si>
  <si>
    <t>ACL00100983</t>
  </si>
  <si>
    <t>STLV0118426</t>
  </si>
  <si>
    <t>01675527314</t>
  </si>
  <si>
    <t>ISR10049681</t>
  </si>
  <si>
    <t>STLV0118427</t>
  </si>
  <si>
    <t>ISR10049682</t>
  </si>
  <si>
    <t>STLV0118428</t>
  </si>
  <si>
    <t>01675527410</t>
  </si>
  <si>
    <t>ISR10049683</t>
  </si>
  <si>
    <t>STLV0118431</t>
  </si>
  <si>
    <t>75250052936</t>
  </si>
  <si>
    <t>ACL00100980</t>
  </si>
  <si>
    <t>STLV0118438</t>
  </si>
  <si>
    <t>01636223036</t>
  </si>
  <si>
    <t>ISR10049687</t>
  </si>
  <si>
    <t>STLV0118440</t>
  </si>
  <si>
    <t>CHGVA</t>
  </si>
  <si>
    <t>05758655284</t>
  </si>
  <si>
    <t>ISR10049689</t>
  </si>
  <si>
    <t>STLV0118451</t>
  </si>
  <si>
    <t>ISR10049692</t>
  </si>
  <si>
    <t>STLV0118452</t>
  </si>
  <si>
    <t>ISR10049693</t>
  </si>
  <si>
    <t>STLV0118464</t>
  </si>
  <si>
    <t>28124905285</t>
  </si>
  <si>
    <t>ISR10049698</t>
  </si>
  <si>
    <t>STLV0118508</t>
  </si>
  <si>
    <t>11463884936</t>
  </si>
  <si>
    <t>STLV0118515</t>
  </si>
  <si>
    <t>ISR10049705</t>
  </si>
  <si>
    <t>STLV0118518</t>
  </si>
  <si>
    <t>ISR10049708</t>
  </si>
  <si>
    <t>STLV0118519</t>
  </si>
  <si>
    <t>ISR10049709</t>
  </si>
  <si>
    <t>STLV0118520</t>
  </si>
  <si>
    <t>ISR10049710</t>
  </si>
  <si>
    <t>STLV0118521</t>
  </si>
  <si>
    <t>INBLR</t>
  </si>
  <si>
    <t>02022252311</t>
  </si>
  <si>
    <t>ISR10049711</t>
  </si>
  <si>
    <t>STLV0118522</t>
  </si>
  <si>
    <t>01437618464</t>
  </si>
  <si>
    <t>ISR10049712</t>
  </si>
  <si>
    <t>STLV0118523</t>
  </si>
  <si>
    <t>ISR10049713</t>
  </si>
  <si>
    <t>STLV0118525</t>
  </si>
  <si>
    <t>02022252322</t>
  </si>
  <si>
    <t>ISR10049715</t>
  </si>
  <si>
    <t>STLV0118528</t>
  </si>
  <si>
    <t>11463884925</t>
  </si>
  <si>
    <t>ISR10049718</t>
  </si>
  <si>
    <t>STLV0118530</t>
  </si>
  <si>
    <t>PLWAW</t>
  </si>
  <si>
    <t>11463884940</t>
  </si>
  <si>
    <t>ISR10049719</t>
  </si>
  <si>
    <t>STLV0118533</t>
  </si>
  <si>
    <t>28124905274</t>
  </si>
  <si>
    <t>ISR10049721</t>
  </si>
  <si>
    <t>STLV0118534</t>
  </si>
  <si>
    <t>50120080583</t>
  </si>
  <si>
    <t>ISR10049722</t>
  </si>
  <si>
    <t>STLV0118541</t>
  </si>
  <si>
    <t>ISR10049726</t>
  </si>
  <si>
    <t>STLV0118543</t>
  </si>
  <si>
    <t>ISR10049727</t>
  </si>
  <si>
    <t>STLV0118545</t>
  </si>
  <si>
    <t>SKBTS</t>
  </si>
  <si>
    <t>61566486770</t>
  </si>
  <si>
    <t>ISR10049728</t>
  </si>
  <si>
    <t>STLV0118548</t>
  </si>
  <si>
    <t>21707891122</t>
  </si>
  <si>
    <t>ISR10049730</t>
  </si>
  <si>
    <t>STLV0118549</t>
  </si>
  <si>
    <t>ISR10049731</t>
  </si>
  <si>
    <t>STLV0118550</t>
  </si>
  <si>
    <t>02022252333</t>
  </si>
  <si>
    <t>ISR10049732</t>
  </si>
  <si>
    <t>STLV0118553</t>
  </si>
  <si>
    <t>61566486792</t>
  </si>
  <si>
    <t>ISR10049735</t>
  </si>
  <si>
    <t>DEGBM</t>
  </si>
  <si>
    <t>STLV0118554</t>
  </si>
  <si>
    <t>ISR10049736</t>
  </si>
  <si>
    <t>STLV0118555</t>
  </si>
  <si>
    <t>ISR10049737</t>
  </si>
  <si>
    <t>STLV0118557</t>
  </si>
  <si>
    <t>50120080384</t>
  </si>
  <si>
    <t>ISR10049738</t>
  </si>
  <si>
    <t>STLV0118559</t>
  </si>
  <si>
    <t>ISR10049740</t>
  </si>
  <si>
    <t>STLV0118561</t>
  </si>
  <si>
    <t>61566486803</t>
  </si>
  <si>
    <t>ISR10049741</t>
  </si>
  <si>
    <t>4501478197</t>
  </si>
  <si>
    <t>PLMLC</t>
  </si>
  <si>
    <t>STLV0118562</t>
  </si>
  <si>
    <t>ISR10049742</t>
  </si>
  <si>
    <t>STLV0118573</t>
  </si>
  <si>
    <t>61566486781</t>
  </si>
  <si>
    <t>STLV0118576</t>
  </si>
  <si>
    <t>ISR10049746</t>
  </si>
  <si>
    <t>STLV0118583</t>
  </si>
  <si>
    <t>ISR10049747</t>
  </si>
  <si>
    <t>STLV0118606</t>
  </si>
  <si>
    <t>99614387623</t>
  </si>
  <si>
    <t>ISR10049757</t>
  </si>
  <si>
    <t>STLV0118612</t>
  </si>
  <si>
    <t>ISR10049763</t>
  </si>
  <si>
    <t>STLV0118614</t>
  </si>
  <si>
    <t>ISR10049764</t>
  </si>
  <si>
    <t>STLV0118618</t>
  </si>
  <si>
    <t>11463884962</t>
  </si>
  <si>
    <t>ISR10049768</t>
  </si>
  <si>
    <t>STLV0118621</t>
  </si>
  <si>
    <t>ISR10049771</t>
  </si>
  <si>
    <t>STLV0118624</t>
  </si>
  <si>
    <t>02022253335</t>
  </si>
  <si>
    <t>ISR10049773</t>
  </si>
  <si>
    <t>STLV0118626</t>
  </si>
  <si>
    <t>01675527325</t>
  </si>
  <si>
    <t>ISR10049775</t>
  </si>
  <si>
    <t>STLV0118628</t>
  </si>
  <si>
    <t>ISR10049777</t>
  </si>
  <si>
    <t>STLV0118629</t>
  </si>
  <si>
    <t>02022252344</t>
  </si>
  <si>
    <t>ISR10049778</t>
  </si>
  <si>
    <t>STLV0118631</t>
  </si>
  <si>
    <t>28124905506</t>
  </si>
  <si>
    <t>ISR10049780</t>
  </si>
  <si>
    <t>STLV0118632</t>
  </si>
  <si>
    <t>ISR10049781</t>
  </si>
  <si>
    <t>STLV0118633</t>
  </si>
  <si>
    <t>ISR10049782</t>
  </si>
  <si>
    <t>STLV0118636</t>
  </si>
  <si>
    <t>ISR10049784</t>
  </si>
  <si>
    <t>STLV0118637</t>
  </si>
  <si>
    <t>99614387656</t>
  </si>
  <si>
    <t>ISR10049785</t>
  </si>
  <si>
    <t>STLV0118638</t>
  </si>
  <si>
    <t>DEMHG</t>
  </si>
  <si>
    <t>61566486744</t>
  </si>
  <si>
    <t>ISR10049786</t>
  </si>
  <si>
    <t>STLV0118646</t>
  </si>
  <si>
    <t>AUMEL</t>
  </si>
  <si>
    <t>21707891133</t>
  </si>
  <si>
    <t>ISR10049790</t>
  </si>
  <si>
    <t>STLV0118648</t>
  </si>
  <si>
    <t>ISR10049792</t>
  </si>
  <si>
    <t>STLV0118651</t>
  </si>
  <si>
    <t>60753062601</t>
  </si>
  <si>
    <t>ISR10049795</t>
  </si>
  <si>
    <t>STLV0118652</t>
  </si>
  <si>
    <t>21707891144</t>
  </si>
  <si>
    <t>ISR10049796</t>
  </si>
  <si>
    <t>STLV0118654</t>
  </si>
  <si>
    <t>02022252355</t>
  </si>
  <si>
    <t>ISR10049798</t>
  </si>
  <si>
    <t>STLV0118660</t>
  </si>
  <si>
    <t>01675527336</t>
  </si>
  <si>
    <t>STLV0118662</t>
  </si>
  <si>
    <t>ISR10049801</t>
  </si>
  <si>
    <t>STLV0118667</t>
  </si>
  <si>
    <t>01675527340</t>
  </si>
  <si>
    <t>ISR10049805</t>
  </si>
  <si>
    <t>STLV0118668</t>
  </si>
  <si>
    <t>28124905296</t>
  </si>
  <si>
    <t>ISR10049806</t>
  </si>
  <si>
    <t>STLV0118676</t>
  </si>
  <si>
    <t>02001534606</t>
  </si>
  <si>
    <t>ISR10049810</t>
  </si>
  <si>
    <t>STLV0118677</t>
  </si>
  <si>
    <t>23850000285</t>
  </si>
  <si>
    <t>ISR10049811</t>
  </si>
  <si>
    <t>STLV0118714</t>
  </si>
  <si>
    <t>01437618475</t>
  </si>
  <si>
    <t>ISR10049813</t>
  </si>
  <si>
    <t>CALRN</t>
  </si>
  <si>
    <t>CABOU</t>
  </si>
  <si>
    <t>STLV0118731</t>
  </si>
  <si>
    <t>11463884413</t>
  </si>
  <si>
    <t>ISR10049816</t>
  </si>
  <si>
    <t>STLV0118732</t>
  </si>
  <si>
    <t>TWTPE</t>
  </si>
  <si>
    <t>69555923022</t>
  </si>
  <si>
    <t>ISR10049817</t>
  </si>
  <si>
    <t>STLV0118733</t>
  </si>
  <si>
    <t>ISR10049818</t>
  </si>
  <si>
    <t>STLV0118734</t>
  </si>
  <si>
    <t>01675527351</t>
  </si>
  <si>
    <t>ISR10049819</t>
  </si>
  <si>
    <t>STLV0118735</t>
  </si>
  <si>
    <t>BEBRU</t>
  </si>
  <si>
    <t>28124905300</t>
  </si>
  <si>
    <t>ISR10049820</t>
  </si>
  <si>
    <t>STLV0118736</t>
  </si>
  <si>
    <t>02022252366</t>
  </si>
  <si>
    <t>ISR10049821</t>
  </si>
  <si>
    <t>STLV0118742</t>
  </si>
  <si>
    <t>02022252370</t>
  </si>
  <si>
    <t>ISR10049826</t>
  </si>
  <si>
    <t>STLV0118746</t>
  </si>
  <si>
    <t>11463884973</t>
  </si>
  <si>
    <t>ISR10049830</t>
  </si>
  <si>
    <t>STLV0118747</t>
  </si>
  <si>
    <t>50120080826</t>
  </si>
  <si>
    <t>STLV0118749</t>
  </si>
  <si>
    <t>ISR10049833</t>
  </si>
  <si>
    <t>STLV0118751</t>
  </si>
  <si>
    <t>ISR10049835</t>
  </si>
  <si>
    <t>FOB</t>
  </si>
  <si>
    <t>STLV0118755</t>
  </si>
  <si>
    <t>ISR10049837</t>
  </si>
  <si>
    <t>STLV0118756</t>
  </si>
  <si>
    <t>ISR10049838</t>
  </si>
  <si>
    <t>STLV0118757</t>
  </si>
  <si>
    <t>11463884984</t>
  </si>
  <si>
    <t>STLV0118758</t>
  </si>
  <si>
    <t>ISR10049840</t>
  </si>
  <si>
    <t>STLV0118759</t>
  </si>
  <si>
    <t>ISR10049841</t>
  </si>
  <si>
    <t>STLV0118762</t>
  </si>
  <si>
    <t>ISR10049844</t>
  </si>
  <si>
    <t>STLV0118763</t>
  </si>
  <si>
    <t>ISR10049845</t>
  </si>
  <si>
    <t>STLV0118764</t>
  </si>
  <si>
    <t>ISR10049846</t>
  </si>
  <si>
    <t>STLV0118765</t>
  </si>
  <si>
    <t>ISR10049847</t>
  </si>
  <si>
    <t>STLV0118769</t>
  </si>
  <si>
    <t>ISR10049851</t>
  </si>
  <si>
    <t>STLV0118770</t>
  </si>
  <si>
    <t>ISR10049852</t>
  </si>
  <si>
    <t>STLV0118772</t>
  </si>
  <si>
    <t>ISR10049853</t>
  </si>
  <si>
    <t>STLV0118778</t>
  </si>
  <si>
    <t>ISR10049855</t>
  </si>
  <si>
    <t>STLV0118779</t>
  </si>
  <si>
    <t>AREZE</t>
  </si>
  <si>
    <t>99614387505</t>
  </si>
  <si>
    <t>ISR10049856</t>
  </si>
  <si>
    <t>STLV0118781</t>
  </si>
  <si>
    <t>ISR10049858</t>
  </si>
  <si>
    <t>STLV0118782</t>
  </si>
  <si>
    <t>HUBUD</t>
  </si>
  <si>
    <t>11463884995</t>
  </si>
  <si>
    <t>ISR10049859</t>
  </si>
  <si>
    <t>STLV0118783</t>
  </si>
  <si>
    <t>14153477373</t>
  </si>
  <si>
    <t>ISR10049860</t>
  </si>
  <si>
    <t>AEDXB</t>
  </si>
  <si>
    <t>STLV0118785</t>
  </si>
  <si>
    <t>ISR10049861</t>
  </si>
  <si>
    <t>STLV0118790</t>
  </si>
  <si>
    <t>14153477384</t>
  </si>
  <si>
    <t>ISR10049866</t>
  </si>
  <si>
    <t>STLV0118792</t>
  </si>
  <si>
    <t>ISR10049867</t>
  </si>
  <si>
    <t>STLV0118793</t>
  </si>
  <si>
    <t>11463885006</t>
  </si>
  <si>
    <t>ISR10049868</t>
  </si>
  <si>
    <t>STLV0118794</t>
  </si>
  <si>
    <t>11463885010</t>
  </si>
  <si>
    <t>ISR10049869</t>
  </si>
  <si>
    <t>STLV0118795</t>
  </si>
  <si>
    <t>ISR10049870</t>
  </si>
  <si>
    <t>STLV0118796</t>
  </si>
  <si>
    <t>61566486825</t>
  </si>
  <si>
    <t>ISR10049871</t>
  </si>
  <si>
    <t>STLV0118797</t>
  </si>
  <si>
    <t>ISR10049872</t>
  </si>
  <si>
    <t>STLV0118798</t>
  </si>
  <si>
    <t>28124905440</t>
  </si>
  <si>
    <t>ISR10049873</t>
  </si>
  <si>
    <t>STLV0118799</t>
  </si>
  <si>
    <t>USPHX</t>
  </si>
  <si>
    <t>01675527373</t>
  </si>
  <si>
    <t>ISR10049874</t>
  </si>
  <si>
    <t>STLV0118800</t>
  </si>
  <si>
    <t>02022252381</t>
  </si>
  <si>
    <t>ISR10049875</t>
  </si>
  <si>
    <t>STLV0118802</t>
  </si>
  <si>
    <t>01675527362</t>
  </si>
  <si>
    <t>ISR10049877</t>
  </si>
  <si>
    <t>STLV0118805</t>
  </si>
  <si>
    <t>50120080970</t>
  </si>
  <si>
    <t>ISR10049880</t>
  </si>
  <si>
    <t>STLV0118808</t>
  </si>
  <si>
    <t>ISR10049882</t>
  </si>
  <si>
    <t>STLV0118809</t>
  </si>
  <si>
    <t>01609642231</t>
  </si>
  <si>
    <t>ISR10049883</t>
  </si>
  <si>
    <t>STLV0118811</t>
  </si>
  <si>
    <t>02022252403</t>
  </si>
  <si>
    <t>ISR10049885</t>
  </si>
  <si>
    <t>STLV0118818</t>
  </si>
  <si>
    <t>ISR10049891</t>
  </si>
  <si>
    <t>STLV0118821</t>
  </si>
  <si>
    <t>ISR10049894</t>
  </si>
  <si>
    <t>STLV0118823</t>
  </si>
  <si>
    <t>ISR10049895</t>
  </si>
  <si>
    <t>STLV0118824</t>
  </si>
  <si>
    <t>ISR10049896</t>
  </si>
  <si>
    <t>STLV0118826</t>
  </si>
  <si>
    <t>01675527421</t>
  </si>
  <si>
    <t>ISR10049898</t>
  </si>
  <si>
    <t>STLV0118827</t>
  </si>
  <si>
    <t>50120080992</t>
  </si>
  <si>
    <t>STLV0118831</t>
  </si>
  <si>
    <t>PHMNL</t>
  </si>
  <si>
    <t>07950741386</t>
  </si>
  <si>
    <t>ISR10049900</t>
  </si>
  <si>
    <t>STLV0118832</t>
  </si>
  <si>
    <t>11463884951</t>
  </si>
  <si>
    <t>ISR10049901</t>
  </si>
  <si>
    <t>STLV0118835</t>
  </si>
  <si>
    <t>ISR10049904</t>
  </si>
  <si>
    <t>STLV0118836</t>
  </si>
  <si>
    <t>ISR10049905</t>
  </si>
  <si>
    <t>STLV0118838</t>
  </si>
  <si>
    <t>11463885021</t>
  </si>
  <si>
    <t>STLV0118840</t>
  </si>
  <si>
    <t>02022252414</t>
  </si>
  <si>
    <t>ISR10049908</t>
  </si>
  <si>
    <t>STLV0118844</t>
  </si>
  <si>
    <t>02022252392</t>
  </si>
  <si>
    <t>ISR10049912</t>
  </si>
  <si>
    <t>STLV0118845</t>
  </si>
  <si>
    <t>ISR10049913</t>
  </si>
  <si>
    <t>STLV0118846</t>
  </si>
  <si>
    <t>ISR10049914</t>
  </si>
  <si>
    <t>STLV0118854</t>
  </si>
  <si>
    <t>PTLIS</t>
  </si>
  <si>
    <t>02022252425</t>
  </si>
  <si>
    <t>ISR10049921</t>
  </si>
  <si>
    <t>STLV0118860</t>
  </si>
  <si>
    <t>ISR10049924</t>
  </si>
  <si>
    <t>STLV0118884</t>
  </si>
  <si>
    <t>ISR10049934</t>
  </si>
  <si>
    <t>STLV0118885</t>
  </si>
  <si>
    <t>11463885032</t>
  </si>
  <si>
    <t>STLV0118887</t>
  </si>
  <si>
    <t>ISR10049936</t>
  </si>
  <si>
    <t>STLV0118888</t>
  </si>
  <si>
    <t>02022252451</t>
  </si>
  <si>
    <t>ISR10049937</t>
  </si>
  <si>
    <t>STLV0118891</t>
  </si>
  <si>
    <t>02022252440</t>
  </si>
  <si>
    <t>ISR10049940</t>
  </si>
  <si>
    <t>STLV0118893</t>
  </si>
  <si>
    <t>02022252473</t>
  </si>
  <si>
    <t>ISR10049941</t>
  </si>
  <si>
    <t>SHIPPERDOCK</t>
  </si>
  <si>
    <t>STLV0118929</t>
  </si>
  <si>
    <t>61566486840</t>
  </si>
  <si>
    <t>ISR10049942</t>
  </si>
  <si>
    <t>STLV0118930</t>
  </si>
  <si>
    <t>01675527384</t>
  </si>
  <si>
    <t>ISR10049943</t>
  </si>
  <si>
    <t>STLV0118931</t>
  </si>
  <si>
    <t>02020614274</t>
  </si>
  <si>
    <t>STLV0118932</t>
  </si>
  <si>
    <t>11463885043</t>
  </si>
  <si>
    <t>ISR10049945</t>
  </si>
  <si>
    <t>STLV0118933</t>
  </si>
  <si>
    <t>99614387936</t>
  </si>
  <si>
    <t>ISR10049946</t>
  </si>
  <si>
    <t>STLV0118934</t>
  </si>
  <si>
    <t>ISR10049947</t>
  </si>
  <si>
    <t>STLV0118936</t>
  </si>
  <si>
    <t>01437618486</t>
  </si>
  <si>
    <t>ISR10049949</t>
  </si>
  <si>
    <t>STLV0118939</t>
  </si>
  <si>
    <t>60753063286</t>
  </si>
  <si>
    <t>ISR10049950</t>
  </si>
  <si>
    <t>STLV0118950</t>
  </si>
  <si>
    <t>21707891052</t>
  </si>
  <si>
    <t>ISR10049951</t>
  </si>
  <si>
    <t>STLV0118951</t>
  </si>
  <si>
    <t>DEHAJ</t>
  </si>
  <si>
    <t>02022252506</t>
  </si>
  <si>
    <t>ISR10049952</t>
  </si>
  <si>
    <t>STLV0118952</t>
  </si>
  <si>
    <t>RWKGL</t>
  </si>
  <si>
    <t>07159724162</t>
  </si>
  <si>
    <t>ETADD</t>
  </si>
  <si>
    <t>STLV0118953</t>
  </si>
  <si>
    <t>61566486836</t>
  </si>
  <si>
    <t>ISR10049954</t>
  </si>
  <si>
    <t>STLV0118959</t>
  </si>
  <si>
    <t>ISR10049956</t>
  </si>
  <si>
    <t>STLV0118960</t>
  </si>
  <si>
    <t>11463885054</t>
  </si>
  <si>
    <t>ISR10049957</t>
  </si>
  <si>
    <t>STLV0118961</t>
  </si>
  <si>
    <t>ISR10049958</t>
  </si>
  <si>
    <t>STLV0118963</t>
  </si>
  <si>
    <t>ISR10049960</t>
  </si>
  <si>
    <t>STLV0118964</t>
  </si>
  <si>
    <t>05700895812</t>
  </si>
  <si>
    <t>ISR10049961</t>
  </si>
  <si>
    <t>STLV0118965</t>
  </si>
  <si>
    <t>BRNVT</t>
  </si>
  <si>
    <t>04513532794</t>
  </si>
  <si>
    <t>ISR10049962</t>
  </si>
  <si>
    <t>STLV0118966</t>
  </si>
  <si>
    <t>01675527395</t>
  </si>
  <si>
    <t>ISR10049963</t>
  </si>
  <si>
    <t>STLV0118992</t>
  </si>
  <si>
    <t>ISR10049964</t>
  </si>
  <si>
    <t>STLV0118993</t>
  </si>
  <si>
    <t>21707891155</t>
  </si>
  <si>
    <t>ISR10049965</t>
  </si>
  <si>
    <t>STLV0118998</t>
  </si>
  <si>
    <t>ISR10049968</t>
  </si>
  <si>
    <t>STLV0119002</t>
  </si>
  <si>
    <t>IEDUB</t>
  </si>
  <si>
    <t>70051238342</t>
  </si>
  <si>
    <t>ISR10049970</t>
  </si>
  <si>
    <t>CLIMATE / 5 -35 C</t>
  </si>
  <si>
    <t>STLV0119004</t>
  </si>
  <si>
    <t>23850000274</t>
  </si>
  <si>
    <t>ISR10049972</t>
  </si>
  <si>
    <t>STLV0119005</t>
  </si>
  <si>
    <t>BRVCP</t>
  </si>
  <si>
    <t>61566486851</t>
  </si>
  <si>
    <t>ISR10049973</t>
  </si>
  <si>
    <t>USCVG</t>
  </si>
  <si>
    <t>STLV0119006</t>
  </si>
  <si>
    <t>99614387811</t>
  </si>
  <si>
    <t>ISR10049974</t>
  </si>
  <si>
    <t>STLV0119014</t>
  </si>
  <si>
    <t>INHYD</t>
  </si>
  <si>
    <t>02022252436</t>
  </si>
  <si>
    <t>ISR10049981</t>
  </si>
  <si>
    <t>STLV0119036</t>
  </si>
  <si>
    <t>88050275131</t>
  </si>
  <si>
    <t>ISR10049982</t>
  </si>
  <si>
    <t>CNSZX</t>
  </si>
  <si>
    <t>STLV0119038</t>
  </si>
  <si>
    <t>28124905462</t>
  </si>
  <si>
    <t>ISR10049984</t>
  </si>
  <si>
    <t>STLV0119040</t>
  </si>
  <si>
    <t>70051238331</t>
  </si>
  <si>
    <t>ISR10049986</t>
  </si>
  <si>
    <t>LULUX</t>
  </si>
  <si>
    <t>STLV0119048</t>
  </si>
  <si>
    <t>01675527432</t>
  </si>
  <si>
    <t>ISR10049989</t>
  </si>
  <si>
    <t>STLV0119051</t>
  </si>
  <si>
    <t>ISR10049990</t>
  </si>
  <si>
    <t>STLV0119061</t>
  </si>
  <si>
    <t>69555923066</t>
  </si>
  <si>
    <t>ISR10049997</t>
  </si>
  <si>
    <t>STLV0119062</t>
  </si>
  <si>
    <t>01437618490</t>
  </si>
  <si>
    <t>ISR10049998</t>
  </si>
  <si>
    <t>STLV0119063</t>
  </si>
  <si>
    <t>ISR10049999</t>
  </si>
  <si>
    <t>CALON</t>
  </si>
  <si>
    <t>STLV0119065</t>
  </si>
  <si>
    <t>07159724151</t>
  </si>
  <si>
    <t>STLV0119084</t>
  </si>
  <si>
    <t>GBBHM</t>
  </si>
  <si>
    <t>61566486862</t>
  </si>
  <si>
    <t>ISR10050001</t>
  </si>
  <si>
    <t>GBEMA</t>
  </si>
  <si>
    <t>STLV0119086</t>
  </si>
  <si>
    <t>ISR10050003</t>
  </si>
  <si>
    <t>STLV0119087</t>
  </si>
  <si>
    <t>21707899581</t>
  </si>
  <si>
    <t>ISR10050004</t>
  </si>
  <si>
    <t>STLV0119089</t>
  </si>
  <si>
    <t>ISR10050006</t>
  </si>
  <si>
    <t>STLV0119090</t>
  </si>
  <si>
    <t>ISR10050007</t>
  </si>
  <si>
    <t>STLV0119091</t>
  </si>
  <si>
    <t>ISR10050008</t>
  </si>
  <si>
    <t>STLV0119093</t>
  </si>
  <si>
    <t>ISR10050010</t>
  </si>
  <si>
    <t>STLV0119094</t>
  </si>
  <si>
    <t>ISR10050011</t>
  </si>
  <si>
    <t>STLV0119095</t>
  </si>
  <si>
    <t>ISR10050012</t>
  </si>
  <si>
    <t>STLV0119096</t>
  </si>
  <si>
    <t>50120081320</t>
  </si>
  <si>
    <t>STLV0119102</t>
  </si>
  <si>
    <t>28124905473</t>
  </si>
  <si>
    <t>ISR10050014</t>
  </si>
  <si>
    <t>STLV0119105</t>
  </si>
  <si>
    <t>ISR10050015</t>
  </si>
  <si>
    <t>DAP, incl. c/c not including VAT</t>
  </si>
  <si>
    <t>STLV0119123</t>
  </si>
  <si>
    <t>50120081482</t>
  </si>
  <si>
    <t>ISR10050026</t>
  </si>
  <si>
    <t>STLV0119132</t>
  </si>
  <si>
    <t>ISR10050028</t>
  </si>
  <si>
    <t>DESCW</t>
  </si>
  <si>
    <t>STLV0119134</t>
  </si>
  <si>
    <t>02022252484</t>
  </si>
  <si>
    <t>ISR10050030</t>
  </si>
  <si>
    <t>PLPOZ</t>
  </si>
  <si>
    <t>STLV0119164</t>
  </si>
  <si>
    <t>PLWRO</t>
  </si>
  <si>
    <t>ISR10050036</t>
  </si>
  <si>
    <t>STLV0119165</t>
  </si>
  <si>
    <t>02022252495</t>
  </si>
  <si>
    <t>ISR10050037</t>
  </si>
  <si>
    <t>STLV0119177</t>
  </si>
  <si>
    <t>ILSDV</t>
  </si>
  <si>
    <t>02022252462</t>
  </si>
  <si>
    <t>ISR10050043</t>
  </si>
  <si>
    <t>STLV0119185</t>
  </si>
  <si>
    <t>72475292265</t>
  </si>
  <si>
    <t>ISR10050046</t>
  </si>
  <si>
    <t>STLV0119186</t>
  </si>
  <si>
    <t>01675527491</t>
  </si>
  <si>
    <t>ISR10050047</t>
  </si>
  <si>
    <t>STLV0119189</t>
  </si>
  <si>
    <t>02002143934</t>
  </si>
  <si>
    <t>ISR10050049</t>
  </si>
  <si>
    <t>STLV0119194</t>
  </si>
  <si>
    <t>01437618453</t>
  </si>
  <si>
    <t>ISR10050051</t>
  </si>
  <si>
    <t>STLV0119225</t>
  </si>
  <si>
    <t>11463884855</t>
  </si>
  <si>
    <t>ISR10050054</t>
  </si>
  <si>
    <t>STLV0119227</t>
  </si>
  <si>
    <t>11463885076</t>
  </si>
  <si>
    <t>ISR10050055</t>
  </si>
  <si>
    <t>STLV0119232</t>
  </si>
  <si>
    <t>11463884866</t>
  </si>
  <si>
    <t>ISR10050056</t>
  </si>
  <si>
    <t>STLV0119234</t>
  </si>
  <si>
    <t>01675527513</t>
  </si>
  <si>
    <t>ISR10050057</t>
  </si>
  <si>
    <t>STLV0119235</t>
  </si>
  <si>
    <t>ISR10050058</t>
  </si>
  <si>
    <t>STLV0119265</t>
  </si>
  <si>
    <t>ISR10050060</t>
  </si>
  <si>
    <t>STLV0119266</t>
  </si>
  <si>
    <t>11421805243</t>
  </si>
  <si>
    <t>STLV0119267</t>
  </si>
  <si>
    <t>02000958171</t>
  </si>
  <si>
    <t>STLV0119348</t>
  </si>
  <si>
    <t>ISR10050063</t>
  </si>
  <si>
    <t>STLV0119350</t>
  </si>
  <si>
    <t>ISR10050065</t>
  </si>
  <si>
    <t>STLV0119355</t>
  </si>
  <si>
    <t>28124905495</t>
  </si>
  <si>
    <t>ISR10050069</t>
  </si>
  <si>
    <t>STLV0119356</t>
  </si>
  <si>
    <t>ISR10050070</t>
  </si>
  <si>
    <t>STLV0119358</t>
  </si>
  <si>
    <t>ISR10050071</t>
  </si>
  <si>
    <t>STLV0119385</t>
  </si>
  <si>
    <t>01675527443</t>
  </si>
  <si>
    <t>ISR10050077</t>
  </si>
  <si>
    <t>STLV0119386</t>
  </si>
  <si>
    <t>ISR10050078</t>
  </si>
  <si>
    <t>STLV0119391</t>
  </si>
  <si>
    <t>02022252521</t>
  </si>
  <si>
    <t>ISR10050079</t>
  </si>
  <si>
    <t>STLV0119392</t>
  </si>
  <si>
    <t>DECGN</t>
  </si>
  <si>
    <t>ISR10050080</t>
  </si>
  <si>
    <t>DERAT</t>
  </si>
  <si>
    <t>STLV0119394</t>
  </si>
  <si>
    <t>ISR10050082</t>
  </si>
  <si>
    <t>STLV0119398</t>
  </si>
  <si>
    <t>02022252510</t>
  </si>
  <si>
    <t>ISR10050083</t>
  </si>
  <si>
    <t>STLV0119399</t>
  </si>
  <si>
    <t>50120080734</t>
  </si>
  <si>
    <t>ISR10050084</t>
  </si>
  <si>
    <t>STLV0119401</t>
  </si>
  <si>
    <t>ISR10050085</t>
  </si>
  <si>
    <t>STLV0119403</t>
  </si>
  <si>
    <t>01675527454</t>
  </si>
  <si>
    <t>ISR10050086</t>
  </si>
  <si>
    <t>STLV0119406</t>
  </si>
  <si>
    <t>ISR10050087</t>
  </si>
  <si>
    <t>STLV0119410</t>
  </si>
  <si>
    <t>ISR10050089</t>
  </si>
  <si>
    <t>STLV0119414</t>
  </si>
  <si>
    <t>ISR10050092</t>
  </si>
  <si>
    <t>STLV0119416</t>
  </si>
  <si>
    <t>11463885080</t>
  </si>
  <si>
    <t>ISR10050093</t>
  </si>
  <si>
    <t>STLV0119417</t>
  </si>
  <si>
    <t>99614387870</t>
  </si>
  <si>
    <t>ISR10050094</t>
  </si>
  <si>
    <t>STLV0119418</t>
  </si>
  <si>
    <t>ISR10050095</t>
  </si>
  <si>
    <t>STLV0119422</t>
  </si>
  <si>
    <t>02022252532</t>
  </si>
  <si>
    <t>ISR10050097</t>
  </si>
  <si>
    <t>STLV0119429</t>
  </si>
  <si>
    <t>ISR10050099</t>
  </si>
  <si>
    <t>STLV0119430</t>
  </si>
  <si>
    <t>11463888506</t>
  </si>
  <si>
    <t>ISR10050100</t>
  </si>
  <si>
    <t>STLV0119431</t>
  </si>
  <si>
    <t>ISR10050101</t>
  </si>
  <si>
    <t>STLV0119453</t>
  </si>
  <si>
    <t>ISR10050103</t>
  </si>
  <si>
    <t>STLV0119454</t>
  </si>
  <si>
    <t>ISR10050104</t>
  </si>
  <si>
    <t>STLV0119455</t>
  </si>
  <si>
    <t>ISR10050105</t>
  </si>
  <si>
    <t>STLV0119456</t>
  </si>
  <si>
    <t>ISR10050106</t>
  </si>
  <si>
    <t>STLV0119457</t>
  </si>
  <si>
    <t>KRICN</t>
  </si>
  <si>
    <t>02022252602</t>
  </si>
  <si>
    <t>ISR10050107</t>
  </si>
  <si>
    <t>STLV0119458</t>
  </si>
  <si>
    <t>11463885113</t>
  </si>
  <si>
    <t>ISR10050108</t>
  </si>
  <si>
    <t>STLV0119459</t>
  </si>
  <si>
    <t>ISR10050109</t>
  </si>
  <si>
    <t>STLV0119465</t>
  </si>
  <si>
    <t>ISR10050115</t>
  </si>
  <si>
    <t>STLV0119468</t>
  </si>
  <si>
    <t>ISR10050118</t>
  </si>
  <si>
    <t>STLV0119471</t>
  </si>
  <si>
    <t>ISR10050119</t>
  </si>
  <si>
    <t>STLV0119472</t>
  </si>
  <si>
    <t>11463885102</t>
  </si>
  <si>
    <t>ISR10050120</t>
  </si>
  <si>
    <t>STLV0119473</t>
  </si>
  <si>
    <t>02022252591</t>
  </si>
  <si>
    <t>ISR10050121</t>
  </si>
  <si>
    <t>STLV0119475</t>
  </si>
  <si>
    <t>ISR10050122</t>
  </si>
  <si>
    <t>STLV0119476</t>
  </si>
  <si>
    <t>ISR10050123</t>
  </si>
  <si>
    <t>STLV0119483</t>
  </si>
  <si>
    <t>01636222981</t>
  </si>
  <si>
    <t>ISR10050130</t>
  </si>
  <si>
    <t>STLV0119491</t>
  </si>
  <si>
    <t>02022252543</t>
  </si>
  <si>
    <t>ISR10050135</t>
  </si>
  <si>
    <t>STLV0119494</t>
  </si>
  <si>
    <t>ISR10050137</t>
  </si>
  <si>
    <t>STLV0119510</t>
  </si>
  <si>
    <t>61566486895</t>
  </si>
  <si>
    <t>STLV0119511</t>
  </si>
  <si>
    <t>ISR10050141</t>
  </si>
  <si>
    <t>STLV0119512</t>
  </si>
  <si>
    <t>ISR10050142</t>
  </si>
  <si>
    <t>STLV0119517</t>
  </si>
  <si>
    <t>ISR10050143</t>
  </si>
  <si>
    <t>STLV0119520</t>
  </si>
  <si>
    <t>ISR10050145</t>
  </si>
  <si>
    <t>STLV0119525</t>
  </si>
  <si>
    <t>ISR10050148</t>
  </si>
  <si>
    <t>STLV0119526</t>
  </si>
  <si>
    <t>BRPOA</t>
  </si>
  <si>
    <t>02022252554</t>
  </si>
  <si>
    <t>ISR10050149</t>
  </si>
  <si>
    <t>STLV0119531</t>
  </si>
  <si>
    <t>02022252576</t>
  </si>
  <si>
    <t>STLV0119533</t>
  </si>
  <si>
    <t>ISR10050154</t>
  </si>
  <si>
    <t>STLV0119537</t>
  </si>
  <si>
    <t>02022252580</t>
  </si>
  <si>
    <t>ISR10050156</t>
  </si>
  <si>
    <t>STLV0119543</t>
  </si>
  <si>
    <t>ISR10050160</t>
  </si>
  <si>
    <t>STLV0119546</t>
  </si>
  <si>
    <t>61566486906</t>
  </si>
  <si>
    <t>ISR10050163</t>
  </si>
  <si>
    <t>STLV0119551</t>
  </si>
  <si>
    <t>ISR10050164</t>
  </si>
  <si>
    <t>STLV0119552</t>
  </si>
  <si>
    <t>ISR10050165</t>
  </si>
  <si>
    <t>STLV0119553</t>
  </si>
  <si>
    <t>11463888451</t>
  </si>
  <si>
    <t>ISR10050166</t>
  </si>
  <si>
    <t>STLV0119554</t>
  </si>
  <si>
    <t>ISR10050167</t>
  </si>
  <si>
    <t>STLV0119558</t>
  </si>
  <si>
    <t>01675527476</t>
  </si>
  <si>
    <t>ISR10050169</t>
  </si>
  <si>
    <t>STLV0119565</t>
  </si>
  <si>
    <t>ISR10050176</t>
  </si>
  <si>
    <t>STLV0119566</t>
  </si>
  <si>
    <t>ISR10050177</t>
  </si>
  <si>
    <t>STLV0119567</t>
  </si>
  <si>
    <t>ISR10050178</t>
  </si>
  <si>
    <t>STLV0119568</t>
  </si>
  <si>
    <t>01636223390</t>
  </si>
  <si>
    <t>ISR10050179</t>
  </si>
  <si>
    <t>STLV0119588</t>
  </si>
  <si>
    <t>ISR10050189</t>
  </si>
  <si>
    <t>STLV0119614</t>
  </si>
  <si>
    <t>11463888462</t>
  </si>
  <si>
    <t>ISR10050191</t>
  </si>
  <si>
    <t>STLV0119620</t>
  </si>
  <si>
    <t>01437618512</t>
  </si>
  <si>
    <t>ISR10050192</t>
  </si>
  <si>
    <t>STLV0119646</t>
  </si>
  <si>
    <t>11463885091</t>
  </si>
  <si>
    <t>ISR10050193</t>
  </si>
  <si>
    <t>STLV0119647</t>
  </si>
  <si>
    <t>01636223095</t>
  </si>
  <si>
    <t>ISR10050194</t>
  </si>
  <si>
    <t>STLV0120185</t>
  </si>
  <si>
    <t>60753063625</t>
  </si>
  <si>
    <t>ISR10050197</t>
  </si>
  <si>
    <t>STLV0120186</t>
  </si>
  <si>
    <t>DEDUS</t>
  </si>
  <si>
    <t>02001884945</t>
  </si>
  <si>
    <t>STLV0120187</t>
  </si>
  <si>
    <t>70051238353</t>
  </si>
  <si>
    <t>STLV0120204</t>
  </si>
  <si>
    <t>11463888484</t>
  </si>
  <si>
    <t>STLV0120225</t>
  </si>
  <si>
    <t>ISR10050202</t>
  </si>
  <si>
    <t>STLV0120226</t>
  </si>
  <si>
    <t>ISR10050203</t>
  </si>
  <si>
    <t>STLV0120231</t>
  </si>
  <si>
    <t>11463884424</t>
  </si>
  <si>
    <t>ISR10050206</t>
  </si>
  <si>
    <t>STLV0120253</t>
  </si>
  <si>
    <t>01675527480</t>
  </si>
  <si>
    <t>ISR10050207</t>
  </si>
  <si>
    <t>STLV0120254</t>
  </si>
  <si>
    <t>ISR10050208</t>
  </si>
  <si>
    <t>STLV0120265</t>
  </si>
  <si>
    <t>ISR10050209</t>
  </si>
  <si>
    <t>STLV0120266</t>
  </si>
  <si>
    <t>ISR10050210</t>
  </si>
  <si>
    <t>STLV0120273</t>
  </si>
  <si>
    <t>01636223062</t>
  </si>
  <si>
    <t>ISR10050212</t>
  </si>
  <si>
    <t>STLV0120274</t>
  </si>
  <si>
    <t>11463884435</t>
  </si>
  <si>
    <t>ISR10050213</t>
  </si>
  <si>
    <t>STLV0120277</t>
  </si>
  <si>
    <t>02022252646</t>
  </si>
  <si>
    <t>ISR10050214</t>
  </si>
  <si>
    <t>STLV0120280</t>
  </si>
  <si>
    <t>ISR10050217</t>
  </si>
  <si>
    <t>STLV0120325</t>
  </si>
  <si>
    <t>ISR10050218</t>
  </si>
  <si>
    <t>STLV0120350</t>
  </si>
  <si>
    <t>11463888495</t>
  </si>
  <si>
    <t>STLV0120351</t>
  </si>
  <si>
    <t>ISR10050220</t>
  </si>
  <si>
    <t>STLV0120355</t>
  </si>
  <si>
    <t>02022252635</t>
  </si>
  <si>
    <t>ISR10050222</t>
  </si>
  <si>
    <t>STLV0120357</t>
  </si>
  <si>
    <t>02022252613</t>
  </si>
  <si>
    <t>ISR10050223</t>
  </si>
  <si>
    <t>STLV0120358</t>
  </si>
  <si>
    <t>ISR10050224</t>
  </si>
  <si>
    <t>STLV0120359</t>
  </si>
  <si>
    <t>01675527502</t>
  </si>
  <si>
    <t>ISR10050225</t>
  </si>
  <si>
    <t>STLV0120376</t>
  </si>
  <si>
    <t>02022252624</t>
  </si>
  <si>
    <t>ISR10050231</t>
  </si>
  <si>
    <t>STLV0120377</t>
  </si>
  <si>
    <t>ISR10050232</t>
  </si>
  <si>
    <t>STLV0120383</t>
  </si>
  <si>
    <t>02022252650</t>
  </si>
  <si>
    <t>ISR10050234</t>
  </si>
  <si>
    <t>STLV0120384</t>
  </si>
  <si>
    <t>ISR10050235</t>
  </si>
  <si>
    <t>STLV0120413</t>
  </si>
  <si>
    <t>02001897556</t>
  </si>
  <si>
    <t>ISR10050237</t>
  </si>
  <si>
    <t>STLV0120422</t>
  </si>
  <si>
    <t>ISR10050238</t>
  </si>
  <si>
    <t>STLV0120435</t>
  </si>
  <si>
    <t>ISR10050240</t>
  </si>
  <si>
    <t>STLV0120437</t>
  </si>
  <si>
    <t>02022252661</t>
  </si>
  <si>
    <t>ISR10050242</t>
  </si>
  <si>
    <t>STLV0120438</t>
  </si>
  <si>
    <t>61566486921</t>
  </si>
  <si>
    <t>ISR10050243</t>
  </si>
  <si>
    <t>STLV0120441</t>
  </si>
  <si>
    <t>RSBEG</t>
  </si>
  <si>
    <t>39099596803</t>
  </si>
  <si>
    <t>ISR10050244</t>
  </si>
  <si>
    <t>STLV0120442</t>
  </si>
  <si>
    <t>ISR10050245</t>
  </si>
  <si>
    <t>STLV0120443</t>
  </si>
  <si>
    <t>02022252823</t>
  </si>
  <si>
    <t>ISR10050246</t>
  </si>
  <si>
    <t>STLV0120446</t>
  </si>
  <si>
    <t>61566486980</t>
  </si>
  <si>
    <t>ISR10050249</t>
  </si>
  <si>
    <t>Doerentrup</t>
  </si>
  <si>
    <t>STLV0120454</t>
  </si>
  <si>
    <t>ISR10050250</t>
  </si>
  <si>
    <t>STLV0120455</t>
  </si>
  <si>
    <t>ISR10050251</t>
  </si>
  <si>
    <t>STLV0120456</t>
  </si>
  <si>
    <t>ISR10050252</t>
  </si>
  <si>
    <t>CIP -DESTINATION</t>
  </si>
  <si>
    <t>STLV0120483</t>
  </si>
  <si>
    <t>ISR10050254</t>
  </si>
  <si>
    <t>STLV0120485</t>
  </si>
  <si>
    <t>ISR10050256</t>
  </si>
  <si>
    <t>STLV0120486</t>
  </si>
  <si>
    <t>ISR10050257</t>
  </si>
  <si>
    <t>STLV0120489</t>
  </si>
  <si>
    <t>70051295742</t>
  </si>
  <si>
    <t>AMT00347222</t>
  </si>
  <si>
    <t>STLV0120503</t>
  </si>
  <si>
    <t>02022252672</t>
  </si>
  <si>
    <t>ISR10050261</t>
  </si>
  <si>
    <t>STLV0120504</t>
  </si>
  <si>
    <t>50120081504</t>
  </si>
  <si>
    <t>ISR10050262</t>
  </si>
  <si>
    <t>STLV0120506</t>
  </si>
  <si>
    <t>ISR10050263</t>
  </si>
  <si>
    <t>STLV0120508</t>
  </si>
  <si>
    <t>11463888510</t>
  </si>
  <si>
    <t>ISR10050264</t>
  </si>
  <si>
    <t>GBBUS</t>
  </si>
  <si>
    <t>GBBUY</t>
  </si>
  <si>
    <t>STLV0120510</t>
  </si>
  <si>
    <t>01437618523</t>
  </si>
  <si>
    <t>ISR10050265</t>
  </si>
  <si>
    <t>STLV0120536</t>
  </si>
  <si>
    <t>ISR10050266</t>
  </si>
  <si>
    <t>STLV0120537</t>
  </si>
  <si>
    <t>99614387940</t>
  </si>
  <si>
    <t>ISR10050267</t>
  </si>
  <si>
    <t>STLV0120542</t>
  </si>
  <si>
    <t>ISR10050268</t>
  </si>
  <si>
    <t>STLV0120546</t>
  </si>
  <si>
    <t>ISR10050272</t>
  </si>
  <si>
    <t>STLV0120547</t>
  </si>
  <si>
    <t>ISR10050273</t>
  </si>
  <si>
    <t>STLV0120552</t>
  </si>
  <si>
    <t>ISR10050275</t>
  </si>
  <si>
    <t>STLV0120555</t>
  </si>
  <si>
    <t>02022252683</t>
  </si>
  <si>
    <t>ISR10050276</t>
  </si>
  <si>
    <t>STLV0120556</t>
  </si>
  <si>
    <t>05701008420</t>
  </si>
  <si>
    <t>ISR10050277</t>
  </si>
  <si>
    <t>STLV0120557</t>
  </si>
  <si>
    <t>05701018275</t>
  </si>
  <si>
    <t>ISR10050278</t>
  </si>
  <si>
    <t>STLV0120558</t>
  </si>
  <si>
    <t>02001861031</t>
  </si>
  <si>
    <t>ISR10050279</t>
  </si>
  <si>
    <t>STLV0120559</t>
  </si>
  <si>
    <t>02001862033</t>
  </si>
  <si>
    <t>ISR10050280</t>
  </si>
  <si>
    <t>STLV0120560</t>
  </si>
  <si>
    <t>02022252694</t>
  </si>
  <si>
    <t>ISR10050281</t>
  </si>
  <si>
    <t>801002361</t>
  </si>
  <si>
    <t>STLV0120561</t>
  </si>
  <si>
    <t>02001862044</t>
  </si>
  <si>
    <t>ISR10050282</t>
  </si>
  <si>
    <t>STLV0120563</t>
  </si>
  <si>
    <t>11463888473</t>
  </si>
  <si>
    <t>TLV0120563</t>
  </si>
  <si>
    <t>B</t>
  </si>
  <si>
    <t>STLV0120564</t>
  </si>
  <si>
    <t>02022252775</t>
  </si>
  <si>
    <t>ISR10050284</t>
  </si>
  <si>
    <t>STLV0120566</t>
  </si>
  <si>
    <t>ISR10050286</t>
  </si>
  <si>
    <t>STLV0120572</t>
  </si>
  <si>
    <t>ISR10050287</t>
  </si>
  <si>
    <t>STLV0120576</t>
  </si>
  <si>
    <t>ISR10050291</t>
  </si>
  <si>
    <t>STLV0120578</t>
  </si>
  <si>
    <t>ISR10050293</t>
  </si>
  <si>
    <t>STLV0120579</t>
  </si>
  <si>
    <t>ILTFN</t>
  </si>
  <si>
    <t>KZNQZ</t>
  </si>
  <si>
    <t>14153485880</t>
  </si>
  <si>
    <t>ISR10050294</t>
  </si>
  <si>
    <t>STLV0120588</t>
  </si>
  <si>
    <t>ISR10050300</t>
  </si>
  <si>
    <t>STLV0120591</t>
  </si>
  <si>
    <t>02022252716</t>
  </si>
  <si>
    <t>ISR10050301</t>
  </si>
  <si>
    <t>STLV0120592</t>
  </si>
  <si>
    <t>CLSCL</t>
  </si>
  <si>
    <t>01437618534</t>
  </si>
  <si>
    <t>ISR10050302</t>
  </si>
  <si>
    <t>STLV0120597</t>
  </si>
  <si>
    <t>21707891166</t>
  </si>
  <si>
    <t>ISR10050305</t>
  </si>
  <si>
    <t>STLV0120598</t>
  </si>
  <si>
    <t>DKBLL</t>
  </si>
  <si>
    <t>02022252720</t>
  </si>
  <si>
    <t>ISR10050306</t>
  </si>
  <si>
    <t>STLV0120600</t>
  </si>
  <si>
    <t>ISR10050308</t>
  </si>
  <si>
    <t>STLV0120603</t>
  </si>
  <si>
    <t>ISR10050311</t>
  </si>
  <si>
    <t>STLV0120609</t>
  </si>
  <si>
    <t>ISR10050312</t>
  </si>
  <si>
    <t>STLV0120611</t>
  </si>
  <si>
    <t>ISR10050313</t>
  </si>
  <si>
    <t>STLV0120623</t>
  </si>
  <si>
    <t>09877103246</t>
  </si>
  <si>
    <t>ISR10050316</t>
  </si>
  <si>
    <t>STLV0120818</t>
  </si>
  <si>
    <t>ISR10050327</t>
  </si>
  <si>
    <t>STLV0120825</t>
  </si>
  <si>
    <t>70051238364</t>
  </si>
  <si>
    <t>ISR10050329</t>
  </si>
  <si>
    <t>STLV0120827</t>
  </si>
  <si>
    <t>28124905521</t>
  </si>
  <si>
    <t>ISR10050331</t>
  </si>
  <si>
    <t>STLV0120828</t>
  </si>
  <si>
    <t>ISR10050332</t>
  </si>
  <si>
    <t>STLV0120829</t>
  </si>
  <si>
    <t>ISR10050333</t>
  </si>
  <si>
    <t>STLV0120830</t>
  </si>
  <si>
    <t>02022252731</t>
  </si>
  <si>
    <t>ISR10050334</t>
  </si>
  <si>
    <t>STLV0120832</t>
  </si>
  <si>
    <t>ISR10050336</t>
  </si>
  <si>
    <t>STLV0120834</t>
  </si>
  <si>
    <t>11463888521</t>
  </si>
  <si>
    <t>ISR10050338</t>
  </si>
  <si>
    <t>STLV0120870</t>
  </si>
  <si>
    <t>21707891170</t>
  </si>
  <si>
    <t>ISR10050339</t>
  </si>
  <si>
    <t>STLV0120881</t>
  </si>
  <si>
    <t>ISR10050340</t>
  </si>
  <si>
    <t>STLV0120883</t>
  </si>
  <si>
    <t>ISR10050341</t>
  </si>
  <si>
    <t>STLV0120890</t>
  </si>
  <si>
    <t>61566486943</t>
  </si>
  <si>
    <t>ISR10050346</t>
  </si>
  <si>
    <t>STLV0120891</t>
  </si>
  <si>
    <t>ZAPLZ</t>
  </si>
  <si>
    <t>05701434156</t>
  </si>
  <si>
    <t>ISR10050347</t>
  </si>
  <si>
    <t>ZAJNB</t>
  </si>
  <si>
    <t>STLV0120892</t>
  </si>
  <si>
    <t>11463888532</t>
  </si>
  <si>
    <t>STLV0120898</t>
  </si>
  <si>
    <t>02022252742</t>
  </si>
  <si>
    <t>ISR10050349</t>
  </si>
  <si>
    <t>STLV0120899</t>
  </si>
  <si>
    <t>ISR10050350</t>
  </si>
  <si>
    <t>STLV0120901</t>
  </si>
  <si>
    <t>ISR10050352</t>
  </si>
  <si>
    <t>STLV0120904</t>
  </si>
  <si>
    <t>75250012406</t>
  </si>
  <si>
    <t>STLV0120905</t>
  </si>
  <si>
    <t>ISR10050354</t>
  </si>
  <si>
    <t>STLV0120909</t>
  </si>
  <si>
    <t>11463888543</t>
  </si>
  <si>
    <t>ISR10050358</t>
  </si>
  <si>
    <t>STLV0120910</t>
  </si>
  <si>
    <t>ISR10050359</t>
  </si>
  <si>
    <t>STLV0120916</t>
  </si>
  <si>
    <t>01636222992</t>
  </si>
  <si>
    <t>ISR10050362</t>
  </si>
  <si>
    <t>STLV0120917</t>
  </si>
  <si>
    <t>01636223003</t>
  </si>
  <si>
    <t>ISR10050363</t>
  </si>
  <si>
    <t>STLV0120918</t>
  </si>
  <si>
    <t>ISR10050364</t>
  </si>
  <si>
    <t>STLV0120921</t>
  </si>
  <si>
    <t>01636223014</t>
  </si>
  <si>
    <t>ISR10050365</t>
  </si>
  <si>
    <t>STLV0120926</t>
  </si>
  <si>
    <t>01636223025</t>
  </si>
  <si>
    <t>ISR10050367</t>
  </si>
  <si>
    <t>STLV0120932</t>
  </si>
  <si>
    <t>ISR10050370</t>
  </si>
  <si>
    <t>STLV0120940</t>
  </si>
  <si>
    <t>21707891181</t>
  </si>
  <si>
    <t>ISR10050374</t>
  </si>
  <si>
    <t>STLV0120941</t>
  </si>
  <si>
    <t>02020614742</t>
  </si>
  <si>
    <t>ISR10050375</t>
  </si>
  <si>
    <t>STLV0120943</t>
  </si>
  <si>
    <t>39099596814</t>
  </si>
  <si>
    <t>ISR10050376</t>
  </si>
  <si>
    <t>STLV0120949</t>
  </si>
  <si>
    <t>ISR10050380</t>
  </si>
  <si>
    <t>STLV0120952</t>
  </si>
  <si>
    <t>ISR10050381</t>
  </si>
  <si>
    <t>STLV0120953</t>
  </si>
  <si>
    <t>01609642242</t>
  </si>
  <si>
    <t>ISR10050382</t>
  </si>
  <si>
    <t>STLV0120956</t>
  </si>
  <si>
    <t>ISR10050385</t>
  </si>
  <si>
    <t>STLV0120960</t>
  </si>
  <si>
    <t>11463888554</t>
  </si>
  <si>
    <t>STLV0120972</t>
  </si>
  <si>
    <t>61566486965</t>
  </si>
  <si>
    <t>ISR10050398</t>
  </si>
  <si>
    <t>STLV0120980</t>
  </si>
  <si>
    <t>ISR10050400</t>
  </si>
  <si>
    <t>STLV0120981</t>
  </si>
  <si>
    <t>ISR10050401</t>
  </si>
  <si>
    <t>STLV0120982</t>
  </si>
  <si>
    <t>ISR10050402</t>
  </si>
  <si>
    <t>STLV0121034</t>
  </si>
  <si>
    <t>61566486976</t>
  </si>
  <si>
    <t>STLV0121044</t>
  </si>
  <si>
    <t>02022252790</t>
  </si>
  <si>
    <t>ISR10050409</t>
  </si>
  <si>
    <t>STLV0121046</t>
  </si>
  <si>
    <t>09877103283</t>
  </si>
  <si>
    <t>ISR10050410</t>
  </si>
  <si>
    <t>STLV0121049</t>
  </si>
  <si>
    <t>02022252985</t>
  </si>
  <si>
    <t>ISR10050413</t>
  </si>
  <si>
    <t>STLV0121055</t>
  </si>
  <si>
    <t>ISR10050417</t>
  </si>
  <si>
    <t>STLV0121056</t>
  </si>
  <si>
    <t>ISR10050418</t>
  </si>
  <si>
    <t>STLV0121057</t>
  </si>
  <si>
    <t>ISR10050419</t>
  </si>
  <si>
    <t>STLV0121060</t>
  </si>
  <si>
    <t>ISR10050420</t>
  </si>
  <si>
    <t>STLV0121061</t>
  </si>
  <si>
    <t>02022252764</t>
  </si>
  <si>
    <t>ISR10050421</t>
  </si>
  <si>
    <t>STLV0121067</t>
  </si>
  <si>
    <t>01636223040</t>
  </si>
  <si>
    <t>ISR10050422</t>
  </si>
  <si>
    <t>USIAD</t>
  </si>
  <si>
    <t>STLV0121071</t>
  </si>
  <si>
    <t>11463888576</t>
  </si>
  <si>
    <t>ISR10050424</t>
  </si>
  <si>
    <t>STLV0121073</t>
  </si>
  <si>
    <t>ISR10050425</t>
  </si>
  <si>
    <t>STLV0121074</t>
  </si>
  <si>
    <t>05758742412</t>
  </si>
  <si>
    <t>ISR10050426</t>
  </si>
  <si>
    <t>STLV0121076</t>
  </si>
  <si>
    <t>02022252812</t>
  </si>
  <si>
    <t>STLV0121078</t>
  </si>
  <si>
    <t>81800097020</t>
  </si>
  <si>
    <t>STLV0121079</t>
  </si>
  <si>
    <t>02022252801</t>
  </si>
  <si>
    <t>STLV0121087</t>
  </si>
  <si>
    <t>SEMMX</t>
  </si>
  <si>
    <t>02022252845</t>
  </si>
  <si>
    <t>ISR10050437</t>
  </si>
  <si>
    <t>STLV0121106</t>
  </si>
  <si>
    <t>05758742401</t>
  </si>
  <si>
    <t>ISR10050439</t>
  </si>
  <si>
    <t>STLV0121107</t>
  </si>
  <si>
    <t>ISR10050440</t>
  </si>
  <si>
    <t>STLV0121108</t>
  </si>
  <si>
    <t>28124905532</t>
  </si>
  <si>
    <t>ISR10050441</t>
  </si>
  <si>
    <t>STLV0121110</t>
  </si>
  <si>
    <t>09877104764</t>
  </si>
  <si>
    <t>ISR10050442</t>
  </si>
  <si>
    <t>STLV0121113</t>
  </si>
  <si>
    <t>ISR10050444</t>
  </si>
  <si>
    <t>STLV0121120</t>
  </si>
  <si>
    <t>ISR10050449</t>
  </si>
  <si>
    <t>STLV0121122</t>
  </si>
  <si>
    <t>ISR10050450</t>
  </si>
  <si>
    <t>STLV0121123</t>
  </si>
  <si>
    <t>01636223051</t>
  </si>
  <si>
    <t>ISR10050451</t>
  </si>
  <si>
    <t>STLV0121168</t>
  </si>
  <si>
    <t>ISR10050453</t>
  </si>
  <si>
    <t>STLV0121199</t>
  </si>
  <si>
    <t>02022252856</t>
  </si>
  <si>
    <t>STLV0121205</t>
  </si>
  <si>
    <t>02022252860</t>
  </si>
  <si>
    <t>ISR10050456</t>
  </si>
  <si>
    <t>STLV0121207</t>
  </si>
  <si>
    <t>ISR10050457</t>
  </si>
  <si>
    <t>STLV0121208</t>
  </si>
  <si>
    <t>ISR10050458</t>
  </si>
  <si>
    <t>STLV0121209</t>
  </si>
  <si>
    <t>ISR10050459</t>
  </si>
  <si>
    <t>STLV0121211</t>
  </si>
  <si>
    <t>11463888624</t>
  </si>
  <si>
    <t>ISR10050461</t>
  </si>
  <si>
    <t>STLV0121222</t>
  </si>
  <si>
    <t>ISR10050464</t>
  </si>
  <si>
    <t>STLV0121225</t>
  </si>
  <si>
    <t>ISR10050466</t>
  </si>
  <si>
    <t>STLV0121226</t>
  </si>
  <si>
    <t>11463888591</t>
  </si>
  <si>
    <t>ISR10050467</t>
  </si>
  <si>
    <t>STLV0121230</t>
  </si>
  <si>
    <t>50120082042</t>
  </si>
  <si>
    <t>ISR10050470</t>
  </si>
  <si>
    <t>STLV0121232</t>
  </si>
  <si>
    <t>00638688930</t>
  </si>
  <si>
    <t>ISR10050472</t>
  </si>
  <si>
    <t>STLV0121233</t>
  </si>
  <si>
    <t>11463888602</t>
  </si>
  <si>
    <t>ISR10050473</t>
  </si>
  <si>
    <t>STLV0121235</t>
  </si>
  <si>
    <t>11463888613</t>
  </si>
  <si>
    <t>ISR10050475</t>
  </si>
  <si>
    <t>STLV0121236</t>
  </si>
  <si>
    <t>05702890031</t>
  </si>
  <si>
    <t>ISR10050476</t>
  </si>
  <si>
    <t>STLV0121243</t>
  </si>
  <si>
    <t>ISR10050479</t>
  </si>
  <si>
    <t>STLV0121244</t>
  </si>
  <si>
    <t>ISR10050480</t>
  </si>
  <si>
    <t>STLV0121245</t>
  </si>
  <si>
    <t>11463888635</t>
  </si>
  <si>
    <t>ISR10050481</t>
  </si>
  <si>
    <t>STLV0121258</t>
  </si>
  <si>
    <t>28124905510</t>
  </si>
  <si>
    <t>ISR10050483</t>
  </si>
  <si>
    <t>STLV0121259</t>
  </si>
  <si>
    <t>ISR10050484</t>
  </si>
  <si>
    <t>STLV0121261</t>
  </si>
  <si>
    <t>ISR10050486</t>
  </si>
  <si>
    <t>STLV0121263</t>
  </si>
  <si>
    <t>14153496984</t>
  </si>
  <si>
    <t>ISR10050488</t>
  </si>
  <si>
    <t>STLV0121285</t>
  </si>
  <si>
    <t>01636223073</t>
  </si>
  <si>
    <t>ISR10050490</t>
  </si>
  <si>
    <t>STLV0121307</t>
  </si>
  <si>
    <t>ATLNZ</t>
  </si>
  <si>
    <t>02001876571</t>
  </si>
  <si>
    <t>ISR10050498</t>
  </si>
  <si>
    <t>STLV0121318</t>
  </si>
  <si>
    <t>61566487035</t>
  </si>
  <si>
    <t>ISR10050502</t>
  </si>
  <si>
    <t>DKCPH</t>
  </si>
  <si>
    <t>STLV0121319</t>
  </si>
  <si>
    <t>07950741434</t>
  </si>
  <si>
    <t>ISR10050503</t>
  </si>
  <si>
    <t>STLV0121321</t>
  </si>
  <si>
    <t>11463888646</t>
  </si>
  <si>
    <t>ISR10050505</t>
  </si>
  <si>
    <t>STLV0121322</t>
  </si>
  <si>
    <t>01636223084</t>
  </si>
  <si>
    <t>ISR10050506</t>
  </si>
  <si>
    <t>STLV0121329</t>
  </si>
  <si>
    <t>01437618545</t>
  </si>
  <si>
    <t>ISR10050507</t>
  </si>
  <si>
    <t>STLV0121337</t>
  </si>
  <si>
    <t>02022252882</t>
  </si>
  <si>
    <t>ISR10050514</t>
  </si>
  <si>
    <t>STLV0121338</t>
  </si>
  <si>
    <t>INGOI</t>
  </si>
  <si>
    <t>09877103515</t>
  </si>
  <si>
    <t>ISR10050515</t>
  </si>
  <si>
    <t>STLV0121339</t>
  </si>
  <si>
    <t>ISR10050516</t>
  </si>
  <si>
    <t>STLV0121344</t>
  </si>
  <si>
    <t>09877103504</t>
  </si>
  <si>
    <t>ISR10050520</t>
  </si>
  <si>
    <t>STLV0121345</t>
  </si>
  <si>
    <t>NOOSL</t>
  </si>
  <si>
    <t>05758753656</t>
  </si>
  <si>
    <t>ISR10050521</t>
  </si>
  <si>
    <t>STLV0121348</t>
  </si>
  <si>
    <t>02022252893</t>
  </si>
  <si>
    <t>ISR10050524</t>
  </si>
  <si>
    <t>STLV0121349</t>
  </si>
  <si>
    <t>02022252926</t>
  </si>
  <si>
    <t>ISR10050525</t>
  </si>
  <si>
    <t>STLV0121350</t>
  </si>
  <si>
    <t>11463888650</t>
  </si>
  <si>
    <t>STLV0121365</t>
  </si>
  <si>
    <t>02001929620</t>
  </si>
  <si>
    <t>ISR10050535</t>
  </si>
  <si>
    <t>STLV0121367</t>
  </si>
  <si>
    <t>99614388301</t>
  </si>
  <si>
    <t>ISR10050536</t>
  </si>
  <si>
    <t>STLV0121371</t>
  </si>
  <si>
    <t>09877103364</t>
  </si>
  <si>
    <t>ISR10050539</t>
  </si>
  <si>
    <t>STLV0121372</t>
  </si>
  <si>
    <t>50120082300</t>
  </si>
  <si>
    <t>ISR10050540</t>
  </si>
  <si>
    <t>STLV0121373</t>
  </si>
  <si>
    <t>11463888661</t>
  </si>
  <si>
    <t>ISR10050541</t>
  </si>
  <si>
    <t>STLV0121375</t>
  </si>
  <si>
    <t>ISR10050542</t>
  </si>
  <si>
    <t>STLV0121379</t>
  </si>
  <si>
    <t>ISR10050546</t>
  </si>
  <si>
    <t>STLV0121384</t>
  </si>
  <si>
    <t>11463888856</t>
  </si>
  <si>
    <t>ISR10050550</t>
  </si>
  <si>
    <t>STLV0121389</t>
  </si>
  <si>
    <t>20300851480</t>
  </si>
  <si>
    <t>ISR10050554</t>
  </si>
  <si>
    <t>STLV0121390</t>
  </si>
  <si>
    <t>ISR10050555</t>
  </si>
  <si>
    <t>STLV0121391</t>
  </si>
  <si>
    <t>ISR10050556</t>
  </si>
  <si>
    <t>STLV0121393</t>
  </si>
  <si>
    <t>ISR10050557</t>
  </si>
  <si>
    <t>STLV0121396</t>
  </si>
  <si>
    <t>FIHEL</t>
  </si>
  <si>
    <t>02022252904</t>
  </si>
  <si>
    <t>ISR10050559</t>
  </si>
  <si>
    <t>RIIHIMÄKI</t>
  </si>
  <si>
    <t>STLV0121397</t>
  </si>
  <si>
    <t>ISR10050560</t>
  </si>
  <si>
    <t>STLV0121422</t>
  </si>
  <si>
    <t>ISR10050563</t>
  </si>
  <si>
    <t>STLV0121423</t>
  </si>
  <si>
    <t>ISR10050564</t>
  </si>
  <si>
    <t>STLV0121427</t>
  </si>
  <si>
    <t>01636223106</t>
  </si>
  <si>
    <t>ISR10050568</t>
  </si>
  <si>
    <t>STLV0121454</t>
  </si>
  <si>
    <t>CNCSX</t>
  </si>
  <si>
    <t>88050305452</t>
  </si>
  <si>
    <t>ISR10050569</t>
  </si>
  <si>
    <t>STLV0121455</t>
  </si>
  <si>
    <t>ISR10050570</t>
  </si>
  <si>
    <t>STLV0121469</t>
  </si>
  <si>
    <t>02022253022</t>
  </si>
  <si>
    <t>ISR10050571</t>
  </si>
  <si>
    <t>STLV0121507</t>
  </si>
  <si>
    <t>ISR10050572</t>
  </si>
  <si>
    <t>STLV0121510</t>
  </si>
  <si>
    <t>ISR10050573</t>
  </si>
  <si>
    <t>STLV0121527</t>
  </si>
  <si>
    <t>02022252915</t>
  </si>
  <si>
    <t>STLV0121529</t>
  </si>
  <si>
    <t>ISR10050576</t>
  </si>
  <si>
    <t>STLV0121531</t>
  </si>
  <si>
    <t>ISR10050577</t>
  </si>
  <si>
    <t>STLV0121532</t>
  </si>
  <si>
    <t>02022252930</t>
  </si>
  <si>
    <t>ISR10050578</t>
  </si>
  <si>
    <t>STLV0121545</t>
  </si>
  <si>
    <t>ISR10050579</t>
  </si>
  <si>
    <t>STLV0121546</t>
  </si>
  <si>
    <t>61566486954</t>
  </si>
  <si>
    <t>ISR10050580</t>
  </si>
  <si>
    <t>STLV0121553</t>
  </si>
  <si>
    <t>ISR10050585</t>
  </si>
  <si>
    <t>STLV0121555</t>
  </si>
  <si>
    <t>21707891203</t>
  </si>
  <si>
    <t>ISR10050586</t>
  </si>
  <si>
    <t>STLV0121559</t>
  </si>
  <si>
    <t>28124905543</t>
  </si>
  <si>
    <t>ISR10050589</t>
  </si>
  <si>
    <t>STLV0121565</t>
  </si>
  <si>
    <t>21707899791</t>
  </si>
  <si>
    <t>ISR10050594</t>
  </si>
  <si>
    <t>STLV0121570</t>
  </si>
  <si>
    <t>ISR10050598</t>
  </si>
  <si>
    <t>STLV0121571</t>
  </si>
  <si>
    <t>ISR10050599</t>
  </si>
  <si>
    <t>STLV0121580</t>
  </si>
  <si>
    <t>ISR10050601</t>
  </si>
  <si>
    <t>STLV0121584</t>
  </si>
  <si>
    <t>STLV0121585</t>
  </si>
  <si>
    <t>STLV0121595</t>
  </si>
  <si>
    <t>05758760601</t>
  </si>
  <si>
    <t>ISR10050604</t>
  </si>
  <si>
    <t>STLV0121599</t>
  </si>
  <si>
    <t>28124905554</t>
  </si>
  <si>
    <t>ISR10050606</t>
  </si>
  <si>
    <t>STLV0121600</t>
  </si>
  <si>
    <t>ISR10050607</t>
  </si>
  <si>
    <t>STLV0121604</t>
  </si>
  <si>
    <t>PLKTW</t>
  </si>
  <si>
    <t>61566487002</t>
  </si>
  <si>
    <t>ISR10050608</t>
  </si>
  <si>
    <t>STLV0121605</t>
  </si>
  <si>
    <t>ISR10050609</t>
  </si>
  <si>
    <t>STLV0121606</t>
  </si>
  <si>
    <t>ISR10050610</t>
  </si>
  <si>
    <t>STLV0121610</t>
  </si>
  <si>
    <t>70051295882</t>
  </si>
  <si>
    <t>ISR10050611</t>
  </si>
  <si>
    <t>STLV0121624</t>
  </si>
  <si>
    <t>61566487013</t>
  </si>
  <si>
    <t>ISR10050616</t>
  </si>
  <si>
    <t>STLV0121637</t>
  </si>
  <si>
    <t>61566486991</t>
  </si>
  <si>
    <t>ISR10050619</t>
  </si>
  <si>
    <t>STLV0121678</t>
  </si>
  <si>
    <t>01437618560</t>
  </si>
  <si>
    <t>ISR10050623</t>
  </si>
  <si>
    <t>STLV0121682</t>
  </si>
  <si>
    <t>ISR10050625</t>
  </si>
  <si>
    <t>STLV0121683</t>
  </si>
  <si>
    <t>GBBOH</t>
  </si>
  <si>
    <t>11463888694</t>
  </si>
  <si>
    <t>ISR10050626</t>
  </si>
  <si>
    <t>STLV0121684</t>
  </si>
  <si>
    <t>21707891192</t>
  </si>
  <si>
    <t>ISR10050627</t>
  </si>
  <si>
    <t>STLV0121685</t>
  </si>
  <si>
    <t>ISR10050628</t>
  </si>
  <si>
    <t>STLV0121691</t>
  </si>
  <si>
    <t>08038187380</t>
  </si>
  <si>
    <t>ISR10050629</t>
  </si>
  <si>
    <t>STLV0121700</t>
  </si>
  <si>
    <t>11463888683</t>
  </si>
  <si>
    <t>ISR10050631</t>
  </si>
  <si>
    <t>STLV0121703</t>
  </si>
  <si>
    <t>09877103073</t>
  </si>
  <si>
    <t>ISR10050633</t>
  </si>
  <si>
    <t>STLV0121704</t>
  </si>
  <si>
    <t>ISR10050634</t>
  </si>
  <si>
    <t>STLV0121705</t>
  </si>
  <si>
    <t>ISR10050635</t>
  </si>
  <si>
    <t>STLV0121706</t>
  </si>
  <si>
    <t>ISR10050636</t>
  </si>
  <si>
    <t>STLV0121707</t>
  </si>
  <si>
    <t>05702042515</t>
  </si>
  <si>
    <t>ISR10050637</t>
  </si>
  <si>
    <t>HELSINKI</t>
  </si>
  <si>
    <t>STLV0121708</t>
  </si>
  <si>
    <t>ISR10050638</t>
  </si>
  <si>
    <t>STLV0121709</t>
  </si>
  <si>
    <t>02022252963</t>
  </si>
  <si>
    <t>ISR10050639</t>
  </si>
  <si>
    <t>STLV0121710</t>
  </si>
  <si>
    <t>05703080770</t>
  </si>
  <si>
    <t>ISR10050640</t>
  </si>
  <si>
    <t>STLV0121711</t>
  </si>
  <si>
    <t>02022252996</t>
  </si>
  <si>
    <t>ISR10050641</t>
  </si>
  <si>
    <t>STLV0121712</t>
  </si>
  <si>
    <t>02022252952</t>
  </si>
  <si>
    <t>ISR10050642</t>
  </si>
  <si>
    <t>STLV0121713</t>
  </si>
  <si>
    <t>05701568932</t>
  </si>
  <si>
    <t>ISR10050643</t>
  </si>
  <si>
    <t>STLV0121719</t>
  </si>
  <si>
    <t>11463888705</t>
  </si>
  <si>
    <t>ISR10050645</t>
  </si>
  <si>
    <t>STLV0121720</t>
  </si>
  <si>
    <t>50120082366</t>
  </si>
  <si>
    <t>ISR10050646</t>
  </si>
  <si>
    <t>STLV0121721</t>
  </si>
  <si>
    <t>05701485282</t>
  </si>
  <si>
    <t>ISR10050647</t>
  </si>
  <si>
    <t>STLV0121723</t>
  </si>
  <si>
    <t>ISR10050649</t>
  </si>
  <si>
    <t>STLV0121724</t>
  </si>
  <si>
    <t>05701933632</t>
  </si>
  <si>
    <t>ISR10050650</t>
  </si>
  <si>
    <t>STLV0121726</t>
  </si>
  <si>
    <t>ISR10050651</t>
  </si>
  <si>
    <t>STLV0121728</t>
  </si>
  <si>
    <t>02022253011</t>
  </si>
  <si>
    <t>ISR10050653</t>
  </si>
  <si>
    <t>STLV0121736</t>
  </si>
  <si>
    <t>77111083656</t>
  </si>
  <si>
    <t>STLV0121737</t>
  </si>
  <si>
    <t>01636223110</t>
  </si>
  <si>
    <t>ISR10050656</t>
  </si>
  <si>
    <t>STLV0121738</t>
  </si>
  <si>
    <t>11463888716</t>
  </si>
  <si>
    <t>ISR10050657</t>
  </si>
  <si>
    <t>STLV0121742</t>
  </si>
  <si>
    <t>70051238795</t>
  </si>
  <si>
    <t>ISR10050659</t>
  </si>
  <si>
    <t>STLV0121744</t>
  </si>
  <si>
    <t>11463888720</t>
  </si>
  <si>
    <t>STLV0121760</t>
  </si>
  <si>
    <t>ISR10050662</t>
  </si>
  <si>
    <t>STLV0121778</t>
  </si>
  <si>
    <t>01437618556</t>
  </si>
  <si>
    <t>ISR10050665</t>
  </si>
  <si>
    <t>STLV0121780</t>
  </si>
  <si>
    <t>70051238821</t>
  </si>
  <si>
    <t>ISR10050667</t>
  </si>
  <si>
    <t>STLV0121782</t>
  </si>
  <si>
    <t>02022253000</t>
  </si>
  <si>
    <t>ISR10050669</t>
  </si>
  <si>
    <t>STLV0121783</t>
  </si>
  <si>
    <t>ISR10050670</t>
  </si>
  <si>
    <t>STLV0121792</t>
  </si>
  <si>
    <t>11463888731</t>
  </si>
  <si>
    <t>STLV0121795</t>
  </si>
  <si>
    <t>ISR10050673</t>
  </si>
  <si>
    <t>STLV0121796</t>
  </si>
  <si>
    <t>11463888436</t>
  </si>
  <si>
    <t>ISR10050674</t>
  </si>
  <si>
    <t>STLV0121798</t>
  </si>
  <si>
    <t>ISR10050676</t>
  </si>
  <si>
    <t>STLV0121800</t>
  </si>
  <si>
    <t>ISR10050678</t>
  </si>
  <si>
    <t>STLV0121810</t>
  </si>
  <si>
    <t>ISR10050679</t>
  </si>
  <si>
    <t>STLV0121812</t>
  </si>
  <si>
    <t>ISR10050680</t>
  </si>
  <si>
    <t>STLV0121817</t>
  </si>
  <si>
    <t>01636223213</t>
  </si>
  <si>
    <t>ISR10050685</t>
  </si>
  <si>
    <t>STLV0121832</t>
  </si>
  <si>
    <t>81800096983</t>
  </si>
  <si>
    <t>STLV0121839</t>
  </si>
  <si>
    <t>ISR10050687</t>
  </si>
  <si>
    <t>STLV0121842</t>
  </si>
  <si>
    <t>01636223121</t>
  </si>
  <si>
    <t>ISR10050690</t>
  </si>
  <si>
    <t>STLV0121858</t>
  </si>
  <si>
    <t>11463888764</t>
  </si>
  <si>
    <t>ISR10050693</t>
  </si>
  <si>
    <t>STLV0121862</t>
  </si>
  <si>
    <t>11463888742</t>
  </si>
  <si>
    <t>ISR10050694</t>
  </si>
  <si>
    <t>STLV0121863</t>
  </si>
  <si>
    <t>72475292276</t>
  </si>
  <si>
    <t>ISR10050695</t>
  </si>
  <si>
    <t>STLV0121864</t>
  </si>
  <si>
    <t>ISR10050696</t>
  </si>
  <si>
    <t>STLV0121866</t>
  </si>
  <si>
    <t>09877103563</t>
  </si>
  <si>
    <t>STLV0121870</t>
  </si>
  <si>
    <t>99000223366</t>
  </si>
  <si>
    <t>ISR10050700</t>
  </si>
  <si>
    <t>STLV0121876</t>
  </si>
  <si>
    <t>11463888753</t>
  </si>
  <si>
    <t>ISR10050701</t>
  </si>
  <si>
    <t>STLV0121881</t>
  </si>
  <si>
    <t>02022253033</t>
  </si>
  <si>
    <t>ISR10050705</t>
  </si>
  <si>
    <t>STLV0121882</t>
  </si>
  <si>
    <t>ISR10050706</t>
  </si>
  <si>
    <t>STLV0121883</t>
  </si>
  <si>
    <t>ISR10050707</t>
  </si>
  <si>
    <t>STLV0121901</t>
  </si>
  <si>
    <t>ISR10050712</t>
  </si>
  <si>
    <t>STLV0121910</t>
  </si>
  <si>
    <t>11463888786</t>
  </si>
  <si>
    <t>ISR10050716</t>
  </si>
  <si>
    <t>STLV0121965</t>
  </si>
  <si>
    <t>ISR10050719</t>
  </si>
  <si>
    <t>STLV0121990</t>
  </si>
  <si>
    <t>21707891214</t>
  </si>
  <si>
    <t>ISR10050725</t>
  </si>
  <si>
    <t>STLV0121993</t>
  </si>
  <si>
    <t>ISR10050727</t>
  </si>
  <si>
    <t>STLV0121994</t>
  </si>
  <si>
    <t>ISR10050728</t>
  </si>
  <si>
    <t>STLV0122002</t>
  </si>
  <si>
    <t>ISR10050733</t>
  </si>
  <si>
    <t>STLV0122003</t>
  </si>
  <si>
    <t>99614388474</t>
  </si>
  <si>
    <t>ISR10050734</t>
  </si>
  <si>
    <t>STLV0122004</t>
  </si>
  <si>
    <t>SEARN</t>
  </si>
  <si>
    <t>02022253044</t>
  </si>
  <si>
    <t>ISR10050735</t>
  </si>
  <si>
    <t>STLV0122005</t>
  </si>
  <si>
    <t>61566487024</t>
  </si>
  <si>
    <t>ISR10050736</t>
  </si>
  <si>
    <t>STLV0122010</t>
  </si>
  <si>
    <t>61566487046</t>
  </si>
  <si>
    <t>ISR10050739</t>
  </si>
  <si>
    <t>STLV0122011</t>
  </si>
  <si>
    <t>ESBCN</t>
  </si>
  <si>
    <t>11463888775</t>
  </si>
  <si>
    <t>ISR10050740</t>
  </si>
  <si>
    <t>STLV0122016</t>
  </si>
  <si>
    <t>ILBSR</t>
  </si>
  <si>
    <t>01636223132</t>
  </si>
  <si>
    <t>ISR10050742</t>
  </si>
  <si>
    <t>STLV0122022</t>
  </si>
  <si>
    <t>11463888790</t>
  </si>
  <si>
    <t>ISR10050745</t>
  </si>
  <si>
    <t>STLV0122026</t>
  </si>
  <si>
    <t>02022253081</t>
  </si>
  <si>
    <t>ISR10050748</t>
  </si>
  <si>
    <t>STLV0122030</t>
  </si>
  <si>
    <t>ISR10050749</t>
  </si>
  <si>
    <t>STLV0122032</t>
  </si>
  <si>
    <t>01437618501</t>
  </si>
  <si>
    <t>ISR10050751</t>
  </si>
  <si>
    <t>STLV0122035</t>
  </si>
  <si>
    <t>ISR10050753</t>
  </si>
  <si>
    <t>STLV0122036</t>
  </si>
  <si>
    <t>01437618571</t>
  </si>
  <si>
    <t>ISR10050754</t>
  </si>
  <si>
    <t>STLV0122037</t>
  </si>
  <si>
    <t>11463888801</t>
  </si>
  <si>
    <t>ISR10050755</t>
  </si>
  <si>
    <t>STLV0122044</t>
  </si>
  <si>
    <t>61566487050</t>
  </si>
  <si>
    <t>ISR10050758</t>
  </si>
  <si>
    <t>STLV0122046</t>
  </si>
  <si>
    <t>ISR10050760</t>
  </si>
  <si>
    <t>STLV0122047</t>
  </si>
  <si>
    <t>02022253092</t>
  </si>
  <si>
    <t>ISR10050761</t>
  </si>
  <si>
    <t>STLV0122050</t>
  </si>
  <si>
    <t>ISR10050763</t>
  </si>
  <si>
    <t>STLV0122051</t>
  </si>
  <si>
    <t>ISR10050764</t>
  </si>
  <si>
    <t>STLV0122054</t>
  </si>
  <si>
    <t>ISR10050767</t>
  </si>
  <si>
    <t>STLV0122056</t>
  </si>
  <si>
    <t>ISR10050769</t>
  </si>
  <si>
    <t>STLV0122065</t>
  </si>
  <si>
    <t>50120081983</t>
  </si>
  <si>
    <t>ISR10050774</t>
  </si>
  <si>
    <t>STLV0122066</t>
  </si>
  <si>
    <t>ISR10050775</t>
  </si>
  <si>
    <t>STLV0122068</t>
  </si>
  <si>
    <t>01437618582</t>
  </si>
  <si>
    <t>ISR10050776</t>
  </si>
  <si>
    <t>STLV0122069</t>
  </si>
  <si>
    <t>ISR10050777</t>
  </si>
  <si>
    <t>STLV0122070</t>
  </si>
  <si>
    <t>02022253070</t>
  </si>
  <si>
    <t>ISR10050778</t>
  </si>
  <si>
    <t>BRSAO</t>
  </si>
  <si>
    <t>STLV0122071</t>
  </si>
  <si>
    <t>69555923114</t>
  </si>
  <si>
    <t>ISR10050779</t>
  </si>
  <si>
    <t>STLV0122075</t>
  </si>
  <si>
    <t>GETBS</t>
  </si>
  <si>
    <t>50120082484</t>
  </si>
  <si>
    <t>ISR10050783</t>
  </si>
  <si>
    <t>501-20082484</t>
  </si>
  <si>
    <t>STLV0122076</t>
  </si>
  <si>
    <t>02022253055</t>
  </si>
  <si>
    <t>ISR10050784</t>
  </si>
  <si>
    <t>STLV0122077</t>
  </si>
  <si>
    <t>39099596825</t>
  </si>
  <si>
    <t>ISR10050785</t>
  </si>
  <si>
    <t>STLV0122079</t>
  </si>
  <si>
    <t>88050305500</t>
  </si>
  <si>
    <t>ISR10050787</t>
  </si>
  <si>
    <t>STLV0122081</t>
  </si>
  <si>
    <t>02022253103</t>
  </si>
  <si>
    <t>ISR10050789</t>
  </si>
  <si>
    <t>YLIKIIMINKI</t>
  </si>
  <si>
    <t>STLV0122082</t>
  </si>
  <si>
    <t>ISR10050790</t>
  </si>
  <si>
    <t>STLV0122084</t>
  </si>
  <si>
    <t>ISR10050791</t>
  </si>
  <si>
    <t>STLV0122085</t>
  </si>
  <si>
    <t>ISR10050792</t>
  </si>
  <si>
    <t>STLV0122088</t>
  </si>
  <si>
    <t>ISR10050794</t>
  </si>
  <si>
    <t>STLV0122093</t>
  </si>
  <si>
    <t>ISR10050798</t>
  </si>
  <si>
    <t>STLV0122094</t>
  </si>
  <si>
    <t>05703107053</t>
  </si>
  <si>
    <t>ISR10050799</t>
  </si>
  <si>
    <t>STLV0122095</t>
  </si>
  <si>
    <t>02022253114</t>
  </si>
  <si>
    <t>ISR10050800</t>
  </si>
  <si>
    <t>STLV0122096</t>
  </si>
  <si>
    <t>ISR10050801</t>
  </si>
  <si>
    <t>STLV0122098</t>
  </si>
  <si>
    <t>00630929404</t>
  </si>
  <si>
    <t>ISR10050802</t>
  </si>
  <si>
    <t>STLV0122099</t>
  </si>
  <si>
    <t>ISR10050803</t>
  </si>
  <si>
    <t>STLV0122101</t>
  </si>
  <si>
    <t>ISR10050805</t>
  </si>
  <si>
    <t>STLV0122103</t>
  </si>
  <si>
    <t>11463888812</t>
  </si>
  <si>
    <t>ISR10050806</t>
  </si>
  <si>
    <t>STLV0122113</t>
  </si>
  <si>
    <t>ISR10050809</t>
  </si>
  <si>
    <t>STLV0122127</t>
  </si>
  <si>
    <t>02022253125</t>
  </si>
  <si>
    <t>ISR10050812</t>
  </si>
  <si>
    <t>STLV0122128</t>
  </si>
  <si>
    <t>ISR10050813</t>
  </si>
  <si>
    <t>STLV0122129</t>
  </si>
  <si>
    <t>11469027132</t>
  </si>
  <si>
    <t>00871343</t>
  </si>
  <si>
    <t>STLV0122130</t>
  </si>
  <si>
    <t>61566487061</t>
  </si>
  <si>
    <t>STLV0122132</t>
  </si>
  <si>
    <t>ISR10050817</t>
  </si>
  <si>
    <t>STLV0122133</t>
  </si>
  <si>
    <t>11463888823</t>
  </si>
  <si>
    <t>STLV0122134</t>
  </si>
  <si>
    <t>50120082624</t>
  </si>
  <si>
    <t>ISR10050819</t>
  </si>
  <si>
    <t>STLV0122144</t>
  </si>
  <si>
    <t>02022253151</t>
  </si>
  <si>
    <t>ISR10050820</t>
  </si>
  <si>
    <t>STLV0122147</t>
  </si>
  <si>
    <t>ISR10050822</t>
  </si>
  <si>
    <t>STLV0122171</t>
  </si>
  <si>
    <t>02022253140</t>
  </si>
  <si>
    <t>ISR10050824</t>
  </si>
  <si>
    <t>STLV0122172</t>
  </si>
  <si>
    <t>ISR10050825</t>
  </si>
  <si>
    <t>STLV0122173</t>
  </si>
  <si>
    <t>ISR10050826</t>
  </si>
  <si>
    <t>STLV0122175</t>
  </si>
  <si>
    <t>ISR10050827</t>
  </si>
  <si>
    <t>STLV0122180</t>
  </si>
  <si>
    <t>75250012410</t>
  </si>
  <si>
    <t>STLV0122181</t>
  </si>
  <si>
    <t>01636223154</t>
  </si>
  <si>
    <t>ISR10050832</t>
  </si>
  <si>
    <t>STLV0122198</t>
  </si>
  <si>
    <t>11463888845</t>
  </si>
  <si>
    <t>ISR10050840</t>
  </si>
  <si>
    <t>STLV0122199</t>
  </si>
  <si>
    <t>01437618593</t>
  </si>
  <si>
    <t>ISR10050841</t>
  </si>
  <si>
    <t>STLV0122218</t>
  </si>
  <si>
    <t>01437622830</t>
  </si>
  <si>
    <t>ISR10050854</t>
  </si>
  <si>
    <t>STLV0122219</t>
  </si>
  <si>
    <t>FRMRS</t>
  </si>
  <si>
    <t>05700692355</t>
  </si>
  <si>
    <t>ISR10050855</t>
  </si>
  <si>
    <t>STLV0122223</t>
  </si>
  <si>
    <t>99614388710</t>
  </si>
  <si>
    <t>ISR10050856</t>
  </si>
  <si>
    <t>STLV0122224</t>
  </si>
  <si>
    <t>99614388706</t>
  </si>
  <si>
    <t>ISR10050857</t>
  </si>
  <si>
    <t>STLV0122229</t>
  </si>
  <si>
    <t>61566487072</t>
  </si>
  <si>
    <t>ISR10050860</t>
  </si>
  <si>
    <t>STLV0122234</t>
  </si>
  <si>
    <t>11463888834</t>
  </si>
  <si>
    <t>ISR10050861</t>
  </si>
  <si>
    <t>STLV0122799</t>
  </si>
  <si>
    <t>00638681823</t>
  </si>
  <si>
    <t>ISR10050863</t>
  </si>
  <si>
    <t>STLV0122804</t>
  </si>
  <si>
    <t>02022253162</t>
  </si>
  <si>
    <t>ISR10050865</t>
  </si>
  <si>
    <t>STLV0122805</t>
  </si>
  <si>
    <t>01636223143</t>
  </si>
  <si>
    <t>ISR10050866</t>
  </si>
  <si>
    <t>STLV0122808</t>
  </si>
  <si>
    <t>01675527465</t>
  </si>
  <si>
    <t>ISR10050869</t>
  </si>
  <si>
    <t>STLV0122813</t>
  </si>
  <si>
    <t>28124905576</t>
  </si>
  <si>
    <t>ISR10050871</t>
  </si>
  <si>
    <t>STLV0122814</t>
  </si>
  <si>
    <t>11463884446</t>
  </si>
  <si>
    <t>ISR10050872</t>
  </si>
  <si>
    <t>STLV0122820</t>
  </si>
  <si>
    <t>ISR10050874</t>
  </si>
  <si>
    <t>STLV0122821</t>
  </si>
  <si>
    <t>11463888904</t>
  </si>
  <si>
    <t>ISR10050875</t>
  </si>
  <si>
    <t>STLV0122822</t>
  </si>
  <si>
    <t>11463888871</t>
  </si>
  <si>
    <t>ISR10050876</t>
  </si>
  <si>
    <t>STLV0122827</t>
  </si>
  <si>
    <t>02022253136</t>
  </si>
  <si>
    <t>ISR10050878</t>
  </si>
  <si>
    <t>STLV0122828</t>
  </si>
  <si>
    <t>ISR10050879</t>
  </si>
  <si>
    <t>STLV0122829</t>
  </si>
  <si>
    <t>ISR10050880</t>
  </si>
  <si>
    <t>STLV0122833</t>
  </si>
  <si>
    <t>09877103784</t>
  </si>
  <si>
    <t>ISR10050881</t>
  </si>
  <si>
    <t>STLV0122834</t>
  </si>
  <si>
    <t>28124905565</t>
  </si>
  <si>
    <t>ISR10050882</t>
  </si>
  <si>
    <t>STLV0122836</t>
  </si>
  <si>
    <t>11463888882</t>
  </si>
  <si>
    <t>ISR10050884</t>
  </si>
  <si>
    <t>STLV0122837</t>
  </si>
  <si>
    <t>ISR10050885</t>
  </si>
  <si>
    <t>STLV0122855</t>
  </si>
  <si>
    <t>01636223165</t>
  </si>
  <si>
    <t>ISR10050886</t>
  </si>
  <si>
    <t>STLV0122856</t>
  </si>
  <si>
    <t>ISR10050887</t>
  </si>
  <si>
    <t>STLV0122863</t>
  </si>
  <si>
    <t>ISR10050889</t>
  </si>
  <si>
    <t>STLV0122867</t>
  </si>
  <si>
    <t>11463888860</t>
  </si>
  <si>
    <t>ISR10050892</t>
  </si>
  <si>
    <t>STLV0122868</t>
  </si>
  <si>
    <t>99614388651</t>
  </si>
  <si>
    <t>ISR10050893</t>
  </si>
  <si>
    <t>STLV0122869</t>
  </si>
  <si>
    <t>ISR10050894</t>
  </si>
  <si>
    <t>STLV0122886</t>
  </si>
  <si>
    <t>02022253173</t>
  </si>
  <si>
    <t>ISR10050895</t>
  </si>
  <si>
    <t>STLV0122891</t>
  </si>
  <si>
    <t>50120082893</t>
  </si>
  <si>
    <t>ISR10050899</t>
  </si>
  <si>
    <t>STLV0122901</t>
  </si>
  <si>
    <t>ISR10050902</t>
  </si>
  <si>
    <t>STLV0122904</t>
  </si>
  <si>
    <t>02022253184</t>
  </si>
  <si>
    <t>ISR10050903</t>
  </si>
  <si>
    <t>STLV0122936</t>
  </si>
  <si>
    <t>11463888915</t>
  </si>
  <si>
    <t>ISR10050904</t>
  </si>
  <si>
    <t>STLV0122937</t>
  </si>
  <si>
    <t>01636223191</t>
  </si>
  <si>
    <t>ISR10050905</t>
  </si>
  <si>
    <t>STLV0122938</t>
  </si>
  <si>
    <t>11463888930</t>
  </si>
  <si>
    <t>ISR10050906</t>
  </si>
  <si>
    <t>STLV0122942</t>
  </si>
  <si>
    <t>ISR10050907</t>
  </si>
  <si>
    <t>STLV0122944</t>
  </si>
  <si>
    <t>ISR10050909</t>
  </si>
  <si>
    <t>STLV0123036</t>
  </si>
  <si>
    <t>11463888926</t>
  </si>
  <si>
    <t>ISR10050913</t>
  </si>
  <si>
    <t>STLV0123041</t>
  </si>
  <si>
    <t>ISR10050914</t>
  </si>
  <si>
    <t>STLV0123077</t>
  </si>
  <si>
    <t>ISR10050921</t>
  </si>
  <si>
    <t>STLV0123097</t>
  </si>
  <si>
    <t>01636223202</t>
  </si>
  <si>
    <t>ISR10050922</t>
  </si>
  <si>
    <t>STLV0123109</t>
  </si>
  <si>
    <t>01636223316</t>
  </si>
  <si>
    <t>ISR10050924</t>
  </si>
  <si>
    <t>STLV0123110</t>
  </si>
  <si>
    <t>VNSGN</t>
  </si>
  <si>
    <t>69555923151</t>
  </si>
  <si>
    <t>ISR10050925</t>
  </si>
  <si>
    <t>STLV0123181</t>
  </si>
  <si>
    <t>11463888941</t>
  </si>
  <si>
    <t>STLV0123183</t>
  </si>
  <si>
    <t>02022253210</t>
  </si>
  <si>
    <t>ISR10050931</t>
  </si>
  <si>
    <t>STLV0123188</t>
  </si>
  <si>
    <t>ISR10050933</t>
  </si>
  <si>
    <t>STLV0123190</t>
  </si>
  <si>
    <t>ISR10050935</t>
  </si>
  <si>
    <t>STLV0123191</t>
  </si>
  <si>
    <t>AUPER</t>
  </si>
  <si>
    <t>21707891225</t>
  </si>
  <si>
    <t>ISR10050936</t>
  </si>
  <si>
    <t>STLV0123198</t>
  </si>
  <si>
    <t>02022253571</t>
  </si>
  <si>
    <t>ISR10050938</t>
  </si>
  <si>
    <t>STLV0123199</t>
  </si>
  <si>
    <t>ISR10050939</t>
  </si>
  <si>
    <t>STLV0123201</t>
  </si>
  <si>
    <t>01636223224</t>
  </si>
  <si>
    <t>ISR10050940</t>
  </si>
  <si>
    <t>STLV0123210</t>
  </si>
  <si>
    <t>61566487083</t>
  </si>
  <si>
    <t>ISR10050945</t>
  </si>
  <si>
    <t>STLV0123212</t>
  </si>
  <si>
    <t>ISR10050946</t>
  </si>
  <si>
    <t>STLV0123213</t>
  </si>
  <si>
    <t>00638681845</t>
  </si>
  <si>
    <t>ISR10050947</t>
  </si>
  <si>
    <t>STLV0123214</t>
  </si>
  <si>
    <t>39099596836</t>
  </si>
  <si>
    <t>ISR10050948</t>
  </si>
  <si>
    <t>STLV0123224</t>
  </si>
  <si>
    <t>01437622841</t>
  </si>
  <si>
    <t>ISR10050950</t>
  </si>
  <si>
    <t>STLV0123228</t>
  </si>
  <si>
    <t>02022253313</t>
  </si>
  <si>
    <t>ISR10050952</t>
  </si>
  <si>
    <t>STLV0123232</t>
  </si>
  <si>
    <t>ISR10050955</t>
  </si>
  <si>
    <t>STLV0123233</t>
  </si>
  <si>
    <t>ISR10050956</t>
  </si>
  <si>
    <t>STLV0123234</t>
  </si>
  <si>
    <t>01636223180</t>
  </si>
  <si>
    <t>ISR10050957</t>
  </si>
  <si>
    <t>STLV0123237</t>
  </si>
  <si>
    <t>05701429024</t>
  </si>
  <si>
    <t>ISR10050959</t>
  </si>
  <si>
    <t>STLV0123238</t>
  </si>
  <si>
    <t>01636223283</t>
  </si>
  <si>
    <t>ISR10050960</t>
  </si>
  <si>
    <t>STLV0123239</t>
  </si>
  <si>
    <t>01636223294</t>
  </si>
  <si>
    <t>ISR10050961</t>
  </si>
  <si>
    <t>STLV0123244</t>
  </si>
  <si>
    <t>70051238386</t>
  </si>
  <si>
    <t>ISR10050963</t>
  </si>
  <si>
    <t>STLV0123245</t>
  </si>
  <si>
    <t>02001957524</t>
  </si>
  <si>
    <t>ISR10050964</t>
  </si>
  <si>
    <t>STLV0123246</t>
  </si>
  <si>
    <t>02022253221</t>
  </si>
  <si>
    <t>ISR10050965</t>
  </si>
  <si>
    <t>STLV0123247</t>
  </si>
  <si>
    <t>02001957535</t>
  </si>
  <si>
    <t>ISR10050966</t>
  </si>
  <si>
    <t>STLV0123249</t>
  </si>
  <si>
    <t>02001957546</t>
  </si>
  <si>
    <t>ISR10050968</t>
  </si>
  <si>
    <t>STLV0123250</t>
  </si>
  <si>
    <t>70051238390</t>
  </si>
  <si>
    <t>ISR10050969</t>
  </si>
  <si>
    <t>STLV0123253</t>
  </si>
  <si>
    <t>50120082952</t>
  </si>
  <si>
    <t>STLV0123254</t>
  </si>
  <si>
    <t>50120083011</t>
  </si>
  <si>
    <t>STLV0123260</t>
  </si>
  <si>
    <t>50120083033</t>
  </si>
  <si>
    <t>STLV0123340</t>
  </si>
  <si>
    <t>ISR10050974</t>
  </si>
  <si>
    <t>STLV0123348</t>
  </si>
  <si>
    <t>09877103821</t>
  </si>
  <si>
    <t>ISR10050979</t>
  </si>
  <si>
    <t>STLV0123349</t>
  </si>
  <si>
    <t>28124905580</t>
  </si>
  <si>
    <t>ISR10050980</t>
  </si>
  <si>
    <t>STLV0123353</t>
  </si>
  <si>
    <t>ISR10050983</t>
  </si>
  <si>
    <t>LFD 2.25</t>
  </si>
  <si>
    <t>STLV0123355</t>
  </si>
  <si>
    <t>11463889033</t>
  </si>
  <si>
    <t>ISR10050985</t>
  </si>
  <si>
    <t>STLV0123356</t>
  </si>
  <si>
    <t>02022253232</t>
  </si>
  <si>
    <t>ISR10050986</t>
  </si>
  <si>
    <t>STLV0123359</t>
  </si>
  <si>
    <t>ISR10050988</t>
  </si>
  <si>
    <t>STLV0123360</t>
  </si>
  <si>
    <t>ISR10050989</t>
  </si>
  <si>
    <t>STLV0123362</t>
  </si>
  <si>
    <t>ISR10050991</t>
  </si>
  <si>
    <t>STLV0123363</t>
  </si>
  <si>
    <t>02022253243</t>
  </si>
  <si>
    <t>ISR10050992</t>
  </si>
  <si>
    <t>STLV0123364</t>
  </si>
  <si>
    <t>ISR10050993</t>
  </si>
  <si>
    <t>STLV0123367</t>
  </si>
  <si>
    <t>99614388765</t>
  </si>
  <si>
    <t>ISR10050995</t>
  </si>
  <si>
    <t>STLV0123377</t>
  </si>
  <si>
    <t>ISR10050999</t>
  </si>
  <si>
    <t>STLV0123385</t>
  </si>
  <si>
    <t>ISR10051003</t>
  </si>
  <si>
    <t>STLV0123386</t>
  </si>
  <si>
    <t>ISR10051004</t>
  </si>
  <si>
    <t>STLV0123387</t>
  </si>
  <si>
    <t>ISR10051005</t>
  </si>
  <si>
    <t>STLV0123390</t>
  </si>
  <si>
    <t>ISR10051006</t>
  </si>
  <si>
    <t>STLV0123391</t>
  </si>
  <si>
    <t>ISR10051007</t>
  </si>
  <si>
    <t>STLV0123394</t>
  </si>
  <si>
    <t>28124905591</t>
  </si>
  <si>
    <t>ISR10051010</t>
  </si>
  <si>
    <t>STLV0123395</t>
  </si>
  <si>
    <t>ISR10051011</t>
  </si>
  <si>
    <t>STLV0123404</t>
  </si>
  <si>
    <t>11463889044</t>
  </si>
  <si>
    <t>ISR10051018</t>
  </si>
  <si>
    <t>STLV0123407</t>
  </si>
  <si>
    <t>70051238751</t>
  </si>
  <si>
    <t>ISR10051021</t>
  </si>
  <si>
    <t>STLV0123408</t>
  </si>
  <si>
    <t>ISR10051022</t>
  </si>
  <si>
    <t>STLV0123409</t>
  </si>
  <si>
    <t>ISR10051023</t>
  </si>
  <si>
    <t>STLV0123478</t>
  </si>
  <si>
    <t>28124905602</t>
  </si>
  <si>
    <t>ISR10051030</t>
  </si>
  <si>
    <t>STLV0123481</t>
  </si>
  <si>
    <t>02022253254</t>
  </si>
  <si>
    <t>ISR10051032</t>
  </si>
  <si>
    <t>STLV0123484</t>
  </si>
  <si>
    <t>ISR10051035</t>
  </si>
  <si>
    <t>STLV0123490</t>
  </si>
  <si>
    <t>02022253276</t>
  </si>
  <si>
    <t>ISR10051038</t>
  </si>
  <si>
    <t>PLLSK</t>
  </si>
  <si>
    <t>STLV0123495</t>
  </si>
  <si>
    <t>28124905613</t>
  </si>
  <si>
    <t>ISR10051041</t>
  </si>
  <si>
    <t>STLV0123497</t>
  </si>
  <si>
    <t>ISR10051043</t>
  </si>
  <si>
    <t>STLV0123499</t>
  </si>
  <si>
    <t>02022253265</t>
  </si>
  <si>
    <t>ISR10051045</t>
  </si>
  <si>
    <t>STLV0123501</t>
  </si>
  <si>
    <t>02022253302</t>
  </si>
  <si>
    <t>ISR10051047</t>
  </si>
  <si>
    <t>STLV0123503</t>
  </si>
  <si>
    <t>61566487094</t>
  </si>
  <si>
    <t>STLV0123514</t>
  </si>
  <si>
    <t>01636223320</t>
  </si>
  <si>
    <t>ISR10051056</t>
  </si>
  <si>
    <t>STLV0123519</t>
  </si>
  <si>
    <t>ISR10051061</t>
  </si>
  <si>
    <t>STLV0123520</t>
  </si>
  <si>
    <t>01636223331</t>
  </si>
  <si>
    <t>ISR10051062</t>
  </si>
  <si>
    <t>STLV0123521</t>
  </si>
  <si>
    <t>01636223342</t>
  </si>
  <si>
    <t>ISR10051063</t>
  </si>
  <si>
    <t>STLV0123522</t>
  </si>
  <si>
    <t>ISR10051064</t>
  </si>
  <si>
    <t>STLV0123523</t>
  </si>
  <si>
    <t>28124905624</t>
  </si>
  <si>
    <t>ISR10051065</t>
  </si>
  <si>
    <t>STLV0123525</t>
  </si>
  <si>
    <t>BRGIG</t>
  </si>
  <si>
    <t>02022253291</t>
  </si>
  <si>
    <t>ISR10051067</t>
  </si>
  <si>
    <t>STLV0123527</t>
  </si>
  <si>
    <t>02022253324</t>
  </si>
  <si>
    <t>STLV0123528</t>
  </si>
  <si>
    <t>ISR10051070</t>
  </si>
  <si>
    <t>STLV0123530</t>
  </si>
  <si>
    <t>11463884450</t>
  </si>
  <si>
    <t>ISR10051071</t>
  </si>
  <si>
    <t>STLV0123551</t>
  </si>
  <si>
    <t>ISR10051074</t>
  </si>
  <si>
    <t>STLV0123552</t>
  </si>
  <si>
    <t>ISR10051075</t>
  </si>
  <si>
    <t>STLV0123558</t>
  </si>
  <si>
    <t>11463889066</t>
  </si>
  <si>
    <t>STLV0123576</t>
  </si>
  <si>
    <t>02022253346</t>
  </si>
  <si>
    <t>ISR10051086</t>
  </si>
  <si>
    <t>STLV0123577</t>
  </si>
  <si>
    <t>50120083125</t>
  </si>
  <si>
    <t>ISR10051087</t>
  </si>
  <si>
    <t>STLV0123582</t>
  </si>
  <si>
    <t>61566487105</t>
  </si>
  <si>
    <t>ISR10051090</t>
  </si>
  <si>
    <t>STLV0123587</t>
  </si>
  <si>
    <t>11463889070</t>
  </si>
  <si>
    <t>ISR10051092</t>
  </si>
  <si>
    <t>STLV0123590</t>
  </si>
  <si>
    <t>75250012421</t>
  </si>
  <si>
    <t>STLV0123655</t>
  </si>
  <si>
    <t>01636223353</t>
  </si>
  <si>
    <t>ISR10051094</t>
  </si>
  <si>
    <t>STLV0123656</t>
  </si>
  <si>
    <t>ISR10051095</t>
  </si>
  <si>
    <t>STLV0123659</t>
  </si>
  <si>
    <t>61566487116</t>
  </si>
  <si>
    <t>ISR10051097</t>
  </si>
  <si>
    <t>STLV0123672</t>
  </si>
  <si>
    <t>75250012454</t>
  </si>
  <si>
    <t>ISR10051101</t>
  </si>
  <si>
    <t>STLV0123674</t>
  </si>
  <si>
    <t>01437622852</t>
  </si>
  <si>
    <t>ISR10051102</t>
  </si>
  <si>
    <t>STLV0123678</t>
  </si>
  <si>
    <t>11463889081</t>
  </si>
  <si>
    <t>ISR10051105</t>
  </si>
  <si>
    <t>STLV0123685</t>
  </si>
  <si>
    <t>11463889092</t>
  </si>
  <si>
    <t>ISR10051107</t>
  </si>
  <si>
    <t>STLV0123687</t>
  </si>
  <si>
    <t>60750193404</t>
  </si>
  <si>
    <t>STLV0123689</t>
  </si>
  <si>
    <t>11463889346</t>
  </si>
  <si>
    <t>ISR10051110</t>
  </si>
  <si>
    <t>STLV0123693</t>
  </si>
  <si>
    <t>ISR10051111</t>
  </si>
  <si>
    <t>STLV0123694</t>
  </si>
  <si>
    <t>11463889114</t>
  </si>
  <si>
    <t>ISR10051112</t>
  </si>
  <si>
    <t>STLV0123695</t>
  </si>
  <si>
    <t>11463889103</t>
  </si>
  <si>
    <t>ISR10051113</t>
  </si>
  <si>
    <t>STLV0123696</t>
  </si>
  <si>
    <t>11463889055</t>
  </si>
  <si>
    <t>ISR10051114</t>
  </si>
  <si>
    <t>STLV0123697</t>
  </si>
  <si>
    <t>ISR10051115</t>
  </si>
  <si>
    <t>STLV0123698</t>
  </si>
  <si>
    <t>ISR10051116</t>
  </si>
  <si>
    <t>STLV0123703</t>
  </si>
  <si>
    <t>11463889125</t>
  </si>
  <si>
    <t>ISR10051119</t>
  </si>
  <si>
    <t>STLV0123707</t>
  </si>
  <si>
    <t>01636223364</t>
  </si>
  <si>
    <t>ISR10051121</t>
  </si>
  <si>
    <t>STLV0123708</t>
  </si>
  <si>
    <t>ISR10051122</t>
  </si>
  <si>
    <t>STLV0123716</t>
  </si>
  <si>
    <t>21707901062</t>
  </si>
  <si>
    <t>ISR10051125</t>
  </si>
  <si>
    <t>STLV0123724</t>
  </si>
  <si>
    <t>ISR10051126</t>
  </si>
  <si>
    <t>STLV0123730</t>
  </si>
  <si>
    <t>14153498841</t>
  </si>
  <si>
    <t>ISR10051127</t>
  </si>
  <si>
    <t>STLV0123732</t>
  </si>
  <si>
    <t>00630929496</t>
  </si>
  <si>
    <t>ISR10051129</t>
  </si>
  <si>
    <t>STLV0123734</t>
  </si>
  <si>
    <t>02022253350</t>
  </si>
  <si>
    <t>ISR10051130</t>
  </si>
  <si>
    <t>STLV0123735</t>
  </si>
  <si>
    <t>50120083641</t>
  </si>
  <si>
    <t>ISR10051131</t>
  </si>
  <si>
    <t>STLV0123737</t>
  </si>
  <si>
    <t>02022253361</t>
  </si>
  <si>
    <t>STLV0123738</t>
  </si>
  <si>
    <t>ISR10051134</t>
  </si>
  <si>
    <t>STLV0123745</t>
  </si>
  <si>
    <t>01437622863</t>
  </si>
  <si>
    <t>ISR10051137</t>
  </si>
  <si>
    <t>STLV0123746</t>
  </si>
  <si>
    <t>70051238574</t>
  </si>
  <si>
    <t>ISR10051138</t>
  </si>
  <si>
    <t>STLV0123748</t>
  </si>
  <si>
    <t>ISR10051140</t>
  </si>
  <si>
    <t>STLV0123749</t>
  </si>
  <si>
    <t>61566487120</t>
  </si>
  <si>
    <t>ISR10051141</t>
  </si>
  <si>
    <t>STLV0123750</t>
  </si>
  <si>
    <t>11463891693</t>
  </si>
  <si>
    <t>ISR10051142</t>
  </si>
  <si>
    <t>STLV0123753</t>
  </si>
  <si>
    <t>02022253383</t>
  </si>
  <si>
    <t>ISR10051144</t>
  </si>
  <si>
    <t>STLV0123754</t>
  </si>
  <si>
    <t>14143551594</t>
  </si>
  <si>
    <t>ISR10051145</t>
  </si>
  <si>
    <t>STLV0123755</t>
  </si>
  <si>
    <t>ISR10051146</t>
  </si>
  <si>
    <t>STLV0123756</t>
  </si>
  <si>
    <t>14143551583</t>
  </si>
  <si>
    <t>ISR10051147</t>
  </si>
  <si>
    <t>STLV0123758</t>
  </si>
  <si>
    <t>11463889136</t>
  </si>
  <si>
    <t>ISR10051148</t>
  </si>
  <si>
    <t>STLV0123762</t>
  </si>
  <si>
    <t>00638681856</t>
  </si>
  <si>
    <t>ISR10051151</t>
  </si>
  <si>
    <t>STLV0123763</t>
  </si>
  <si>
    <t>02022253372</t>
  </si>
  <si>
    <t>ISR10051152</t>
  </si>
  <si>
    <t>STLV0123764</t>
  </si>
  <si>
    <t>11463889140</t>
  </si>
  <si>
    <t>STLV0123768</t>
  </si>
  <si>
    <t>ISR10051156</t>
  </si>
  <si>
    <t>STLV0123772</t>
  </si>
  <si>
    <t>ISR10051159</t>
  </si>
  <si>
    <t>STLV0123775</t>
  </si>
  <si>
    <t>ISR10051161</t>
  </si>
  <si>
    <t>STLV0123777</t>
  </si>
  <si>
    <t>02022252753</t>
  </si>
  <si>
    <t>ISR10051163</t>
  </si>
  <si>
    <t>PLLOD</t>
  </si>
  <si>
    <t>STLV0123782</t>
  </si>
  <si>
    <t>ISR10051168</t>
  </si>
  <si>
    <t>STLV0123783</t>
  </si>
  <si>
    <t>ISR10051169</t>
  </si>
  <si>
    <t>STLV0123793</t>
  </si>
  <si>
    <t>02022253394</t>
  </si>
  <si>
    <t>ISR10051176</t>
  </si>
  <si>
    <t>STLV0123794</t>
  </si>
  <si>
    <t>ISR10051177</t>
  </si>
  <si>
    <t>STLV0123803</t>
  </si>
  <si>
    <t>11463889151</t>
  </si>
  <si>
    <t>ISR10051178</t>
  </si>
  <si>
    <t>STLV0123814</t>
  </si>
  <si>
    <t>50120083206</t>
  </si>
  <si>
    <t>STLV0123818</t>
  </si>
  <si>
    <t>60600533901</t>
  </si>
  <si>
    <t>ISR10051184</t>
  </si>
  <si>
    <t>STLV0123827</t>
  </si>
  <si>
    <t>11463889162</t>
  </si>
  <si>
    <t>STLV0123829</t>
  </si>
  <si>
    <t>ISR10051188</t>
  </si>
  <si>
    <t>STLV0123830</t>
  </si>
  <si>
    <t>ISR10051189</t>
  </si>
  <si>
    <t>STLV0123838</t>
  </si>
  <si>
    <t>21707891251</t>
  </si>
  <si>
    <t>ISR10051191</t>
  </si>
  <si>
    <t>STLV0123840</t>
  </si>
  <si>
    <t>ISR10051193</t>
  </si>
  <si>
    <t>STLV0123841</t>
  </si>
  <si>
    <t>ISR10051194</t>
  </si>
  <si>
    <t>LFD 2/28</t>
  </si>
  <si>
    <t>STLV0123842</t>
  </si>
  <si>
    <t>ISR10051195</t>
  </si>
  <si>
    <t>STLV0123845</t>
  </si>
  <si>
    <t>ISR10051198</t>
  </si>
  <si>
    <t>STLV0123848</t>
  </si>
  <si>
    <t>ISR10051201</t>
  </si>
  <si>
    <t>STLV0123852</t>
  </si>
  <si>
    <t>11463889173</t>
  </si>
  <si>
    <t>ISR10051204</t>
  </si>
  <si>
    <t>STLV0123863</t>
  </si>
  <si>
    <t>21707891240</t>
  </si>
  <si>
    <t>ISR10051205</t>
  </si>
  <si>
    <t>STLV0123870</t>
  </si>
  <si>
    <t>ISR10051206</t>
  </si>
  <si>
    <t>STLV0123871</t>
  </si>
  <si>
    <t>ISR10051207</t>
  </si>
  <si>
    <t>STLV0124006</t>
  </si>
  <si>
    <t>02002003536</t>
  </si>
  <si>
    <t>ISR10051211</t>
  </si>
  <si>
    <t>STLV0124010</t>
  </si>
  <si>
    <t>11463889232</t>
  </si>
  <si>
    <t>STLV0124011</t>
  </si>
  <si>
    <t>28124905635</t>
  </si>
  <si>
    <t>ISR10051213</t>
  </si>
  <si>
    <t>STLV0124012</t>
  </si>
  <si>
    <t>11463889221</t>
  </si>
  <si>
    <t>STLV0124013</t>
  </si>
  <si>
    <t>11463889210</t>
  </si>
  <si>
    <t>STLV0124014</t>
  </si>
  <si>
    <t>11463889206</t>
  </si>
  <si>
    <t>STLV0124015</t>
  </si>
  <si>
    <t>11463889195</t>
  </si>
  <si>
    <t>STLV0124016</t>
  </si>
  <si>
    <t>02022253405</t>
  </si>
  <si>
    <t>ISR10051218</t>
  </si>
  <si>
    <t>STLV0124018</t>
  </si>
  <si>
    <t>ISR10051219</t>
  </si>
  <si>
    <t>STLV0124021</t>
  </si>
  <si>
    <t>ISR10051220</t>
  </si>
  <si>
    <t>STLV0124036</t>
  </si>
  <si>
    <t>ISR10051221</t>
  </si>
  <si>
    <t>STLV0124039</t>
  </si>
  <si>
    <t>28124905646</t>
  </si>
  <si>
    <t>ISR10051223</t>
  </si>
  <si>
    <t>STLV0124083</t>
  </si>
  <si>
    <t>11463889184</t>
  </si>
  <si>
    <t>ISR10051225</t>
  </si>
  <si>
    <t>STLV0124084</t>
  </si>
  <si>
    <t>ISR10051226</t>
  </si>
  <si>
    <t>STLV0124085</t>
  </si>
  <si>
    <t>69555923173</t>
  </si>
  <si>
    <t>ISR10051227</t>
  </si>
  <si>
    <t>STLV0124087</t>
  </si>
  <si>
    <t>ISR10051228</t>
  </si>
  <si>
    <t>STLV0124102</t>
  </si>
  <si>
    <t>02022252565</t>
  </si>
  <si>
    <t>ISR10051236</t>
  </si>
  <si>
    <t>STLV0124104</t>
  </si>
  <si>
    <t>ISR10051237</t>
  </si>
  <si>
    <t>4501567971</t>
  </si>
  <si>
    <t>PLQXQ</t>
  </si>
  <si>
    <t>STLV0124106</t>
  </si>
  <si>
    <t>ISR10051238</t>
  </si>
  <si>
    <t>STLV0124107</t>
  </si>
  <si>
    <t>ISR10051239</t>
  </si>
  <si>
    <t>STLV0124108</t>
  </si>
  <si>
    <t>01437622885</t>
  </si>
  <si>
    <t>ISR10051240</t>
  </si>
  <si>
    <t>STLV0124110</t>
  </si>
  <si>
    <t>ISR10051241</t>
  </si>
  <si>
    <t>STLV0124112</t>
  </si>
  <si>
    <t>ISR10051242</t>
  </si>
  <si>
    <t>STLV0124115</t>
  </si>
  <si>
    <t>02022253416</t>
  </si>
  <si>
    <t>ISR10051245</t>
  </si>
  <si>
    <t>TAMPERE</t>
  </si>
  <si>
    <t>STLV0124116</t>
  </si>
  <si>
    <t>50120083313</t>
  </si>
  <si>
    <t>ISR10051246</t>
  </si>
  <si>
    <t>STLV0124118</t>
  </si>
  <si>
    <t>02022253453</t>
  </si>
  <si>
    <t>ISR10051247</t>
  </si>
  <si>
    <t>STLV0124120</t>
  </si>
  <si>
    <t>11463889254</t>
  </si>
  <si>
    <t>ISR10051248</t>
  </si>
  <si>
    <t>STLV0124121</t>
  </si>
  <si>
    <t>01437622874</t>
  </si>
  <si>
    <t>ISR10051249</t>
  </si>
  <si>
    <t>STLV0124122</t>
  </si>
  <si>
    <t>77111046630</t>
  </si>
  <si>
    <t>ISR10051250</t>
  </si>
  <si>
    <t>STLV0124124</t>
  </si>
  <si>
    <t>02022253431</t>
  </si>
  <si>
    <t>ISR10051252</t>
  </si>
  <si>
    <t>STLV0124125</t>
  </si>
  <si>
    <t>ISR10051253</t>
  </si>
  <si>
    <t>STLV0124128</t>
  </si>
  <si>
    <t>ISR10051254</t>
  </si>
  <si>
    <t>STLV0124130</t>
  </si>
  <si>
    <t>77111083645</t>
  </si>
  <si>
    <t>ISR10051256</t>
  </si>
  <si>
    <t>STLV0124131</t>
  </si>
  <si>
    <t>ISR10051257</t>
  </si>
  <si>
    <t>STLV0124140</t>
  </si>
  <si>
    <t>11463889243</t>
  </si>
  <si>
    <t>STLV0124146</t>
  </si>
  <si>
    <t>JPKIX</t>
  </si>
  <si>
    <t>61566487131</t>
  </si>
  <si>
    <t>ISR10051264</t>
  </si>
  <si>
    <t>STLV0124149</t>
  </si>
  <si>
    <t>02022253420</t>
  </si>
  <si>
    <t>ISR10051265</t>
  </si>
  <si>
    <t>STLV0124170</t>
  </si>
  <si>
    <t>07950741504</t>
  </si>
  <si>
    <t>ISR10051271</t>
  </si>
  <si>
    <t>STLV0124172</t>
  </si>
  <si>
    <t>ISR10051272</t>
  </si>
  <si>
    <t>STLV0124173</t>
  </si>
  <si>
    <t>ISR10051273</t>
  </si>
  <si>
    <t>STLV0124176</t>
  </si>
  <si>
    <t>ISR10051274</t>
  </si>
  <si>
    <t>STLV0124177</t>
  </si>
  <si>
    <t>AMEVN</t>
  </si>
  <si>
    <t>02022253442</t>
  </si>
  <si>
    <t>ISR10051275</t>
  </si>
  <si>
    <t>STLV0124179</t>
  </si>
  <si>
    <t>ISR10051277</t>
  </si>
  <si>
    <t>STLV0124180</t>
  </si>
  <si>
    <t>02022253464</t>
  </si>
  <si>
    <t>ISR10051278</t>
  </si>
  <si>
    <t>STLV0124202</t>
  </si>
  <si>
    <t>ISR10051283</t>
  </si>
  <si>
    <t>STLV0124203</t>
  </si>
  <si>
    <t>UZTAS</t>
  </si>
  <si>
    <t>48830123236</t>
  </si>
  <si>
    <t>STLV0124229</t>
  </si>
  <si>
    <t>ISR10051292</t>
  </si>
  <si>
    <t>STLV0124231</t>
  </si>
  <si>
    <t>ISR10051294</t>
  </si>
  <si>
    <t>STLV0124236</t>
  </si>
  <si>
    <t>50120083302</t>
  </si>
  <si>
    <t>ISR10051297</t>
  </si>
  <si>
    <t>STLV0124247</t>
  </si>
  <si>
    <t>ISR10051298</t>
  </si>
  <si>
    <t>STLV0124249</t>
  </si>
  <si>
    <t>02022253486</t>
  </si>
  <si>
    <t>ISR10051299</t>
  </si>
  <si>
    <t>STLV0124251</t>
  </si>
  <si>
    <t>SILJU</t>
  </si>
  <si>
    <t>02022253490</t>
  </si>
  <si>
    <t>ISR10051301</t>
  </si>
  <si>
    <t>STLV0124253</t>
  </si>
  <si>
    <t>ISR10051302</t>
  </si>
  <si>
    <t>STLV0124256</t>
  </si>
  <si>
    <t>ISR10051304</t>
  </si>
  <si>
    <t>STLV0124260</t>
  </si>
  <si>
    <t>ISR10051305</t>
  </si>
  <si>
    <t>STLV0124261</t>
  </si>
  <si>
    <t>LVRIX</t>
  </si>
  <si>
    <t>02022253840</t>
  </si>
  <si>
    <t>ISR10051306</t>
  </si>
  <si>
    <t>STLV0124263</t>
  </si>
  <si>
    <t>02022253475</t>
  </si>
  <si>
    <t>ISR10051307</t>
  </si>
  <si>
    <t>STLV0124294</t>
  </si>
  <si>
    <t>ISR10051314</t>
  </si>
  <si>
    <t>STLV0124298</t>
  </si>
  <si>
    <t>02022253534</t>
  </si>
  <si>
    <t>STLV0124299</t>
  </si>
  <si>
    <t>ISR10051318</t>
  </si>
  <si>
    <t>STLV0124305</t>
  </si>
  <si>
    <t>11463888440</t>
  </si>
  <si>
    <t>ISR10051320</t>
  </si>
  <si>
    <t>STLV0124306</t>
  </si>
  <si>
    <t>ISR10051321</t>
  </si>
  <si>
    <t>STLV0124307</t>
  </si>
  <si>
    <t>02022253512</t>
  </si>
  <si>
    <t>ISR10051322</t>
  </si>
  <si>
    <t>STLV0124308</t>
  </si>
  <si>
    <t>08038187461</t>
  </si>
  <si>
    <t>STLV0124313</t>
  </si>
  <si>
    <t>02022253523</t>
  </si>
  <si>
    <t>ISR10051327</t>
  </si>
  <si>
    <t>STLV0124314</t>
  </si>
  <si>
    <t>11463889265</t>
  </si>
  <si>
    <t>STLV0124315</t>
  </si>
  <si>
    <t>28124905650</t>
  </si>
  <si>
    <t>ISR10051329</t>
  </si>
  <si>
    <t>STLV0124320</t>
  </si>
  <si>
    <t>61566487142</t>
  </si>
  <si>
    <t>ISR10051330</t>
  </si>
  <si>
    <t>STLV0124321</t>
  </si>
  <si>
    <t>11463889276</t>
  </si>
  <si>
    <t>STLV0124323</t>
  </si>
  <si>
    <t>11463889383</t>
  </si>
  <si>
    <t>ISR10051333</t>
  </si>
  <si>
    <t>STLV0124324</t>
  </si>
  <si>
    <t>11463889280</t>
  </si>
  <si>
    <t>ISR10051334</t>
  </si>
  <si>
    <t>STLV0124325</t>
  </si>
  <si>
    <t>11463889291</t>
  </si>
  <si>
    <t>ISR10051335</t>
  </si>
  <si>
    <t>STLV0124326</t>
  </si>
  <si>
    <t>01609642253</t>
  </si>
  <si>
    <t>ISR10051336</t>
  </si>
  <si>
    <t>STLV0124333</t>
  </si>
  <si>
    <t>09877104020</t>
  </si>
  <si>
    <t>ISR10051338</t>
  </si>
  <si>
    <t>STLV0124336</t>
  </si>
  <si>
    <t>69555923195</t>
  </si>
  <si>
    <t>ISR10051341</t>
  </si>
  <si>
    <t>STLV0124337</t>
  </si>
  <si>
    <t>72475292280</t>
  </si>
  <si>
    <t>ISR10051342</t>
  </si>
  <si>
    <t>STLV0124357</t>
  </si>
  <si>
    <t>SEGOT</t>
  </si>
  <si>
    <t>02022253560</t>
  </si>
  <si>
    <t>ISR10051344</t>
  </si>
  <si>
    <t>A2680298-A2680299</t>
  </si>
  <si>
    <t>STLV0124360</t>
  </si>
  <si>
    <t>02022253545</t>
  </si>
  <si>
    <t>ISR10051345</t>
  </si>
  <si>
    <t>STLV0124361</t>
  </si>
  <si>
    <t>11463889302</t>
  </si>
  <si>
    <t>STLV0124363</t>
  </si>
  <si>
    <t>ISR10051347</t>
  </si>
  <si>
    <t>STLV0124374</t>
  </si>
  <si>
    <t>02022253556</t>
  </si>
  <si>
    <t>ISR10051348</t>
  </si>
  <si>
    <t>STLV0124379</t>
  </si>
  <si>
    <t>ISR10051350</t>
  </si>
  <si>
    <t>STLV0124389</t>
  </si>
  <si>
    <t>02022253582</t>
  </si>
  <si>
    <t>ISR10051352</t>
  </si>
  <si>
    <t>STLV0124390</t>
  </si>
  <si>
    <t>ISR10051353</t>
  </si>
  <si>
    <t>STLV0124393</t>
  </si>
  <si>
    <t>01437618604</t>
  </si>
  <si>
    <t>ISR10051354</t>
  </si>
  <si>
    <t>STLV0124405</t>
  </si>
  <si>
    <t>ISR10051355</t>
  </si>
  <si>
    <t>STLV0124450</t>
  </si>
  <si>
    <t>01437622900</t>
  </si>
  <si>
    <t>ISR10051356</t>
  </si>
  <si>
    <t>STLV0124463</t>
  </si>
  <si>
    <t>01636223401</t>
  </si>
  <si>
    <t>STLV0124465</t>
  </si>
  <si>
    <t>ISR10051361</t>
  </si>
  <si>
    <t>STLV0124477</t>
  </si>
  <si>
    <t>ISR10051369</t>
  </si>
  <si>
    <t>STLV0124480</t>
  </si>
  <si>
    <t>11463889324</t>
  </si>
  <si>
    <t>ISR10051372</t>
  </si>
  <si>
    <t>STLV0124481</t>
  </si>
  <si>
    <t>01636223176</t>
  </si>
  <si>
    <t>ISR10051373</t>
  </si>
  <si>
    <t>STLV0124483</t>
  </si>
  <si>
    <t>ISR10051374</t>
  </si>
  <si>
    <t>STLV0124484</t>
  </si>
  <si>
    <t>11463889350</t>
  </si>
  <si>
    <t>ISR10051375</t>
  </si>
  <si>
    <t>STLV0124485</t>
  </si>
  <si>
    <t>ISR10051376</t>
  </si>
  <si>
    <t>STLV0124504</t>
  </si>
  <si>
    <t>28124905661</t>
  </si>
  <si>
    <t>ISR10051377</t>
  </si>
  <si>
    <t>STLV0124513</t>
  </si>
  <si>
    <t>11463889335</t>
  </si>
  <si>
    <t>ISR10051379</t>
  </si>
  <si>
    <t>STLV0124514</t>
  </si>
  <si>
    <t>11463888893</t>
  </si>
  <si>
    <t>ISR10051380</t>
  </si>
  <si>
    <t>STLV0124515</t>
  </si>
  <si>
    <t>61566487186</t>
  </si>
  <si>
    <t>ISR10051381</t>
  </si>
  <si>
    <t>STLV0124516</t>
  </si>
  <si>
    <t>ISR10051382</t>
  </si>
  <si>
    <t>STLV0124517</t>
  </si>
  <si>
    <t>61566487190</t>
  </si>
  <si>
    <t>ISR10051383</t>
  </si>
  <si>
    <t>STLV0124520</t>
  </si>
  <si>
    <t>61566487175</t>
  </si>
  <si>
    <t>ISR10051384</t>
  </si>
  <si>
    <t>STLV0124523</t>
  </si>
  <si>
    <t>61566487164</t>
  </si>
  <si>
    <t>ISR10051386</t>
  </si>
  <si>
    <t>STLV0124527</t>
  </si>
  <si>
    <t>DOSDQ</t>
  </si>
  <si>
    <t>99614389023</t>
  </si>
  <si>
    <t>ISR10051388</t>
  </si>
  <si>
    <t>STLV0124528</t>
  </si>
  <si>
    <t>61566487153</t>
  </si>
  <si>
    <t>ISR10051389</t>
  </si>
  <si>
    <t>STLV0124531</t>
  </si>
  <si>
    <t>ISR10051391</t>
  </si>
  <si>
    <t>STLV0124532</t>
  </si>
  <si>
    <t>ISR10051392</t>
  </si>
  <si>
    <t>STLV0124539</t>
  </si>
  <si>
    <t>ISR10051394</t>
  </si>
  <si>
    <t>STLV0124546</t>
  </si>
  <si>
    <t>ISR10051398</t>
  </si>
  <si>
    <t>STLV0124547</t>
  </si>
  <si>
    <t>KENBO</t>
  </si>
  <si>
    <t>07160188435</t>
  </si>
  <si>
    <t>ISR10051399</t>
  </si>
  <si>
    <t>STLV0124550</t>
  </si>
  <si>
    <t>00638681834</t>
  </si>
  <si>
    <t>ISR10051400</t>
  </si>
  <si>
    <t>STLV0124551</t>
  </si>
  <si>
    <t>01636223471</t>
  </si>
  <si>
    <t>ISR10051401</t>
  </si>
  <si>
    <t>STLV0124556</t>
  </si>
  <si>
    <t>ISR10051405</t>
  </si>
  <si>
    <t>STLV0124557</t>
  </si>
  <si>
    <t>ISR10051406</t>
  </si>
  <si>
    <t>STLV0124562</t>
  </si>
  <si>
    <t>01636223456</t>
  </si>
  <si>
    <t>ISR10051408</t>
  </si>
  <si>
    <t>STLV0124563</t>
  </si>
  <si>
    <t>50120082974</t>
  </si>
  <si>
    <t>ISR10051409</t>
  </si>
  <si>
    <t>STLV0124564</t>
  </si>
  <si>
    <t>ISR10051410</t>
  </si>
  <si>
    <t>STLV0124565</t>
  </si>
  <si>
    <t>ISR10051411</t>
  </si>
  <si>
    <t>STLV0124569</t>
  </si>
  <si>
    <t>ISR10051413</t>
  </si>
  <si>
    <t>STLV0124571</t>
  </si>
  <si>
    <t>ISR10051415</t>
  </si>
  <si>
    <t>STLV0124572</t>
  </si>
  <si>
    <t>61566487223</t>
  </si>
  <si>
    <t>ISR10051416</t>
  </si>
  <si>
    <t>STLV0124575</t>
  </si>
  <si>
    <t>01636223434</t>
  </si>
  <si>
    <t>STLV0124578</t>
  </si>
  <si>
    <t>14153502525</t>
  </si>
  <si>
    <t>ISR10051421</t>
  </si>
  <si>
    <t>STLV0124581</t>
  </si>
  <si>
    <t>11463889361</t>
  </si>
  <si>
    <t>ISR10051422</t>
  </si>
  <si>
    <t>STLV0124583</t>
  </si>
  <si>
    <t>01437622911</t>
  </si>
  <si>
    <t>ISR10051423</t>
  </si>
  <si>
    <t>STLV0124588</t>
  </si>
  <si>
    <t>11463889372</t>
  </si>
  <si>
    <t>STLV0124590</t>
  </si>
  <si>
    <t>60600533912</t>
  </si>
  <si>
    <t>ISR10051427</t>
  </si>
  <si>
    <t>STLV0124597</t>
  </si>
  <si>
    <t>ISR10051432</t>
  </si>
  <si>
    <t>STLV0124601</t>
  </si>
  <si>
    <t>61566487282</t>
  </si>
  <si>
    <t>ISR10051434</t>
  </si>
  <si>
    <t>STLV0124602</t>
  </si>
  <si>
    <t>ISR10051435</t>
  </si>
  <si>
    <t>STLV0124611</t>
  </si>
  <si>
    <t>ISR10051437</t>
  </si>
  <si>
    <t>STLV0124612</t>
  </si>
  <si>
    <t>ISR10051438</t>
  </si>
  <si>
    <t>STLV0124615</t>
  </si>
  <si>
    <t>ISR10051439</t>
  </si>
  <si>
    <t>STLV0124617</t>
  </si>
  <si>
    <t>ISR10051440</t>
  </si>
  <si>
    <t>STLV0124618</t>
  </si>
  <si>
    <t>70051238412</t>
  </si>
  <si>
    <t>ISR10051441</t>
  </si>
  <si>
    <t>STLV0124624</t>
  </si>
  <si>
    <t>STLV0124630</t>
  </si>
  <si>
    <t>ISR10051444</t>
  </si>
  <si>
    <t>STLV0124631</t>
  </si>
  <si>
    <t>75250012443</t>
  </si>
  <si>
    <t>ISR10051445</t>
  </si>
  <si>
    <t>STLV0124633</t>
  </si>
  <si>
    <t>61566487234</t>
  </si>
  <si>
    <t>STLV0124635</t>
  </si>
  <si>
    <t>07950741353</t>
  </si>
  <si>
    <t>ISR10051448</t>
  </si>
  <si>
    <t>STLV0124644</t>
  </si>
  <si>
    <t>02022253206</t>
  </si>
  <si>
    <t>ISR10051450</t>
  </si>
  <si>
    <t>STLV0124646</t>
  </si>
  <si>
    <t>11463884461</t>
  </si>
  <si>
    <t>ISR10051451</t>
  </si>
  <si>
    <t>STLV0124648</t>
  </si>
  <si>
    <t>ISR10051452</t>
  </si>
  <si>
    <t>STLV0124650</t>
  </si>
  <si>
    <t>ISR10051453</t>
  </si>
  <si>
    <t>STLV0124652</t>
  </si>
  <si>
    <t>01636223460</t>
  </si>
  <si>
    <t>ISR10051455</t>
  </si>
  <si>
    <t>STLV0124655</t>
  </si>
  <si>
    <t>ISR10051457</t>
  </si>
  <si>
    <t>STLV0124669</t>
  </si>
  <si>
    <t>28124905672</t>
  </si>
  <si>
    <t>ISR10051458</t>
  </si>
  <si>
    <t>STLV0124672</t>
  </si>
  <si>
    <t>ISR10051461</t>
  </si>
  <si>
    <t>STLV0124678</t>
  </si>
  <si>
    <t>ISR10051463</t>
  </si>
  <si>
    <t>STLV0124680</t>
  </si>
  <si>
    <t>ISR10051464</t>
  </si>
  <si>
    <t>STLV0124681</t>
  </si>
  <si>
    <t>LTVNO</t>
  </si>
  <si>
    <t>61566487212</t>
  </si>
  <si>
    <t>ISR10051465</t>
  </si>
  <si>
    <t>STLV0124684</t>
  </si>
  <si>
    <t>99614389093</t>
  </si>
  <si>
    <t>ISR10051468</t>
  </si>
  <si>
    <t>STLV0124686</t>
  </si>
  <si>
    <t>398885960991</t>
  </si>
  <si>
    <t>STLV0124687</t>
  </si>
  <si>
    <t>398887704110</t>
  </si>
  <si>
    <t>ISR10051471</t>
  </si>
  <si>
    <t>STLV0124695</t>
  </si>
  <si>
    <t>70051238434</t>
  </si>
  <si>
    <t>ISR10051472</t>
  </si>
  <si>
    <t>STLV0124698</t>
  </si>
  <si>
    <t>02001993202</t>
  </si>
  <si>
    <t>STLV0124715</t>
  </si>
  <si>
    <t>ISR10051476</t>
  </si>
  <si>
    <t>STLV0124718</t>
  </si>
  <si>
    <t>11463889313</t>
  </si>
  <si>
    <t>ISR10051477</t>
  </si>
  <si>
    <t>STLV0124720</t>
  </si>
  <si>
    <t>01636223423</t>
  </si>
  <si>
    <t>ISR10051478</t>
  </si>
  <si>
    <t>STLV0124801</t>
  </si>
  <si>
    <t>11463889394</t>
  </si>
  <si>
    <t>ISR10051479</t>
  </si>
  <si>
    <t>STLV0125271</t>
  </si>
  <si>
    <t>11463889405</t>
  </si>
  <si>
    <t>ISR10051480</t>
  </si>
  <si>
    <t>STLV0125281</t>
  </si>
  <si>
    <t>ISR10051482</t>
  </si>
  <si>
    <t>STLV0125282</t>
  </si>
  <si>
    <t>01437622922</t>
  </si>
  <si>
    <t>ISR10051483</t>
  </si>
  <si>
    <t>STLV0125283</t>
  </si>
  <si>
    <t>ISR10051484</t>
  </si>
  <si>
    <t>STLV0125338</t>
  </si>
  <si>
    <t>02022253593</t>
  </si>
  <si>
    <t>ISR10051486</t>
  </si>
  <si>
    <t>STLV0125340</t>
  </si>
  <si>
    <t>01636223504</t>
  </si>
  <si>
    <t>ISR10051487</t>
  </si>
  <si>
    <t>STLV0125341</t>
  </si>
  <si>
    <t>ISR10051488</t>
  </si>
  <si>
    <t>STLV0125343</t>
  </si>
  <si>
    <t>11463889420</t>
  </si>
  <si>
    <t>ISR10051489</t>
  </si>
  <si>
    <t>STLV0125355</t>
  </si>
  <si>
    <t>11463889416</t>
  </si>
  <si>
    <t>ISR10051493</t>
  </si>
  <si>
    <t>STLV0125399</t>
  </si>
  <si>
    <t>00638681860</t>
  </si>
  <si>
    <t>ISR10051506</t>
  </si>
  <si>
    <t>STLV0125403</t>
  </si>
  <si>
    <t>02022253825</t>
  </si>
  <si>
    <t>ISR10051507</t>
  </si>
  <si>
    <t>STLV0125484</t>
  </si>
  <si>
    <t>ISR10051509</t>
  </si>
  <si>
    <t>STLV0125494</t>
  </si>
  <si>
    <t>61566487201</t>
  </si>
  <si>
    <t>ISR10051510</t>
  </si>
  <si>
    <t>DEHAG</t>
  </si>
  <si>
    <t>STLV0125495</t>
  </si>
  <si>
    <t>01437614662</t>
  </si>
  <si>
    <t>ISR10051511</t>
  </si>
  <si>
    <t>STLV0125500</t>
  </si>
  <si>
    <t>16083499426</t>
  </si>
  <si>
    <t>ISR10051513</t>
  </si>
  <si>
    <t>STLV0125514</t>
  </si>
  <si>
    <t>ISR10051514</t>
  </si>
  <si>
    <t>STLV0125515</t>
  </si>
  <si>
    <t>01636223482</t>
  </si>
  <si>
    <t>ISR10051515</t>
  </si>
  <si>
    <t>STLV0125549</t>
  </si>
  <si>
    <t>48830123273</t>
  </si>
  <si>
    <t>STLV0125597</t>
  </si>
  <si>
    <t>DEKSF</t>
  </si>
  <si>
    <t>11463889615</t>
  </si>
  <si>
    <t>ISR10051521</t>
  </si>
  <si>
    <t>STLV0125602</t>
  </si>
  <si>
    <t>ISR10051522</t>
  </si>
  <si>
    <t>STLV0125605</t>
  </si>
  <si>
    <t>NGLOS</t>
  </si>
  <si>
    <t>61566487245</t>
  </si>
  <si>
    <t>STLV0125606</t>
  </si>
  <si>
    <t>01636223515</t>
  </si>
  <si>
    <t>ISR10051525</t>
  </si>
  <si>
    <t>STLV0125611</t>
  </si>
  <si>
    <t>39099596840</t>
  </si>
  <si>
    <t>ISR10051528</t>
  </si>
  <si>
    <t>STLV0125618</t>
  </si>
  <si>
    <t>11463889442</t>
  </si>
  <si>
    <t>STLV0125626</t>
  </si>
  <si>
    <t>11463889453</t>
  </si>
  <si>
    <t>ISR10051532</t>
  </si>
  <si>
    <t>STLV0125630</t>
  </si>
  <si>
    <t>02022253630</t>
  </si>
  <si>
    <t>ISR10051534</t>
  </si>
  <si>
    <t>STLV0125631</t>
  </si>
  <si>
    <t>ISR10051535</t>
  </si>
  <si>
    <t>STLV0125632</t>
  </si>
  <si>
    <t>02022253626</t>
  </si>
  <si>
    <t>ISR10051536</t>
  </si>
  <si>
    <t>STLV0125640</t>
  </si>
  <si>
    <t>ISR10051539</t>
  </si>
  <si>
    <t>STLV0125648</t>
  </si>
  <si>
    <t>ISR10051540</t>
  </si>
  <si>
    <t>STLV0125651</t>
  </si>
  <si>
    <t>11463889464</t>
  </si>
  <si>
    <t>STLV0125653</t>
  </si>
  <si>
    <t>60753066425</t>
  </si>
  <si>
    <t>ISR10051544</t>
  </si>
  <si>
    <t>STLV0125706</t>
  </si>
  <si>
    <t>11463889486</t>
  </si>
  <si>
    <t>ISR10051550</t>
  </si>
  <si>
    <t>STLV0125707</t>
  </si>
  <si>
    <t>70051238445</t>
  </si>
  <si>
    <t>ISR10051551</t>
  </si>
  <si>
    <t>STLV0125709</t>
  </si>
  <si>
    <t>02022253615</t>
  </si>
  <si>
    <t>ISR10051553</t>
  </si>
  <si>
    <t>STLV0125711</t>
  </si>
  <si>
    <t>02022253663</t>
  </si>
  <si>
    <t>ISR10051555</t>
  </si>
  <si>
    <t>STLV0125717</t>
  </si>
  <si>
    <t>05700627163</t>
  </si>
  <si>
    <t>ISR10051559</t>
  </si>
  <si>
    <t>STLV0125719</t>
  </si>
  <si>
    <t>05701025533</t>
  </si>
  <si>
    <t>ISR10051561</t>
  </si>
  <si>
    <t>STLV0125720</t>
  </si>
  <si>
    <t>02001061815</t>
  </si>
  <si>
    <t>ISR10051562</t>
  </si>
  <si>
    <t>STLV0125722</t>
  </si>
  <si>
    <t>02001061830</t>
  </si>
  <si>
    <t>ISR10051564</t>
  </si>
  <si>
    <t>STLV0125727</t>
  </si>
  <si>
    <t>02001061841</t>
  </si>
  <si>
    <t>ISR10051566</t>
  </si>
  <si>
    <t>STLV0125730</t>
  </si>
  <si>
    <t>02022253674</t>
  </si>
  <si>
    <t>ISR10051568</t>
  </si>
  <si>
    <t>STLV0125735</t>
  </si>
  <si>
    <t>02022253700</t>
  </si>
  <si>
    <t>ISR10051569</t>
  </si>
  <si>
    <t>STLV0125738</t>
  </si>
  <si>
    <t>ISR10051572</t>
  </si>
  <si>
    <t>STLV0125742</t>
  </si>
  <si>
    <t>99614389222</t>
  </si>
  <si>
    <t>ISR10051575</t>
  </si>
  <si>
    <t>STLV0125747</t>
  </si>
  <si>
    <t>00638681871</t>
  </si>
  <si>
    <t>ISR10051577</t>
  </si>
  <si>
    <t>STLV0125748</t>
  </si>
  <si>
    <t>09877104311</t>
  </si>
  <si>
    <t>ISR10051578</t>
  </si>
  <si>
    <t>STLV0125749</t>
  </si>
  <si>
    <t>ISR10051579</t>
  </si>
  <si>
    <t>STLV0125753</t>
  </si>
  <si>
    <t>02022253685</t>
  </si>
  <si>
    <t>ISR10051581</t>
  </si>
  <si>
    <t>STLV0125755</t>
  </si>
  <si>
    <t>61566501680</t>
  </si>
  <si>
    <t>LGD00794338</t>
  </si>
  <si>
    <t>STLV0125756</t>
  </si>
  <si>
    <t>ISR10051584</t>
  </si>
  <si>
    <t>STLV0125763</t>
  </si>
  <si>
    <t>61566487256</t>
  </si>
  <si>
    <t>ISR10051585</t>
  </si>
  <si>
    <t>STLV0125765</t>
  </si>
  <si>
    <t>02022253696</t>
  </si>
  <si>
    <t>ISR10051586</t>
  </si>
  <si>
    <t>STLV0125784</t>
  </si>
  <si>
    <t>50120084013</t>
  </si>
  <si>
    <t>STLV0125786</t>
  </si>
  <si>
    <t>02022253711</t>
  </si>
  <si>
    <t>ISR10051590</t>
  </si>
  <si>
    <t>801023574</t>
  </si>
  <si>
    <t>STLV0125791</t>
  </si>
  <si>
    <t>11463889501</t>
  </si>
  <si>
    <t>STLV0125792</t>
  </si>
  <si>
    <t>ISR10051595</t>
  </si>
  <si>
    <t>STLV0125794</t>
  </si>
  <si>
    <t>02022253722</t>
  </si>
  <si>
    <t>ISR10051596</t>
  </si>
  <si>
    <t>STLV0125802</t>
  </si>
  <si>
    <t>ISR10051601</t>
  </si>
  <si>
    <t>STLV0126064</t>
  </si>
  <si>
    <t>02002752352</t>
  </si>
  <si>
    <t>ISR10051605</t>
  </si>
  <si>
    <t>STLV0126065</t>
  </si>
  <si>
    <t>ISR10051606</t>
  </si>
  <si>
    <t>STLV0126066</t>
  </si>
  <si>
    <t>ISR10051607</t>
  </si>
  <si>
    <t>STLV0126067</t>
  </si>
  <si>
    <t>ISR10051608</t>
  </si>
  <si>
    <t>STLV0126069</t>
  </si>
  <si>
    <t>02022253744</t>
  </si>
  <si>
    <t>ISR10051609</t>
  </si>
  <si>
    <t>STLV0126072</t>
  </si>
  <si>
    <t>ISR10051611</t>
  </si>
  <si>
    <t>STLV0126073</t>
  </si>
  <si>
    <t>01636223585</t>
  </si>
  <si>
    <t>ISR10051612</t>
  </si>
  <si>
    <t>STLV0126076</t>
  </si>
  <si>
    <t>21707891262</t>
  </si>
  <si>
    <t>ISR10051615</t>
  </si>
  <si>
    <t>STLV0126078</t>
  </si>
  <si>
    <t>70051238460</t>
  </si>
  <si>
    <t>ISR10051616</t>
  </si>
  <si>
    <t>STLV0126119</t>
  </si>
  <si>
    <t>01437622933</t>
  </si>
  <si>
    <t>ISR10051618</t>
  </si>
  <si>
    <t>STLV0126120</t>
  </si>
  <si>
    <t>ISR10051619</t>
  </si>
  <si>
    <t>STLV0126122</t>
  </si>
  <si>
    <t>02022253733</t>
  </si>
  <si>
    <t>ISR10051621</t>
  </si>
  <si>
    <t>STLV0126125</t>
  </si>
  <si>
    <t>ISR10051624</t>
  </si>
  <si>
    <t>STLV0126126</t>
  </si>
  <si>
    <t>ISR10051625</t>
  </si>
  <si>
    <t>STLV0126136</t>
  </si>
  <si>
    <t>ISR10051632</t>
  </si>
  <si>
    <t>STLV0126145</t>
  </si>
  <si>
    <t>60753067560</t>
  </si>
  <si>
    <t>ISR10051633</t>
  </si>
  <si>
    <t>STLV0126149</t>
  </si>
  <si>
    <t>ISR10051637</t>
  </si>
  <si>
    <t>STLV0126151</t>
  </si>
  <si>
    <t>ISR10051638</t>
  </si>
  <si>
    <t>STLV0126152</t>
  </si>
  <si>
    <t>01636223526</t>
  </si>
  <si>
    <t>ISR10051639</t>
  </si>
  <si>
    <t>STLV0126157</t>
  </si>
  <si>
    <t>ISR10051640</t>
  </si>
  <si>
    <t>STLV0126158</t>
  </si>
  <si>
    <t>11463889534</t>
  </si>
  <si>
    <t>STLV0126159</t>
  </si>
  <si>
    <t>ISR10051642</t>
  </si>
  <si>
    <t>STLV0126164</t>
  </si>
  <si>
    <t>ISR10051644</t>
  </si>
  <si>
    <t>STLV0126165</t>
  </si>
  <si>
    <t>02022253766</t>
  </si>
  <si>
    <t>ISR10051645</t>
  </si>
  <si>
    <t>STLV0126167</t>
  </si>
  <si>
    <t>28124905683</t>
  </si>
  <si>
    <t>ISR10051647</t>
  </si>
  <si>
    <t>STLV0126168</t>
  </si>
  <si>
    <t>02022253770</t>
  </si>
  <si>
    <t>ISR10051648</t>
  </si>
  <si>
    <t>STLV0126172</t>
  </si>
  <si>
    <t>TZDAR</t>
  </si>
  <si>
    <t>07160188461</t>
  </si>
  <si>
    <t>ISR10051652</t>
  </si>
  <si>
    <t>STLV0126173</t>
  </si>
  <si>
    <t>02022253755</t>
  </si>
  <si>
    <t>ISR10051653</t>
  </si>
  <si>
    <t>STLV0126175</t>
  </si>
  <si>
    <t>21707891273</t>
  </si>
  <si>
    <t>ISR10051655</t>
  </si>
  <si>
    <t>STLV0126177</t>
  </si>
  <si>
    <t>11463889556</t>
  </si>
  <si>
    <t>ISR10051656</t>
  </si>
  <si>
    <t>STLV0126179</t>
  </si>
  <si>
    <t>11463884472</t>
  </si>
  <si>
    <t>ISR10051658</t>
  </si>
  <si>
    <t>+</t>
  </si>
  <si>
    <t>STLV0126180</t>
  </si>
  <si>
    <t>60753067571</t>
  </si>
  <si>
    <t>ISR10051659</t>
  </si>
  <si>
    <t>STLV0126181</t>
  </si>
  <si>
    <t>08038187542</t>
  </si>
  <si>
    <t>ISR10051660</t>
  </si>
  <si>
    <t>STLV0126185</t>
  </si>
  <si>
    <t>02022253792</t>
  </si>
  <si>
    <t>ISR10051661</t>
  </si>
  <si>
    <t>STLV0126186</t>
  </si>
  <si>
    <t>01609641925</t>
  </si>
  <si>
    <t>ISR10051662</t>
  </si>
  <si>
    <t>STLV0126187</t>
  </si>
  <si>
    <t>05702652510</t>
  </si>
  <si>
    <t>STLV0126190</t>
  </si>
  <si>
    <t>ISR10051666</t>
  </si>
  <si>
    <t>STLV0126191</t>
  </si>
  <si>
    <t>BHBAH</t>
  </si>
  <si>
    <t>ISR10051667</t>
  </si>
  <si>
    <t>STLV0126192</t>
  </si>
  <si>
    <t>ISR10051668</t>
  </si>
  <si>
    <t>STLV0126193</t>
  </si>
  <si>
    <t>ISR10051669</t>
  </si>
  <si>
    <t>STLV0126194</t>
  </si>
  <si>
    <t>DEBER</t>
  </si>
  <si>
    <t>ISR10051670</t>
  </si>
  <si>
    <t>STLV0126196</t>
  </si>
  <si>
    <t>61566487260</t>
  </si>
  <si>
    <t>ISR10051671</t>
  </si>
  <si>
    <t>STLV0126199</t>
  </si>
  <si>
    <t>ISR10051673</t>
  </si>
  <si>
    <t>STLV0126200</t>
  </si>
  <si>
    <t>UGEBB</t>
  </si>
  <si>
    <t>07160188564</t>
  </si>
  <si>
    <t>ISR10051674</t>
  </si>
  <si>
    <t>STLV0126201</t>
  </si>
  <si>
    <t>02022253781</t>
  </si>
  <si>
    <t>ISR10051675</t>
  </si>
  <si>
    <t>STLV0126204</t>
  </si>
  <si>
    <t>11463889560</t>
  </si>
  <si>
    <t>ISR10051678</t>
  </si>
  <si>
    <t>STLV0126236</t>
  </si>
  <si>
    <t>ISR10051681</t>
  </si>
  <si>
    <t>STLV0126248</t>
  </si>
  <si>
    <t>61566487271</t>
  </si>
  <si>
    <t>STLV0126253</t>
  </si>
  <si>
    <t>11463889571</t>
  </si>
  <si>
    <t>STLV0126258</t>
  </si>
  <si>
    <t>01636223530</t>
  </si>
  <si>
    <t>ISR10051691</t>
  </si>
  <si>
    <t>STLV0126262</t>
  </si>
  <si>
    <t>11463889582</t>
  </si>
  <si>
    <t>STLV0126269</t>
  </si>
  <si>
    <t>02022253803</t>
  </si>
  <si>
    <t>ISR10051695</t>
  </si>
  <si>
    <t>STLV0126272</t>
  </si>
  <si>
    <t>ISR10051697</t>
  </si>
  <si>
    <t>STLV0126274</t>
  </si>
  <si>
    <t>ISR10051698</t>
  </si>
  <si>
    <t>STLV0126275</t>
  </si>
  <si>
    <t>28124906221</t>
  </si>
  <si>
    <t>ISR10051699</t>
  </si>
  <si>
    <t>STLV0126294</t>
  </si>
  <si>
    <t>11463889593</t>
  </si>
  <si>
    <t>ISR10051703</t>
  </si>
  <si>
    <t>STLV0126297</t>
  </si>
  <si>
    <t>28124905694</t>
  </si>
  <si>
    <t>ISR10051705</t>
  </si>
  <si>
    <t>STLV0126302</t>
  </si>
  <si>
    <t>53502466</t>
  </si>
  <si>
    <t>ISR10051709</t>
  </si>
  <si>
    <t>STLV0126303</t>
  </si>
  <si>
    <t>ISR10051710</t>
  </si>
  <si>
    <t>STLV0126307</t>
  </si>
  <si>
    <t>05703352285</t>
  </si>
  <si>
    <t>STLV0126308</t>
  </si>
  <si>
    <t>01437622955</t>
  </si>
  <si>
    <t>ISR10051713</t>
  </si>
  <si>
    <t>STLV0126309</t>
  </si>
  <si>
    <t>70051238670</t>
  </si>
  <si>
    <t>ISR10051714</t>
  </si>
  <si>
    <t>STLV0126310</t>
  </si>
  <si>
    <t>ISR10051715</t>
  </si>
  <si>
    <t>STLV0126312</t>
  </si>
  <si>
    <t>ISR10051716</t>
  </si>
  <si>
    <t>STLV0126313</t>
  </si>
  <si>
    <t>ISR10051717</t>
  </si>
  <si>
    <t>STLV0126314</t>
  </si>
  <si>
    <t>ISR10051718</t>
  </si>
  <si>
    <t>STLV0126315</t>
  </si>
  <si>
    <t>70051238585</t>
  </si>
  <si>
    <t>ISR10051719</t>
  </si>
  <si>
    <t>STLV0126341</t>
  </si>
  <si>
    <t>11463889604</t>
  </si>
  <si>
    <t>ISR10051727</t>
  </si>
  <si>
    <t>STLV0126349</t>
  </si>
  <si>
    <t>02022253814</t>
  </si>
  <si>
    <t>ISR10051730</t>
  </si>
  <si>
    <t>STLV0126358</t>
  </si>
  <si>
    <t>ISR10051736</t>
  </si>
  <si>
    <t>STLV0126359</t>
  </si>
  <si>
    <t>99614389336</t>
  </si>
  <si>
    <t>ISR10051737</t>
  </si>
  <si>
    <t>STLV0126370</t>
  </si>
  <si>
    <t>ISR10051744</t>
  </si>
  <si>
    <t>STLV0126371</t>
  </si>
  <si>
    <t>ISR10051745</t>
  </si>
  <si>
    <t>STLV0126372</t>
  </si>
  <si>
    <t>ISR10051746</t>
  </si>
  <si>
    <t>STLV0126374</t>
  </si>
  <si>
    <t>ISR10051747</t>
  </si>
  <si>
    <t>STLV0126377</t>
  </si>
  <si>
    <t>16083499404</t>
  </si>
  <si>
    <t>ISR10051749</t>
  </si>
  <si>
    <t>STLV0126386</t>
  </si>
  <si>
    <t>ISR10051752</t>
  </si>
  <si>
    <t>STLV0126390</t>
  </si>
  <si>
    <t>ISR10051753</t>
  </si>
  <si>
    <t>DEKAS</t>
  </si>
  <si>
    <t>STLV0126391</t>
  </si>
  <si>
    <t>70051238526</t>
  </si>
  <si>
    <t>ISR10051754</t>
  </si>
  <si>
    <t>STLV0126486</t>
  </si>
  <si>
    <t>99614389266</t>
  </si>
  <si>
    <t>ISR10051756</t>
  </si>
  <si>
    <t>STLV0126490</t>
  </si>
  <si>
    <t>CNXMN</t>
  </si>
  <si>
    <t>16083499220</t>
  </si>
  <si>
    <t>ISR10051758</t>
  </si>
  <si>
    <t>STLV0126499</t>
  </si>
  <si>
    <t>01636223596</t>
  </si>
  <si>
    <t>ISR10051760</t>
  </si>
  <si>
    <t>STLV0126500</t>
  </si>
  <si>
    <t>ISR10051761</t>
  </si>
  <si>
    <t>STLV0126501</t>
  </si>
  <si>
    <t>ISR10051762</t>
  </si>
  <si>
    <t>STLV0126503</t>
  </si>
  <si>
    <t>01636223574</t>
  </si>
  <si>
    <t>ISR10051763</t>
  </si>
  <si>
    <t>STLV0126504</t>
  </si>
  <si>
    <t>11463889980</t>
  </si>
  <si>
    <t>STLV0126505</t>
  </si>
  <si>
    <t>02022253836</t>
  </si>
  <si>
    <t>ISR10051765</t>
  </si>
  <si>
    <t>STLV0126508</t>
  </si>
  <si>
    <t>11463889630</t>
  </si>
  <si>
    <t>ISR10051766</t>
  </si>
  <si>
    <t>STLV0126509</t>
  </si>
  <si>
    <t>60753067582</t>
  </si>
  <si>
    <t>ISR10051767</t>
  </si>
  <si>
    <t>STLV0126511</t>
  </si>
  <si>
    <t>ISR10051769</t>
  </si>
  <si>
    <t>STLV0126512</t>
  </si>
  <si>
    <t>01636223563</t>
  </si>
  <si>
    <t>ISR10051770</t>
  </si>
  <si>
    <t>STLV0126513</t>
  </si>
  <si>
    <t>ISR10051771</t>
  </si>
  <si>
    <t>STLV0126514</t>
  </si>
  <si>
    <t>70051238666</t>
  </si>
  <si>
    <t>ISR10051772</t>
  </si>
  <si>
    <t>STLV0126518</t>
  </si>
  <si>
    <t>ISR10051776</t>
  </si>
  <si>
    <t>STLV0126520</t>
  </si>
  <si>
    <t>ISR10051778</t>
  </si>
  <si>
    <t>STLV0126524</t>
  </si>
  <si>
    <t>ISR10051780</t>
  </si>
  <si>
    <t>STLV0126529</t>
  </si>
  <si>
    <t>08038187590</t>
  </si>
  <si>
    <t>ISR10051781</t>
  </si>
  <si>
    <t>STLV0126560</t>
  </si>
  <si>
    <t>02022253862</t>
  </si>
  <si>
    <t>ISR10051782</t>
  </si>
  <si>
    <t>STLV0126561</t>
  </si>
  <si>
    <t>ISR10051783</t>
  </si>
  <si>
    <t>STLV0126562</t>
  </si>
  <si>
    <t>05700887434</t>
  </si>
  <si>
    <t>ISR10051784</t>
  </si>
  <si>
    <t>STLV0126564</t>
  </si>
  <si>
    <t>INCCU</t>
  </si>
  <si>
    <t>75250012491</t>
  </si>
  <si>
    <t>ISR10051785</t>
  </si>
  <si>
    <t>STLV0126566</t>
  </si>
  <si>
    <t>14153508976</t>
  </si>
  <si>
    <t>ISR10051787</t>
  </si>
  <si>
    <t>STLV0126569</t>
  </si>
  <si>
    <t>PAPTY</t>
  </si>
  <si>
    <t>99614389362</t>
  </si>
  <si>
    <t>ISR10051790</t>
  </si>
  <si>
    <t>STLV0126574</t>
  </si>
  <si>
    <t>01636223600</t>
  </si>
  <si>
    <t>ISR10051791</t>
  </si>
  <si>
    <t>STLV0126575</t>
  </si>
  <si>
    <t>01676184640</t>
  </si>
  <si>
    <t>ISR10051792</t>
  </si>
  <si>
    <t>STLV0126576</t>
  </si>
  <si>
    <t>ISR10051793</t>
  </si>
  <si>
    <t>STLV0126583</t>
  </si>
  <si>
    <t>ISR10051796</t>
  </si>
  <si>
    <t>STLV0126584</t>
  </si>
  <si>
    <t>ISR10051797</t>
  </si>
  <si>
    <t>STLV0126587</t>
  </si>
  <si>
    <t>ISR10051798</t>
  </si>
  <si>
    <t>STLV0126589</t>
  </si>
  <si>
    <t>02022253851</t>
  </si>
  <si>
    <t>ISR10051800</t>
  </si>
  <si>
    <t>STLV0126594</t>
  </si>
  <si>
    <t>ISR10051801</t>
  </si>
  <si>
    <t>STLV0126595</t>
  </si>
  <si>
    <t>11463889641</t>
  </si>
  <si>
    <t>STLV0126596</t>
  </si>
  <si>
    <t>ISR10051803</t>
  </si>
  <si>
    <t>STLV0126598</t>
  </si>
  <si>
    <t>ISR10051804</t>
  </si>
  <si>
    <t>STLV0126599</t>
  </si>
  <si>
    <t>ISR10051805</t>
  </si>
  <si>
    <t>STLV0126601</t>
  </si>
  <si>
    <t>ISR10051807</t>
  </si>
  <si>
    <t>STLV0126602</t>
  </si>
  <si>
    <t>69555923254</t>
  </si>
  <si>
    <t>ISR10051808</t>
  </si>
  <si>
    <t>STLV0126604</t>
  </si>
  <si>
    <t>39099596851</t>
  </si>
  <si>
    <t>ISR10051810</t>
  </si>
  <si>
    <t>STLV0126610</t>
  </si>
  <si>
    <t>ISR10051814</t>
  </si>
  <si>
    <t>STLV0126611</t>
  </si>
  <si>
    <t>21707902123</t>
  </si>
  <si>
    <t>ISR10051815</t>
  </si>
  <si>
    <t>STLV0126612</t>
  </si>
  <si>
    <t>09877104650</t>
  </si>
  <si>
    <t>ISR10051816</t>
  </si>
  <si>
    <t>STLV0126617</t>
  </si>
  <si>
    <t>ISR10051820</t>
  </si>
  <si>
    <t>STLV0126625</t>
  </si>
  <si>
    <t>11463889652</t>
  </si>
  <si>
    <t>STLV0126629</t>
  </si>
  <si>
    <t>ISR10051827</t>
  </si>
  <si>
    <t>STLV0126636</t>
  </si>
  <si>
    <t>01636223611</t>
  </si>
  <si>
    <t>ISR10051830</t>
  </si>
  <si>
    <t>STLV0126651</t>
  </si>
  <si>
    <t>ISR10051833</t>
  </si>
  <si>
    <t>STLV0126659</t>
  </si>
  <si>
    <t>70051238471</t>
  </si>
  <si>
    <t>ISR10051836</t>
  </si>
  <si>
    <t>STLV0126660</t>
  </si>
  <si>
    <t>72991358153</t>
  </si>
  <si>
    <t>STLV0126661</t>
  </si>
  <si>
    <t>11463889663</t>
  </si>
  <si>
    <t>ISR10051838</t>
  </si>
  <si>
    <t>STLV0126669</t>
  </si>
  <si>
    <t>02022253906</t>
  </si>
  <si>
    <t>ISR10051841</t>
  </si>
  <si>
    <t>STLV0126670</t>
  </si>
  <si>
    <t>70051238482</t>
  </si>
  <si>
    <t>STLV0126676</t>
  </si>
  <si>
    <t>ISR10051848</t>
  </si>
  <si>
    <t>STLV0126677</t>
  </si>
  <si>
    <t>ISR10051849</t>
  </si>
  <si>
    <t>STLV0126678</t>
  </si>
  <si>
    <t>01437622966</t>
  </si>
  <si>
    <t>ISR10051850</t>
  </si>
  <si>
    <t>STLV0126680</t>
  </si>
  <si>
    <t>02022253910</t>
  </si>
  <si>
    <t>ISR10051852</t>
  </si>
  <si>
    <t>STLV0126685</t>
  </si>
  <si>
    <t>70051238655</t>
  </si>
  <si>
    <t>ISR10051857</t>
  </si>
  <si>
    <t>STLV0126688</t>
  </si>
  <si>
    <t>ISR10051858</t>
  </si>
  <si>
    <t>STLV0126689</t>
  </si>
  <si>
    <t>ISR10051859</t>
  </si>
  <si>
    <t>STLV0126694</t>
  </si>
  <si>
    <t>09877104683</t>
  </si>
  <si>
    <t>ISR10051865</t>
  </si>
  <si>
    <t>STLV0126696</t>
  </si>
  <si>
    <t>ISR10051867</t>
  </si>
  <si>
    <t>STLV0126697</t>
  </si>
  <si>
    <t>11463889696</t>
  </si>
  <si>
    <t>STLV0126698</t>
  </si>
  <si>
    <t>ISR10051869</t>
  </si>
  <si>
    <t>STLV0126699</t>
  </si>
  <si>
    <t>11463889700</t>
  </si>
  <si>
    <t>STLV0126700</t>
  </si>
  <si>
    <t>11463889674</t>
  </si>
  <si>
    <t>ISR10051871</t>
  </si>
  <si>
    <t>STLV0126702</t>
  </si>
  <si>
    <t>02022253932</t>
  </si>
  <si>
    <t>STLV0126703</t>
  </si>
  <si>
    <t>ISR10051874</t>
  </si>
  <si>
    <t>STLV0126705</t>
  </si>
  <si>
    <t>BOLPB</t>
  </si>
  <si>
    <t>80513495112</t>
  </si>
  <si>
    <t>ISR10051876</t>
  </si>
  <si>
    <t>STLV0126717</t>
  </si>
  <si>
    <t>ISR10051877</t>
  </si>
  <si>
    <t>STLV0126724</t>
  </si>
  <si>
    <t>ISR10051878</t>
  </si>
  <si>
    <t>STLV0126735</t>
  </si>
  <si>
    <t>ISR10051879</t>
  </si>
  <si>
    <t>STLV0126737</t>
  </si>
  <si>
    <t>01437623095</t>
  </si>
  <si>
    <t>ISR10051880</t>
  </si>
  <si>
    <t>STLV0126742</t>
  </si>
  <si>
    <t>11463889954</t>
  </si>
  <si>
    <t>ISR10051881</t>
  </si>
  <si>
    <t>STLV0126743</t>
  </si>
  <si>
    <t>70051238633</t>
  </si>
  <si>
    <t>ISR10051882</t>
  </si>
  <si>
    <t>STLV0126746</t>
  </si>
  <si>
    <t>ISR10051885</t>
  </si>
  <si>
    <t>STLV0126747</t>
  </si>
  <si>
    <t>ROBCM</t>
  </si>
  <si>
    <t>11463888985</t>
  </si>
  <si>
    <t>ISR10051886</t>
  </si>
  <si>
    <t>STLV0126748</t>
  </si>
  <si>
    <t>70051238563</t>
  </si>
  <si>
    <t>ISR10051887</t>
  </si>
  <si>
    <t>STLV0126750</t>
  </si>
  <si>
    <t>695</t>
  </si>
  <si>
    <t>ISR10051888</t>
  </si>
  <si>
    <t>STLV0126751</t>
  </si>
  <si>
    <t>ISR10051889</t>
  </si>
  <si>
    <t>STLV0126754</t>
  </si>
  <si>
    <t>99614389034</t>
  </si>
  <si>
    <t>ISR10051892</t>
  </si>
  <si>
    <t>STLV0126755</t>
  </si>
  <si>
    <t>11463889722</t>
  </si>
  <si>
    <t>ISR10051893</t>
  </si>
  <si>
    <t>STLV0126829</t>
  </si>
  <si>
    <t>ISR10051899</t>
  </si>
  <si>
    <t>STLV0126837</t>
  </si>
  <si>
    <t>ISR10051903</t>
  </si>
  <si>
    <t>STLV0126838</t>
  </si>
  <si>
    <t>ISR10051904</t>
  </si>
  <si>
    <t>STLV0126843</t>
  </si>
  <si>
    <t>ISR10051907</t>
  </si>
  <si>
    <t>STLV0126844</t>
  </si>
  <si>
    <t>01676184603</t>
  </si>
  <si>
    <t>ISR10051908</t>
  </si>
  <si>
    <t>STLV0126853</t>
  </si>
  <si>
    <t>ISR10051913</t>
  </si>
  <si>
    <t>STLV0126856</t>
  </si>
  <si>
    <t>ISR10051914</t>
  </si>
  <si>
    <t>STLV0126857</t>
  </si>
  <si>
    <t>ISR10051915</t>
  </si>
  <si>
    <t>STLV0126858</t>
  </si>
  <si>
    <t>02022253943</t>
  </si>
  <si>
    <t>ISR10051916</t>
  </si>
  <si>
    <t>STLV0126859</t>
  </si>
  <si>
    <t>ISR10051917</t>
  </si>
  <si>
    <t>STLV0126860</t>
  </si>
  <si>
    <t>ISR10051918</t>
  </si>
  <si>
    <t>STLV0126864</t>
  </si>
  <si>
    <t>01437623062</t>
  </si>
  <si>
    <t>ISR10051922</t>
  </si>
  <si>
    <t>STLV0126866</t>
  </si>
  <si>
    <t>50120084702</t>
  </si>
  <si>
    <t>STLV0126867</t>
  </si>
  <si>
    <t>11463889766</t>
  </si>
  <si>
    <t>ISR10051924</t>
  </si>
  <si>
    <t>STLV0126871</t>
  </si>
  <si>
    <t>11463889733</t>
  </si>
  <si>
    <t>ISR10051925</t>
  </si>
  <si>
    <t>STLV0126874</t>
  </si>
  <si>
    <t>02022253652</t>
  </si>
  <si>
    <t>ISR10051928</t>
  </si>
  <si>
    <t>STLV0126875</t>
  </si>
  <si>
    <t>70051238504</t>
  </si>
  <si>
    <t>ISR10051929</t>
  </si>
  <si>
    <t>STLV0126876</t>
  </si>
  <si>
    <t>70051238703</t>
  </si>
  <si>
    <t>ISR10051930</t>
  </si>
  <si>
    <t>STLV0126877</t>
  </si>
  <si>
    <t>11463889744</t>
  </si>
  <si>
    <t>ISR10051931</t>
  </si>
  <si>
    <t>STLV0126887</t>
  </si>
  <si>
    <t>ISR10051935</t>
  </si>
  <si>
    <t>STLV0126888</t>
  </si>
  <si>
    <t>ISR10051936</t>
  </si>
  <si>
    <t>STLV0126891</t>
  </si>
  <si>
    <t>ISR10051939</t>
  </si>
  <si>
    <t>STLV0126892</t>
  </si>
  <si>
    <t>70051238493</t>
  </si>
  <si>
    <t>ISR10051940</t>
  </si>
  <si>
    <t>STLV0126894</t>
  </si>
  <si>
    <t>ISR10051941</t>
  </si>
  <si>
    <t>STLV0126895</t>
  </si>
  <si>
    <t>65714219542</t>
  </si>
  <si>
    <t>ISR10051942</t>
  </si>
  <si>
    <t>STLV0126896</t>
  </si>
  <si>
    <t>05702715101</t>
  </si>
  <si>
    <t>ISR10051943</t>
  </si>
  <si>
    <t>STLV0126911</t>
  </si>
  <si>
    <t>61566487304</t>
  </si>
  <si>
    <t>ISR10051949</t>
  </si>
  <si>
    <t>STLV0126930</t>
  </si>
  <si>
    <t>11463889755</t>
  </si>
  <si>
    <t>ISR10051951</t>
  </si>
  <si>
    <t>STLV0126931</t>
  </si>
  <si>
    <t>02022253965</t>
  </si>
  <si>
    <t>STLV0126934</t>
  </si>
  <si>
    <t>FRBOD</t>
  </si>
  <si>
    <t>02022253954</t>
  </si>
  <si>
    <t>ISR10051955</t>
  </si>
  <si>
    <t>STLV0126935</t>
  </si>
  <si>
    <t>ISR10051956</t>
  </si>
  <si>
    <t>STLV0126936</t>
  </si>
  <si>
    <t>ISR10051957</t>
  </si>
  <si>
    <t>STLV0126946</t>
  </si>
  <si>
    <t>ISR10051959</t>
  </si>
  <si>
    <t>STLV0126947</t>
  </si>
  <si>
    <t>ISR10051960</t>
  </si>
  <si>
    <t>STLV0126948</t>
  </si>
  <si>
    <t>ISR10051961</t>
  </si>
  <si>
    <t>STLV0126950</t>
  </si>
  <si>
    <t>ISR10051963</t>
  </si>
  <si>
    <t>STLV0126953</t>
  </si>
  <si>
    <t>01437623084</t>
  </si>
  <si>
    <t>ISR10051964</t>
  </si>
  <si>
    <t>STLV0126955</t>
  </si>
  <si>
    <t>16083499441</t>
  </si>
  <si>
    <t>ISR10051966</t>
  </si>
  <si>
    <t>STLV0126956</t>
  </si>
  <si>
    <t>ISR10051967</t>
  </si>
  <si>
    <t>STLV0126970</t>
  </si>
  <si>
    <t>02001007462</t>
  </si>
  <si>
    <t>ISR10051971</t>
  </si>
  <si>
    <t>STLV0126972</t>
  </si>
  <si>
    <t>16083499393</t>
  </si>
  <si>
    <t>ISR10051973</t>
  </si>
  <si>
    <t>STLV0127003</t>
  </si>
  <si>
    <t>02022253976</t>
  </si>
  <si>
    <t>STLV0127006</t>
  </si>
  <si>
    <t>75250053706</t>
  </si>
  <si>
    <t>ISR10051977</t>
  </si>
  <si>
    <t>STLV0127011</t>
  </si>
  <si>
    <t>01437622981</t>
  </si>
  <si>
    <t>ISR10051978</t>
  </si>
  <si>
    <t>STLV0127016</t>
  </si>
  <si>
    <t>11463889825</t>
  </si>
  <si>
    <t>STLV0127023</t>
  </si>
  <si>
    <t>ISR10051984</t>
  </si>
  <si>
    <t>STLV0127034</t>
  </si>
  <si>
    <t>70051238423</t>
  </si>
  <si>
    <t>ISR10051985</t>
  </si>
  <si>
    <t>STLV0127042</t>
  </si>
  <si>
    <t>GTGUA</t>
  </si>
  <si>
    <t>93271865684</t>
  </si>
  <si>
    <t>ISR10051986</t>
  </si>
  <si>
    <t>STLV0127043</t>
  </si>
  <si>
    <t>65714219516</t>
  </si>
  <si>
    <t>ISR10051987</t>
  </si>
  <si>
    <t>STLV0127045</t>
  </si>
  <si>
    <t>CAYHZ</t>
  </si>
  <si>
    <t>01437622992</t>
  </si>
  <si>
    <t>ISR10051989</t>
  </si>
  <si>
    <t>STLV0127048</t>
  </si>
  <si>
    <t>MDKIV</t>
  </si>
  <si>
    <t>13240009174</t>
  </si>
  <si>
    <t>ISR10051990</t>
  </si>
  <si>
    <t>STLV0127051</t>
  </si>
  <si>
    <t>50119408362</t>
  </si>
  <si>
    <t>STLV0127070</t>
  </si>
  <si>
    <t>ISR10051995</t>
  </si>
  <si>
    <t>STLV0127071</t>
  </si>
  <si>
    <t>ISR10051996</t>
  </si>
  <si>
    <t>STLV0127072</t>
  </si>
  <si>
    <t>ISR10051997</t>
  </si>
  <si>
    <t>STLV0127073</t>
  </si>
  <si>
    <t>ISR10051998</t>
  </si>
  <si>
    <t>STLV0127304</t>
  </si>
  <si>
    <t>ISR10051999</t>
  </si>
  <si>
    <t>STLV0127305</t>
  </si>
  <si>
    <t>01437623003</t>
  </si>
  <si>
    <t>ISR10052000</t>
  </si>
  <si>
    <t>STLV0127316</t>
  </si>
  <si>
    <t>70051238515</t>
  </si>
  <si>
    <t>ISR10052001</t>
  </si>
  <si>
    <t>STLV0127329</t>
  </si>
  <si>
    <t>ISR10052007</t>
  </si>
  <si>
    <t>STLV0127331</t>
  </si>
  <si>
    <t>02022253980</t>
  </si>
  <si>
    <t>ISR10052009</t>
  </si>
  <si>
    <t>STLV0127332</t>
  </si>
  <si>
    <t>203</t>
  </si>
  <si>
    <t>ISR10052010</t>
  </si>
  <si>
    <t>STLV0127334</t>
  </si>
  <si>
    <t>ISR10052012</t>
  </si>
  <si>
    <t>STLV0127335</t>
  </si>
  <si>
    <t>ISR10052013</t>
  </si>
  <si>
    <t>STLV0127336</t>
  </si>
  <si>
    <t>ISR10052014</t>
  </si>
  <si>
    <t>STLV0127347</t>
  </si>
  <si>
    <t>ISR10052015</t>
  </si>
  <si>
    <t>STLV0127351</t>
  </si>
  <si>
    <t>65714219472</t>
  </si>
  <si>
    <t>ISR10052016</t>
  </si>
  <si>
    <t>STLV0127353</t>
  </si>
  <si>
    <t>ISR10052018</t>
  </si>
  <si>
    <t>STLV0127358</t>
  </si>
  <si>
    <t>70051238784</t>
  </si>
  <si>
    <t>ISR10052019</t>
  </si>
  <si>
    <t>STLV0127364</t>
  </si>
  <si>
    <t>01676184382</t>
  </si>
  <si>
    <t>ISR10052022</t>
  </si>
  <si>
    <t>SYD AIRPORT</t>
  </si>
  <si>
    <t>STLV0127365</t>
  </si>
  <si>
    <t>ISR10052023</t>
  </si>
  <si>
    <t>STLV0127368</t>
  </si>
  <si>
    <t>ISR10052026</t>
  </si>
  <si>
    <t>STLV0127370</t>
  </si>
  <si>
    <t>ISR10052028</t>
  </si>
  <si>
    <t>STLV0127371</t>
  </si>
  <si>
    <t>ISR10052029</t>
  </si>
  <si>
    <t>STLV0127372</t>
  </si>
  <si>
    <t>ROOMR</t>
  </si>
  <si>
    <t>ISR10052030</t>
  </si>
  <si>
    <t>ROBUH</t>
  </si>
  <si>
    <t>STLV0127379</t>
  </si>
  <si>
    <t>01636223666</t>
  </si>
  <si>
    <t>ISR10052031</t>
  </si>
  <si>
    <t>STLV0127380</t>
  </si>
  <si>
    <t>61566487315</t>
  </si>
  <si>
    <t>ISR10052032</t>
  </si>
  <si>
    <t>STLV0127381</t>
  </si>
  <si>
    <t>ISR10052033</t>
  </si>
  <si>
    <t>STLV0127383</t>
  </si>
  <si>
    <t>01437623261</t>
  </si>
  <si>
    <t>ISR10052035</t>
  </si>
  <si>
    <t>CAYVR</t>
  </si>
  <si>
    <t>STLV0127385</t>
  </si>
  <si>
    <t>11463889851</t>
  </si>
  <si>
    <t>ISR10052037</t>
  </si>
  <si>
    <t>STLV0127392</t>
  </si>
  <si>
    <t>65714219590</t>
  </si>
  <si>
    <t>ISR10052038</t>
  </si>
  <si>
    <t>STLV0127402</t>
  </si>
  <si>
    <t>ISR10052040</t>
  </si>
  <si>
    <t>STLV0127405</t>
  </si>
  <si>
    <t>01437623202</t>
  </si>
  <si>
    <t>ISR10052043</t>
  </si>
  <si>
    <t>STLV0127406</t>
  </si>
  <si>
    <t>ISR10052044</t>
  </si>
  <si>
    <t>STLV0127407</t>
  </si>
  <si>
    <t>81800097123</t>
  </si>
  <si>
    <t>STLV0127460</t>
  </si>
  <si>
    <t>ISR10052049</t>
  </si>
  <si>
    <t>STLV0127462</t>
  </si>
  <si>
    <t>99614389535</t>
  </si>
  <si>
    <t>ISR10052051</t>
  </si>
  <si>
    <t>STLV0127463</t>
  </si>
  <si>
    <t>01437623180</t>
  </si>
  <si>
    <t>ISR10052052</t>
  </si>
  <si>
    <t>STLV0127464</t>
  </si>
  <si>
    <t>ISR10052053</t>
  </si>
  <si>
    <t>STLV0127465</t>
  </si>
  <si>
    <t>65714219623</t>
  </si>
  <si>
    <t>ISR10052054</t>
  </si>
  <si>
    <t>STLV0127466</t>
  </si>
  <si>
    <t>ISR10052055</t>
  </si>
  <si>
    <t>STLV0127467</t>
  </si>
  <si>
    <t>ISR10052056</t>
  </si>
  <si>
    <t>STLV0127468</t>
  </si>
  <si>
    <t>65714219660</t>
  </si>
  <si>
    <t>ISR10052057</t>
  </si>
  <si>
    <t>STLV0127477</t>
  </si>
  <si>
    <t>ISR10052058</t>
  </si>
  <si>
    <t>STLV0127478</t>
  </si>
  <si>
    <t>ISR10052059</t>
  </si>
  <si>
    <t>STLV0127479</t>
  </si>
  <si>
    <t>ISR10052060</t>
  </si>
  <si>
    <t>STLV0127480</t>
  </si>
  <si>
    <t>ISR10052061</t>
  </si>
  <si>
    <t>STLV0127481</t>
  </si>
  <si>
    <t>ISR10052062</t>
  </si>
  <si>
    <t>STLV0127482</t>
  </si>
  <si>
    <t>ISR10052063</t>
  </si>
  <si>
    <t>STLV0127483</t>
  </si>
  <si>
    <t>ISR10052064</t>
  </si>
  <si>
    <t>STLV0127484</t>
  </si>
  <si>
    <t>ISR10052065</t>
  </si>
  <si>
    <t>STLV0127488</t>
  </si>
  <si>
    <t>16083499430</t>
  </si>
  <si>
    <t>ISR10052066</t>
  </si>
  <si>
    <t>STLV0127497</t>
  </si>
  <si>
    <t>ISR10052067</t>
  </si>
  <si>
    <t>STLV0127498</t>
  </si>
  <si>
    <t>ISR10052068</t>
  </si>
  <si>
    <t>STLV0127499</t>
  </si>
  <si>
    <t>16083499496</t>
  </si>
  <si>
    <t>ISR10052069</t>
  </si>
  <si>
    <t>STLV0127502</t>
  </si>
  <si>
    <t>00000001206</t>
  </si>
  <si>
    <t>ISR10053368</t>
  </si>
  <si>
    <t>STLV0127503</t>
  </si>
  <si>
    <t>ISR10052072</t>
  </si>
  <si>
    <t>STLV0127504</t>
  </si>
  <si>
    <t>ISR10052073</t>
  </si>
  <si>
    <t>STLV0127505</t>
  </si>
  <si>
    <t>11463889884</t>
  </si>
  <si>
    <t>STLV0127506</t>
  </si>
  <si>
    <t>ISR10052075</t>
  </si>
  <si>
    <t>STLV0127507</t>
  </si>
  <si>
    <t>ISR10052076</t>
  </si>
  <si>
    <t>STLV0127508</t>
  </si>
  <si>
    <t>ISR10052077</t>
  </si>
  <si>
    <t>STLV0127509</t>
  </si>
  <si>
    <t>ISR10052078</t>
  </si>
  <si>
    <t>STLV0127524</t>
  </si>
  <si>
    <t>02022254002</t>
  </si>
  <si>
    <t>ISR10052081</t>
  </si>
  <si>
    <t>STLV0127525</t>
  </si>
  <si>
    <t>01676184345</t>
  </si>
  <si>
    <t>ISR10052082</t>
  </si>
  <si>
    <t>STLV0127528</t>
  </si>
  <si>
    <t>ISR10052085</t>
  </si>
  <si>
    <t>STLV0127529</t>
  </si>
  <si>
    <t>ISR10052086</t>
  </si>
  <si>
    <t>STLV0127530</t>
  </si>
  <si>
    <t>09877104882</t>
  </si>
  <si>
    <t>STLV0127534</t>
  </si>
  <si>
    <t>70051238600</t>
  </si>
  <si>
    <t>ISR10052088</t>
  </si>
  <si>
    <t>STLV0127542</t>
  </si>
  <si>
    <t>11463889431</t>
  </si>
  <si>
    <t>ISR10052089</t>
  </si>
  <si>
    <t>STLV0127544</t>
  </si>
  <si>
    <t>70051238611</t>
  </si>
  <si>
    <t>ISR10052091</t>
  </si>
  <si>
    <t>STLV0127546</t>
  </si>
  <si>
    <t>01437623386</t>
  </si>
  <si>
    <t>ISR10052092</t>
  </si>
  <si>
    <t>STLV0127547</t>
  </si>
  <si>
    <t>11463889490</t>
  </si>
  <si>
    <t>ISR10052093</t>
  </si>
  <si>
    <t>STLV0127548</t>
  </si>
  <si>
    <t>02003006964</t>
  </si>
  <si>
    <t>STLV0127550</t>
  </si>
  <si>
    <t>ISR10052095</t>
  </si>
  <si>
    <t>STLV0127551</t>
  </si>
  <si>
    <t>ISR10052271</t>
  </si>
  <si>
    <t>STLV0127555</t>
  </si>
  <si>
    <t>11463889965</t>
  </si>
  <si>
    <t>ISR10052097</t>
  </si>
  <si>
    <t>STLV0127558</t>
  </si>
  <si>
    <t>ISR10052098</t>
  </si>
  <si>
    <t>STLV0127561</t>
  </si>
  <si>
    <t>ISR10052099</t>
  </si>
  <si>
    <t>STLV0127567</t>
  </si>
  <si>
    <t>ISR10052101</t>
  </si>
  <si>
    <t>STLV0127569</t>
  </si>
  <si>
    <t>ISR10052103</t>
  </si>
  <si>
    <t>STLV0127570</t>
  </si>
  <si>
    <t>16083499415</t>
  </si>
  <si>
    <t>ISR10052104</t>
  </si>
  <si>
    <t>STLV0127573</t>
  </si>
  <si>
    <t>01676184312</t>
  </si>
  <si>
    <t>ISR10052106</t>
  </si>
  <si>
    <t>STLV0127578</t>
  </si>
  <si>
    <t>098</t>
  </si>
  <si>
    <t>ISR10052107</t>
  </si>
  <si>
    <t>STLV0127586</t>
  </si>
  <si>
    <t>ISR10052110</t>
  </si>
  <si>
    <t>STLV0127590</t>
  </si>
  <si>
    <t>70051238681</t>
  </si>
  <si>
    <t>ISR10052114</t>
  </si>
  <si>
    <t>STLV0127591</t>
  </si>
  <si>
    <t>14153514436</t>
  </si>
  <si>
    <t>ISR10052115</t>
  </si>
  <si>
    <t>STLV0127599</t>
  </si>
  <si>
    <t>01437623014</t>
  </si>
  <si>
    <t>ISR10052116</t>
  </si>
  <si>
    <t>STLV0127603</t>
  </si>
  <si>
    <t>ISR10052120</t>
  </si>
  <si>
    <t>STLV0127604</t>
  </si>
  <si>
    <t>ISR10052121</t>
  </si>
  <si>
    <t>STLV0127605</t>
  </si>
  <si>
    <t>ISR10052122</t>
  </si>
  <si>
    <t>STLV0127606</t>
  </si>
  <si>
    <t>ISR10052123</t>
  </si>
  <si>
    <t>STLV0127607</t>
  </si>
  <si>
    <t>01636223714</t>
  </si>
  <si>
    <t>ISR10052124</t>
  </si>
  <si>
    <t>STLV0127608</t>
  </si>
  <si>
    <t>ISR10052125</t>
  </si>
  <si>
    <t>STLV0127609</t>
  </si>
  <si>
    <t>05703550735</t>
  </si>
  <si>
    <t>ISR10052126</t>
  </si>
  <si>
    <t>STLV0127610</t>
  </si>
  <si>
    <t>ISR10052127</t>
  </si>
  <si>
    <t>STLV0127615</t>
  </si>
  <si>
    <t>05703550595</t>
  </si>
  <si>
    <t>ISR10052131</t>
  </si>
  <si>
    <t>GBMNC</t>
  </si>
  <si>
    <t>STLV0127616</t>
  </si>
  <si>
    <t>ISR10052132</t>
  </si>
  <si>
    <t>STLV0127617</t>
  </si>
  <si>
    <t>ISR10052133</t>
  </si>
  <si>
    <t>STLV0127620</t>
  </si>
  <si>
    <t>ISR10052136</t>
  </si>
  <si>
    <t>STLV0127624</t>
  </si>
  <si>
    <t>05703550271</t>
  </si>
  <si>
    <t>ISR10052140</t>
  </si>
  <si>
    <t>STLV0127626</t>
  </si>
  <si>
    <t>ISR10052141</t>
  </si>
  <si>
    <t>STLV0127628</t>
  </si>
  <si>
    <t>02001341885</t>
  </si>
  <si>
    <t>ISR10052143</t>
  </si>
  <si>
    <t>STLV0127629</t>
  </si>
  <si>
    <t>ISR10052144</t>
  </si>
  <si>
    <t>STLV0127632</t>
  </si>
  <si>
    <t>ISR10052146</t>
  </si>
  <si>
    <t>STLV0127633</t>
  </si>
  <si>
    <t>ISR10052147</t>
  </si>
  <si>
    <t>STLV0127646</t>
  </si>
  <si>
    <t>07160188682</t>
  </si>
  <si>
    <t>ISR10052151</t>
  </si>
  <si>
    <t>STLV0127647</t>
  </si>
  <si>
    <t>ISR10052152</t>
  </si>
  <si>
    <t>STLV0127648</t>
  </si>
  <si>
    <t>70051238644</t>
  </si>
  <si>
    <t>ISR10052153</t>
  </si>
  <si>
    <t>STLV0127652</t>
  </si>
  <si>
    <t>ISR10052157</t>
  </si>
  <si>
    <t>STLV0127653</t>
  </si>
  <si>
    <t>ISR10052158</t>
  </si>
  <si>
    <t>STLV0127662</t>
  </si>
  <si>
    <t>70051238552</t>
  </si>
  <si>
    <t>ISR10052163</t>
  </si>
  <si>
    <t>STLV0127669</t>
  </si>
  <si>
    <t>ISR10052164</t>
  </si>
  <si>
    <t>STLV0127682</t>
  </si>
  <si>
    <t>ISR10052171</t>
  </si>
  <si>
    <t>STLV0127751</t>
  </si>
  <si>
    <t>ISR10052177</t>
  </si>
  <si>
    <t>STLV0127758</t>
  </si>
  <si>
    <t>02022254061</t>
  </si>
  <si>
    <t>ISR10052178</t>
  </si>
  <si>
    <t>STLV0127759</t>
  </si>
  <si>
    <t>ISR10052179</t>
  </si>
  <si>
    <t>STLV0127767</t>
  </si>
  <si>
    <t>ISR10052181</t>
  </si>
  <si>
    <t>STLV0127770</t>
  </si>
  <si>
    <t>02022254050</t>
  </si>
  <si>
    <t>STLV0127771</t>
  </si>
  <si>
    <t>02022254035</t>
  </si>
  <si>
    <t>STLV0127773</t>
  </si>
  <si>
    <t>ISR10052184</t>
  </si>
  <si>
    <t>STLV0127819</t>
  </si>
  <si>
    <t>ISR10052185</t>
  </si>
  <si>
    <t>STLV0128748</t>
  </si>
  <si>
    <t>ISR10052198</t>
  </si>
  <si>
    <t>STLV0128757</t>
  </si>
  <si>
    <t>ISR10052205</t>
  </si>
  <si>
    <t>STLV0128893</t>
  </si>
  <si>
    <t>ISR10052222</t>
  </si>
  <si>
    <t>STLV0128894</t>
  </si>
  <si>
    <t>ISR10052223</t>
  </si>
  <si>
    <t>STLV0128897</t>
  </si>
  <si>
    <t>01437623353</t>
  </si>
  <si>
    <t>ISR10052224</t>
  </si>
  <si>
    <t>STLV0128898</t>
  </si>
  <si>
    <t>ISR10052225</t>
  </si>
  <si>
    <t>STLV0128899</t>
  </si>
  <si>
    <t>ISR10052226</t>
  </si>
  <si>
    <t>STLV0128902</t>
  </si>
  <si>
    <t>ISR10052227</t>
  </si>
  <si>
    <t>STLV0128903</t>
  </si>
  <si>
    <t>ISR10052228</t>
  </si>
  <si>
    <t>STLV0128907</t>
  </si>
  <si>
    <t>70051296420</t>
  </si>
  <si>
    <t>ISR10052232</t>
  </si>
  <si>
    <t>STLV0128912</t>
  </si>
  <si>
    <t>ISR10052233</t>
  </si>
  <si>
    <t>STLV0128913</t>
  </si>
  <si>
    <t>ISR10052234</t>
  </si>
  <si>
    <t>STLV0128914</t>
  </si>
  <si>
    <t>02001007624</t>
  </si>
  <si>
    <t>ISR10052235</t>
  </si>
  <si>
    <t>STLV0128915</t>
  </si>
  <si>
    <t>ISR10052236</t>
  </si>
  <si>
    <t>STLV0129023</t>
  </si>
  <si>
    <t>ISR10052244</t>
  </si>
  <si>
    <t>STLV0129024</t>
  </si>
  <si>
    <t>ISR10052245</t>
  </si>
  <si>
    <t>STLV0129025</t>
  </si>
  <si>
    <t>ISR10052246</t>
  </si>
  <si>
    <t>STLV0129058</t>
  </si>
  <si>
    <t>ISR10052260</t>
  </si>
  <si>
    <t>STLV0129069</t>
  </si>
  <si>
    <t>ISR10052267</t>
  </si>
  <si>
    <t>PLJSK</t>
  </si>
  <si>
    <t>STLV0129076</t>
  </si>
  <si>
    <t>65714219564</t>
  </si>
  <si>
    <t>ISR10052273</t>
  </si>
  <si>
    <t>STLV0129214</t>
  </si>
  <si>
    <t>01609642264</t>
  </si>
  <si>
    <t>ISR10052306</t>
  </si>
  <si>
    <t>STLV0129215</t>
  </si>
  <si>
    <t>01636223552</t>
  </si>
  <si>
    <t>ISR10052307</t>
  </si>
  <si>
    <t>STLV0129217</t>
  </si>
  <si>
    <t>ISR10052309</t>
  </si>
  <si>
    <t>STLV0129222</t>
  </si>
  <si>
    <t>ISR10052312</t>
  </si>
  <si>
    <t>STLV0129233</t>
  </si>
  <si>
    <t>11463889991</t>
  </si>
  <si>
    <t>STLV0129236</t>
  </si>
  <si>
    <t>16083499382</t>
  </si>
  <si>
    <t>ISR10052321</t>
  </si>
  <si>
    <t>STLV0129238</t>
  </si>
  <si>
    <t>11463890002</t>
  </si>
  <si>
    <t>STLV0129277</t>
  </si>
  <si>
    <t>70051238806</t>
  </si>
  <si>
    <t>ISR10052331</t>
  </si>
  <si>
    <t>STLV0129322</t>
  </si>
  <si>
    <t>ISR10052332</t>
  </si>
  <si>
    <t>STLV0129326</t>
  </si>
  <si>
    <t>ISR10052333</t>
  </si>
  <si>
    <t>STLV0129363</t>
  </si>
  <si>
    <t>70051277881</t>
  </si>
  <si>
    <t>STLV0129364</t>
  </si>
  <si>
    <t>01437623143</t>
  </si>
  <si>
    <t>ISR10052337</t>
  </si>
  <si>
    <t>STLV0129368</t>
  </si>
  <si>
    <t>01676184290</t>
  </si>
  <si>
    <t>ISR10052340</t>
  </si>
  <si>
    <t>STLV0129369</t>
  </si>
  <si>
    <t>ISR10052341</t>
  </si>
  <si>
    <t>STLV0129387</t>
  </si>
  <si>
    <t>ISR10052346</t>
  </si>
  <si>
    <t>STLV0129395</t>
  </si>
  <si>
    <t>ISR10052352</t>
  </si>
  <si>
    <t>STLV0129396</t>
  </si>
  <si>
    <t>ISR10052353</t>
  </si>
  <si>
    <t>STLV0129398</t>
  </si>
  <si>
    <t>ISR10052354</t>
  </si>
  <si>
    <t>STLV0129404</t>
  </si>
  <si>
    <t>ISR10052359</t>
  </si>
  <si>
    <t>STLV0129407</t>
  </si>
  <si>
    <t>ISR10052362</t>
  </si>
  <si>
    <t>STLV0129469</t>
  </si>
  <si>
    <t>ISR10052371</t>
  </si>
  <si>
    <t>STLV0129472</t>
  </si>
  <si>
    <t>29770501712</t>
  </si>
  <si>
    <t>ISR10052373</t>
  </si>
  <si>
    <t>STLV0129480</t>
  </si>
  <si>
    <t>ISR10052377</t>
  </si>
  <si>
    <t>STLV0129481</t>
  </si>
  <si>
    <t>01437623025</t>
  </si>
  <si>
    <t>ISR10052378</t>
  </si>
  <si>
    <t>STLV0129482</t>
  </si>
  <si>
    <t>ISR10052379</t>
  </si>
  <si>
    <t>STLV0129490</t>
  </si>
  <si>
    <t>ISR10052385</t>
  </si>
  <si>
    <t>STLV0129493</t>
  </si>
  <si>
    <t>11463888952</t>
  </si>
  <si>
    <t>ISR10052387</t>
  </si>
  <si>
    <t>STLV0129498</t>
  </si>
  <si>
    <t>ISR10052389</t>
  </si>
  <si>
    <t>STLV0129499</t>
  </si>
  <si>
    <t>ISR10052390</t>
  </si>
  <si>
    <t>STLV0129514</t>
  </si>
  <si>
    <t>ISR10052393</t>
  </si>
  <si>
    <t>STLV0129523</t>
  </si>
  <si>
    <t>11463890035</t>
  </si>
  <si>
    <t>ISR10052394</t>
  </si>
  <si>
    <t>STLV0129527</t>
  </si>
  <si>
    <t>USHNL</t>
  </si>
  <si>
    <t>01437623051</t>
  </si>
  <si>
    <t>ISR10052396</t>
  </si>
  <si>
    <t>STLV0129582</t>
  </si>
  <si>
    <t>ISR10052400</t>
  </si>
  <si>
    <t>STLV0129583</t>
  </si>
  <si>
    <t>ISR10052401</t>
  </si>
  <si>
    <t>STLV0129594</t>
  </si>
  <si>
    <t>ISR10052403</t>
  </si>
  <si>
    <t>STLV0129681</t>
  </si>
  <si>
    <t>ISR10052422</t>
  </si>
  <si>
    <t>STLV0129690</t>
  </si>
  <si>
    <t>01437623073</t>
  </si>
  <si>
    <t>ISR10052428</t>
  </si>
  <si>
    <t>STLV0129696</t>
  </si>
  <si>
    <t>70051238740</t>
  </si>
  <si>
    <t>ISR10052430</t>
  </si>
  <si>
    <t>STLV0129700</t>
  </si>
  <si>
    <t>11463890024</t>
  </si>
  <si>
    <t>ISR10052431</t>
  </si>
  <si>
    <t>STLV0129705</t>
  </si>
  <si>
    <t>ISR10052435</t>
  </si>
  <si>
    <t>STLV0129716</t>
  </si>
  <si>
    <t>11463888974</t>
  </si>
  <si>
    <t>ISR10052446</t>
  </si>
  <si>
    <t>STLV0129717</t>
  </si>
  <si>
    <t>ISR10052447</t>
  </si>
  <si>
    <t>STLV0129719</t>
  </si>
  <si>
    <t>ISR10052449</t>
  </si>
  <si>
    <t>STLV0129720</t>
  </si>
  <si>
    <t>ISR10052450</t>
  </si>
  <si>
    <t>STLV0129728</t>
  </si>
  <si>
    <t>ISR10052455</t>
  </si>
  <si>
    <t>STLV0129731</t>
  </si>
  <si>
    <t>ISR10052456</t>
  </si>
  <si>
    <t>STLV0129734</t>
  </si>
  <si>
    <t>ISR10052458</t>
  </si>
  <si>
    <t>STLV0129746</t>
  </si>
  <si>
    <t>ISR10052465</t>
  </si>
  <si>
    <t>STLV0129760</t>
  </si>
  <si>
    <t>ISR10052474</t>
  </si>
  <si>
    <t>STLV0129762</t>
  </si>
  <si>
    <t>ISR10052475</t>
  </si>
  <si>
    <t>STLV0129763</t>
  </si>
  <si>
    <t>ISR10052476</t>
  </si>
  <si>
    <t>STLV0129767</t>
  </si>
  <si>
    <t>ISR10052477</t>
  </si>
  <si>
    <t>STLV0129774</t>
  </si>
  <si>
    <t>ISR10052482</t>
  </si>
  <si>
    <t>STLV0129775</t>
  </si>
  <si>
    <t>ISR10052483</t>
  </si>
  <si>
    <t>STLV0129777</t>
  </si>
  <si>
    <t>ISR10052485</t>
  </si>
  <si>
    <t>STLV0129795</t>
  </si>
  <si>
    <t>ISR10052492</t>
  </si>
  <si>
    <t>STLV0129813</t>
  </si>
  <si>
    <t>01437623121</t>
  </si>
  <si>
    <t>ISR10052495</t>
  </si>
  <si>
    <t>STLV0129843</t>
  </si>
  <si>
    <t>11463890046</t>
  </si>
  <si>
    <t>STLV0129844</t>
  </si>
  <si>
    <t>01437623106</t>
  </si>
  <si>
    <t>ISR10052499</t>
  </si>
  <si>
    <t>STLV0129864</t>
  </si>
  <si>
    <t>01437623110</t>
  </si>
  <si>
    <t>ISR10052504</t>
  </si>
  <si>
    <t>STLV0129878</t>
  </si>
  <si>
    <t>ISR10052507</t>
  </si>
  <si>
    <t>STLV0129884</t>
  </si>
  <si>
    <t>70051238456</t>
  </si>
  <si>
    <t>ISR10052513</t>
  </si>
  <si>
    <t>STLV0129900</t>
  </si>
  <si>
    <t>ISR10052520</t>
  </si>
  <si>
    <t>STLV0129901</t>
  </si>
  <si>
    <t>ISR10052521</t>
  </si>
  <si>
    <t>STLV0129903</t>
  </si>
  <si>
    <t>ISR10052522</t>
  </si>
  <si>
    <t>STLV0129907</t>
  </si>
  <si>
    <t>ISR10052523</t>
  </si>
  <si>
    <t>STLV0129909</t>
  </si>
  <si>
    <t>ISR10052524</t>
  </si>
  <si>
    <t>STLV0129915</t>
  </si>
  <si>
    <t>01676184323</t>
  </si>
  <si>
    <t>ISR10052530</t>
  </si>
  <si>
    <t>STLV0129916</t>
  </si>
  <si>
    <t>ISR10052531</t>
  </si>
  <si>
    <t>STLV0129922</t>
  </si>
  <si>
    <t>ISR10052533</t>
  </si>
  <si>
    <t>STLV0129924</t>
  </si>
  <si>
    <t>ISR10052535</t>
  </si>
  <si>
    <t>STLV0129931</t>
  </si>
  <si>
    <t>ISR10052541</t>
  </si>
  <si>
    <t>STLV0129932</t>
  </si>
  <si>
    <t>ISR10052542</t>
  </si>
  <si>
    <t>STLV0129948</t>
  </si>
  <si>
    <t>ISR10052544</t>
  </si>
  <si>
    <t>STLV0129952</t>
  </si>
  <si>
    <t>ISR10052548</t>
  </si>
  <si>
    <t>STLV0129953</t>
  </si>
  <si>
    <t>ISR10052549</t>
  </si>
  <si>
    <t>STLV0129955</t>
  </si>
  <si>
    <t>ISR10052550</t>
  </si>
  <si>
    <t>STLV0129959</t>
  </si>
  <si>
    <t>ISR10052553</t>
  </si>
  <si>
    <t>STLV0129964</t>
  </si>
  <si>
    <t>ISR10052555</t>
  </si>
  <si>
    <t>STLV0129965</t>
  </si>
  <si>
    <t>ISR10052556</t>
  </si>
  <si>
    <t>STLV0129966</t>
  </si>
  <si>
    <t>ISR10052557</t>
  </si>
  <si>
    <t>STLV0129967</t>
  </si>
  <si>
    <t>ISR10052558</t>
  </si>
  <si>
    <t>STLV0129978</t>
  </si>
  <si>
    <t>ISR10052562</t>
  </si>
  <si>
    <t>STLV0129979</t>
  </si>
  <si>
    <t>ISR10052563</t>
  </si>
  <si>
    <t>STLV0129983</t>
  </si>
  <si>
    <t>ISR10052567</t>
  </si>
  <si>
    <t>STLV0129984</t>
  </si>
  <si>
    <t>ISR10052568</t>
  </si>
  <si>
    <t>STLV0129985</t>
  </si>
  <si>
    <t>ISR10052569</t>
  </si>
  <si>
    <t>STLV0129991</t>
  </si>
  <si>
    <t>ISR10052574</t>
  </si>
  <si>
    <t>STLV0129993</t>
  </si>
  <si>
    <t>ISR10052576</t>
  </si>
  <si>
    <t>STLV0129996</t>
  </si>
  <si>
    <t>ISR10052577</t>
  </si>
  <si>
    <t>STLV0130000</t>
  </si>
  <si>
    <t>ISR10052581</t>
  </si>
  <si>
    <t>STLV0130001</t>
  </si>
  <si>
    <t>ISR10052582</t>
  </si>
  <si>
    <t>STLV0130002</t>
  </si>
  <si>
    <t>ISR10052583</t>
  </si>
  <si>
    <t>STLV0130006</t>
  </si>
  <si>
    <t>50120085940</t>
  </si>
  <si>
    <t>ISR10052585</t>
  </si>
  <si>
    <t>DEHNH</t>
  </si>
  <si>
    <t>STLV0130007</t>
  </si>
  <si>
    <t>70051238736</t>
  </si>
  <si>
    <t>ISR10052586</t>
  </si>
  <si>
    <t>STLV0130013</t>
  </si>
  <si>
    <t>70051238843</t>
  </si>
  <si>
    <t>ISR10052590</t>
  </si>
  <si>
    <t>STLV0130015</t>
  </si>
  <si>
    <t>70051238902</t>
  </si>
  <si>
    <t>ISR10052592</t>
  </si>
  <si>
    <t>STLV0130026</t>
  </si>
  <si>
    <t>ISR10052597</t>
  </si>
  <si>
    <t>STLV0130027</t>
  </si>
  <si>
    <t>ISR10052598</t>
  </si>
  <si>
    <t>STLV0130034</t>
  </si>
  <si>
    <t>70051238773</t>
  </si>
  <si>
    <t>ISR10052600</t>
  </si>
  <si>
    <t>STLV0130036</t>
  </si>
  <si>
    <t>ISR10052602</t>
  </si>
  <si>
    <t>STLV0130288</t>
  </si>
  <si>
    <t>ISR10052606</t>
  </si>
  <si>
    <t>STLV0130325</t>
  </si>
  <si>
    <t>50120085225</t>
  </si>
  <si>
    <t>ISR10052607</t>
  </si>
  <si>
    <t>STLV0130326</t>
  </si>
  <si>
    <t>70051238946</t>
  </si>
  <si>
    <t>ISR10052608</t>
  </si>
  <si>
    <t>STLV0130327</t>
  </si>
  <si>
    <t>ISR10052609</t>
  </si>
  <si>
    <t>STLV0130615</t>
  </si>
  <si>
    <t>ISR10052610</t>
  </si>
  <si>
    <t>STLV0130837</t>
  </si>
  <si>
    <t>99614389653</t>
  </si>
  <si>
    <t>ISR10052613</t>
  </si>
  <si>
    <t>STLV0130844</t>
  </si>
  <si>
    <t>ISR10052614</t>
  </si>
  <si>
    <t>STLV0130845</t>
  </si>
  <si>
    <t>ISR10052615</t>
  </si>
  <si>
    <t>STLV0130854</t>
  </si>
  <si>
    <t>ISR10052616</t>
  </si>
  <si>
    <t>STLV0130864</t>
  </si>
  <si>
    <t>11463888565</t>
  </si>
  <si>
    <t>ISR10052618</t>
  </si>
  <si>
    <t>STLV0130866</t>
  </si>
  <si>
    <t>ISR10052620</t>
  </si>
  <si>
    <t>STLV0130895</t>
  </si>
  <si>
    <t>ISR10052624</t>
  </si>
  <si>
    <t>STLV0130935</t>
  </si>
  <si>
    <t>16083499485</t>
  </si>
  <si>
    <t>ISR10052634</t>
  </si>
  <si>
    <t>STLV0131101</t>
  </si>
  <si>
    <t>ISR10052640</t>
  </si>
  <si>
    <t>STLV0131138</t>
  </si>
  <si>
    <t>70051239160</t>
  </si>
  <si>
    <t>ISR10052641</t>
  </si>
  <si>
    <t>STLV0131139</t>
  </si>
  <si>
    <t>CRSJO</t>
  </si>
  <si>
    <t>01437623213</t>
  </si>
  <si>
    <t>ISR10052642</t>
  </si>
  <si>
    <t>STLV0131154</t>
  </si>
  <si>
    <t>01437623250</t>
  </si>
  <si>
    <t>ISR10052643</t>
  </si>
  <si>
    <t>STLV0131156</t>
  </si>
  <si>
    <t>01437623246</t>
  </si>
  <si>
    <t>ISR10052644</t>
  </si>
  <si>
    <t>STLV0131157</t>
  </si>
  <si>
    <t>50120085236</t>
  </si>
  <si>
    <t>ISR10052645</t>
  </si>
  <si>
    <t>STLV0131162</t>
  </si>
  <si>
    <t>ISR10052650</t>
  </si>
  <si>
    <t>STLV0131163</t>
  </si>
  <si>
    <t>70051238832</t>
  </si>
  <si>
    <t>ISR10052651</t>
  </si>
  <si>
    <t>STLV0131172</t>
  </si>
  <si>
    <t>ISR10052659</t>
  </si>
  <si>
    <t>STLV0131173</t>
  </si>
  <si>
    <t>ISR10052660</t>
  </si>
  <si>
    <t>STLV0131174</t>
  </si>
  <si>
    <t>ISR10052661</t>
  </si>
  <si>
    <t>STLV0131176</t>
  </si>
  <si>
    <t>ISR10052662</t>
  </si>
  <si>
    <t>STLV0131177</t>
  </si>
  <si>
    <t>ROBRV</t>
  </si>
  <si>
    <t>ISR10052663</t>
  </si>
  <si>
    <t>STLV0131178</t>
  </si>
  <si>
    <t>16083499463</t>
  </si>
  <si>
    <t>ISR10052664</t>
  </si>
  <si>
    <t>STLV0131180</t>
  </si>
  <si>
    <t>ISR10052665</t>
  </si>
  <si>
    <t>STLV0131188</t>
  </si>
  <si>
    <t>ISR10052669</t>
  </si>
  <si>
    <t>STLV0131199</t>
  </si>
  <si>
    <t>ISR10052675</t>
  </si>
  <si>
    <t>STLV0131204</t>
  </si>
  <si>
    <t>75250012502</t>
  </si>
  <si>
    <t>ISR10052679</t>
  </si>
  <si>
    <t>STLV0131205</t>
  </si>
  <si>
    <t>70051238865</t>
  </si>
  <si>
    <t>ISR10052680</t>
  </si>
  <si>
    <t>STLV0131206</t>
  </si>
  <si>
    <t>USMSP</t>
  </si>
  <si>
    <t>ISR10052681</t>
  </si>
  <si>
    <t>STLV0131226</t>
  </si>
  <si>
    <t>01676184393</t>
  </si>
  <si>
    <t>ISR10052686</t>
  </si>
  <si>
    <t>STLV0131232</t>
  </si>
  <si>
    <t>MMRGN</t>
  </si>
  <si>
    <t>2826898480</t>
  </si>
  <si>
    <t>ISR10052688</t>
  </si>
  <si>
    <t>STLV0131234</t>
  </si>
  <si>
    <t>ISR10052689</t>
  </si>
  <si>
    <t>STLV0131236</t>
  </si>
  <si>
    <t>93271865802</t>
  </si>
  <si>
    <t>ISR10052691</t>
  </si>
  <si>
    <t>STLV0131272</t>
  </si>
  <si>
    <t>ISR10052698</t>
  </si>
  <si>
    <t>STLV0131291</t>
  </si>
  <si>
    <t>ISR10052702</t>
  </si>
  <si>
    <t>STLV0131292</t>
  </si>
  <si>
    <t>ISR10052703</t>
  </si>
  <si>
    <t>STLV0131293</t>
  </si>
  <si>
    <t>ISR10052704</t>
  </si>
  <si>
    <t>STLV0131294</t>
  </si>
  <si>
    <t>ISR10052705</t>
  </si>
  <si>
    <t>STLV0131310</t>
  </si>
  <si>
    <t>ISR10052709</t>
  </si>
  <si>
    <t>STLV0131313</t>
  </si>
  <si>
    <t>ISR10052711</t>
  </si>
  <si>
    <t>STLV0131323</t>
  </si>
  <si>
    <t>01437623375</t>
  </si>
  <si>
    <t>ISR10052717</t>
  </si>
  <si>
    <t>STLV0131326</t>
  </si>
  <si>
    <t>11463890061</t>
  </si>
  <si>
    <t>ISR10052720</t>
  </si>
  <si>
    <t>STLV0131340</t>
  </si>
  <si>
    <t>ISR10052726</t>
  </si>
  <si>
    <t>STLV0131342</t>
  </si>
  <si>
    <t>ISR10052727</t>
  </si>
  <si>
    <t>STLV0131409</t>
  </si>
  <si>
    <t>ISR10052731</t>
  </si>
  <si>
    <t>STLV0131412</t>
  </si>
  <si>
    <t>ISR10052732</t>
  </si>
  <si>
    <t>STLV0131420</t>
  </si>
  <si>
    <t>ISR10052736</t>
  </si>
  <si>
    <t>STLV0131422</t>
  </si>
  <si>
    <t>ISR10052738</t>
  </si>
  <si>
    <t>STLV0131424</t>
  </si>
  <si>
    <t>11463889873</t>
  </si>
  <si>
    <t>ISR10052740</t>
  </si>
  <si>
    <t>STLV0131462</t>
  </si>
  <si>
    <t>ISR10052745</t>
  </si>
  <si>
    <t>STLV0131465</t>
  </si>
  <si>
    <t>ISR10052748</t>
  </si>
  <si>
    <t>STLV0131470</t>
  </si>
  <si>
    <t>16083499474</t>
  </si>
  <si>
    <t>ISR10052751</t>
  </si>
  <si>
    <t>STLV0131472</t>
  </si>
  <si>
    <t>70051238924</t>
  </si>
  <si>
    <t>ISR10052753</t>
  </si>
  <si>
    <t>STLV0131473</t>
  </si>
  <si>
    <t>ISR10052754</t>
  </si>
  <si>
    <t>STLV0131477</t>
  </si>
  <si>
    <t>ISR10052756</t>
  </si>
  <si>
    <t>STLV0131480</t>
  </si>
  <si>
    <t>ISR10052759</t>
  </si>
  <si>
    <t>STLV0131485</t>
  </si>
  <si>
    <t>ISR10052764</t>
  </si>
  <si>
    <t>STLV0131486</t>
  </si>
  <si>
    <t>ISR10052765</t>
  </si>
  <si>
    <t>STLV0131490</t>
  </si>
  <si>
    <t>ISR10052768</t>
  </si>
  <si>
    <t>STLV0131491</t>
  </si>
  <si>
    <t>ISR10052769</t>
  </si>
  <si>
    <t>STLV0131494</t>
  </si>
  <si>
    <t>88050267280</t>
  </si>
  <si>
    <t>ISR10052772</t>
  </si>
  <si>
    <t>STLV0131500</t>
  </si>
  <si>
    <t>ISR10052776</t>
  </si>
  <si>
    <t>STLV0131501</t>
  </si>
  <si>
    <t>ISR10052777</t>
  </si>
  <si>
    <t>STLV0131509</t>
  </si>
  <si>
    <t>ISR10052784</t>
  </si>
  <si>
    <t>STLV0131511</t>
  </si>
  <si>
    <t>ISR10053392</t>
  </si>
  <si>
    <t>STLV0131512</t>
  </si>
  <si>
    <t>ISR10052787</t>
  </si>
  <si>
    <t>STLV0131513</t>
  </si>
  <si>
    <t>ISR10052788</t>
  </si>
  <si>
    <t>STLV0131534</t>
  </si>
  <si>
    <t>ISR10052791</t>
  </si>
  <si>
    <t>STLV0131535</t>
  </si>
  <si>
    <t>ISR10052792</t>
  </si>
  <si>
    <t>STLV0131561</t>
  </si>
  <si>
    <t>ISR10052795</t>
  </si>
  <si>
    <t>STLV0131566</t>
  </si>
  <si>
    <t>ISR10052796</t>
  </si>
  <si>
    <t>STLV0131570</t>
  </si>
  <si>
    <t>11464133683</t>
  </si>
  <si>
    <t>ORI07816502</t>
  </si>
  <si>
    <t>STLV0131796</t>
  </si>
  <si>
    <t>ISR10052801</t>
  </si>
  <si>
    <t>STLV0131797</t>
  </si>
  <si>
    <t>ISR10052802</t>
  </si>
  <si>
    <t>STLV0131798</t>
  </si>
  <si>
    <t>ISR10052803</t>
  </si>
  <si>
    <t>STLV0131807</t>
  </si>
  <si>
    <t>ISR10052804</t>
  </si>
  <si>
    <t>STLV0131811</t>
  </si>
  <si>
    <t>ISR10052808</t>
  </si>
  <si>
    <t>STLV0131812</t>
  </si>
  <si>
    <t>ISR10052809</t>
  </si>
  <si>
    <t>STLV0131814</t>
  </si>
  <si>
    <t>ISR10052811</t>
  </si>
  <si>
    <t>STLV0131818</t>
  </si>
  <si>
    <t>ISR10052815</t>
  </si>
  <si>
    <t>STLV0131819</t>
  </si>
  <si>
    <t>01636223692</t>
  </si>
  <si>
    <t>ISR10052816</t>
  </si>
  <si>
    <t>STLV0131845</t>
  </si>
  <si>
    <t>ISR10052819</t>
  </si>
  <si>
    <t>STLV0131856</t>
  </si>
  <si>
    <t>ISR10052829</t>
  </si>
  <si>
    <t>STLV0131897</t>
  </si>
  <si>
    <t>ISR10052840</t>
  </si>
  <si>
    <t>STLV0131900</t>
  </si>
  <si>
    <t>ISR10052842</t>
  </si>
  <si>
    <t>STLV0131901</t>
  </si>
  <si>
    <t>ISR10052843</t>
  </si>
  <si>
    <t>STLV0131921</t>
  </si>
  <si>
    <t>65714219601</t>
  </si>
  <si>
    <t>ISR10052845</t>
  </si>
  <si>
    <t>STLV0131932</t>
  </si>
  <si>
    <t>ISR10052852</t>
  </si>
  <si>
    <t>STLV0131933</t>
  </si>
  <si>
    <t>11463888996</t>
  </si>
  <si>
    <t>ISR10052853</t>
  </si>
  <si>
    <t>STLV0131935</t>
  </si>
  <si>
    <t>16083499544</t>
  </si>
  <si>
    <t>ISR10052855</t>
  </si>
  <si>
    <t>STLV0131936</t>
  </si>
  <si>
    <t>ISR10052856</t>
  </si>
  <si>
    <t>STLV0131937</t>
  </si>
  <si>
    <t>ISR10052857</t>
  </si>
  <si>
    <t>STLV0131938</t>
  </si>
  <si>
    <t>11463889976</t>
  </si>
  <si>
    <t>ISR10052858</t>
  </si>
  <si>
    <t>STLV0131939</t>
  </si>
  <si>
    <t>ISR10052859</t>
  </si>
  <si>
    <t>STLV0131940</t>
  </si>
  <si>
    <t>ISR10052860</t>
  </si>
  <si>
    <t>STLV0131947</t>
  </si>
  <si>
    <t>ISR10052861</t>
  </si>
  <si>
    <t>STLV0131953</t>
  </si>
  <si>
    <t>01676184360</t>
  </si>
  <si>
    <t>ISR10052863</t>
  </si>
  <si>
    <t>STLV0131954</t>
  </si>
  <si>
    <t>ISR10052864</t>
  </si>
  <si>
    <t>STLV0131963</t>
  </si>
  <si>
    <t>16083499500</t>
  </si>
  <si>
    <t>ISR10052867</t>
  </si>
  <si>
    <t>STLV0131964</t>
  </si>
  <si>
    <t>700</t>
  </si>
  <si>
    <t>ISR10052868</t>
  </si>
  <si>
    <t>STLV0131965</t>
  </si>
  <si>
    <t>01676184356</t>
  </si>
  <si>
    <t>ISR10052869</t>
  </si>
  <si>
    <t>STLV0131970</t>
  </si>
  <si>
    <t>ISR10052873</t>
  </si>
  <si>
    <t>STLV0131974</t>
  </si>
  <si>
    <t>11463890072</t>
  </si>
  <si>
    <t>ISR10052876</t>
  </si>
  <si>
    <t>STLV0131975</t>
  </si>
  <si>
    <t>ISR10052877</t>
  </si>
  <si>
    <t>STLV0131976</t>
  </si>
  <si>
    <t>ISR10052878</t>
  </si>
  <si>
    <t>STLV0131993</t>
  </si>
  <si>
    <t>65714219612</t>
  </si>
  <si>
    <t>STLV0131999</t>
  </si>
  <si>
    <t>ISR10052882</t>
  </si>
  <si>
    <t>STLV0132002</t>
  </si>
  <si>
    <t>ISR10052884</t>
  </si>
  <si>
    <t>STLV0132004</t>
  </si>
  <si>
    <t>ISR10052886</t>
  </si>
  <si>
    <t>STLV0132009</t>
  </si>
  <si>
    <t>ISR10052891</t>
  </si>
  <si>
    <t>STLV0132010</t>
  </si>
  <si>
    <t>ISR10052892</t>
  </si>
  <si>
    <t>STLV0132012</t>
  </si>
  <si>
    <t>75250037444</t>
  </si>
  <si>
    <t>FCO16667910</t>
  </si>
  <si>
    <t>STLV0132015</t>
  </si>
  <si>
    <t>ISR10052896</t>
  </si>
  <si>
    <t>STLV0132022</t>
  </si>
  <si>
    <t>75250012480</t>
  </si>
  <si>
    <t>ISR10052899</t>
  </si>
  <si>
    <t>STLV0132037</t>
  </si>
  <si>
    <t>ISR10052902</t>
  </si>
  <si>
    <t>STLV0132422</t>
  </si>
  <si>
    <t>ISR10052916</t>
  </si>
  <si>
    <t>STLV0132425</t>
  </si>
  <si>
    <t>ISR10052919</t>
  </si>
  <si>
    <t>STLV0132454</t>
  </si>
  <si>
    <t>75250037525</t>
  </si>
  <si>
    <t>FCO16669236</t>
  </si>
  <si>
    <t>STLV0132472</t>
  </si>
  <si>
    <t>ISR10052924</t>
  </si>
  <si>
    <t>STLV0132473</t>
  </si>
  <si>
    <t>70051238913</t>
  </si>
  <si>
    <t>ISR10052925</t>
  </si>
  <si>
    <t>STLV0132474</t>
  </si>
  <si>
    <t>ISR10052926</t>
  </si>
  <si>
    <t>STLV0132475</t>
  </si>
  <si>
    <t>HNTGU</t>
  </si>
  <si>
    <t>81039507650</t>
  </si>
  <si>
    <t>NIMGA</t>
  </si>
  <si>
    <t>STLV0132476</t>
  </si>
  <si>
    <t>ISR10052928</t>
  </si>
  <si>
    <t>STLV0132478</t>
  </si>
  <si>
    <t>ISR10052930</t>
  </si>
  <si>
    <t>STLV0132487</t>
  </si>
  <si>
    <t>ISR10052933</t>
  </si>
  <si>
    <t>STLV0132495</t>
  </si>
  <si>
    <t>ISR10052934</t>
  </si>
  <si>
    <t>STLV0132498</t>
  </si>
  <si>
    <t>ISR10052937</t>
  </si>
  <si>
    <t>STLV0132500</t>
  </si>
  <si>
    <t>ISR10052939</t>
  </si>
  <si>
    <t>STLV0132503</t>
  </si>
  <si>
    <t>ISR10052940</t>
  </si>
  <si>
    <t>STLV0132506</t>
  </si>
  <si>
    <t>ISR10052943</t>
  </si>
  <si>
    <t>STLV0132507</t>
  </si>
  <si>
    <t>01437623132</t>
  </si>
  <si>
    <t>ISR10052944</t>
  </si>
  <si>
    <t>STLV0132508</t>
  </si>
  <si>
    <t>ISR10052945</t>
  </si>
  <si>
    <t>STLV0132545</t>
  </si>
  <si>
    <t>ISR10052951</t>
  </si>
  <si>
    <t>STLV0132556</t>
  </si>
  <si>
    <t>ISR10052958</t>
  </si>
  <si>
    <t>STLV0132565</t>
  </si>
  <si>
    <t>ISR10052963</t>
  </si>
  <si>
    <t>STLV0132567</t>
  </si>
  <si>
    <t>11463889000</t>
  </si>
  <si>
    <t>ISR10052965</t>
  </si>
  <si>
    <t>STLV0132569</t>
  </si>
  <si>
    <t>ISR10052967</t>
  </si>
  <si>
    <t>STLV0132572</t>
  </si>
  <si>
    <t>ISR10052970</t>
  </si>
  <si>
    <t>STLV0132573</t>
  </si>
  <si>
    <t>ISR10052971</t>
  </si>
  <si>
    <t>STLV0132574</t>
  </si>
  <si>
    <t>ISR10052972</t>
  </si>
  <si>
    <t>STLV0132575</t>
  </si>
  <si>
    <t>ISR10052973</t>
  </si>
  <si>
    <t>STLV0132576</t>
  </si>
  <si>
    <t>11463890201</t>
  </si>
  <si>
    <t>ISR10052974</t>
  </si>
  <si>
    <t>STLV0132577</t>
  </si>
  <si>
    <t>ISR10052975</t>
  </si>
  <si>
    <t>STLV0132593</t>
  </si>
  <si>
    <t>16083499522</t>
  </si>
  <si>
    <t>ISR10052980</t>
  </si>
  <si>
    <t>STLV0132607</t>
  </si>
  <si>
    <t>ISR10052988</t>
  </si>
  <si>
    <t>STLV0132610</t>
  </si>
  <si>
    <t>70051238935</t>
  </si>
  <si>
    <t>ISR10052990</t>
  </si>
  <si>
    <t>STLV0132612</t>
  </si>
  <si>
    <t>ISR10052991</t>
  </si>
  <si>
    <t>STLV0132613</t>
  </si>
  <si>
    <t>ISR10052992</t>
  </si>
  <si>
    <t>STLV0132623</t>
  </si>
  <si>
    <t>75250055401</t>
  </si>
  <si>
    <t>ISR10052997</t>
  </si>
  <si>
    <t>STLV0132627</t>
  </si>
  <si>
    <t>01437623235</t>
  </si>
  <si>
    <t>ISR10052999</t>
  </si>
  <si>
    <t>STLV0132630</t>
  </si>
  <si>
    <t>ISR10053000</t>
  </si>
  <si>
    <t>STLV0132633</t>
  </si>
  <si>
    <t>ISR10053001</t>
  </si>
  <si>
    <t>STLV0132639</t>
  </si>
  <si>
    <t>ISR10053005</t>
  </si>
  <si>
    <t>STLV0132640</t>
  </si>
  <si>
    <t>70051239086</t>
  </si>
  <si>
    <t>ISR10053006</t>
  </si>
  <si>
    <t>STLV0132641</t>
  </si>
  <si>
    <t>ISR10053007</t>
  </si>
  <si>
    <t>STLV0132643</t>
  </si>
  <si>
    <t>ISR10053009</t>
  </si>
  <si>
    <t>STLV0132649</t>
  </si>
  <si>
    <t>11463890083</t>
  </si>
  <si>
    <t>ISR10053010</t>
  </si>
  <si>
    <t>STLV0132655</t>
  </si>
  <si>
    <t>ISR10053013</t>
  </si>
  <si>
    <t>STLV0132690</t>
  </si>
  <si>
    <t>ISR10053018</t>
  </si>
  <si>
    <t>STLV0132704</t>
  </si>
  <si>
    <t>70051238994</t>
  </si>
  <si>
    <t>ISR10053020</t>
  </si>
  <si>
    <t>STLV0132705</t>
  </si>
  <si>
    <t>399467683887</t>
  </si>
  <si>
    <t>STLV0133014</t>
  </si>
  <si>
    <t>ISR10053026</t>
  </si>
  <si>
    <t>STLV0133017</t>
  </si>
  <si>
    <t>ISR10053029</t>
  </si>
  <si>
    <t>STLV0133018</t>
  </si>
  <si>
    <t>01676184570</t>
  </si>
  <si>
    <t>ISR10053030</t>
  </si>
  <si>
    <t>STLV0133029</t>
  </si>
  <si>
    <t>01676184415</t>
  </si>
  <si>
    <t>ISR10053032</t>
  </si>
  <si>
    <t>STLV0133030</t>
  </si>
  <si>
    <t>ISR10053033</t>
  </si>
  <si>
    <t>STLV0133032</t>
  </si>
  <si>
    <t>ISR10053035</t>
  </si>
  <si>
    <t>STLV0133039</t>
  </si>
  <si>
    <t>ISR10053037</t>
  </si>
  <si>
    <t>STLV0133056</t>
  </si>
  <si>
    <t>ISR10053038</t>
  </si>
  <si>
    <t>STLV0133057</t>
  </si>
  <si>
    <t>ISR10053039</t>
  </si>
  <si>
    <t>STLV0133059</t>
  </si>
  <si>
    <t>ISR10053041</t>
  </si>
  <si>
    <t>STLV0133060</t>
  </si>
  <si>
    <t>50120085181</t>
  </si>
  <si>
    <t>ISR10053042</t>
  </si>
  <si>
    <t>STLV0133064</t>
  </si>
  <si>
    <t>01437623154</t>
  </si>
  <si>
    <t>ISR10053045</t>
  </si>
  <si>
    <t>STLV0133089</t>
  </si>
  <si>
    <t>ISR10053048</t>
  </si>
  <si>
    <t>STLV0133094</t>
  </si>
  <si>
    <t>70051238810</t>
  </si>
  <si>
    <t>ISR10053053</t>
  </si>
  <si>
    <t>STLV0133097</t>
  </si>
  <si>
    <t>01676184426</t>
  </si>
  <si>
    <t>ISR10053056</t>
  </si>
  <si>
    <t>STLV0133098</t>
  </si>
  <si>
    <t>ISR10053057</t>
  </si>
  <si>
    <t>STLV0133100</t>
  </si>
  <si>
    <t>ISR10053059</t>
  </si>
  <si>
    <t>STLV0133108</t>
  </si>
  <si>
    <t>ISR10053063</t>
  </si>
  <si>
    <t>STLV0133109</t>
  </si>
  <si>
    <t>ISR10053064</t>
  </si>
  <si>
    <t>STLV0133110</t>
  </si>
  <si>
    <t>ISR10053065</t>
  </si>
  <si>
    <t>STLV0133111</t>
  </si>
  <si>
    <t>ISR10053066</t>
  </si>
  <si>
    <t>STLV0133139</t>
  </si>
  <si>
    <t>ISR10053067</t>
  </si>
  <si>
    <t>STLV0133141</t>
  </si>
  <si>
    <t>ISR10053069</t>
  </si>
  <si>
    <t>STLV0133142</t>
  </si>
  <si>
    <t>ISR10053070</t>
  </si>
  <si>
    <t>STLV0133145</t>
  </si>
  <si>
    <t>01636223633</t>
  </si>
  <si>
    <t>ISR10053025</t>
  </si>
  <si>
    <t>STLV0133193</t>
  </si>
  <si>
    <t>ISR10053074</t>
  </si>
  <si>
    <t>STLV0133195</t>
  </si>
  <si>
    <t>ISR10053076</t>
  </si>
  <si>
    <t>STLV0133197</t>
  </si>
  <si>
    <t>ISR10053077</t>
  </si>
  <si>
    <t>STLV0133198</t>
  </si>
  <si>
    <t>ISR10053078</t>
  </si>
  <si>
    <t>STLV0133203</t>
  </si>
  <si>
    <t>ISR10053083</t>
  </si>
  <si>
    <t>STLV0133223</t>
  </si>
  <si>
    <t>11463889022</t>
  </si>
  <si>
    <t>ISR10053089</t>
  </si>
  <si>
    <t>STLV0133277</t>
  </si>
  <si>
    <t>16083499345</t>
  </si>
  <si>
    <t>ISR10053095</t>
  </si>
  <si>
    <t>STLV0133281</t>
  </si>
  <si>
    <t>ISR10053098</t>
  </si>
  <si>
    <t>STLV0133287</t>
  </si>
  <si>
    <t>41652233624</t>
  </si>
  <si>
    <t>STLV0133288</t>
  </si>
  <si>
    <t>ISR10053102</t>
  </si>
  <si>
    <t>STLV0133295</t>
  </si>
  <si>
    <t>ISR10053103</t>
  </si>
  <si>
    <t>STLV0133296</t>
  </si>
  <si>
    <t>ISR10053104</t>
  </si>
  <si>
    <t>STLV0133301</t>
  </si>
  <si>
    <t>ISR10053107</t>
  </si>
  <si>
    <t>STLV0133340</t>
  </si>
  <si>
    <t>ISR10053108</t>
  </si>
  <si>
    <t>STLV0133369</t>
  </si>
  <si>
    <t>ISR10053110</t>
  </si>
  <si>
    <t>STLV0133370</t>
  </si>
  <si>
    <t>ISR10053111</t>
  </si>
  <si>
    <t>STLV0133371</t>
  </si>
  <si>
    <t>ISR10053112</t>
  </si>
  <si>
    <t>STLV0133374</t>
  </si>
  <si>
    <t>01676184441</t>
  </si>
  <si>
    <t>ISR10053113</t>
  </si>
  <si>
    <t>STLV0133375</t>
  </si>
  <si>
    <t>ISR10053114</t>
  </si>
  <si>
    <t>STLV0133377</t>
  </si>
  <si>
    <t>01676184533</t>
  </si>
  <si>
    <t>ISR10053116</t>
  </si>
  <si>
    <t>STLV0133378</t>
  </si>
  <si>
    <t>ISR10053117</t>
  </si>
  <si>
    <t>STLV0133384</t>
  </si>
  <si>
    <t>ISR10053120</t>
  </si>
  <si>
    <t>STLV0133385</t>
  </si>
  <si>
    <t>ISR10053121</t>
  </si>
  <si>
    <t>STLV0133391</t>
  </si>
  <si>
    <t>ISR10053122</t>
  </si>
  <si>
    <t>STLV0133392</t>
  </si>
  <si>
    <t>ISR10053123</t>
  </si>
  <si>
    <t>STLV0133401</t>
  </si>
  <si>
    <t>ISR10053124</t>
  </si>
  <si>
    <t>STLV0133433</t>
  </si>
  <si>
    <t>01437623316</t>
  </si>
  <si>
    <t>ISR10053136</t>
  </si>
  <si>
    <t>STLV0133490</t>
  </si>
  <si>
    <t>ISR10053140</t>
  </si>
  <si>
    <t>STLV0133505</t>
  </si>
  <si>
    <t>ISR10053141</t>
  </si>
  <si>
    <t>STLV0133512</t>
  </si>
  <si>
    <t>70051239053</t>
  </si>
  <si>
    <t>ISR10053142</t>
  </si>
  <si>
    <t>STLV0134030</t>
  </si>
  <si>
    <t>ISR10053143</t>
  </si>
  <si>
    <t>STLV0134072</t>
  </si>
  <si>
    <t>ISR10053144</t>
  </si>
  <si>
    <t>STLV0134250</t>
  </si>
  <si>
    <t>ISR10053148</t>
  </si>
  <si>
    <t>STLV0134275</t>
  </si>
  <si>
    <t>ISR10053150</t>
  </si>
  <si>
    <t>STLV0134276</t>
  </si>
  <si>
    <t>USDTW</t>
  </si>
  <si>
    <t>01676184592</t>
  </si>
  <si>
    <t>ISR10053151</t>
  </si>
  <si>
    <t>STLV0134278</t>
  </si>
  <si>
    <t>ISR10053152</t>
  </si>
  <si>
    <t>STLV0134279</t>
  </si>
  <si>
    <t>50120085446</t>
  </si>
  <si>
    <t>ISR10053153</t>
  </si>
  <si>
    <t>STLV0134331</t>
  </si>
  <si>
    <t>99614389723</t>
  </si>
  <si>
    <t>ISR10053157</t>
  </si>
  <si>
    <t>STLV0134340</t>
  </si>
  <si>
    <t>01437623412</t>
  </si>
  <si>
    <t>ISR10053160</t>
  </si>
  <si>
    <t>STLV0134341</t>
  </si>
  <si>
    <t>01676184452</t>
  </si>
  <si>
    <t>ISR10053161</t>
  </si>
  <si>
    <t>STLV0134399</t>
  </si>
  <si>
    <t>70051239064</t>
  </si>
  <si>
    <t>ISR10053168</t>
  </si>
  <si>
    <t>STLV0134405</t>
  </si>
  <si>
    <t>ISR10053172</t>
  </si>
  <si>
    <t>STLV0134420</t>
  </si>
  <si>
    <t>ISR10053180</t>
  </si>
  <si>
    <t>STLV0134457</t>
  </si>
  <si>
    <t>ISR10053181</t>
  </si>
  <si>
    <t>STLV0134461</t>
  </si>
  <si>
    <t>ISR10053183</t>
  </si>
  <si>
    <t>STLV0134463</t>
  </si>
  <si>
    <t>01437625302</t>
  </si>
  <si>
    <t>ISR10053184</t>
  </si>
  <si>
    <t>STLV0134467</t>
  </si>
  <si>
    <t>ISR10053185</t>
  </si>
  <si>
    <t>STLV0134468</t>
  </si>
  <si>
    <t>ISR10053186</t>
  </si>
  <si>
    <t>STLV0134476</t>
  </si>
  <si>
    <t>ISR10053188</t>
  </si>
  <si>
    <t>STLV0134477</t>
  </si>
  <si>
    <t>ISR10053189</t>
  </si>
  <si>
    <t>STLV0134485</t>
  </si>
  <si>
    <t>11464228570</t>
  </si>
  <si>
    <t>ISR10053193</t>
  </si>
  <si>
    <t>STLV0134489</t>
  </si>
  <si>
    <t>ISR10053197</t>
  </si>
  <si>
    <t>STLV0134490</t>
  </si>
  <si>
    <t>ISR10053198</t>
  </si>
  <si>
    <t>STLV0134491</t>
  </si>
  <si>
    <t>399619826927</t>
  </si>
  <si>
    <t>STLV0134492</t>
  </si>
  <si>
    <t>65714226892</t>
  </si>
  <si>
    <t>STLV0134496</t>
  </si>
  <si>
    <t>ISR10053203</t>
  </si>
  <si>
    <t>STLV0134498</t>
  </si>
  <si>
    <t>01437625313</t>
  </si>
  <si>
    <t>ISR10053204</t>
  </si>
  <si>
    <t>STLV0134500</t>
  </si>
  <si>
    <t>ISR10053205</t>
  </si>
  <si>
    <t>STLV0134504</t>
  </si>
  <si>
    <t>ISR10053207</t>
  </si>
  <si>
    <t>STLV0134509</t>
  </si>
  <si>
    <t>399621264288</t>
  </si>
  <si>
    <t>DAP COSSATO</t>
  </si>
  <si>
    <t>STLV0134518</t>
  </si>
  <si>
    <t>ISR10053219</t>
  </si>
  <si>
    <t>STLV0134519</t>
  </si>
  <si>
    <t>ISR10053220</t>
  </si>
  <si>
    <t>STLV0134531</t>
  </si>
  <si>
    <t>ISR10053230</t>
  </si>
  <si>
    <t>STLV0134540</t>
  </si>
  <si>
    <t>01437625324</t>
  </si>
  <si>
    <t>ISR10053237</t>
  </si>
  <si>
    <t>STLV0134543</t>
  </si>
  <si>
    <t>16083499570</t>
  </si>
  <si>
    <t>ISR10053240</t>
  </si>
  <si>
    <t>STLV0134547</t>
  </si>
  <si>
    <t>16083499533</t>
  </si>
  <si>
    <t>ISR10053244</t>
  </si>
  <si>
    <t>STLV0134548</t>
  </si>
  <si>
    <t>16083499555</t>
  </si>
  <si>
    <t>ISR10053245</t>
  </si>
  <si>
    <t>STLV0134552</t>
  </si>
  <si>
    <t>16083499581</t>
  </si>
  <si>
    <t>ISR10053249</t>
  </si>
  <si>
    <t>STLV0134554</t>
  </si>
  <si>
    <t>01676184463</t>
  </si>
  <si>
    <t>ISR10053250</t>
  </si>
  <si>
    <t>STLV0134559</t>
  </si>
  <si>
    <t>01676184474</t>
  </si>
  <si>
    <t>ISR10053253</t>
  </si>
  <si>
    <t>STLV0134560</t>
  </si>
  <si>
    <t>ISR10053254</t>
  </si>
  <si>
    <t>STLV0134561</t>
  </si>
  <si>
    <t>01676184485</t>
  </si>
  <si>
    <t>ISR10053255</t>
  </si>
  <si>
    <t>STLV0134562</t>
  </si>
  <si>
    <t>01676184496</t>
  </si>
  <si>
    <t>ISR10053256</t>
  </si>
  <si>
    <t>STLV0134565</t>
  </si>
  <si>
    <t>70051239020</t>
  </si>
  <si>
    <t>ISR10053259</t>
  </si>
  <si>
    <t>STLV0134576</t>
  </si>
  <si>
    <t>ECGYE</t>
  </si>
  <si>
    <t>00638681904</t>
  </si>
  <si>
    <t>ISR10053270</t>
  </si>
  <si>
    <t>STLV0134583</t>
  </si>
  <si>
    <t>01437625346</t>
  </si>
  <si>
    <t>ISR10053275</t>
  </si>
  <si>
    <t>STLV0134594</t>
  </si>
  <si>
    <t>ISR10053280</t>
  </si>
  <si>
    <t>STLV0134595</t>
  </si>
  <si>
    <t>ISR10053281</t>
  </si>
  <si>
    <t>STLV0134599</t>
  </si>
  <si>
    <t>ISR10053283</t>
  </si>
  <si>
    <t>STLV0134600</t>
  </si>
  <si>
    <t>ISR10053284</t>
  </si>
  <si>
    <t>STLV0134607</t>
  </si>
  <si>
    <t>01676184522</t>
  </si>
  <si>
    <t>ISR10053286</t>
  </si>
  <si>
    <t>STLV0134610</t>
  </si>
  <si>
    <t>ISR10053289</t>
  </si>
  <si>
    <t>STLV0134613</t>
  </si>
  <si>
    <t>ISR10053292</t>
  </si>
  <si>
    <t>STLV0134616</t>
  </si>
  <si>
    <t>ISR10053295</t>
  </si>
  <si>
    <t>STLV0134620</t>
  </si>
  <si>
    <t>ISR10053298</t>
  </si>
  <si>
    <t>STLV0134621</t>
  </si>
  <si>
    <t>ISR10053299</t>
  </si>
  <si>
    <t>STLV0134626</t>
  </si>
  <si>
    <t>ISR10053302</t>
  </si>
  <si>
    <t>STLV0134628</t>
  </si>
  <si>
    <t>ISR10053304</t>
  </si>
  <si>
    <t>STLV0134634</t>
  </si>
  <si>
    <t>ISR10053309</t>
  </si>
  <si>
    <t>STLV0134636</t>
  </si>
  <si>
    <t>ISR10053311</t>
  </si>
  <si>
    <t>STLV0134637</t>
  </si>
  <si>
    <t>ISR10053312</t>
  </si>
  <si>
    <t>STLV0134640</t>
  </si>
  <si>
    <t>50120085730</t>
  </si>
  <si>
    <t>ISR10053315</t>
  </si>
  <si>
    <t>STLV0134666</t>
  </si>
  <si>
    <t>50120085903</t>
  </si>
  <si>
    <t>ISR10053330</t>
  </si>
  <si>
    <t>STLV0134669</t>
  </si>
  <si>
    <t>ISR10053333</t>
  </si>
  <si>
    <t>STLV0134673</t>
  </si>
  <si>
    <t>50120085704</t>
  </si>
  <si>
    <t>ISR10053337</t>
  </si>
  <si>
    <t>STLV0134679</t>
  </si>
  <si>
    <t>ISR10053343</t>
  </si>
  <si>
    <t>STLV0134681</t>
  </si>
  <si>
    <t>16083499452</t>
  </si>
  <si>
    <t>ISR10053345</t>
  </si>
  <si>
    <t>STLV0134684</t>
  </si>
  <si>
    <t>01676184544</t>
  </si>
  <si>
    <t>ISR10053348</t>
  </si>
  <si>
    <t>STLV0134687</t>
  </si>
  <si>
    <t>ISR10053349</t>
  </si>
  <si>
    <t>STLV0134689</t>
  </si>
  <si>
    <t>01676184555</t>
  </si>
  <si>
    <t>ISR10053350</t>
  </si>
  <si>
    <t>STLV0134691</t>
  </si>
  <si>
    <t>ISR10053352</t>
  </si>
  <si>
    <t>STLV0134695</t>
  </si>
  <si>
    <t>ISR10053354</t>
  </si>
  <si>
    <t>STLV0134698</t>
  </si>
  <si>
    <t>ISR10053357</t>
  </si>
  <si>
    <t>STLV0134709</t>
  </si>
  <si>
    <t>ISR10053363</t>
  </si>
  <si>
    <t>STLV0134716</t>
  </si>
  <si>
    <t>ISR10053367</t>
  </si>
  <si>
    <t>STLV0134740</t>
  </si>
  <si>
    <t>07160188855</t>
  </si>
  <si>
    <t>ISR10053371</t>
  </si>
  <si>
    <t>STLV0134744</t>
  </si>
  <si>
    <t>ISR10053375</t>
  </si>
  <si>
    <t>STLV0134745</t>
  </si>
  <si>
    <t>70051239112</t>
  </si>
  <si>
    <t>ISR10053376</t>
  </si>
  <si>
    <t>STLV0134746</t>
  </si>
  <si>
    <t>ISR10053377</t>
  </si>
  <si>
    <t>STLV0134747</t>
  </si>
  <si>
    <t>ISR10053378</t>
  </si>
  <si>
    <t>STLV0134748</t>
  </si>
  <si>
    <t>11463889803</t>
  </si>
  <si>
    <t>ISR10053379</t>
  </si>
  <si>
    <t>STLV0134749</t>
  </si>
  <si>
    <t>ISR10053380</t>
  </si>
  <si>
    <t>STLV0134750</t>
  </si>
  <si>
    <t>ISR10053381</t>
  </si>
  <si>
    <t>STLV0134753</t>
  </si>
  <si>
    <t>ISR10053384</t>
  </si>
  <si>
    <t>STLV0134775</t>
  </si>
  <si>
    <t>ISR10053387</t>
  </si>
  <si>
    <t>STLV0134804</t>
  </si>
  <si>
    <t>ISR10053395</t>
  </si>
  <si>
    <t>STLV0134807</t>
  </si>
  <si>
    <t>ISR10053397</t>
  </si>
  <si>
    <t>STLV0134808</t>
  </si>
  <si>
    <t>ISR10053398</t>
  </si>
  <si>
    <t>STLV0134816</t>
  </si>
  <si>
    <t>ISR10053399</t>
  </si>
  <si>
    <t>STLV0134826</t>
  </si>
  <si>
    <t>77111084312</t>
  </si>
  <si>
    <t>ISR10053407</t>
  </si>
  <si>
    <t>STLV0134828</t>
  </si>
  <si>
    <t>01676184581</t>
  </si>
  <si>
    <t>ISR10053408</t>
  </si>
  <si>
    <t>STLV0134829</t>
  </si>
  <si>
    <t>02002095811</t>
  </si>
  <si>
    <t>ISR10053409</t>
  </si>
  <si>
    <t>STLV0134943</t>
  </si>
  <si>
    <t>ISR10053412</t>
  </si>
  <si>
    <t>STLV0134974</t>
  </si>
  <si>
    <t>ISR10053425</t>
  </si>
  <si>
    <t>STLV0134982</t>
  </si>
  <si>
    <t>ISR10053426</t>
  </si>
  <si>
    <t>STLV0135016</t>
  </si>
  <si>
    <t>01676184614</t>
  </si>
  <si>
    <t>ISR10053434</t>
  </si>
  <si>
    <t>STLV0135019</t>
  </si>
  <si>
    <t>ISR10053437</t>
  </si>
  <si>
    <t>STLV0135028</t>
  </si>
  <si>
    <t>ISR10053444</t>
  </si>
  <si>
    <t>STLV0135060</t>
  </si>
  <si>
    <t>ISR10053458</t>
  </si>
  <si>
    <t>STLV0135063</t>
  </si>
  <si>
    <t>01676184625</t>
  </si>
  <si>
    <t>ISR10053461</t>
  </si>
  <si>
    <t>STLV0135071</t>
  </si>
  <si>
    <t>ISR10053467</t>
  </si>
  <si>
    <t>STLV0135086</t>
  </si>
  <si>
    <t>ISR10053468</t>
  </si>
  <si>
    <t>STLV0135095</t>
  </si>
  <si>
    <t>ISR10053469</t>
  </si>
  <si>
    <t>STLV0135097</t>
  </si>
  <si>
    <t>ISR10053471</t>
  </si>
  <si>
    <t>STLV0135098</t>
  </si>
  <si>
    <t>ISR10053472</t>
  </si>
  <si>
    <t>STLV0135138</t>
  </si>
  <si>
    <t>ISR10053476</t>
  </si>
  <si>
    <t>STLV0135145</t>
  </si>
  <si>
    <t>ISR10053477</t>
  </si>
  <si>
    <t>STLV0135152</t>
  </si>
  <si>
    <t>16083499603</t>
  </si>
  <si>
    <t>ISR10053480</t>
  </si>
  <si>
    <t>STLV0135187</t>
  </si>
  <si>
    <t>11464133742</t>
  </si>
  <si>
    <t>ORI07824530</t>
  </si>
  <si>
    <t>STLV0135211</t>
  </si>
  <si>
    <t>ISR10053485</t>
  </si>
  <si>
    <t>STLV0135214</t>
  </si>
  <si>
    <t>ISR10053486</t>
  </si>
  <si>
    <t>STLV0135246</t>
  </si>
  <si>
    <t>ISR10053497</t>
  </si>
  <si>
    <t>STLV0135249</t>
  </si>
  <si>
    <t>ISR10053500</t>
  </si>
  <si>
    <t>STLV0135265</t>
  </si>
  <si>
    <t>50120085870</t>
  </si>
  <si>
    <t>ISR10053507</t>
  </si>
  <si>
    <t>STLV0135273</t>
  </si>
  <si>
    <t>01437623165</t>
  </si>
  <si>
    <t>ISR10053509</t>
  </si>
  <si>
    <t>STLV0135274</t>
  </si>
  <si>
    <t>70051239101</t>
  </si>
  <si>
    <t>ISR10053510</t>
  </si>
  <si>
    <t>STLV0135276</t>
  </si>
  <si>
    <t>ISR10053512</t>
  </si>
  <si>
    <t>STLV0135283</t>
  </si>
  <si>
    <t>ISR10053516</t>
  </si>
  <si>
    <t>STLV0135286</t>
  </si>
  <si>
    <t>ISR10053517</t>
  </si>
  <si>
    <t>STLV0135408</t>
  </si>
  <si>
    <t>ISR10053525</t>
  </si>
  <si>
    <t>STLV0135415</t>
  </si>
  <si>
    <t>70051238876</t>
  </si>
  <si>
    <t>ISR10053528</t>
  </si>
  <si>
    <t>STLV0135510</t>
  </si>
  <si>
    <t>16083499614</t>
  </si>
  <si>
    <t>ISR10053544</t>
  </si>
  <si>
    <t>STLV0135511</t>
  </si>
  <si>
    <t>16083499625</t>
  </si>
  <si>
    <t>ISR10053545</t>
  </si>
  <si>
    <t>STLV0135512</t>
  </si>
  <si>
    <t>ISR10053546</t>
  </si>
  <si>
    <t>STLV0135530</t>
  </si>
  <si>
    <t>01437625335</t>
  </si>
  <si>
    <t>ISR10053560</t>
  </si>
  <si>
    <t>STLV0135559</t>
  </si>
  <si>
    <t>50120085833</t>
  </si>
  <si>
    <t>ISR10053573</t>
  </si>
  <si>
    <t>STLV0135585</t>
  </si>
  <si>
    <t>16003078810</t>
  </si>
  <si>
    <t>ACL00101584</t>
  </si>
  <si>
    <t>STLV0135587</t>
  </si>
  <si>
    <t>50120085881</t>
  </si>
  <si>
    <t>ISR10053586</t>
  </si>
  <si>
    <t>STLV0135588</t>
  </si>
  <si>
    <t>50120086382</t>
  </si>
  <si>
    <t>ISR10053587</t>
  </si>
  <si>
    <t>STLV0135590</t>
  </si>
  <si>
    <t>16004036594</t>
  </si>
  <si>
    <t>ISR10053589</t>
  </si>
  <si>
    <t>STLV0135601</t>
  </si>
  <si>
    <t>ISR10053597</t>
  </si>
  <si>
    <t>STLV0135611</t>
  </si>
  <si>
    <t>ISR10053603</t>
  </si>
  <si>
    <t>STLV0135620</t>
  </si>
  <si>
    <t>ISR10053612</t>
  </si>
  <si>
    <t>STLV0135628</t>
  </si>
  <si>
    <t>ISR10053616</t>
  </si>
  <si>
    <t>STLV0136001</t>
  </si>
  <si>
    <t>ISR10053675</t>
  </si>
  <si>
    <t>STLV0136006</t>
  </si>
  <si>
    <t>00638681915</t>
  </si>
  <si>
    <t>ISR10053677</t>
  </si>
  <si>
    <t>STLV0136027</t>
  </si>
  <si>
    <t>16092540910</t>
  </si>
  <si>
    <t>ICL01791985</t>
  </si>
  <si>
    <t>STLV0136029</t>
  </si>
  <si>
    <t>11463890212</t>
  </si>
  <si>
    <t>ISR10053692</t>
  </si>
  <si>
    <t>STLV0136030</t>
  </si>
  <si>
    <t>ISR10053693</t>
  </si>
  <si>
    <t>STLV0136069</t>
  </si>
  <si>
    <t>50120085844</t>
  </si>
  <si>
    <t>ISR10053702</t>
  </si>
  <si>
    <t>STLV0136072</t>
  </si>
  <si>
    <t>ISR10053705</t>
  </si>
  <si>
    <t>STLV0136078</t>
  </si>
  <si>
    <t>16083499592</t>
  </si>
  <si>
    <t>ISR10053711</t>
  </si>
  <si>
    <t>STLV0136080</t>
  </si>
  <si>
    <t>16083499640</t>
  </si>
  <si>
    <t>ISR10053713</t>
  </si>
  <si>
    <t>STLV0136201</t>
  </si>
  <si>
    <t>ISR10053729</t>
  </si>
  <si>
    <t>STLV0137473</t>
  </si>
  <si>
    <t>ISR10053832</t>
  </si>
  <si>
    <t>STLV0137627</t>
  </si>
  <si>
    <t>94100000000</t>
  </si>
  <si>
    <t>STLV0137724</t>
  </si>
  <si>
    <t>399678218873</t>
  </si>
</sst>
</file>

<file path=xl/styles.xml><?xml version="1.0" encoding="utf-8"?>
<styleSheet xmlns="http://schemas.openxmlformats.org/spreadsheetml/2006/main">
  <numFmts count="7">
    <numFmt numFmtId="43" formatCode="_-* #,##0.00_-;\-* #,##0.00_-;_-* &quot;-&quot;??_-;_-@_-"/>
    <numFmt numFmtId="164" formatCode="[$-409]dd\-mmm\-yy;@"/>
    <numFmt numFmtId="165" formatCode="[$-409]d\-mmm\-yy;@"/>
    <numFmt numFmtId="166" formatCode="[$-C09]dd\-mmm\-yy;@"/>
    <numFmt numFmtId="167" formatCode="0.0"/>
    <numFmt numFmtId="168" formatCode="yyyy\-mm\-dd\ hh:mm:ss"/>
    <numFmt numFmtId="169" formatCode="dd\-mmm\-yy\ hh:mm:ss"/>
  </numFmts>
  <fonts count="55">
    <font>
      <sz val="11"/>
      <color theme="1"/>
      <name val="Calibri"/>
      <scheme val="minor"/>
    </font>
    <font>
      <sz val="11"/>
      <color indexed="8"/>
      <name val="Calibri"/>
      <family val="2"/>
    </font>
    <font>
      <b/>
      <sz val="8"/>
      <color indexed="18"/>
      <name val="Arial"/>
      <family val="2"/>
    </font>
    <font>
      <sz val="8"/>
      <color auto="1"/>
      <name val="Arial"/>
      <family val="2"/>
    </font>
    <font>
      <sz val="10"/>
      <color auto="1"/>
      <name val="Arial"/>
      <family val="2"/>
    </font>
    <font>
      <b/>
      <sz val="8"/>
      <color auto="1"/>
      <name val="Arial"/>
      <family val="2"/>
    </font>
    <font>
      <sz val="16"/>
      <color auto="1"/>
      <name val="Arial"/>
      <family val="2"/>
    </font>
    <font>
      <sz val="14"/>
      <color auto="1"/>
      <name val="Arial"/>
      <family val="2"/>
    </font>
    <font>
      <sz val="8"/>
      <color auto="1"/>
      <name val="Arial"/>
      <family val="2"/>
    </font>
    <font>
      <b/>
      <sz val="10"/>
      <color indexed="18"/>
      <name val="Arial"/>
      <family val="2"/>
    </font>
    <font>
      <sz val="11"/>
      <color indexed="8"/>
      <name val="Calibri"/>
      <family val="2"/>
    </font>
    <font>
      <sz val="8"/>
      <color indexed="18"/>
      <name val="Arial"/>
      <family val="2"/>
    </font>
    <font>
      <b/>
      <sz val="10"/>
      <color auto="1"/>
      <name val="Arial"/>
      <family val="2"/>
    </font>
    <font>
      <sz val="10"/>
      <color auto="1"/>
      <name val="Arial"/>
      <family val="2"/>
      <charset val="204"/>
    </font>
    <font>
      <sz val="8"/>
      <color auto="1"/>
      <name val="Arial"/>
      <family val="2"/>
      <charset val="204"/>
    </font>
    <font>
      <sz val="10"/>
      <color auto="1"/>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auto="1"/>
      <name val="Calibri"/>
      <family val="2"/>
    </font>
    <font>
      <b/>
      <sz val="10"/>
      <color indexed="18"/>
      <name val="Calibri"/>
      <family val="2"/>
    </font>
    <font>
      <sz val="10"/>
      <color auto="1"/>
      <name val="Arial"/>
      <family val="2"/>
    </font>
    <font>
      <sz val="11"/>
      <color theme="1"/>
      <name val="Calibri"/>
      <family val="2"/>
      <scheme val="minor"/>
    </font>
    <font>
      <sz val="11"/>
      <color theme="1"/>
      <name val="Calibri"/>
      <family val="1"/>
      <scheme val="minor"/>
    </font>
    <font>
      <sz val="10"/>
      <color theme="1"/>
      <name val="Arial"/>
      <family val="2"/>
    </font>
    <font>
      <sz val="8"/>
      <color rgb="FF0070C0"/>
      <name val="Arial"/>
      <family val="2"/>
    </font>
    <font>
      <sz val="8"/>
      <color rgb="FF7030A0"/>
      <name val="Arial"/>
      <family val="2"/>
    </font>
    <font>
      <sz val="10"/>
      <color auto="1"/>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sz val="8"/>
      <color rgb="FF00B050"/>
      <name val="Arial"/>
      <family val="2"/>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
      <b/>
      <sz val="8"/>
      <color rgb="FF7030A0"/>
      <name val="Arial"/>
      <family val="2"/>
    </font>
    <font>
      <sz val="10"/>
      <color rgb="FF0070C0"/>
      <name val="Arial"/>
      <family val="2"/>
    </font>
    <font>
      <b/>
      <sz val="8"/>
      <color rgb="FF0070C0"/>
      <name val="Arial"/>
      <family val="2"/>
    </font>
    <font>
      <sz val="8"/>
      <color rgb="FF7030A0"/>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int="0.799981688894314" theme="3"/>
        <bgColor auto="1"/>
      </patternFill>
    </fill>
    <fill>
      <patternFill patternType="solid">
        <fgColor tint="-0.149998474074526" theme="0"/>
        <bgColor auto="1"/>
      </patternFill>
    </fill>
    <fill>
      <patternFill patternType="solid">
        <fgColor tint="-0.14996795556505"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5">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18" numFmtId="0" fillId="3" borderId="0"/>
    <xf applyNumberFormat="0" applyAlignment="0" applyProtection="0" fontId="19" numFmtId="0" fillId="20" borderId="1"/>
    <xf applyNumberFormat="0" applyAlignment="0" applyProtection="0" fontId="20" numFmtId="0" fillId="21" borderId="2"/>
    <xf applyFont="0" applyFill="0" applyBorder="0" applyAlignment="0" applyProtection="0" fontId="10" numFmtId="43" fillId="0" borderId="0"/>
    <xf applyFont="0" applyFill="0" applyBorder="0" applyAlignment="0" applyProtection="0" fontId="4" numFmtId="43" fillId="0" borderId="0"/>
    <xf applyFont="0" applyFill="0" applyBorder="0" applyAlignment="0" applyProtection="0" fontId="36" numFmtId="43" fillId="0" borderId="0"/>
    <xf applyFont="0" applyFill="0" applyBorder="0" applyAlignment="0" applyProtection="0" fontId="1" numFmtId="43" fillId="0" borderId="0"/>
    <xf applyFont="0" applyFill="0" applyBorder="0" applyAlignment="0" applyProtection="0" fontId="1" numFmtId="43" fillId="0" borderId="0"/>
    <xf applyNumberFormat="0" applyFill="0" applyBorder="0" applyAlignment="0" applyProtection="0" fontId="21" numFmtId="0" fillId="0" borderId="0"/>
    <xf applyNumberFormat="0" applyBorder="0" applyAlignment="0" applyProtection="0" fontId="22" numFmtId="0" fillId="4" borderId="0"/>
    <xf applyNumberFormat="0" applyFill="0" applyAlignment="0" applyProtection="0" fontId="23" numFmtId="0" fillId="0" borderId="3"/>
    <xf applyNumberFormat="0" applyFill="0" applyAlignment="0" applyProtection="0" fontId="24" numFmtId="0" fillId="0" borderId="4"/>
    <xf applyNumberFormat="0" applyFill="0" applyAlignment="0" applyProtection="0" fontId="25" numFmtId="0" fillId="0" borderId="5"/>
    <xf applyNumberFormat="0" applyFill="0" applyBorder="0" applyAlignment="0" applyProtection="0" fontId="25" numFmtId="0" fillId="0" borderId="0"/>
    <xf applyNumberFormat="0" applyAlignment="0" applyProtection="0" fontId="26" numFmtId="0" fillId="7" borderId="1"/>
    <xf applyNumberFormat="0" applyFill="0" applyAlignment="0" applyProtection="0" fontId="27" numFmtId="0" fillId="0" borderId="6"/>
    <xf applyNumberFormat="0" applyBorder="0" applyAlignment="0" applyProtection="0" fontId="28" numFmtId="0" fillId="22" borderId="0"/>
    <xf fontId="4" numFmtId="0" fillId="0" borderId="0"/>
    <xf fontId="4" numFmtId="0" fillId="0" borderId="0"/>
    <xf fontId="13" numFmtId="0" fillId="0" borderId="0"/>
    <xf fontId="36" numFmtId="0" fillId="0" borderId="0"/>
    <xf fontId="36" numFmtId="0" fillId="0" borderId="0"/>
    <xf fontId="4" numFmtId="0" fillId="0" borderId="0"/>
    <xf fontId="36" numFmtId="0" fillId="0" borderId="0"/>
    <xf fontId="4" numFmtId="0" fillId="0" borderId="0"/>
    <xf fontId="35" numFmtId="0" fillId="0" borderId="0"/>
    <xf fontId="36" numFmtId="0" fillId="0" borderId="0"/>
    <xf fontId="4" numFmtId="0" fillId="0" borderId="0"/>
    <xf fontId="36" numFmtId="0" fillId="0" borderId="0"/>
    <xf fontId="37" numFmtId="0" fillId="0" borderId="0"/>
    <xf fontId="36" numFmtId="0" fillId="0" borderId="0"/>
    <xf fontId="4" numFmtId="0" fillId="0" borderId="0"/>
    <xf fontId="4" numFmtId="0" fillId="0" borderId="0"/>
    <xf fontId="36" numFmtId="0" fillId="0" borderId="0"/>
    <xf fontId="36" numFmtId="0" fillId="0" borderId="0"/>
    <xf applyNumberFormat="0" applyFont="0" applyAlignment="0" applyProtection="0" fontId="13" numFmtId="0" fillId="23" borderId="7"/>
    <xf applyNumberFormat="0" applyAlignment="0" applyProtection="0" fontId="29" numFmtId="0" fillId="20" borderId="8"/>
    <xf applyNumberFormat="0" applyFill="0" applyBorder="0" applyAlignment="0" applyProtection="0" fontId="30" numFmtId="0" fillId="0" borderId="0"/>
    <xf applyNumberFormat="0" applyFill="0" applyAlignment="0" applyProtection="0" fontId="31" numFmtId="0" fillId="0" borderId="9"/>
    <xf applyNumberFormat="0" applyFill="0" applyBorder="0" applyAlignment="0" applyProtection="0" fontId="32" numFmtId="0" fillId="0" borderId="0"/>
  </cellStyleXfs>
  <cellXfs count="167">
    <xf fontId="0" numFmtId="0" fillId="0" borderId="0" xfId="0"/>
    <xf applyFont="1" applyAlignment="1" fontId="3" numFmtId="0" fillId="0" borderId="0" xfId="0">
      <alignment vertical="center"/>
    </xf>
    <xf applyFont="1" fontId="4" numFmtId="0" fillId="0" borderId="0" xfId="0"/>
    <xf applyFont="1" applyAlignment="1" fontId="4" numFmtId="0" fillId="0" borderId="0" xfId="0">
      <alignment wrapText="1"/>
    </xf>
    <xf applyAlignment="1" fontId="0" numFmtId="0" fillId="0" borderId="0" xfId="0">
      <alignment horizontal="left"/>
    </xf>
    <xf applyNumberFormat="1" applyFont="1" applyAlignment="1" fontId="4" numFmtId="1" fillId="0" borderId="0" xfId="0">
      <alignment horizontal="right"/>
    </xf>
    <xf applyFont="1" applyAlignment="1" fontId="4" numFmtId="0" fillId="0" borderId="0" xfId="0">
      <alignment horizontal="left"/>
    </xf>
    <xf applyFont="1" applyAlignment="1" fontId="4" numFmtId="0" fillId="0" borderId="0" xfId="0">
      <alignment horizontal="right"/>
    </xf>
    <xf applyFont="1" applyAlignment="1" fontId="4" numFmtId="0" fillId="0" borderId="0" xfId="0">
      <alignment horizontal="center"/>
    </xf>
    <xf applyNumberFormat="1" applyFont="1" fontId="4" numFmtId="164" fillId="0" borderId="0" xfId="0"/>
    <xf applyNumberFormat="1" applyFont="1" fontId="4" numFmtId="165" fillId="0" borderId="0" xfId="0"/>
    <xf applyAlignment="1" fontId="0" numFmtId="0" fillId="0" borderId="0" xfId="0">
      <alignment horizontal="right"/>
    </xf>
    <xf applyFont="1" applyAlignment="1" fontId="3" numFmtId="0" fillId="0" borderId="0" xfId="0">
      <alignment horizontal="left" vertical="center"/>
    </xf>
    <xf applyFont="1" applyAlignment="1" fontId="3" numFmtId="0" fillId="0" borderId="0" xfId="0">
      <alignment horizontal="left" vertical="top" wrapText="1"/>
    </xf>
    <xf applyFont="1" applyAlignment="1" fontId="3" numFmtId="0" fillId="0" borderId="0" xfId="0">
      <alignment horizontal="left"/>
    </xf>
    <xf applyNumberFormat="1" applyFont="1" applyAlignment="1" fontId="3" numFmtId="1" fillId="0" borderId="0" xfId="0">
      <alignment horizontal="right"/>
    </xf>
    <xf applyFont="1" applyAlignment="1" fontId="3" numFmtId="0" fillId="0" borderId="0" xfId="0">
      <alignment horizontal="left" wrapText="1"/>
    </xf>
    <xf applyFont="1" applyAlignment="1" fontId="3" numFmtId="0" fillId="0" borderId="0" xfId="0">
      <alignment horizontal="right" wrapText="1"/>
    </xf>
    <xf applyFont="1" applyAlignment="1" fontId="3" numFmtId="0" fillId="0" borderId="0" xfId="0">
      <alignment horizontal="center" wrapText="1"/>
    </xf>
    <xf applyFont="1" applyAlignment="1" fontId="3" numFmtId="0" fillId="0" borderId="0" xfId="0">
      <alignment wrapText="1"/>
    </xf>
    <xf applyNumberFormat="1" applyFont="1" applyAlignment="1" fontId="3" numFmtId="164" fillId="0" borderId="0" xfId="0">
      <alignment wrapText="1"/>
    </xf>
    <xf applyNumberFormat="1" applyFont="1" applyAlignment="1" fontId="3" numFmtId="165" fillId="0" borderId="0" xfId="0">
      <alignment wrapText="1"/>
    </xf>
    <xf applyNumberFormat="1" applyFont="1" applyAlignment="1" fontId="3" numFmtId="14" fillId="0" borderId="0" xfId="0">
      <alignment horizontal="left" wrapText="1"/>
    </xf>
    <xf applyNumberFormat="1" applyFont="1" applyAlignment="1" fontId="3" numFmtId="14" fillId="0" borderId="0" xfId="0">
      <alignment horizontal="right" wrapText="1"/>
    </xf>
    <xf applyNumberFormat="1" fontId="0" numFmtId="164" fillId="0" borderId="0" xfId="0"/>
    <xf applyNumberFormat="1" fontId="0" numFmtId="165" fillId="0" borderId="0" xfId="0"/>
    <xf applyFont="1" applyAlignment="1" fontId="2" numFmtId="0" fillId="0" borderId="0" xfId="0">
      <alignment horizontal="right" vertical="top" wrapText="1"/>
    </xf>
    <xf applyFont="1" applyAlignment="1" fontId="5" numFmtId="0" fillId="0" borderId="0" xfId="0">
      <alignment horizontal="left"/>
    </xf>
    <xf applyAlignment="1" fontId="0" numFmtId="0" fillId="0" borderId="0" xfId="0">
      <alignment wrapText="1"/>
    </xf>
    <xf applyNumberFormat="1" applyAlignment="1" fontId="0" numFmtId="1" fillId="0" borderId="0" xfId="0">
      <alignment horizontal="right"/>
    </xf>
    <xf applyFont="1" applyAlignment="1" fontId="6" numFmtId="0" fillId="0" borderId="0" xfId="0">
      <alignment horizontal="left"/>
    </xf>
    <xf applyFont="1" fontId="3" numFmtId="0" fillId="0" borderId="0" xfId="0"/>
    <xf applyFont="1" applyAlignment="1" fontId="7" numFmtId="0" fillId="0" borderId="0" xfId="0">
      <alignment horizontal="left"/>
    </xf>
    <xf applyFont="1" applyAlignment="1" fontId="7" numFmtId="0" fillId="0" borderId="0" xfId="0">
      <alignment horizontal="right"/>
    </xf>
    <xf applyFont="1" applyAlignment="1" fontId="3" numFmtId="0" fillId="0" borderId="0" xfId="0">
      <alignment horizontal="right"/>
    </xf>
    <xf applyFont="1" applyAlignment="1" fontId="3" numFmtId="0" fillId="0" borderId="0" xfId="0">
      <alignment horizontal="center"/>
    </xf>
    <xf applyNumberFormat="1" applyFont="1" fontId="3" numFmtId="164" fillId="0" borderId="0" xfId="0"/>
    <xf applyNumberFormat="1" applyFont="1" fontId="3" numFmtId="165" fillId="0" borderId="0" xfId="0"/>
    <xf applyFont="1" applyAlignment="1" fontId="3" numFmtId="0" fillId="0" borderId="0" xfId="0">
      <alignment horizontal="centerContinuous"/>
    </xf>
    <xf applyFont="1" applyAlignment="1" fontId="7" numFmtId="0" fillId="0" borderId="0" xfId="0">
      <alignment horizontal="centerContinuous"/>
    </xf>
    <xf applyFont="1" applyAlignment="1" fontId="4" numFmtId="0" fillId="0" borderId="0" xfId="0">
      <alignment horizontal="centerContinuous"/>
    </xf>
    <xf applyFont="1" applyAlignment="1" fontId="5" numFmtId="0" fillId="0" borderId="0" xfId="0">
      <alignment horizontal="left" vertical="top"/>
    </xf>
    <xf applyFont="1" applyAlignment="1" fontId="4" numFmtId="0" fillId="0" borderId="0" xfId="0">
      <alignment vertical="top"/>
    </xf>
    <xf applyFont="1" applyAlignment="1" fontId="3" numFmtId="0" fillId="0" borderId="0" xfId="0">
      <alignment horizontal="left" vertical="top"/>
    </xf>
    <xf applyFont="1" applyAlignment="1" fontId="7" numFmtId="0" fillId="0" borderId="0" xfId="0">
      <alignment horizontal="centerContinuous" vertical="top"/>
    </xf>
    <xf applyFont="1" applyAlignment="1" fontId="4" numFmtId="0" fillId="0" borderId="0" xfId="0">
      <alignment horizontal="left" vertical="top"/>
    </xf>
    <xf applyFont="1" applyAlignment="1" fontId="7" numFmtId="0" fillId="0" borderId="0" xfId="0">
      <alignment horizontal="right" vertical="top"/>
    </xf>
    <xf applyFont="1" applyAlignment="1" fontId="7" numFmtId="0" fillId="0" borderId="0" xfId="0">
      <alignment horizontal="left" vertical="top"/>
    </xf>
    <xf applyFont="1" applyAlignment="1" fontId="4" numFmtId="0" fillId="0" borderId="0" xfId="0">
      <alignment horizontal="right" vertical="top"/>
    </xf>
    <xf applyFont="1" applyAlignment="1" fontId="4" numFmtId="0" fillId="0" borderId="0" xfId="0">
      <alignment horizontal="center" vertical="top"/>
    </xf>
    <xf applyNumberFormat="1" applyFont="1" applyAlignment="1" fontId="4" numFmtId="164" fillId="0" borderId="0" xfId="0">
      <alignment vertical="top"/>
    </xf>
    <xf applyNumberFormat="1" applyFont="1" applyAlignment="1" fontId="4" numFmtId="165" fillId="0" borderId="0" xfId="0">
      <alignment vertical="top"/>
    </xf>
    <xf applyFont="1" fontId="8" numFmtId="0" fillId="0" borderId="0" xfId="0"/>
    <xf applyFont="1" applyAlignment="1" fontId="8" numFmtId="0" fillId="0" borderId="0" xfId="0">
      <alignment horizontal="right"/>
    </xf>
    <xf applyFont="1" applyAlignment="1" fontId="8" numFmtId="0" fillId="0" borderId="0" xfId="0">
      <alignment horizontal="left"/>
    </xf>
    <xf applyFont="1" applyAlignment="1" fontId="8" numFmtId="0" fillId="0" borderId="0" xfId="0">
      <alignment horizontal="center"/>
    </xf>
    <xf applyNumberFormat="1" applyFont="1" fontId="8" numFmtId="164" fillId="0" borderId="0" xfId="0"/>
    <xf applyNumberFormat="1" applyFont="1" fontId="8" numFmtId="165" fillId="0" borderId="0" xfId="0"/>
    <xf applyFont="1" applyAlignment="1" fontId="8" numFmtId="0" fillId="0" borderId="0" xfId="0">
      <alignment vertical="center" wrapText="1"/>
    </xf>
    <xf applyFont="1" applyFill="1" applyBorder="1" applyAlignment="1" fontId="5" numFmtId="0" fillId="24" borderId="10" xfId="0">
      <alignment vertical="center" wrapText="1"/>
    </xf>
    <xf applyFont="1" applyFill="1" applyBorder="1" applyAlignment="1" fontId="5" numFmtId="0" fillId="24" borderId="10" xfId="0">
      <alignment horizontal="left" vertical="center" wrapText="1"/>
    </xf>
    <xf applyFont="1" applyFill="1" applyBorder="1" applyAlignment="1" fontId="5" numFmtId="0" fillId="24" borderId="10" xfId="0">
      <alignment horizontal="right" vertical="center" wrapText="1"/>
    </xf>
    <xf applyFont="1" applyFill="1" applyBorder="1" applyAlignment="1" fontId="5" numFmtId="0" fillId="24" borderId="10" xfId="0">
      <alignment horizontal="center" vertical="center" wrapText="1"/>
    </xf>
    <xf applyFont="1" applyFill="1" applyBorder="1" applyAlignment="1" fontId="5" numFmtId="0" fillId="24" borderId="10" xfId="0">
      <alignment horizontal="right" vertical="center"/>
    </xf>
    <xf applyNumberFormat="1" applyFont="1" applyAlignment="1" fontId="3" numFmtId="1" fillId="0" borderId="0" xfId="0">
      <alignment horizontal="left" vertical="top"/>
    </xf>
    <xf applyNumberFormat="1" applyFont="1" applyAlignment="1" fontId="3" numFmtId="1" fillId="0" borderId="0" xfId="0">
      <alignment horizontal="right" vertical="top"/>
    </xf>
    <xf applyNumberFormat="1" applyFont="1" applyAlignment="1" fontId="3" numFmtId="1" fillId="0" borderId="0" xfId="0">
      <alignment horizontal="center" vertical="top"/>
    </xf>
    <xf applyFont="1" applyAlignment="1" fontId="3" numFmtId="0" fillId="0" borderId="0" xfId="0">
      <alignment horizontal="center" vertical="top"/>
    </xf>
    <xf applyFont="1" applyAlignment="1" fontId="3" numFmtId="0" fillId="0" borderId="0" xfId="0">
      <alignment vertical="top"/>
    </xf>
    <xf applyFont="1" applyAlignment="1" fontId="3" numFmtId="0" fillId="0" borderId="0" xfId="0">
      <alignment horizontal="right" vertical="top"/>
    </xf>
    <xf applyFont="1" applyAlignment="1" fontId="8" numFmtId="0" fillId="0" borderId="0" xfId="0">
      <alignment vertical="top"/>
    </xf>
    <xf applyFont="1" applyAlignment="1" fontId="8" numFmtId="0" fillId="0" borderId="0" xfId="0">
      <alignment horizontal="left" vertical="top"/>
    </xf>
    <xf applyNumberFormat="1" applyFont="1" applyAlignment="1" fontId="8" numFmtId="164" fillId="0" borderId="0" xfId="0">
      <alignment horizontal="left" vertical="top"/>
    </xf>
    <xf applyNumberFormat="1" applyFont="1" applyAlignment="1" fontId="8" numFmtId="2" fillId="0" borderId="0" xfId="0">
      <alignment horizontal="right" vertical="top"/>
    </xf>
    <xf applyFont="1" applyAlignment="1" fontId="8" numFmtId="0" fillId="0" borderId="0" xfId="0">
      <alignment horizontal="right" vertical="top"/>
    </xf>
    <xf applyFont="1" applyAlignment="1" fontId="8" numFmtId="0" fillId="0" borderId="0" xfId="0">
      <alignment horizontal="center" vertical="top"/>
    </xf>
    <xf applyNumberFormat="1" applyFont="1" applyAlignment="1" fontId="8" numFmtId="167" fillId="0" borderId="0" xfId="0">
      <alignment horizontal="right" vertical="top"/>
    </xf>
    <xf applyNumberFormat="1" applyFont="1" applyAlignment="1" fontId="8" numFmtId="1" fillId="0" borderId="0" xfId="0">
      <alignment horizontal="right" vertical="top"/>
    </xf>
    <xf applyAlignment="1" fontId="0" numFmtId="0" fillId="0" borderId="0" xfId="0">
      <alignment horizontal="center"/>
    </xf>
    <xf applyFont="1" applyAlignment="1" fontId="3" numFmtId="0" fillId="0" borderId="0" xfId="0">
      <alignment vertical="center" wrapText="1"/>
    </xf>
    <xf applyFont="1" applyAlignment="1" fontId="12" numFmtId="0" fillId="0" borderId="0" xfId="0">
      <alignment horizontal="left" vertical="top"/>
    </xf>
    <xf applyFont="1" applyAlignment="1" fontId="11" numFmtId="0" fillId="0" borderId="0" xfId="0">
      <alignment horizontal="right" vertical="top" wrapText="1"/>
    </xf>
    <xf applyFont="1" applyAlignment="1" fontId="16" numFmtId="0" fillId="0" borderId="0" xfId="0">
      <alignment vertical="center"/>
    </xf>
    <xf applyFont="1" applyAlignment="1" fontId="15" numFmtId="0" fillId="0" borderId="0" xfId="0">
      <alignment vertical="center"/>
    </xf>
    <xf applyFont="1" applyAlignment="1" fontId="38" numFmtId="0" fillId="0" borderId="0" xfId="0">
      <alignment vertical="center"/>
    </xf>
    <xf applyFont="1" applyAlignment="1" fontId="39" numFmtId="0" fillId="0" borderId="0" xfId="0">
      <alignment vertical="center"/>
    </xf>
    <xf applyFont="1" applyAlignment="1" fontId="39" numFmtId="0" fillId="0" borderId="0" xfId="0">
      <alignment horizontal="left" vertical="center"/>
    </xf>
    <xf applyFont="1" applyAlignment="1" fontId="39" numFmtId="0" fillId="0" borderId="0" xfId="0">
      <alignment horizontal="left"/>
    </xf>
    <xf applyFont="1" fontId="39" numFmtId="0" fillId="0" borderId="0" xfId="0"/>
    <xf applyFont="1" applyAlignment="1" fontId="39" numFmtId="0" fillId="0" borderId="0" xfId="0">
      <alignment vertical="top"/>
    </xf>
    <xf applyFont="1" applyAlignment="1" fontId="39" numFmtId="0" fillId="0" borderId="0" xfId="0">
      <alignment horizontal="left" vertical="top"/>
    </xf>
    <xf applyFont="1" applyAlignment="1" fontId="40" numFmtId="0" fillId="0" borderId="0" xfId="57">
      <alignment horizontal="left" vertical="top"/>
    </xf>
    <xf applyFont="1" fontId="40" numFmtId="0" fillId="0" borderId="0" xfId="0"/>
    <xf applyFont="1" applyAlignment="1" fontId="13" numFmtId="0" fillId="0" borderId="0" xfId="0">
      <alignment vertical="center"/>
    </xf>
    <xf applyNumberFormat="1" applyFont="1" applyAlignment="1" fontId="3" numFmtId="2" fillId="0" borderId="0" xfId="0">
      <alignment horizontal="right" vertical="top"/>
    </xf>
    <xf applyNumberFormat="1" applyFont="1" applyAlignment="1" fontId="8" numFmtId="4" fillId="0" borderId="0" xfId="0">
      <alignment horizontal="right" vertical="top"/>
    </xf>
    <xf applyNumberFormat="1" applyFont="1" applyAlignment="1" fontId="3" numFmtId="166" fillId="0" borderId="0" xfId="0">
      <alignment horizontal="left" vertical="top"/>
    </xf>
    <xf applyFont="1" applyFill="1" applyAlignment="1" fontId="14" numFmtId="0" fillId="25" borderId="0" xfId="0">
      <alignment horizontal="left" vertical="top" wrapText="1"/>
    </xf>
    <xf applyFont="1" applyAlignment="1" fontId="3" numFmtId="0" fillId="0" borderId="0" xfId="58">
      <alignment wrapText="1"/>
    </xf>
    <xf applyFont="1" fontId="4" numFmtId="0" fillId="0" borderId="0" xfId="58"/>
    <xf applyFont="1" fontId="3" numFmtId="0" fillId="0" borderId="0" xfId="58"/>
    <xf applyFont="1" applyAlignment="1" fontId="4" numFmtId="0" fillId="0" borderId="0" xfId="58">
      <alignment vertical="top"/>
    </xf>
    <xf applyFont="1" applyFill="1" applyBorder="1" applyAlignment="1" fontId="5" numFmtId="0" fillId="24" borderId="10" xfId="58">
      <alignment vertical="center" wrapText="1"/>
    </xf>
    <xf applyFont="1" applyAlignment="1" fontId="3" numFmtId="0" fillId="0" borderId="0" xfId="58">
      <alignment vertical="top"/>
    </xf>
    <xf applyFont="1" applyFill="1" applyAlignment="1" fontId="3" numFmtId="0" fillId="26" borderId="0" xfId="58">
      <alignment vertical="top"/>
    </xf>
    <xf applyNumberFormat="1" applyFont="1" applyFill="1" applyAlignment="1" fontId="3" numFmtId="15" fillId="26" borderId="0" xfId="58">
      <alignment vertical="top"/>
    </xf>
    <xf applyFont="1" fontId="41" numFmtId="0" fillId="0" borderId="0" xfId="56"/>
    <xf applyFont="1" applyAlignment="1" fontId="41" numFmtId="0" fillId="0" borderId="0" xfId="55">
      <alignment vertical="center"/>
    </xf>
    <xf applyFont="1" fontId="42" numFmtId="0" fillId="0" borderId="0" xfId="56"/>
    <xf applyFont="1" fontId="43" numFmtId="0" fillId="0" borderId="0" xfId="56"/>
    <xf applyFont="1" fontId="9" numFmtId="0" fillId="0" borderId="0" xfId="59"/>
    <xf fontId="36" numFmtId="0" fillId="0" borderId="0" xfId="59"/>
    <xf applyFont="1" applyFill="1" applyAlignment="1" fontId="44" numFmtId="0" fillId="25" borderId="0" xfId="55">
      <alignment vertical="center"/>
    </xf>
    <xf applyFont="1" applyFill="1" applyAlignment="1" fontId="41" numFmtId="0" fillId="25" borderId="0" xfId="55">
      <alignment vertical="center"/>
    </xf>
    <xf applyFont="1" applyFill="1" applyAlignment="1" fontId="16" numFmtId="0" fillId="25" borderId="0" xfId="0">
      <alignment vertical="center"/>
    </xf>
    <xf applyFont="1" applyFill="1" applyAlignment="1" fontId="15" numFmtId="0" fillId="25" borderId="0" xfId="0">
      <alignment vertical="center"/>
    </xf>
    <xf applyFont="1" applyFill="1" applyAlignment="1" fontId="13" numFmtId="0" fillId="25" borderId="0" xfId="0">
      <alignment vertical="center"/>
    </xf>
    <xf applyFont="1" applyFill="1" applyAlignment="1" fontId="38" numFmtId="0" fillId="25" borderId="0" xfId="0">
      <alignment vertical="center"/>
    </xf>
    <xf applyFont="1" applyFill="1" fontId="38" numFmtId="0" fillId="25" borderId="0" xfId="55"/>
    <xf applyNumberFormat="1" applyFont="1" applyAlignment="1" fontId="45" numFmtId="168" fillId="0" borderId="0" xfId="31">
      <alignment vertical="top"/>
    </xf>
    <xf applyNumberFormat="1" applyFont="1" applyFill="1" applyBorder="1" applyAlignment="1" fontId="46" numFmtId="168" fillId="24" borderId="10" xfId="53">
      <alignment vertical="center" wrapText="1"/>
    </xf>
    <xf applyFont="1" applyFill="1" applyAlignment="1" fontId="34" numFmtId="0" fillId="27" borderId="0" xfId="55">
      <alignment vertical="center"/>
    </xf>
    <xf applyFont="1" applyFill="1" applyAlignment="1" fontId="33" numFmtId="0" fillId="27" borderId="0" xfId="55">
      <alignment vertical="center"/>
    </xf>
    <xf applyFont="1" applyFill="1" applyAlignment="1" fontId="47" numFmtId="0" fillId="27" borderId="0" xfId="55">
      <alignment vertical="center"/>
    </xf>
    <xf applyFont="1" applyFill="1" applyAlignment="1" fontId="48" numFmtId="0" fillId="28" borderId="0" xfId="55">
      <alignment vertical="center"/>
    </xf>
    <xf applyFont="1" applyFill="1" applyAlignment="1" fontId="49" numFmtId="0" fillId="28" borderId="0" xfId="55">
      <alignment vertical="center"/>
    </xf>
    <xf applyFont="1" applyFill="1" applyAlignment="1" fontId="50" numFmtId="0" fillId="28" borderId="0" xfId="55">
      <alignment vertical="center"/>
    </xf>
    <xf applyFont="1" applyFill="1" applyAlignment="1" fontId="49" numFmtId="0" fillId="28" borderId="0" xfId="55">
      <alignment vertical="center" wrapText="1"/>
    </xf>
    <xf applyNumberFormat="1" applyFont="1" applyAlignment="1" fontId="40" numFmtId="168" fillId="0" borderId="0" xfId="31">
      <alignment vertical="top"/>
    </xf>
    <xf applyNumberFormat="1" applyFont="1" applyFill="1" applyBorder="1" applyAlignment="1" fontId="51" numFmtId="168" fillId="24" borderId="10" xfId="53">
      <alignment vertical="center" wrapText="1"/>
    </xf>
    <xf applyNumberFormat="1" applyFont="1" applyAlignment="1" fontId="3" numFmtId="169" fillId="0" borderId="0" xfId="0">
      <alignment vertical="top"/>
    </xf>
    <xf applyNumberFormat="1" applyFont="1" applyAlignment="1" fontId="39" numFmtId="168" fillId="0" borderId="0" xfId="31">
      <alignment vertical="top"/>
    </xf>
    <xf applyFont="1" applyAlignment="1" fontId="39" numFmtId="0" fillId="0" borderId="0" xfId="0">
      <alignment wrapText="1"/>
    </xf>
    <xf applyFont="1" fontId="52" numFmtId="0" fillId="0" borderId="0" xfId="0"/>
    <xf applyFont="1" applyAlignment="1" fontId="52" numFmtId="0" fillId="0" borderId="0" xfId="0">
      <alignment vertical="top"/>
    </xf>
    <xf applyNumberFormat="1" applyFont="1" applyFill="1" applyBorder="1" applyAlignment="1" fontId="53" numFmtId="168" fillId="24" borderId="10" xfId="53">
      <alignment vertical="center" wrapText="1"/>
    </xf>
    <xf applyNumberFormat="1" applyFont="1" applyAlignment="1" fontId="39" numFmtId="169" fillId="0" borderId="0" xfId="0">
      <alignment vertical="top"/>
    </xf>
    <xf applyFont="1" applyAlignment="1" fontId="40" numFmtId="0" fillId="0" borderId="0" xfId="0">
      <alignment vertical="top" wrapText="1"/>
    </xf>
    <xf applyFont="1" applyAlignment="1" fontId="40" numFmtId="0" fillId="0" borderId="0" xfId="57">
      <alignment horizontal="left" vertical="top" wrapText="1"/>
    </xf>
    <xf applyFont="1" applyAlignment="1" fontId="40" numFmtId="0" fillId="0" borderId="0" xfId="0">
      <alignment horizontal="right" vertical="top" wrapText="1"/>
    </xf>
    <xf applyFont="1" applyAlignment="1" fontId="40" numFmtId="0" fillId="0" borderId="0" xfId="0">
      <alignment horizontal="left" vertical="top" wrapText="1"/>
    </xf>
    <xf applyFont="1" applyAlignment="1" fontId="40" numFmtId="0" fillId="0" borderId="0" xfId="0">
      <alignment horizontal="center" vertical="top" wrapText="1"/>
    </xf>
    <xf applyFont="1" applyAlignment="1" fontId="40" numFmtId="0" fillId="0" borderId="0" xfId="42">
      <alignment horizontal="left" vertical="top" wrapText="1"/>
    </xf>
    <xf applyFont="1" applyFill="1" applyAlignment="1" fontId="54" numFmtId="0" fillId="25" borderId="0" xfId="58">
      <alignment vertical="top" wrapText="1"/>
    </xf>
    <xf applyFont="1" applyFill="1" applyAlignment="1" fontId="34" numFmtId="0" fillId="28" borderId="0" xfId="55">
      <alignment vertical="center"/>
    </xf>
    <xf applyFont="1" applyFill="1" applyAlignment="1" fontId="33" numFmtId="0" fillId="28" borderId="0" xfId="55">
      <alignment vertical="center"/>
    </xf>
    <xf applyFont="1" applyFill="1" applyAlignment="1" fontId="47" numFmtId="0" fillId="28" borderId="0" xfId="55">
      <alignment vertical="center"/>
    </xf>
    <xf applyNumberFormat="1" applyFont="1" applyAlignment="1" fontId="39" numFmtId="49" fillId="0" borderId="0" xfId="28">
      <alignment vertical="top"/>
    </xf>
    <xf applyNumberFormat="1" applyFont="1" applyAlignment="1" fontId="4" numFmtId="49" fillId="0" borderId="0" xfId="58">
      <alignment vertical="top"/>
    </xf>
    <xf applyNumberFormat="1" applyFont="1" applyFill="1" applyBorder="1" applyAlignment="1" fontId="53" numFmtId="49" fillId="24" borderId="10" xfId="58">
      <alignment vertical="center" wrapText="1"/>
    </xf>
    <xf applyFont="1" applyAlignment="1" fontId="3" numFmtId="0" fillId="0" borderId="0" xfId="54">
      <alignment wrapText="1"/>
    </xf>
    <xf applyFont="1" fontId="4" numFmtId="0" fillId="0" borderId="0" xfId="54"/>
    <xf applyFont="1" fontId="3" numFmtId="0" fillId="0" borderId="0" xfId="54"/>
    <xf applyFont="1" applyAlignment="1" fontId="4" numFmtId="0" fillId="0" borderId="0" xfId="54">
      <alignment vertical="top"/>
    </xf>
    <xf applyNumberFormat="1" applyFont="1" applyAlignment="1" fontId="4" numFmtId="49" fillId="0" borderId="0" xfId="54">
      <alignment vertical="top"/>
    </xf>
    <xf applyFont="1" applyAlignment="1" fontId="3" numFmtId="0" fillId="0" borderId="0" xfId="54">
      <alignment vertical="top"/>
    </xf>
    <xf applyNumberFormat="1" applyFont="1" applyAlignment="1" fontId="45" numFmtId="49" fillId="0" borderId="0" xfId="32">
      <alignment vertical="top"/>
    </xf>
    <xf applyNumberFormat="1" applyFont="1" applyFill="1" applyAlignment="1" fontId="39" numFmtId="49" fillId="25" borderId="0" xfId="28">
      <alignment vertical="top" wrapText="1"/>
    </xf>
    <xf applyNumberFormat="1" applyFont="1" applyFill="1" applyAlignment="1" fontId="45" numFmtId="168" fillId="25" borderId="0" xfId="31">
      <alignment vertical="top" wrapText="1"/>
    </xf>
    <xf applyNumberFormat="1" applyFont="1" applyFill="1" applyAlignment="1" fontId="40" numFmtId="168" fillId="25" borderId="0" xfId="31">
      <alignment vertical="top" wrapText="1"/>
    </xf>
    <xf applyNumberFormat="1" applyFont="1" applyFill="1" applyAlignment="1" fontId="39" numFmtId="168" fillId="25" borderId="0" xfId="31">
      <alignment vertical="top" wrapText="1"/>
    </xf>
    <xf fontId="4" numFmtId="0" fillId="0" borderId="0" xfId="42"/>
    <xf applyFont="1" fontId="9" numFmtId="0" fillId="0" borderId="0" xfId="42"/>
    <xf applyFont="1" applyAlignment="1" fontId="43" numFmtId="0" fillId="0" borderId="0" xfId="0">
      <alignment horizontal="left" vertical="top"/>
    </xf>
    <xf applyNumberFormat="1" applyFont="1" applyAlignment="1" fontId="45" numFmtId="49" fillId="0" borderId="0" xfId="31">
      <alignment vertical="top"/>
    </xf>
    <xf applyNumberFormat="1" applyFont="1" applyAlignment="1" fontId="45" numFmtId="49" fillId="0" borderId="0" xfId="31">
      <alignment vertical="top" wrapText="1"/>
    </xf>
    <xf applyFont="1" applyAlignment="1" fontId="3" numFmtId="0" fillId="0" borderId="0" xfId="53">
      <alignment vertical="top"/>
    </xf>
  </cellXfs>
  <cellStyles count="6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Comma 3" xfId="30"/>
    <cellStyle name="Comma_CSP with No Packing Details" xfId="31"/>
    <cellStyle name="Comma_Customized Shipment Profile" xfId="32"/>
    <cellStyle name="Explanatory Text 2" xfId="33"/>
    <cellStyle name="Good 2" xfId="34"/>
    <cellStyle name="Heading 1 2" xfId="35"/>
    <cellStyle name="Heading 2 2" xfId="36"/>
    <cellStyle name="Heading 3 2" xfId="37"/>
    <cellStyle name="Heading 4 2" xfId="38"/>
    <cellStyle name="Input 2" xfId="39"/>
    <cellStyle name="Linked Cell 2" xfId="40"/>
    <cellStyle name="Neutral 2" xfId="41"/>
    <cellStyle name="Normal" xfId="0" builtinId="0"/>
    <cellStyle name="Normal 2" xfId="42"/>
    <cellStyle name="Normal 2 2" xfId="43"/>
    <cellStyle name="Normal 2 3" xfId="44"/>
    <cellStyle name="Normal 2 4" xfId="45"/>
    <cellStyle name="Normal 2_Filter" xfId="46"/>
    <cellStyle name="Normal 3 2" xfId="47"/>
    <cellStyle name="Normal 3 3" xfId="48"/>
    <cellStyle name="Normal 4" xfId="49"/>
    <cellStyle name="Normal 5" xfId="50"/>
    <cellStyle name="Normal 6" xfId="51"/>
    <cellStyle name="Normal 9" xfId="52"/>
    <cellStyle name="Normal_CSP with No Packing Details" xfId="53"/>
    <cellStyle name="Normal_Customized Shipment Profile" xfId="54"/>
    <cellStyle name="Normal_Filter" xfId="55"/>
    <cellStyle name="Normal_Filter_1" xfId="56"/>
    <cellStyle name="Normal_Shipment Profile" xfId="57"/>
    <cellStyle name="Normal_Shipment Profile_1" xfId="58"/>
    <cellStyle name="Normal_Sort" xfId="59"/>
    <cellStyle name="Note 2" xfId="60"/>
    <cellStyle name="Output 2" xfId="61"/>
    <cellStyle name="Title 2" xfId="62"/>
    <cellStyle name="Total 2" xfId="63"/>
    <cellStyle name="Warning Text 2" xfId="64"/>
  </cellStyles>
  <dxfs count="3">
    <dxf>
      <font>
        <condense val="0"/>
        <extend val="0"/>
        <color indexed="9"/>
      </font>
    </dxf>
    <dxf>
      <font>
        <condense val="0"/>
        <extend val="0"/>
        <color indexed="9"/>
      </font>
    </dxf>
    <dxf>
      <font>
        <condense val="0"/>
        <extend val="0"/>
        <color indexed="9"/>
      </font>
    </dxf>
  </dxfs>
  <tableStyles count="0" defaultTableStyle="TableStyleMedium9"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AC3527"/>
  <sheetViews>
    <sheetView tabSelected="1" topLeftCell="A1" workbookViewId="0">
      <selection activeCell="A1" sqref="A1"/>
    </sheetView>
  </sheetViews>
  <sheetFormatPr defaultColWidth="9.140625" defaultRowHeight="14.4"/>
  <cols>
    <col min="1" max="1" width="0" style="88" hidden="1" customWidth="1"/>
    <col min="2" max="2" width="0.44140625" customWidth="1"/>
    <col min="3" max="3" width="15.42578125" customWidth="1"/>
    <col min="4" max="5" width="9.42578125" customWidth="1"/>
    <col min="6" max="7" width="10.42578125" customWidth="1"/>
    <col min="8" max="9" width="18.42578125" customWidth="1"/>
    <col min="10" max="10" width="6.42578125" style="4" customWidth="1"/>
    <col min="11" max="11" width="23.42578125" style="4" customWidth="1"/>
    <col min="12" max="12" width="7.85546875" style="4" customWidth="1"/>
    <col min="13" max="13" width="11.42578125" style="11" customWidth="1"/>
    <col min="14" max="14" width="6.42578125" style="4" customWidth="1"/>
    <col min="15" max="15" width="11.85546875" style="11" customWidth="1"/>
    <col min="16" max="16" width="5.42578125" style="4" customWidth="1"/>
    <col min="17" max="17" width="11.42578125" style="11" customWidth="1"/>
    <col min="18" max="18" width="6" style="4" customWidth="1"/>
    <col min="19" max="19" width="11.42578125" style="11" customWidth="1"/>
    <col min="20" max="20" width="6" style="4" customWidth="1"/>
    <col min="21" max="21" width="11.42578125" style="11" customWidth="1"/>
    <col min="22" max="22" width="5.85546875" style="4" customWidth="1"/>
    <col min="23" max="23" width="15.5703125" customWidth="1"/>
    <col min="24" max="25" width="10.42578125" customWidth="1"/>
    <col min="26" max="29" width="9" customWidth="1"/>
  </cols>
  <sheetData>
    <row r="1" s="31" customFormat="1" ht="20.25" customHeight="1">
      <c r="A1" s="88"/>
      <c r="B1" s="30" t="s">
        <v>357</v>
      </c>
      <c r="C1" s="30"/>
      <c r="D1" s="4"/>
      <c r="E1" s="4"/>
      <c r="F1" s="4"/>
      <c r="G1" s="4"/>
      <c r="I1" s="4"/>
      <c r="J1" s="4"/>
      <c r="K1" s="4"/>
      <c r="L1" s="14"/>
      <c r="M1" s="11"/>
      <c r="N1" s="32"/>
      <c r="O1" s="33"/>
      <c r="P1" s="14"/>
      <c r="Q1" s="34"/>
      <c r="R1" s="14"/>
      <c r="S1" s="34"/>
      <c r="T1" s="14"/>
      <c r="U1" s="34"/>
      <c r="V1" s="14"/>
      <c r="X1" s="4"/>
      <c r="Y1" s="4"/>
      <c r="Z1" s="100"/>
      <c r="AA1" s="100"/>
      <c r="AB1" s="100"/>
      <c r="AC1" s="100"/>
    </row>
    <row r="2" s="2" customFormat="1" ht="18" customHeight="1">
      <c r="A2" s="88"/>
      <c r="B2" s="32" t="s">
        <v>0</v>
      </c>
      <c r="C2" s="32"/>
      <c r="D2" s="39"/>
      <c r="E2" s="39"/>
      <c r="F2" s="39"/>
      <c r="G2" s="39"/>
      <c r="I2" s="39"/>
      <c r="J2" s="4"/>
      <c r="K2" s="4"/>
      <c r="L2" s="6"/>
      <c r="M2" s="33"/>
      <c r="N2" s="32"/>
      <c r="O2" s="33"/>
      <c r="P2" s="14"/>
      <c r="Q2" s="7"/>
      <c r="R2" s="6"/>
      <c r="S2" s="7"/>
      <c r="T2" s="6"/>
      <c r="U2" s="7"/>
      <c r="V2" s="6"/>
      <c r="X2" s="39"/>
      <c r="Y2" s="39"/>
      <c r="Z2" s="99"/>
      <c r="AA2" s="99"/>
      <c r="AB2" s="99"/>
      <c r="AC2" s="99"/>
    </row>
    <row r="3" s="42" customFormat="1" ht="11.25" customHeight="1">
      <c r="A3" s="89"/>
      <c r="B3" s="41" t="str">
        <f>"Shipment Filters: "</f>
        <v xml:space="preserve">Shipment Filters: </v>
      </c>
      <c r="C3" s="41"/>
      <c r="D3" s="43"/>
      <c r="E3" s="43"/>
      <c r="F3" s="43"/>
      <c r="G3" s="43"/>
      <c r="I3" s="44"/>
      <c r="J3" s="4"/>
      <c r="K3" s="4"/>
      <c r="L3" s="45"/>
      <c r="M3" s="46"/>
      <c r="N3" s="47"/>
      <c r="O3" s="46"/>
      <c r="P3" s="43"/>
      <c r="Q3" s="48"/>
      <c r="R3" s="45"/>
      <c r="S3" s="48"/>
      <c r="T3" s="45"/>
      <c r="U3" s="48"/>
      <c r="V3" s="45"/>
      <c r="X3" s="44"/>
      <c r="Y3" s="44"/>
      <c r="Z3" s="101"/>
      <c r="AA3" s="101"/>
      <c r="AB3" s="101"/>
      <c r="AC3" s="101"/>
    </row>
    <row r="4" s="42" customFormat="1" ht="11.25" customHeight="1">
      <c r="A4" s="89"/>
      <c r="B4" s="43" t="str">
        <f xml:space="preserve"> IF("AIR"="","","Transport Mode: AIR, ")
 &amp;IF(""="","","Container Mode: , ")
 &amp;IF("2/1/2026 12:00:00 AM"="1/01/1900","","ETD: From: 01-Feb-26 To: 22-Mar-26, ")
 &amp;IF("1/1/1900 12:00:00 AM"="1/01/1900","","ETA: , ")
 &amp;IF("ALL"="","","Freight Direction: ALL, ")</f>
        <v xml:space="preserve">Transport Mode: AIR, ETD: From: 01-Feb-26 To: 22-Mar-26, ETA: , Freight Direction: ALL, </v>
      </c>
      <c r="C4" s="43"/>
      <c r="D4" s="43"/>
      <c r="E4" s="43"/>
      <c r="F4" s="43"/>
      <c r="G4" s="43"/>
      <c r="I4" s="44"/>
      <c r="J4" s="4"/>
      <c r="K4" s="4"/>
      <c r="L4" s="45"/>
      <c r="M4" s="46"/>
      <c r="N4" s="47"/>
      <c r="O4" s="46"/>
      <c r="P4" s="43"/>
      <c r="Q4" s="48"/>
      <c r="R4" s="45"/>
      <c r="S4" s="48"/>
      <c r="T4" s="45"/>
      <c r="U4" s="48"/>
      <c r="V4" s="45"/>
      <c r="X4" s="44"/>
      <c r="Y4" s="44"/>
      <c r="Z4" s="101"/>
      <c r="AA4" s="101"/>
      <c r="AB4" s="101"/>
      <c r="AC4" s="101"/>
    </row>
    <row r="5" s="42" customFormat="1" ht="11.25" customHeight="1">
      <c r="A5" s="89"/>
      <c r="B5" s="43" t="s">
        <v>358</v>
      </c>
      <c r="C5" s="43"/>
      <c r="D5" s="43"/>
      <c r="E5" s="43"/>
      <c r="F5" s="43"/>
      <c r="G5" s="43"/>
      <c r="I5" s="44"/>
      <c r="J5" s="45"/>
      <c r="K5" s="45"/>
      <c r="L5" s="45"/>
      <c r="M5" s="46"/>
      <c r="N5" s="47"/>
      <c r="O5" s="46"/>
      <c r="P5" s="43"/>
      <c r="Q5" s="48"/>
      <c r="R5" s="45"/>
      <c r="S5" s="48"/>
      <c r="T5" s="45"/>
      <c r="U5" s="48"/>
      <c r="V5" s="45"/>
      <c r="X5" s="44"/>
      <c r="Y5" s="44"/>
      <c r="Z5" s="101"/>
      <c r="AA5" s="101"/>
      <c r="AB5" s="101"/>
      <c r="AC5" s="101"/>
    </row>
    <row r="6" s="42" customFormat="1" ht="11.25" customHeight="1">
      <c r="A6" s="89"/>
      <c r="B6" s="41" t="str">
        <f>"Invoicing Job Filters:"</f>
        <v>Invoicing Job Filters:</v>
      </c>
      <c r="C6" s="41"/>
      <c r="D6" s="43"/>
      <c r="E6" s="43"/>
      <c r="F6" s="43"/>
      <c r="G6" s="43"/>
      <c r="I6" s="44"/>
      <c r="J6" s="45"/>
      <c r="K6" s="45"/>
      <c r="L6" s="45"/>
      <c r="M6" s="46"/>
      <c r="N6" s="47"/>
      <c r="O6" s="46"/>
      <c r="P6" s="43"/>
      <c r="Q6" s="48"/>
      <c r="R6" s="45"/>
      <c r="S6" s="48"/>
      <c r="T6" s="45"/>
      <c r="U6" s="48"/>
      <c r="V6" s="45"/>
      <c r="X6" s="44"/>
      <c r="Y6" s="44"/>
      <c r="Z6" s="101"/>
      <c r="AA6" s="101"/>
      <c r="AB6" s="101"/>
      <c r="AC6" s="101"/>
    </row>
    <row r="7" s="42" customFormat="1" ht="0" customHeight="1">
      <c r="A7" s="89"/>
      <c r="B7" s="43" t="s">
        <v>359</v>
      </c>
      <c r="C7" s="43"/>
      <c r="D7" s="43"/>
      <c r="E7" s="43"/>
      <c r="F7" s="43"/>
      <c r="G7" s="43"/>
      <c r="I7" s="44"/>
      <c r="J7" s="45"/>
      <c r="K7" s="45"/>
      <c r="L7" s="45"/>
      <c r="M7" s="46"/>
      <c r="N7" s="47"/>
      <c r="O7" s="46"/>
      <c r="P7" s="43"/>
      <c r="Q7" s="48"/>
      <c r="R7" s="45"/>
      <c r="S7" s="48"/>
      <c r="T7" s="45"/>
      <c r="U7" s="48"/>
      <c r="V7" s="45"/>
      <c r="X7" s="44"/>
      <c r="Y7" s="44"/>
      <c r="Z7" s="101"/>
      <c r="AA7" s="101"/>
      <c r="AB7" s="101"/>
      <c r="AC7" s="101"/>
    </row>
    <row r="8" s="42" customFormat="1" ht="0" customHeight="1">
      <c r="A8" s="89"/>
      <c r="B8" s="43" t="str">
        <f>IF(""="","","Job Revenue Recognition Date: ")</f>
        <v/>
      </c>
      <c r="C8" s="43"/>
      <c r="D8" s="43"/>
      <c r="E8" s="43"/>
      <c r="F8" s="43"/>
      <c r="G8" s="43"/>
      <c r="I8" s="44"/>
      <c r="J8" s="45"/>
      <c r="K8" s="45"/>
      <c r="L8" s="45"/>
      <c r="M8" s="46"/>
      <c r="N8" s="47"/>
      <c r="O8" s="46"/>
      <c r="P8" s="43"/>
      <c r="Q8" s="48"/>
      <c r="R8" s="45"/>
      <c r="S8" s="48"/>
      <c r="T8" s="45"/>
      <c r="U8" s="48"/>
      <c r="V8" s="45"/>
      <c r="X8" s="44"/>
      <c r="Y8" s="44"/>
      <c r="Z8" s="101"/>
      <c r="AA8" s="101"/>
      <c r="AB8" s="101"/>
      <c r="AC8" s="101"/>
    </row>
    <row r="9" s="42" customFormat="1" ht="0" customHeight="1">
      <c r="A9" s="88"/>
      <c r="B9" s="14" t="s">
        <v>360</v>
      </c>
      <c r="C9" s="43"/>
      <c r="D9" s="43"/>
      <c r="E9" s="43"/>
      <c r="F9" s="43"/>
      <c r="G9" s="43"/>
      <c r="I9" s="44"/>
      <c r="J9" s="45"/>
      <c r="K9" s="45"/>
      <c r="L9" s="45"/>
      <c r="M9" s="46"/>
      <c r="N9" s="47"/>
      <c r="O9" s="46"/>
      <c r="P9" s="43"/>
      <c r="Q9" s="48"/>
      <c r="R9" s="45"/>
      <c r="S9" s="48"/>
      <c r="T9" s="45"/>
      <c r="U9" s="48"/>
      <c r="V9" s="45"/>
      <c r="X9" s="44"/>
      <c r="Y9" s="44"/>
      <c r="Z9" s="101"/>
      <c r="AA9" s="101"/>
      <c r="AB9" s="101"/>
      <c r="AC9" s="101"/>
    </row>
    <row r="10" s="42" customFormat="1" ht="0" customHeight="1">
      <c r="A10" s="88"/>
      <c r="B10" s="14" t="str">
        <f>IF(""="","","Transactions Recognized Lines Posted ")</f>
        <v/>
      </c>
      <c r="C10" s="43"/>
      <c r="D10" s="43"/>
      <c r="E10" s="43"/>
      <c r="F10" s="43"/>
      <c r="G10" s="43"/>
      <c r="I10" s="44"/>
      <c r="J10" s="45"/>
      <c r="K10" s="45"/>
      <c r="L10" s="45"/>
      <c r="M10" s="46"/>
      <c r="N10" s="47"/>
      <c r="O10" s="46"/>
      <c r="P10" s="43"/>
      <c r="Q10" s="48"/>
      <c r="R10" s="45"/>
      <c r="S10" s="48"/>
      <c r="T10" s="45"/>
      <c r="U10" s="48"/>
      <c r="V10" s="45"/>
      <c r="X10" s="44"/>
      <c r="Y10" s="44"/>
      <c r="Z10" s="101"/>
      <c r="AA10" s="101"/>
      <c r="AB10" s="101"/>
      <c r="AC10" s="101"/>
    </row>
    <row r="11" s="42" customFormat="1" ht="0" customHeight="1">
      <c r="A11" s="88"/>
      <c r="B11" s="14" t="s">
        <v>193</v>
      </c>
      <c r="C11" s="43"/>
      <c r="D11" s="43"/>
      <c r="E11" s="43"/>
      <c r="F11" s="43"/>
      <c r="G11" s="43"/>
      <c r="I11" s="44"/>
      <c r="J11" s="45"/>
      <c r="K11" s="45"/>
      <c r="L11" s="45"/>
      <c r="M11" s="46"/>
      <c r="N11" s="47"/>
      <c r="O11" s="46"/>
      <c r="P11" s="43"/>
      <c r="Q11" s="48"/>
      <c r="R11" s="45"/>
      <c r="S11" s="48"/>
      <c r="T11" s="45"/>
      <c r="U11" s="48"/>
      <c r="V11" s="45"/>
      <c r="X11" s="44"/>
      <c r="Y11" s="44"/>
      <c r="Z11" s="101"/>
      <c r="AA11" s="101"/>
      <c r="AB11" s="101"/>
      <c r="AC11" s="101"/>
    </row>
    <row r="12" s="42" customFormat="1" ht="11.25" customHeight="1">
      <c r="A12" s="88"/>
      <c r="B12" s="31" t="str">
        <f xml:space="preserve">"Printed by Evgeni Rouvinsky  22-Mar-26 15:18"</f>
        <v xml:space="preserve">Printed by Evgeni Rouvinsky  22-Mar-26 15:18</v>
      </c>
      <c r="C12" s="43"/>
      <c r="D12" s="43"/>
      <c r="E12" s="43"/>
      <c r="F12" s="43"/>
      <c r="G12" s="43"/>
      <c r="I12" s="44"/>
      <c r="J12" s="45"/>
      <c r="K12" s="45"/>
      <c r="L12" s="45"/>
      <c r="M12" s="46"/>
      <c r="N12" s="47"/>
      <c r="O12" s="46"/>
      <c r="P12" s="43"/>
      <c r="Q12" s="48"/>
      <c r="R12" s="45"/>
      <c r="S12" s="48"/>
      <c r="T12" s="45"/>
      <c r="U12" s="48"/>
      <c r="V12" s="45"/>
      <c r="X12" s="44"/>
      <c r="Y12" s="44"/>
      <c r="Z12" s="101"/>
      <c r="AA12" s="101"/>
      <c r="AB12" s="101"/>
      <c r="AC12" s="101"/>
    </row>
    <row r="13" s="52" customFormat="1" ht="3.75" customHeight="1">
      <c r="A13" s="88"/>
      <c r="H13" s="57"/>
      <c r="J13" s="4"/>
      <c r="K13" s="4"/>
      <c r="L13" s="4"/>
      <c r="M13" s="53"/>
      <c r="N13" s="54"/>
      <c r="O13" s="53"/>
      <c r="P13" s="54"/>
      <c r="Q13" s="53"/>
      <c r="R13" s="54"/>
      <c r="S13" s="53"/>
      <c r="T13" s="54"/>
      <c r="U13" s="53"/>
      <c r="V13" s="54"/>
      <c r="Z13" s="100"/>
      <c r="AA13" s="100"/>
      <c r="AB13" s="100"/>
      <c r="AC13" s="100"/>
    </row>
    <row r="14" s="58" customFormat="1" ht="38.25" customHeight="1">
      <c r="A14" s="85"/>
      <c r="B14" s="79"/>
      <c r="C14" s="59" t="s">
        <v>361</v>
      </c>
      <c r="D14" s="59" t="s">
        <v>71</v>
      </c>
      <c r="E14" s="59" t="s">
        <v>362</v>
      </c>
      <c r="F14" s="59" t="s">
        <v>72</v>
      </c>
      <c r="G14" s="59" t="s">
        <v>363</v>
      </c>
      <c r="H14" s="59" t="s">
        <v>364</v>
      </c>
      <c r="I14" s="59" t="s">
        <v>365</v>
      </c>
      <c r="J14" s="60" t="s">
        <v>103</v>
      </c>
      <c r="K14" s="60" t="s">
        <v>366</v>
      </c>
      <c r="L14" s="60" t="s">
        <v>367</v>
      </c>
      <c r="M14" s="61" t="s">
        <v>368</v>
      </c>
      <c r="N14" s="60" t="s">
        <v>369</v>
      </c>
      <c r="O14" s="61" t="s">
        <v>370</v>
      </c>
      <c r="P14" s="60" t="s">
        <v>369</v>
      </c>
      <c r="Q14" s="61" t="s">
        <v>371</v>
      </c>
      <c r="R14" s="60" t="s">
        <v>369</v>
      </c>
      <c r="S14" s="61" t="s">
        <v>372</v>
      </c>
      <c r="T14" s="60" t="s">
        <v>369</v>
      </c>
      <c r="U14" s="61" t="s">
        <v>373</v>
      </c>
      <c r="V14" s="60" t="s">
        <v>369</v>
      </c>
      <c r="W14" s="120" t="s">
        <v>374</v>
      </c>
      <c r="X14" s="59" t="s">
        <v>375</v>
      </c>
      <c r="Y14" s="59" t="s">
        <v>376</v>
      </c>
      <c r="Z14" s="102" t="s">
        <v>377</v>
      </c>
      <c r="AA14" s="102" t="s">
        <v>378</v>
      </c>
      <c r="AB14" s="102" t="s">
        <v>379</v>
      </c>
      <c r="AC14" s="102" t="s">
        <v>380</v>
      </c>
    </row>
    <row r="15" s="70" customFormat="1" ht="11.25" customHeight="1">
      <c r="A15" s="87"/>
      <c r="C15" s="43" t="s">
        <v>381</v>
      </c>
      <c r="D15" s="71" t="s">
        <v>382</v>
      </c>
      <c r="E15" s="71" t="str">
        <f>MID(D15,1,2)</f>
        <v>IL</v>
      </c>
      <c r="F15" s="71" t="s">
        <v>383</v>
      </c>
      <c r="G15" s="71" t="str">
        <f>MID(F15,1,2)</f>
        <v>DE</v>
      </c>
      <c r="H15" s="43" t="s">
        <v>384</v>
      </c>
      <c r="I15" s="71" t="s">
        <v>385</v>
      </c>
      <c r="J15" s="71" t="s">
        <v>386</v>
      </c>
      <c r="K15" s="43" t="s">
        <v>387</v>
      </c>
      <c r="L15" s="71" t="s">
        <v>107</v>
      </c>
      <c r="M15" s="73">
        <v>242</v>
      </c>
      <c r="N15" s="71" t="s">
        <v>388</v>
      </c>
      <c r="O15" s="73">
        <v>1.008</v>
      </c>
      <c r="P15" s="71" t="s">
        <v>389</v>
      </c>
      <c r="Q15" s="73">
        <v>242</v>
      </c>
      <c r="R15" s="71" t="s">
        <v>388</v>
      </c>
      <c r="S15" s="73">
        <v>0</v>
      </c>
      <c r="T15" s="71" t="s">
        <v>390</v>
      </c>
      <c r="U15" s="74">
        <v>1</v>
      </c>
      <c r="V15" s="71" t="s">
        <v>391</v>
      </c>
      <c r="W15" s="130">
        <v>46062.709027777775</v>
      </c>
      <c r="X15" s="72">
        <v>46065.541666666664</v>
      </c>
      <c r="Y15" s="72">
        <v>46070.208333333336</v>
      </c>
      <c r="Z15" s="104" t="s">
        <v>383</v>
      </c>
      <c r="AA15" s="104" t="s">
        <v>392</v>
      </c>
      <c r="AB15" s="105">
        <v>46070.020833333336</v>
      </c>
      <c r="AC15" s="105">
        <v>46070.208333333336</v>
      </c>
    </row>
    <row r="16" s="70" customFormat="1" ht="11.25" customHeight="1">
      <c r="A16" s="87"/>
      <c r="C16" s="43" t="s">
        <v>381</v>
      </c>
      <c r="D16" s="71" t="s">
        <v>382</v>
      </c>
      <c r="E16" s="71" t="str">
        <f>MID(D16,1,2)</f>
        <v>IL</v>
      </c>
      <c r="F16" s="71" t="s">
        <v>383</v>
      </c>
      <c r="G16" s="71" t="str">
        <f>MID(F16,1,2)</f>
        <v>DE</v>
      </c>
      <c r="H16" s="43" t="s">
        <v>384</v>
      </c>
      <c r="I16" s="71" t="s">
        <v>385</v>
      </c>
      <c r="J16" s="71" t="s">
        <v>386</v>
      </c>
      <c r="K16" s="43" t="s">
        <v>387</v>
      </c>
      <c r="L16" s="71" t="s">
        <v>107</v>
      </c>
      <c r="M16" s="73">
        <v>242</v>
      </c>
      <c r="N16" s="71" t="s">
        <v>388</v>
      </c>
      <c r="O16" s="73">
        <v>1.008</v>
      </c>
      <c r="P16" s="71" t="s">
        <v>389</v>
      </c>
      <c r="Q16" s="73">
        <v>242</v>
      </c>
      <c r="R16" s="71" t="s">
        <v>388</v>
      </c>
      <c r="S16" s="73">
        <v>0</v>
      </c>
      <c r="T16" s="71" t="s">
        <v>390</v>
      </c>
      <c r="U16" s="74">
        <v>1</v>
      </c>
      <c r="V16" s="71" t="s">
        <v>391</v>
      </c>
      <c r="W16" s="130">
        <v>46062.709027777775</v>
      </c>
      <c r="X16" s="72">
        <v>46065.541666666664</v>
      </c>
      <c r="Y16" s="72">
        <v>46070.208333333336</v>
      </c>
      <c r="Z16" s="104" t="s">
        <v>382</v>
      </c>
      <c r="AA16" s="104" t="s">
        <v>383</v>
      </c>
      <c r="AB16" s="105">
        <v>46065.540277777778</v>
      </c>
      <c r="AC16" s="105">
        <v>46065.68472222222</v>
      </c>
    </row>
    <row r="17" s="70" customFormat="1" ht="11.25" customHeight="1">
      <c r="A17" s="87"/>
      <c r="C17" s="43" t="s">
        <v>393</v>
      </c>
      <c r="D17" s="71" t="s">
        <v>382</v>
      </c>
      <c r="E17" s="71" t="str">
        <f>MID(D17,1,2)</f>
        <v>IL</v>
      </c>
      <c r="F17" s="71" t="s">
        <v>383</v>
      </c>
      <c r="G17" s="71" t="str">
        <f>MID(F17,1,2)</f>
        <v>DE</v>
      </c>
      <c r="H17" s="43" t="s">
        <v>394</v>
      </c>
      <c r="I17" s="71" t="s">
        <v>395</v>
      </c>
      <c r="J17" s="71" t="s">
        <v>386</v>
      </c>
      <c r="K17" s="43" t="s">
        <v>387</v>
      </c>
      <c r="L17" s="71" t="s">
        <v>107</v>
      </c>
      <c r="M17" s="73">
        <v>206</v>
      </c>
      <c r="N17" s="71" t="s">
        <v>388</v>
      </c>
      <c r="O17" s="73">
        <v>1.584</v>
      </c>
      <c r="P17" s="71" t="s">
        <v>389</v>
      </c>
      <c r="Q17" s="73">
        <v>264</v>
      </c>
      <c r="R17" s="71" t="s">
        <v>388</v>
      </c>
      <c r="S17" s="73">
        <v>0</v>
      </c>
      <c r="T17" s="71" t="s">
        <v>390</v>
      </c>
      <c r="U17" s="74">
        <v>1</v>
      </c>
      <c r="V17" s="71" t="s">
        <v>391</v>
      </c>
      <c r="W17" s="130">
        <v>46063.585682870369</v>
      </c>
      <c r="X17" s="72">
        <v>46065.003472222219</v>
      </c>
      <c r="Y17" s="72">
        <v>46070.208333333336</v>
      </c>
      <c r="Z17" s="104" t="s">
        <v>383</v>
      </c>
      <c r="AA17" s="104" t="s">
        <v>392</v>
      </c>
      <c r="AB17" s="105">
        <v>46070.020833333336</v>
      </c>
      <c r="AC17" s="105">
        <v>46070.208333333336</v>
      </c>
    </row>
    <row r="18" s="70" customFormat="1" ht="11.25" customHeight="1">
      <c r="A18" s="87"/>
      <c r="C18" s="43" t="s">
        <v>393</v>
      </c>
      <c r="D18" s="71" t="s">
        <v>382</v>
      </c>
      <c r="E18" s="71" t="str">
        <f>MID(D18,1,2)</f>
        <v>IL</v>
      </c>
      <c r="F18" s="71" t="s">
        <v>383</v>
      </c>
      <c r="G18" s="71" t="str">
        <f>MID(F18,1,2)</f>
        <v>DE</v>
      </c>
      <c r="H18" s="43" t="s">
        <v>394</v>
      </c>
      <c r="I18" s="71" t="s">
        <v>395</v>
      </c>
      <c r="J18" s="71" t="s">
        <v>386</v>
      </c>
      <c r="K18" s="43" t="s">
        <v>387</v>
      </c>
      <c r="L18" s="71" t="s">
        <v>107</v>
      </c>
      <c r="M18" s="73">
        <v>206</v>
      </c>
      <c r="N18" s="71" t="s">
        <v>388</v>
      </c>
      <c r="O18" s="73">
        <v>1.584</v>
      </c>
      <c r="P18" s="71" t="s">
        <v>389</v>
      </c>
      <c r="Q18" s="73">
        <v>264</v>
      </c>
      <c r="R18" s="71" t="s">
        <v>388</v>
      </c>
      <c r="S18" s="73">
        <v>0</v>
      </c>
      <c r="T18" s="71" t="s">
        <v>390</v>
      </c>
      <c r="U18" s="74">
        <v>1</v>
      </c>
      <c r="V18" s="71" t="s">
        <v>391</v>
      </c>
      <c r="W18" s="130">
        <v>46063.585682870369</v>
      </c>
      <c r="X18" s="72">
        <v>46065.003472222219</v>
      </c>
      <c r="Y18" s="72">
        <v>46070.208333333336</v>
      </c>
      <c r="Z18" s="104" t="s">
        <v>382</v>
      </c>
      <c r="AA18" s="104" t="s">
        <v>383</v>
      </c>
      <c r="AB18" s="105">
        <v>46064.999305555553</v>
      </c>
      <c r="AC18" s="105">
        <v>46065.288194444445</v>
      </c>
    </row>
    <row r="19" s="70" customFormat="1" ht="11.25" customHeight="1">
      <c r="A19" s="87"/>
      <c r="C19" s="43" t="s">
        <v>396</v>
      </c>
      <c r="D19" s="71" t="s">
        <v>382</v>
      </c>
      <c r="E19" s="71" t="str">
        <f>MID(D19,1,2)</f>
        <v>IL</v>
      </c>
      <c r="F19" s="71" t="s">
        <v>397</v>
      </c>
      <c r="G19" s="71" t="str">
        <f>MID(F19,1,2)</f>
        <v>IN</v>
      </c>
      <c r="H19" s="43" t="s">
        <v>398</v>
      </c>
      <c r="I19" s="71" t="s">
        <v>399</v>
      </c>
      <c r="J19" s="71" t="s">
        <v>400</v>
      </c>
      <c r="K19" s="43" t="s">
        <v>401</v>
      </c>
      <c r="L19" s="71" t="s">
        <v>105</v>
      </c>
      <c r="M19" s="73">
        <v>236</v>
      </c>
      <c r="N19" s="71" t="s">
        <v>388</v>
      </c>
      <c r="O19" s="73">
        <v>3.38</v>
      </c>
      <c r="P19" s="71" t="s">
        <v>389</v>
      </c>
      <c r="Q19" s="73">
        <v>564</v>
      </c>
      <c r="R19" s="71" t="s">
        <v>388</v>
      </c>
      <c r="S19" s="73">
        <v>0</v>
      </c>
      <c r="T19" s="71" t="s">
        <v>390</v>
      </c>
      <c r="U19" s="74">
        <v>1</v>
      </c>
      <c r="V19" s="71" t="s">
        <v>391</v>
      </c>
      <c r="W19" s="130">
        <v>46078.669444444444</v>
      </c>
      <c r="X19" s="72">
        <v>46082</v>
      </c>
      <c r="Y19" s="72">
        <v>46103.888888888891</v>
      </c>
      <c r="Z19" s="104" t="s">
        <v>382</v>
      </c>
      <c r="AA19" s="104" t="s">
        <v>402</v>
      </c>
      <c r="AB19" s="105">
        <v>46099.76666666667</v>
      </c>
      <c r="AC19" s="105">
        <v>46099.798611111109</v>
      </c>
    </row>
    <row r="20" s="70" customFormat="1" ht="11.25" customHeight="1">
      <c r="A20" s="87"/>
      <c r="C20" s="43" t="s">
        <v>396</v>
      </c>
      <c r="D20" s="71" t="s">
        <v>382</v>
      </c>
      <c r="E20" s="71" t="str">
        <f>MID(D20,1,2)</f>
        <v>IL</v>
      </c>
      <c r="F20" s="71" t="s">
        <v>397</v>
      </c>
      <c r="G20" s="71" t="str">
        <f>MID(F20,1,2)</f>
        <v>IN</v>
      </c>
      <c r="H20" s="43" t="s">
        <v>398</v>
      </c>
      <c r="I20" s="71" t="s">
        <v>399</v>
      </c>
      <c r="J20" s="71" t="s">
        <v>400</v>
      </c>
      <c r="K20" s="43" t="s">
        <v>401</v>
      </c>
      <c r="L20" s="71" t="s">
        <v>105</v>
      </c>
      <c r="M20" s="73">
        <v>236</v>
      </c>
      <c r="N20" s="71" t="s">
        <v>388</v>
      </c>
      <c r="O20" s="73">
        <v>3.38</v>
      </c>
      <c r="P20" s="71" t="s">
        <v>389</v>
      </c>
      <c r="Q20" s="73">
        <v>564</v>
      </c>
      <c r="R20" s="71" t="s">
        <v>388</v>
      </c>
      <c r="S20" s="73">
        <v>0</v>
      </c>
      <c r="T20" s="71" t="s">
        <v>390</v>
      </c>
      <c r="U20" s="74">
        <v>1</v>
      </c>
      <c r="V20" s="71" t="s">
        <v>391</v>
      </c>
      <c r="W20" s="130">
        <v>46078.669444444444</v>
      </c>
      <c r="X20" s="72">
        <v>46082</v>
      </c>
      <c r="Y20" s="72">
        <v>46103.888888888891</v>
      </c>
      <c r="Z20" s="104" t="s">
        <v>402</v>
      </c>
      <c r="AA20" s="104" t="s">
        <v>403</v>
      </c>
      <c r="AB20" s="105">
        <v>46099.913194444445</v>
      </c>
      <c r="AC20" s="105">
        <v>46100.77847222222</v>
      </c>
    </row>
    <row r="21" s="70" customFormat="1" ht="11.25" customHeight="1">
      <c r="A21" s="87"/>
      <c r="C21" s="43" t="s">
        <v>396</v>
      </c>
      <c r="D21" s="71" t="s">
        <v>382</v>
      </c>
      <c r="E21" s="71" t="str">
        <f>MID(D21,1,2)</f>
        <v>IL</v>
      </c>
      <c r="F21" s="71" t="s">
        <v>397</v>
      </c>
      <c r="G21" s="71" t="str">
        <f>MID(F21,1,2)</f>
        <v>IN</v>
      </c>
      <c r="H21" s="43" t="s">
        <v>398</v>
      </c>
      <c r="I21" s="71" t="s">
        <v>399</v>
      </c>
      <c r="J21" s="71" t="s">
        <v>400</v>
      </c>
      <c r="K21" s="43" t="s">
        <v>401</v>
      </c>
      <c r="L21" s="71" t="s">
        <v>105</v>
      </c>
      <c r="M21" s="73">
        <v>236</v>
      </c>
      <c r="N21" s="71" t="s">
        <v>388</v>
      </c>
      <c r="O21" s="73">
        <v>3.38</v>
      </c>
      <c r="P21" s="71" t="s">
        <v>389</v>
      </c>
      <c r="Q21" s="73">
        <v>564</v>
      </c>
      <c r="R21" s="71" t="s">
        <v>388</v>
      </c>
      <c r="S21" s="73">
        <v>0</v>
      </c>
      <c r="T21" s="71" t="s">
        <v>390</v>
      </c>
      <c r="U21" s="74">
        <v>1</v>
      </c>
      <c r="V21" s="71" t="s">
        <v>391</v>
      </c>
      <c r="W21" s="130">
        <v>46078.669444444444</v>
      </c>
      <c r="X21" s="72">
        <v>46082</v>
      </c>
      <c r="Y21" s="72">
        <v>46103.888888888891</v>
      </c>
      <c r="Z21" s="104" t="s">
        <v>403</v>
      </c>
      <c r="AA21" s="104" t="s">
        <v>397</v>
      </c>
      <c r="AB21" s="105"/>
      <c r="AC21" s="105"/>
    </row>
    <row r="22" s="70" customFormat="1" ht="11.25" customHeight="1">
      <c r="A22" s="87"/>
      <c r="C22" s="43" t="s">
        <v>404</v>
      </c>
      <c r="D22" s="71" t="s">
        <v>382</v>
      </c>
      <c r="E22" s="71" t="str">
        <f>MID(D22,1,2)</f>
        <v>IL</v>
      </c>
      <c r="F22" s="71" t="s">
        <v>405</v>
      </c>
      <c r="G22" s="71" t="str">
        <f>MID(F22,1,2)</f>
        <v>CA</v>
      </c>
      <c r="H22" s="43" t="s">
        <v>406</v>
      </c>
      <c r="I22" s="71" t="s">
        <v>407</v>
      </c>
      <c r="J22" s="71" t="s">
        <v>400</v>
      </c>
      <c r="K22" s="43"/>
      <c r="L22" s="71" t="s">
        <v>105</v>
      </c>
      <c r="M22" s="73">
        <v>1035</v>
      </c>
      <c r="N22" s="71" t="s">
        <v>388</v>
      </c>
      <c r="O22" s="73">
        <v>9.324</v>
      </c>
      <c r="P22" s="71" t="s">
        <v>389</v>
      </c>
      <c r="Q22" s="73">
        <v>1650</v>
      </c>
      <c r="R22" s="71" t="s">
        <v>388</v>
      </c>
      <c r="S22" s="73">
        <v>0</v>
      </c>
      <c r="T22" s="71" t="s">
        <v>390</v>
      </c>
      <c r="U22" s="74">
        <v>6</v>
      </c>
      <c r="V22" s="71" t="s">
        <v>391</v>
      </c>
      <c r="W22" s="130">
        <v>46097.306805555556</v>
      </c>
      <c r="X22" s="72">
        <v>46098.517361111109</v>
      </c>
      <c r="Y22" s="72">
        <v>46101</v>
      </c>
      <c r="Z22" s="104" t="s">
        <v>382</v>
      </c>
      <c r="AA22" s="104" t="s">
        <v>408</v>
      </c>
      <c r="AB22" s="105">
        <v>46098.536805555559</v>
      </c>
      <c r="AC22" s="105">
        <v>46098.620138888888</v>
      </c>
    </row>
    <row r="23" s="70" customFormat="1" ht="11.25" customHeight="1">
      <c r="A23" s="87"/>
      <c r="C23" s="43" t="s">
        <v>404</v>
      </c>
      <c r="D23" s="71" t="s">
        <v>382</v>
      </c>
      <c r="E23" s="71" t="str">
        <f>MID(D23,1,2)</f>
        <v>IL</v>
      </c>
      <c r="F23" s="71" t="s">
        <v>405</v>
      </c>
      <c r="G23" s="71" t="str">
        <f>MID(F23,1,2)</f>
        <v>CA</v>
      </c>
      <c r="H23" s="43" t="s">
        <v>406</v>
      </c>
      <c r="I23" s="71" t="s">
        <v>407</v>
      </c>
      <c r="J23" s="71" t="s">
        <v>400</v>
      </c>
      <c r="K23" s="43"/>
      <c r="L23" s="71" t="s">
        <v>105</v>
      </c>
      <c r="M23" s="73">
        <v>1035</v>
      </c>
      <c r="N23" s="71" t="s">
        <v>388</v>
      </c>
      <c r="O23" s="73">
        <v>9.324</v>
      </c>
      <c r="P23" s="71" t="s">
        <v>389</v>
      </c>
      <c r="Q23" s="73">
        <v>1650</v>
      </c>
      <c r="R23" s="71" t="s">
        <v>388</v>
      </c>
      <c r="S23" s="73">
        <v>0</v>
      </c>
      <c r="T23" s="71" t="s">
        <v>390</v>
      </c>
      <c r="U23" s="74">
        <v>6</v>
      </c>
      <c r="V23" s="71" t="s">
        <v>391</v>
      </c>
      <c r="W23" s="130">
        <v>46097.306805555556</v>
      </c>
      <c r="X23" s="72">
        <v>46098.517361111109</v>
      </c>
      <c r="Y23" s="72">
        <v>46101</v>
      </c>
      <c r="Z23" s="104" t="s">
        <v>408</v>
      </c>
      <c r="AA23" s="104" t="s">
        <v>405</v>
      </c>
      <c r="AB23" s="105">
        <v>46100.503472222219</v>
      </c>
      <c r="AC23" s="105">
        <v>46100.6875</v>
      </c>
    </row>
    <row r="24" s="70" customFormat="1" ht="11.25" customHeight="1">
      <c r="A24" s="87"/>
      <c r="C24" s="43" t="s">
        <v>409</v>
      </c>
      <c r="D24" s="71" t="s">
        <v>382</v>
      </c>
      <c r="E24" s="71" t="str">
        <f>MID(D24,1,2)</f>
        <v>IL</v>
      </c>
      <c r="F24" s="71" t="s">
        <v>383</v>
      </c>
      <c r="G24" s="71" t="str">
        <f>MID(F24,1,2)</f>
        <v>DE</v>
      </c>
      <c r="H24" s="43" t="s">
        <v>410</v>
      </c>
      <c r="I24" s="71" t="s">
        <v>410</v>
      </c>
      <c r="J24" s="71" t="s">
        <v>411</v>
      </c>
      <c r="K24" s="43" t="s">
        <v>412</v>
      </c>
      <c r="L24" s="71" t="s">
        <v>105</v>
      </c>
      <c r="M24" s="73">
        <v>32</v>
      </c>
      <c r="N24" s="71" t="s">
        <v>388</v>
      </c>
      <c r="O24" s="73">
        <v>0.106</v>
      </c>
      <c r="P24" s="71" t="s">
        <v>389</v>
      </c>
      <c r="Q24" s="73">
        <v>32</v>
      </c>
      <c r="R24" s="71" t="s">
        <v>388</v>
      </c>
      <c r="S24" s="73">
        <v>0</v>
      </c>
      <c r="T24" s="71" t="s">
        <v>390</v>
      </c>
      <c r="U24" s="74">
        <v>1</v>
      </c>
      <c r="V24" s="71" t="s">
        <v>391</v>
      </c>
      <c r="W24" s="130"/>
      <c r="X24" s="72">
        <v>46080.838194444441</v>
      </c>
      <c r="Y24" s="72">
        <v>46083.626388888886</v>
      </c>
      <c r="Z24" s="104" t="s">
        <v>382</v>
      </c>
      <c r="AA24" s="104" t="s">
        <v>383</v>
      </c>
      <c r="AB24" s="105">
        <v>46061.51666666667</v>
      </c>
      <c r="AC24" s="105">
        <v>46083.572916666664</v>
      </c>
    </row>
    <row r="25" s="70" customFormat="1" ht="11.25" customHeight="1">
      <c r="A25" s="87"/>
      <c r="C25" s="43" t="s">
        <v>413</v>
      </c>
      <c r="D25" s="71" t="s">
        <v>382</v>
      </c>
      <c r="E25" s="71" t="str">
        <f>MID(D25,1,2)</f>
        <v>IL</v>
      </c>
      <c r="F25" s="71" t="s">
        <v>414</v>
      </c>
      <c r="G25" s="71" t="str">
        <f>MID(F25,1,2)</f>
        <v>US</v>
      </c>
      <c r="H25" s="43" t="s">
        <v>415</v>
      </c>
      <c r="I25" s="71" t="s">
        <v>416</v>
      </c>
      <c r="J25" s="71" t="s">
        <v>386</v>
      </c>
      <c r="K25" s="43"/>
      <c r="L25" s="71" t="s">
        <v>107</v>
      </c>
      <c r="M25" s="73">
        <v>1162</v>
      </c>
      <c r="N25" s="71" t="s">
        <v>388</v>
      </c>
      <c r="O25" s="73">
        <v>1.553</v>
      </c>
      <c r="P25" s="71" t="s">
        <v>389</v>
      </c>
      <c r="Q25" s="73">
        <v>1162</v>
      </c>
      <c r="R25" s="71" t="s">
        <v>388</v>
      </c>
      <c r="S25" s="73">
        <v>0</v>
      </c>
      <c r="T25" s="71" t="s">
        <v>390</v>
      </c>
      <c r="U25" s="74">
        <v>5</v>
      </c>
      <c r="V25" s="71" t="s">
        <v>417</v>
      </c>
      <c r="W25" s="130">
        <v>46078.991666666669</v>
      </c>
      <c r="X25" s="72">
        <v>46078.684027777781</v>
      </c>
      <c r="Y25" s="72">
        <v>46090.647222222222</v>
      </c>
      <c r="Z25" s="104" t="s">
        <v>382</v>
      </c>
      <c r="AA25" s="104" t="s">
        <v>414</v>
      </c>
      <c r="AB25" s="105">
        <v>46080.027777777781</v>
      </c>
      <c r="AC25" s="105">
        <v>46080.23125</v>
      </c>
    </row>
    <row r="26" s="70" customFormat="1" ht="11.25" customHeight="1">
      <c r="A26" s="87"/>
      <c r="C26" s="43" t="s">
        <v>418</v>
      </c>
      <c r="D26" s="71" t="s">
        <v>382</v>
      </c>
      <c r="E26" s="71" t="str">
        <f>MID(D26,1,2)</f>
        <v>IL</v>
      </c>
      <c r="F26" s="71" t="s">
        <v>419</v>
      </c>
      <c r="G26" s="71" t="str">
        <f>MID(F26,1,2)</f>
        <v>US</v>
      </c>
      <c r="H26" s="43" t="s">
        <v>420</v>
      </c>
      <c r="I26" s="71" t="s">
        <v>421</v>
      </c>
      <c r="J26" s="71" t="s">
        <v>386</v>
      </c>
      <c r="K26" s="43"/>
      <c r="L26" s="71" t="s">
        <v>107</v>
      </c>
      <c r="M26" s="73">
        <v>7</v>
      </c>
      <c r="N26" s="71" t="s">
        <v>388</v>
      </c>
      <c r="O26" s="73">
        <v>0.061</v>
      </c>
      <c r="P26" s="71" t="s">
        <v>389</v>
      </c>
      <c r="Q26" s="73">
        <v>10.5</v>
      </c>
      <c r="R26" s="71" t="s">
        <v>388</v>
      </c>
      <c r="S26" s="73">
        <v>0</v>
      </c>
      <c r="T26" s="71" t="s">
        <v>390</v>
      </c>
      <c r="U26" s="74">
        <v>1</v>
      </c>
      <c r="V26" s="71" t="s">
        <v>391</v>
      </c>
      <c r="W26" s="130">
        <v>46019.424305555556</v>
      </c>
      <c r="X26" s="72">
        <v>46058.466666666667</v>
      </c>
      <c r="Y26" s="72">
        <v>46059.625</v>
      </c>
      <c r="Z26" s="104" t="s">
        <v>382</v>
      </c>
      <c r="AA26" s="104" t="s">
        <v>422</v>
      </c>
      <c r="AB26" s="105">
        <v>46058.963888888888</v>
      </c>
      <c r="AC26" s="105">
        <v>46059.136805555558</v>
      </c>
    </row>
    <row r="27" s="70" customFormat="1" ht="11.25" customHeight="1">
      <c r="A27" s="87"/>
      <c r="C27" s="43" t="s">
        <v>418</v>
      </c>
      <c r="D27" s="71" t="s">
        <v>382</v>
      </c>
      <c r="E27" s="71" t="str">
        <f>MID(D27,1,2)</f>
        <v>IL</v>
      </c>
      <c r="F27" s="71" t="s">
        <v>419</v>
      </c>
      <c r="G27" s="71" t="str">
        <f>MID(F27,1,2)</f>
        <v>US</v>
      </c>
      <c r="H27" s="43" t="s">
        <v>420</v>
      </c>
      <c r="I27" s="71" t="s">
        <v>421</v>
      </c>
      <c r="J27" s="71" t="s">
        <v>386</v>
      </c>
      <c r="K27" s="43"/>
      <c r="L27" s="71" t="s">
        <v>107</v>
      </c>
      <c r="M27" s="73">
        <v>7</v>
      </c>
      <c r="N27" s="71" t="s">
        <v>388</v>
      </c>
      <c r="O27" s="73">
        <v>0.061</v>
      </c>
      <c r="P27" s="71" t="s">
        <v>389</v>
      </c>
      <c r="Q27" s="73">
        <v>10.5</v>
      </c>
      <c r="R27" s="71" t="s">
        <v>388</v>
      </c>
      <c r="S27" s="73">
        <v>0</v>
      </c>
      <c r="T27" s="71" t="s">
        <v>390</v>
      </c>
      <c r="U27" s="74">
        <v>1</v>
      </c>
      <c r="V27" s="71" t="s">
        <v>391</v>
      </c>
      <c r="W27" s="130">
        <v>46019.424305555556</v>
      </c>
      <c r="X27" s="72">
        <v>46058.466666666667</v>
      </c>
      <c r="Y27" s="72">
        <v>46059.625</v>
      </c>
      <c r="Z27" s="104" t="s">
        <v>422</v>
      </c>
      <c r="AA27" s="104" t="s">
        <v>419</v>
      </c>
      <c r="AB27" s="105">
        <v>46059.515972222223</v>
      </c>
      <c r="AC27" s="105">
        <v>46059.604166666664</v>
      </c>
    </row>
    <row r="28" s="70" customFormat="1" ht="11.25" customHeight="1">
      <c r="A28" s="87"/>
      <c r="C28" s="43" t="s">
        <v>423</v>
      </c>
      <c r="D28" s="71" t="s">
        <v>382</v>
      </c>
      <c r="E28" s="71" t="str">
        <f>MID(D28,1,2)</f>
        <v>IL</v>
      </c>
      <c r="F28" s="71" t="s">
        <v>414</v>
      </c>
      <c r="G28" s="71" t="str">
        <f>MID(F28,1,2)</f>
        <v>US</v>
      </c>
      <c r="H28" s="43" t="s">
        <v>424</v>
      </c>
      <c r="I28" s="71" t="s">
        <v>425</v>
      </c>
      <c r="J28" s="71" t="s">
        <v>426</v>
      </c>
      <c r="K28" s="43"/>
      <c r="L28" s="71" t="s">
        <v>105</v>
      </c>
      <c r="M28" s="73">
        <v>20</v>
      </c>
      <c r="N28" s="71" t="s">
        <v>388</v>
      </c>
      <c r="O28" s="73">
        <v>0.262</v>
      </c>
      <c r="P28" s="71" t="s">
        <v>389</v>
      </c>
      <c r="Q28" s="73">
        <v>44</v>
      </c>
      <c r="R28" s="71" t="s">
        <v>388</v>
      </c>
      <c r="S28" s="73">
        <v>0</v>
      </c>
      <c r="T28" s="71" t="s">
        <v>390</v>
      </c>
      <c r="U28" s="74">
        <v>4</v>
      </c>
      <c r="V28" s="71" t="s">
        <v>427</v>
      </c>
      <c r="W28" s="130">
        <v>46022.459027777775</v>
      </c>
      <c r="X28" s="72">
        <v>46100.715277777781</v>
      </c>
      <c r="Y28" s="72">
        <v>46104.59375</v>
      </c>
      <c r="Z28" s="104" t="s">
        <v>382</v>
      </c>
      <c r="AA28" s="104" t="s">
        <v>414</v>
      </c>
      <c r="AB28" s="105"/>
      <c r="AC28" s="105"/>
    </row>
    <row r="29" s="70" customFormat="1" ht="11.25" customHeight="1">
      <c r="A29" s="87"/>
      <c r="C29" s="43" t="s">
        <v>428</v>
      </c>
      <c r="D29" s="71" t="s">
        <v>382</v>
      </c>
      <c r="E29" s="71" t="str">
        <f>MID(D29,1,2)</f>
        <v>IL</v>
      </c>
      <c r="F29" s="71" t="s">
        <v>414</v>
      </c>
      <c r="G29" s="71" t="str">
        <f>MID(F29,1,2)</f>
        <v>US</v>
      </c>
      <c r="H29" s="43" t="s">
        <v>429</v>
      </c>
      <c r="I29" s="71" t="s">
        <v>430</v>
      </c>
      <c r="J29" s="71" t="s">
        <v>386</v>
      </c>
      <c r="K29" s="43" t="s">
        <v>431</v>
      </c>
      <c r="L29" s="71" t="s">
        <v>107</v>
      </c>
      <c r="M29" s="73">
        <v>163</v>
      </c>
      <c r="N29" s="71" t="s">
        <v>388</v>
      </c>
      <c r="O29" s="73">
        <v>0.729</v>
      </c>
      <c r="P29" s="71" t="s">
        <v>389</v>
      </c>
      <c r="Q29" s="73">
        <v>163</v>
      </c>
      <c r="R29" s="71" t="s">
        <v>388</v>
      </c>
      <c r="S29" s="73">
        <v>0</v>
      </c>
      <c r="T29" s="71" t="s">
        <v>390</v>
      </c>
      <c r="U29" s="74">
        <v>1</v>
      </c>
      <c r="V29" s="71" t="s">
        <v>391</v>
      </c>
      <c r="W29" s="130">
        <v>46029.660416666666</v>
      </c>
      <c r="X29" s="72">
        <v>46074.25</v>
      </c>
      <c r="Y29" s="72">
        <v>46074.572916666664</v>
      </c>
      <c r="Z29" s="104" t="s">
        <v>382</v>
      </c>
      <c r="AA29" s="104" t="s">
        <v>414</v>
      </c>
      <c r="AB29" s="105">
        <v>46074.30972222222</v>
      </c>
      <c r="AC29" s="105">
        <v>46074.481944444444</v>
      </c>
    </row>
    <row r="30" s="70" customFormat="1" ht="11.25" customHeight="1">
      <c r="A30" s="87"/>
      <c r="C30" s="43" t="s">
        <v>432</v>
      </c>
      <c r="D30" s="71" t="s">
        <v>382</v>
      </c>
      <c r="E30" s="71" t="str">
        <f>MID(D30,1,2)</f>
        <v>IL</v>
      </c>
      <c r="F30" s="71" t="s">
        <v>433</v>
      </c>
      <c r="G30" s="71" t="str">
        <f>MID(F30,1,2)</f>
        <v>US</v>
      </c>
      <c r="H30" s="43" t="s">
        <v>434</v>
      </c>
      <c r="I30" s="71"/>
      <c r="J30" s="71" t="s">
        <v>435</v>
      </c>
      <c r="K30" s="43"/>
      <c r="L30" s="71" t="s">
        <v>105</v>
      </c>
      <c r="M30" s="73">
        <v>0</v>
      </c>
      <c r="N30" s="71" t="s">
        <v>388</v>
      </c>
      <c r="O30" s="73">
        <v>0</v>
      </c>
      <c r="P30" s="71" t="s">
        <v>389</v>
      </c>
      <c r="Q30" s="73">
        <v>0</v>
      </c>
      <c r="R30" s="71" t="s">
        <v>388</v>
      </c>
      <c r="S30" s="73">
        <v>0</v>
      </c>
      <c r="T30" s="71" t="s">
        <v>390</v>
      </c>
      <c r="U30" s="74">
        <v>0</v>
      </c>
      <c r="V30" s="71" t="s">
        <v>391</v>
      </c>
      <c r="W30" s="130"/>
      <c r="X30" s="72">
        <v>46103.458333333336</v>
      </c>
      <c r="Y30" s="72">
        <v>46103.588888888888</v>
      </c>
      <c r="Z30" s="104" t="s">
        <v>382</v>
      </c>
      <c r="AA30" s="104" t="s">
        <v>433</v>
      </c>
      <c r="AB30" s="105"/>
      <c r="AC30" s="105"/>
    </row>
    <row r="31" s="70" customFormat="1" ht="11.25" customHeight="1">
      <c r="A31" s="87"/>
      <c r="C31" s="43" t="s">
        <v>436</v>
      </c>
      <c r="D31" s="71" t="s">
        <v>382</v>
      </c>
      <c r="E31" s="71" t="str">
        <f>MID(D31,1,2)</f>
        <v>IL</v>
      </c>
      <c r="F31" s="71" t="s">
        <v>437</v>
      </c>
      <c r="G31" s="71" t="str">
        <f>MID(F31,1,2)</f>
        <v>AU</v>
      </c>
      <c r="H31" s="43" t="s">
        <v>438</v>
      </c>
      <c r="I31" s="71" t="s">
        <v>439</v>
      </c>
      <c r="J31" s="71" t="s">
        <v>426</v>
      </c>
      <c r="K31" s="43" t="s">
        <v>440</v>
      </c>
      <c r="L31" s="71" t="s">
        <v>105</v>
      </c>
      <c r="M31" s="73">
        <v>962</v>
      </c>
      <c r="N31" s="71" t="s">
        <v>388</v>
      </c>
      <c r="O31" s="73">
        <v>9.828</v>
      </c>
      <c r="P31" s="71" t="s">
        <v>389</v>
      </c>
      <c r="Q31" s="73">
        <v>1638</v>
      </c>
      <c r="R31" s="71" t="s">
        <v>388</v>
      </c>
      <c r="S31" s="73">
        <v>0</v>
      </c>
      <c r="T31" s="71" t="s">
        <v>390</v>
      </c>
      <c r="U31" s="74">
        <v>6</v>
      </c>
      <c r="V31" s="71" t="s">
        <v>391</v>
      </c>
      <c r="W31" s="130">
        <v>46058.65347222222</v>
      </c>
      <c r="X31" s="72">
        <v>46062.538194444445</v>
      </c>
      <c r="Y31" s="72">
        <v>46064.274305555555</v>
      </c>
      <c r="Z31" s="104" t="s">
        <v>382</v>
      </c>
      <c r="AA31" s="104" t="s">
        <v>441</v>
      </c>
      <c r="AB31" s="105">
        <v>46062.584722222222</v>
      </c>
      <c r="AC31" s="105">
        <v>46062.7875</v>
      </c>
    </row>
    <row r="32" s="70" customFormat="1" ht="11.25" customHeight="1">
      <c r="A32" s="87"/>
      <c r="C32" s="43" t="s">
        <v>436</v>
      </c>
      <c r="D32" s="71" t="s">
        <v>382</v>
      </c>
      <c r="E32" s="71" t="str">
        <f>MID(D32,1,2)</f>
        <v>IL</v>
      </c>
      <c r="F32" s="71" t="s">
        <v>437</v>
      </c>
      <c r="G32" s="71" t="str">
        <f>MID(F32,1,2)</f>
        <v>AU</v>
      </c>
      <c r="H32" s="43" t="s">
        <v>438</v>
      </c>
      <c r="I32" s="71" t="s">
        <v>439</v>
      </c>
      <c r="J32" s="71" t="s">
        <v>426</v>
      </c>
      <c r="K32" s="43" t="s">
        <v>440</v>
      </c>
      <c r="L32" s="71" t="s">
        <v>105</v>
      </c>
      <c r="M32" s="73">
        <v>962</v>
      </c>
      <c r="N32" s="71" t="s">
        <v>388</v>
      </c>
      <c r="O32" s="73">
        <v>9.828</v>
      </c>
      <c r="P32" s="71" t="s">
        <v>389</v>
      </c>
      <c r="Q32" s="73">
        <v>1638</v>
      </c>
      <c r="R32" s="71" t="s">
        <v>388</v>
      </c>
      <c r="S32" s="73">
        <v>0</v>
      </c>
      <c r="T32" s="71" t="s">
        <v>390</v>
      </c>
      <c r="U32" s="74">
        <v>6</v>
      </c>
      <c r="V32" s="71" t="s">
        <v>391</v>
      </c>
      <c r="W32" s="130">
        <v>46058.65347222222</v>
      </c>
      <c r="X32" s="72">
        <v>46062.538194444445</v>
      </c>
      <c r="Y32" s="72">
        <v>46064.274305555555</v>
      </c>
      <c r="Z32" s="104" t="s">
        <v>441</v>
      </c>
      <c r="AA32" s="104" t="s">
        <v>437</v>
      </c>
      <c r="AB32" s="105">
        <v>46063.415277777778</v>
      </c>
      <c r="AC32" s="105">
        <v>46064.267361111109</v>
      </c>
    </row>
    <row r="33" s="70" customFormat="1" ht="11.25" customHeight="1">
      <c r="A33" s="87"/>
      <c r="C33" s="43" t="s">
        <v>442</v>
      </c>
      <c r="D33" s="71" t="s">
        <v>382</v>
      </c>
      <c r="E33" s="71" t="str">
        <f>MID(D33,1,2)</f>
        <v>IL</v>
      </c>
      <c r="F33" s="71" t="s">
        <v>443</v>
      </c>
      <c r="G33" s="71" t="str">
        <f>MID(F33,1,2)</f>
        <v>US</v>
      </c>
      <c r="H33" s="43" t="s">
        <v>444</v>
      </c>
      <c r="I33" s="71" t="s">
        <v>445</v>
      </c>
      <c r="J33" s="71" t="s">
        <v>386</v>
      </c>
      <c r="K33" s="43"/>
      <c r="L33" s="71" t="s">
        <v>107</v>
      </c>
      <c r="M33" s="73">
        <v>306</v>
      </c>
      <c r="N33" s="71" t="s">
        <v>388</v>
      </c>
      <c r="O33" s="73">
        <v>2.399</v>
      </c>
      <c r="P33" s="71" t="s">
        <v>389</v>
      </c>
      <c r="Q33" s="73">
        <v>1650</v>
      </c>
      <c r="R33" s="71" t="s">
        <v>388</v>
      </c>
      <c r="S33" s="73">
        <v>0</v>
      </c>
      <c r="T33" s="71" t="s">
        <v>390</v>
      </c>
      <c r="U33" s="74">
        <v>1</v>
      </c>
      <c r="V33" s="71" t="s">
        <v>446</v>
      </c>
      <c r="W33" s="130">
        <v>46050.604166666664</v>
      </c>
      <c r="X33" s="72">
        <v>46054.994444444441</v>
      </c>
      <c r="Y33" s="72">
        <v>46056.529166666667</v>
      </c>
      <c r="Z33" s="104" t="s">
        <v>382</v>
      </c>
      <c r="AA33" s="104" t="s">
        <v>422</v>
      </c>
      <c r="AB33" s="105">
        <v>46055.484027777777</v>
      </c>
      <c r="AC33" s="105">
        <v>46055.66875</v>
      </c>
    </row>
    <row r="34" s="70" customFormat="1" ht="11.25" customHeight="1">
      <c r="A34" s="87"/>
      <c r="C34" s="43" t="s">
        <v>442</v>
      </c>
      <c r="D34" s="71" t="s">
        <v>382</v>
      </c>
      <c r="E34" s="71" t="str">
        <f>MID(D34,1,2)</f>
        <v>IL</v>
      </c>
      <c r="F34" s="71" t="s">
        <v>443</v>
      </c>
      <c r="G34" s="71" t="str">
        <f>MID(F34,1,2)</f>
        <v>US</v>
      </c>
      <c r="H34" s="43" t="s">
        <v>444</v>
      </c>
      <c r="I34" s="71" t="s">
        <v>445</v>
      </c>
      <c r="J34" s="71" t="s">
        <v>386</v>
      </c>
      <c r="K34" s="43"/>
      <c r="L34" s="71" t="s">
        <v>107</v>
      </c>
      <c r="M34" s="73">
        <v>306</v>
      </c>
      <c r="N34" s="71" t="s">
        <v>388</v>
      </c>
      <c r="O34" s="73">
        <v>2.399</v>
      </c>
      <c r="P34" s="71" t="s">
        <v>389</v>
      </c>
      <c r="Q34" s="73">
        <v>1650</v>
      </c>
      <c r="R34" s="71" t="s">
        <v>388</v>
      </c>
      <c r="S34" s="73">
        <v>0</v>
      </c>
      <c r="T34" s="71" t="s">
        <v>390</v>
      </c>
      <c r="U34" s="74">
        <v>1</v>
      </c>
      <c r="V34" s="71" t="s">
        <v>446</v>
      </c>
      <c r="W34" s="130">
        <v>46050.604166666664</v>
      </c>
      <c r="X34" s="72">
        <v>46054.994444444441</v>
      </c>
      <c r="Y34" s="72">
        <v>46056.529166666667</v>
      </c>
      <c r="Z34" s="104" t="s">
        <v>422</v>
      </c>
      <c r="AA34" s="104" t="s">
        <v>443</v>
      </c>
      <c r="AB34" s="105">
        <v>46056.363888888889</v>
      </c>
      <c r="AC34" s="105">
        <v>46056.470138888886</v>
      </c>
    </row>
    <row r="35" s="70" customFormat="1" ht="11.25" customHeight="1">
      <c r="A35" s="87"/>
      <c r="C35" s="43" t="s">
        <v>447</v>
      </c>
      <c r="D35" s="71" t="s">
        <v>382</v>
      </c>
      <c r="E35" s="71" t="str">
        <f>MID(D35,1,2)</f>
        <v>IL</v>
      </c>
      <c r="F35" s="71" t="s">
        <v>419</v>
      </c>
      <c r="G35" s="71" t="str">
        <f>MID(F35,1,2)</f>
        <v>US</v>
      </c>
      <c r="H35" s="43" t="s">
        <v>448</v>
      </c>
      <c r="I35" s="71" t="s">
        <v>449</v>
      </c>
      <c r="J35" s="71" t="s">
        <v>386</v>
      </c>
      <c r="K35" s="43"/>
      <c r="L35" s="71" t="s">
        <v>107</v>
      </c>
      <c r="M35" s="73">
        <v>5</v>
      </c>
      <c r="N35" s="71" t="s">
        <v>388</v>
      </c>
      <c r="O35" s="73">
        <v>0.061</v>
      </c>
      <c r="P35" s="71" t="s">
        <v>389</v>
      </c>
      <c r="Q35" s="73">
        <v>10.5</v>
      </c>
      <c r="R35" s="71" t="s">
        <v>388</v>
      </c>
      <c r="S35" s="73">
        <v>0</v>
      </c>
      <c r="T35" s="71" t="s">
        <v>390</v>
      </c>
      <c r="U35" s="74">
        <v>1</v>
      </c>
      <c r="V35" s="71" t="s">
        <v>391</v>
      </c>
      <c r="W35" s="130">
        <v>46057.709803240738</v>
      </c>
      <c r="X35" s="72">
        <v>46058.965277777781</v>
      </c>
      <c r="Y35" s="72">
        <v>46059.60833333333</v>
      </c>
      <c r="Z35" s="104" t="s">
        <v>382</v>
      </c>
      <c r="AA35" s="104" t="s">
        <v>422</v>
      </c>
      <c r="AB35" s="105">
        <v>46058.963888888888</v>
      </c>
      <c r="AC35" s="105">
        <v>46059.136805555558</v>
      </c>
    </row>
    <row r="36" s="70" customFormat="1" ht="11.25" customHeight="1">
      <c r="A36" s="87"/>
      <c r="C36" s="43" t="s">
        <v>447</v>
      </c>
      <c r="D36" s="71" t="s">
        <v>382</v>
      </c>
      <c r="E36" s="71" t="str">
        <f>MID(D36,1,2)</f>
        <v>IL</v>
      </c>
      <c r="F36" s="71" t="s">
        <v>419</v>
      </c>
      <c r="G36" s="71" t="str">
        <f>MID(F36,1,2)</f>
        <v>US</v>
      </c>
      <c r="H36" s="43" t="s">
        <v>448</v>
      </c>
      <c r="I36" s="71" t="s">
        <v>449</v>
      </c>
      <c r="J36" s="71" t="s">
        <v>386</v>
      </c>
      <c r="K36" s="43"/>
      <c r="L36" s="71" t="s">
        <v>107</v>
      </c>
      <c r="M36" s="73">
        <v>5</v>
      </c>
      <c r="N36" s="71" t="s">
        <v>388</v>
      </c>
      <c r="O36" s="73">
        <v>0.061</v>
      </c>
      <c r="P36" s="71" t="s">
        <v>389</v>
      </c>
      <c r="Q36" s="73">
        <v>10.5</v>
      </c>
      <c r="R36" s="71" t="s">
        <v>388</v>
      </c>
      <c r="S36" s="73">
        <v>0</v>
      </c>
      <c r="T36" s="71" t="s">
        <v>390</v>
      </c>
      <c r="U36" s="74">
        <v>1</v>
      </c>
      <c r="V36" s="71" t="s">
        <v>391</v>
      </c>
      <c r="W36" s="130">
        <v>46057.709803240738</v>
      </c>
      <c r="X36" s="72">
        <v>46058.965277777781</v>
      </c>
      <c r="Y36" s="72">
        <v>46059.60833333333</v>
      </c>
      <c r="Z36" s="104" t="s">
        <v>422</v>
      </c>
      <c r="AA36" s="104" t="s">
        <v>419</v>
      </c>
      <c r="AB36" s="105">
        <v>46059.515972222223</v>
      </c>
      <c r="AC36" s="105">
        <v>46059.604166666664</v>
      </c>
    </row>
    <row r="37" s="70" customFormat="1" ht="11.25" customHeight="1">
      <c r="A37" s="87"/>
      <c r="C37" s="43" t="s">
        <v>450</v>
      </c>
      <c r="D37" s="71" t="s">
        <v>382</v>
      </c>
      <c r="E37" s="71" t="str">
        <f>MID(D37,1,2)</f>
        <v>IL</v>
      </c>
      <c r="F37" s="71" t="s">
        <v>451</v>
      </c>
      <c r="G37" s="71" t="str">
        <f>MID(F37,1,2)</f>
        <v>IT</v>
      </c>
      <c r="H37" s="43" t="s">
        <v>452</v>
      </c>
      <c r="I37" s="71" t="s">
        <v>453</v>
      </c>
      <c r="J37" s="71" t="s">
        <v>454</v>
      </c>
      <c r="K37" s="43"/>
      <c r="L37" s="71" t="s">
        <v>107</v>
      </c>
      <c r="M37" s="73">
        <v>26</v>
      </c>
      <c r="N37" s="71" t="s">
        <v>388</v>
      </c>
      <c r="O37" s="73">
        <v>0.147</v>
      </c>
      <c r="P37" s="71" t="s">
        <v>389</v>
      </c>
      <c r="Q37" s="73">
        <v>26</v>
      </c>
      <c r="R37" s="71" t="s">
        <v>388</v>
      </c>
      <c r="S37" s="73">
        <v>0</v>
      </c>
      <c r="T37" s="71" t="s">
        <v>390</v>
      </c>
      <c r="U37" s="74">
        <v>1</v>
      </c>
      <c r="V37" s="71" t="s">
        <v>446</v>
      </c>
      <c r="W37" s="130"/>
      <c r="X37" s="72">
        <v>46071.256944444445</v>
      </c>
      <c r="Y37" s="72">
        <v>46073.545138888891</v>
      </c>
      <c r="Z37" s="104" t="s">
        <v>382</v>
      </c>
      <c r="AA37" s="104" t="s">
        <v>451</v>
      </c>
      <c r="AB37" s="105">
        <v>46071.254166666666</v>
      </c>
      <c r="AC37" s="105">
        <v>46071.374305555553</v>
      </c>
    </row>
    <row r="38" s="70" customFormat="1" ht="11.25" customHeight="1">
      <c r="A38" s="87"/>
      <c r="C38" s="43" t="s">
        <v>455</v>
      </c>
      <c r="D38" s="71" t="s">
        <v>382</v>
      </c>
      <c r="E38" s="71" t="str">
        <f>MID(D38,1,2)</f>
        <v>IL</v>
      </c>
      <c r="F38" s="71" t="s">
        <v>451</v>
      </c>
      <c r="G38" s="71" t="str">
        <f>MID(F38,1,2)</f>
        <v>IT</v>
      </c>
      <c r="H38" s="43" t="s">
        <v>456</v>
      </c>
      <c r="I38" s="71" t="s">
        <v>457</v>
      </c>
      <c r="J38" s="71" t="s">
        <v>454</v>
      </c>
      <c r="K38" s="43"/>
      <c r="L38" s="71" t="s">
        <v>107</v>
      </c>
      <c r="M38" s="73">
        <v>130</v>
      </c>
      <c r="N38" s="71" t="s">
        <v>388</v>
      </c>
      <c r="O38" s="73">
        <v>0.879</v>
      </c>
      <c r="P38" s="71" t="s">
        <v>389</v>
      </c>
      <c r="Q38" s="73">
        <v>146.5</v>
      </c>
      <c r="R38" s="71" t="s">
        <v>388</v>
      </c>
      <c r="S38" s="73">
        <v>0</v>
      </c>
      <c r="T38" s="71" t="s">
        <v>390</v>
      </c>
      <c r="U38" s="74">
        <v>2</v>
      </c>
      <c r="V38" s="71" t="s">
        <v>391</v>
      </c>
      <c r="W38" s="130">
        <v>46057.688194444447</v>
      </c>
      <c r="X38" s="72">
        <v>46069.236111111109</v>
      </c>
      <c r="Y38" s="72">
        <v>46071.413888888892</v>
      </c>
      <c r="Z38" s="104" t="s">
        <v>382</v>
      </c>
      <c r="AA38" s="104" t="s">
        <v>451</v>
      </c>
      <c r="AB38" s="105">
        <v>46069.230555555558</v>
      </c>
      <c r="AC38" s="105">
        <v>46069.338888888888</v>
      </c>
    </row>
    <row r="39" s="70" customFormat="1" ht="11.25" customHeight="1">
      <c r="A39" s="87"/>
      <c r="C39" s="43" t="s">
        <v>458</v>
      </c>
      <c r="D39" s="71" t="s">
        <v>382</v>
      </c>
      <c r="E39" s="71" t="str">
        <f>MID(D39,1,2)</f>
        <v>IL</v>
      </c>
      <c r="F39" s="71" t="s">
        <v>451</v>
      </c>
      <c r="G39" s="71" t="str">
        <f>MID(F39,1,2)</f>
        <v>IT</v>
      </c>
      <c r="H39" s="43" t="s">
        <v>459</v>
      </c>
      <c r="I39" s="71" t="s">
        <v>460</v>
      </c>
      <c r="J39" s="71" t="s">
        <v>454</v>
      </c>
      <c r="K39" s="43"/>
      <c r="L39" s="71" t="s">
        <v>107</v>
      </c>
      <c r="M39" s="73">
        <v>39</v>
      </c>
      <c r="N39" s="71" t="s">
        <v>388</v>
      </c>
      <c r="O39" s="73">
        <v>0.248</v>
      </c>
      <c r="P39" s="71" t="s">
        <v>389</v>
      </c>
      <c r="Q39" s="73">
        <v>41.5</v>
      </c>
      <c r="R39" s="71" t="s">
        <v>388</v>
      </c>
      <c r="S39" s="73">
        <v>0</v>
      </c>
      <c r="T39" s="71" t="s">
        <v>390</v>
      </c>
      <c r="U39" s="74">
        <v>1</v>
      </c>
      <c r="V39" s="71" t="s">
        <v>446</v>
      </c>
      <c r="W39" s="130"/>
      <c r="X39" s="72">
        <v>46070.256944444445</v>
      </c>
      <c r="Y39" s="72">
        <v>46070.375694444447</v>
      </c>
      <c r="Z39" s="104" t="s">
        <v>382</v>
      </c>
      <c r="AA39" s="104" t="s">
        <v>451</v>
      </c>
      <c r="AB39" s="105">
        <v>46070.259722222225</v>
      </c>
      <c r="AC39" s="105">
        <v>46070.365972222222</v>
      </c>
    </row>
    <row r="40" s="70" customFormat="1" ht="11.25" customHeight="1">
      <c r="A40" s="87"/>
      <c r="C40" s="43" t="s">
        <v>461</v>
      </c>
      <c r="D40" s="71" t="s">
        <v>382</v>
      </c>
      <c r="E40" s="71" t="str">
        <f>MID(D40,1,2)</f>
        <v>IL</v>
      </c>
      <c r="F40" s="71" t="s">
        <v>462</v>
      </c>
      <c r="G40" s="71" t="str">
        <f>MID(F40,1,2)</f>
        <v>DE</v>
      </c>
      <c r="H40" s="43" t="s">
        <v>463</v>
      </c>
      <c r="I40" s="71" t="s">
        <v>464</v>
      </c>
      <c r="J40" s="71" t="s">
        <v>386</v>
      </c>
      <c r="K40" s="43"/>
      <c r="L40" s="71" t="s">
        <v>107</v>
      </c>
      <c r="M40" s="73">
        <v>1690</v>
      </c>
      <c r="N40" s="71" t="s">
        <v>388</v>
      </c>
      <c r="O40" s="73">
        <v>10.918</v>
      </c>
      <c r="P40" s="71" t="s">
        <v>389</v>
      </c>
      <c r="Q40" s="73">
        <v>1820</v>
      </c>
      <c r="R40" s="71" t="s">
        <v>388</v>
      </c>
      <c r="S40" s="73">
        <v>0</v>
      </c>
      <c r="T40" s="71" t="s">
        <v>390</v>
      </c>
      <c r="U40" s="74">
        <v>2</v>
      </c>
      <c r="V40" s="71" t="s">
        <v>391</v>
      </c>
      <c r="W40" s="130">
        <v>46072.68917824074</v>
      </c>
      <c r="X40" s="72">
        <v>46073.590277777781</v>
      </c>
      <c r="Y40" s="72">
        <v>46083.416666666664</v>
      </c>
      <c r="Z40" s="104" t="s">
        <v>382</v>
      </c>
      <c r="AA40" s="104" t="s">
        <v>465</v>
      </c>
      <c r="AB40" s="105">
        <v>46074.193055555559</v>
      </c>
      <c r="AC40" s="105">
        <v>46074.416666666664</v>
      </c>
    </row>
    <row r="41" s="70" customFormat="1" ht="11.25" customHeight="1">
      <c r="A41" s="87"/>
      <c r="C41" s="43" t="s">
        <v>461</v>
      </c>
      <c r="D41" s="71" t="s">
        <v>382</v>
      </c>
      <c r="E41" s="71" t="str">
        <f>MID(D41,1,2)</f>
        <v>IL</v>
      </c>
      <c r="F41" s="71" t="s">
        <v>462</v>
      </c>
      <c r="G41" s="71" t="str">
        <f>MID(F41,1,2)</f>
        <v>DE</v>
      </c>
      <c r="H41" s="43" t="s">
        <v>463</v>
      </c>
      <c r="I41" s="71" t="s">
        <v>464</v>
      </c>
      <c r="J41" s="71" t="s">
        <v>386</v>
      </c>
      <c r="K41" s="43"/>
      <c r="L41" s="71" t="s">
        <v>107</v>
      </c>
      <c r="M41" s="73">
        <v>1690</v>
      </c>
      <c r="N41" s="71" t="s">
        <v>388</v>
      </c>
      <c r="O41" s="73">
        <v>10.918</v>
      </c>
      <c r="P41" s="71" t="s">
        <v>389</v>
      </c>
      <c r="Q41" s="73">
        <v>1820</v>
      </c>
      <c r="R41" s="71" t="s">
        <v>388</v>
      </c>
      <c r="S41" s="73">
        <v>0</v>
      </c>
      <c r="T41" s="71" t="s">
        <v>390</v>
      </c>
      <c r="U41" s="74">
        <v>2</v>
      </c>
      <c r="V41" s="71" t="s">
        <v>391</v>
      </c>
      <c r="W41" s="130">
        <v>46072.68917824074</v>
      </c>
      <c r="X41" s="72">
        <v>46073.590277777781</v>
      </c>
      <c r="Y41" s="72">
        <v>46083.416666666664</v>
      </c>
      <c r="Z41" s="104" t="s">
        <v>465</v>
      </c>
      <c r="AA41" s="104" t="s">
        <v>466</v>
      </c>
      <c r="AB41" s="105">
        <v>46079.602777777778</v>
      </c>
      <c r="AC41" s="105">
        <v>46079.672222222223</v>
      </c>
    </row>
    <row r="42" s="70" customFormat="1" ht="11.25" customHeight="1">
      <c r="A42" s="87"/>
      <c r="C42" s="43" t="s">
        <v>461</v>
      </c>
      <c r="D42" s="71" t="s">
        <v>382</v>
      </c>
      <c r="E42" s="71" t="str">
        <f>MID(D42,1,2)</f>
        <v>IL</v>
      </c>
      <c r="F42" s="71" t="s">
        <v>462</v>
      </c>
      <c r="G42" s="71" t="str">
        <f>MID(F42,1,2)</f>
        <v>DE</v>
      </c>
      <c r="H42" s="43" t="s">
        <v>463</v>
      </c>
      <c r="I42" s="71" t="s">
        <v>464</v>
      </c>
      <c r="J42" s="71" t="s">
        <v>386</v>
      </c>
      <c r="K42" s="43"/>
      <c r="L42" s="71" t="s">
        <v>107</v>
      </c>
      <c r="M42" s="73">
        <v>1690</v>
      </c>
      <c r="N42" s="71" t="s">
        <v>388</v>
      </c>
      <c r="O42" s="73">
        <v>10.918</v>
      </c>
      <c r="P42" s="71" t="s">
        <v>389</v>
      </c>
      <c r="Q42" s="73">
        <v>1820</v>
      </c>
      <c r="R42" s="71" t="s">
        <v>388</v>
      </c>
      <c r="S42" s="73">
        <v>0</v>
      </c>
      <c r="T42" s="71" t="s">
        <v>390</v>
      </c>
      <c r="U42" s="74">
        <v>2</v>
      </c>
      <c r="V42" s="71" t="s">
        <v>391</v>
      </c>
      <c r="W42" s="130">
        <v>46072.68917824074</v>
      </c>
      <c r="X42" s="72">
        <v>46073.590277777781</v>
      </c>
      <c r="Y42" s="72">
        <v>46083.416666666664</v>
      </c>
      <c r="Z42" s="104" t="s">
        <v>466</v>
      </c>
      <c r="AA42" s="104" t="s">
        <v>383</v>
      </c>
      <c r="AB42" s="105">
        <v>46083.836111111108</v>
      </c>
      <c r="AC42" s="105">
        <v>46081.754861111112</v>
      </c>
    </row>
    <row r="43" s="70" customFormat="1" ht="11.25" customHeight="1">
      <c r="A43" s="87"/>
      <c r="C43" s="43" t="s">
        <v>467</v>
      </c>
      <c r="D43" s="71" t="s">
        <v>382</v>
      </c>
      <c r="E43" s="71" t="str">
        <f>MID(D43,1,2)</f>
        <v>IL</v>
      </c>
      <c r="F43" s="71" t="s">
        <v>468</v>
      </c>
      <c r="G43" s="71" t="str">
        <f>MID(F43,1,2)</f>
        <v>US</v>
      </c>
      <c r="H43" s="43" t="s">
        <v>469</v>
      </c>
      <c r="I43" s="71" t="s">
        <v>470</v>
      </c>
      <c r="J43" s="71" t="s">
        <v>386</v>
      </c>
      <c r="K43" s="43"/>
      <c r="L43" s="71" t="s">
        <v>107</v>
      </c>
      <c r="M43" s="73">
        <v>3</v>
      </c>
      <c r="N43" s="71" t="s">
        <v>388</v>
      </c>
      <c r="O43" s="73">
        <v>0.036</v>
      </c>
      <c r="P43" s="71" t="s">
        <v>389</v>
      </c>
      <c r="Q43" s="73">
        <v>6</v>
      </c>
      <c r="R43" s="71" t="s">
        <v>388</v>
      </c>
      <c r="S43" s="73">
        <v>0</v>
      </c>
      <c r="T43" s="71" t="s">
        <v>390</v>
      </c>
      <c r="U43" s="74">
        <v>1</v>
      </c>
      <c r="V43" s="71" t="s">
        <v>446</v>
      </c>
      <c r="W43" s="130">
        <v>46076.864629629628</v>
      </c>
      <c r="X43" s="72">
        <v>46078.979166666664</v>
      </c>
      <c r="Y43" s="72">
        <v>46085.375</v>
      </c>
      <c r="Z43" s="104" t="s">
        <v>382</v>
      </c>
      <c r="AA43" s="104" t="s">
        <v>471</v>
      </c>
      <c r="AB43" s="105">
        <v>46079.01458333333</v>
      </c>
      <c r="AC43" s="105">
        <v>46079.202777777777</v>
      </c>
    </row>
    <row r="44" s="70" customFormat="1" ht="11.25" customHeight="1">
      <c r="A44" s="87"/>
      <c r="C44" s="43" t="s">
        <v>467</v>
      </c>
      <c r="D44" s="71" t="s">
        <v>382</v>
      </c>
      <c r="E44" s="71" t="str">
        <f>MID(D44,1,2)</f>
        <v>IL</v>
      </c>
      <c r="F44" s="71" t="s">
        <v>468</v>
      </c>
      <c r="G44" s="71" t="str">
        <f>MID(F44,1,2)</f>
        <v>US</v>
      </c>
      <c r="H44" s="43" t="s">
        <v>469</v>
      </c>
      <c r="I44" s="71" t="s">
        <v>470</v>
      </c>
      <c r="J44" s="71" t="s">
        <v>386</v>
      </c>
      <c r="K44" s="43"/>
      <c r="L44" s="71" t="s">
        <v>107</v>
      </c>
      <c r="M44" s="73">
        <v>3</v>
      </c>
      <c r="N44" s="71" t="s">
        <v>388</v>
      </c>
      <c r="O44" s="73">
        <v>0.036</v>
      </c>
      <c r="P44" s="71" t="s">
        <v>389</v>
      </c>
      <c r="Q44" s="73">
        <v>6</v>
      </c>
      <c r="R44" s="71" t="s">
        <v>388</v>
      </c>
      <c r="S44" s="73">
        <v>0</v>
      </c>
      <c r="T44" s="71" t="s">
        <v>390</v>
      </c>
      <c r="U44" s="74">
        <v>1</v>
      </c>
      <c r="V44" s="71" t="s">
        <v>446</v>
      </c>
      <c r="W44" s="130">
        <v>46076.864629629628</v>
      </c>
      <c r="X44" s="72">
        <v>46078.979166666664</v>
      </c>
      <c r="Y44" s="72">
        <v>46085.375</v>
      </c>
      <c r="Z44" s="104" t="s">
        <v>422</v>
      </c>
      <c r="AA44" s="104" t="s">
        <v>468</v>
      </c>
      <c r="AB44" s="105">
        <v>46079.650694444441</v>
      </c>
      <c r="AC44" s="105">
        <v>46081.484027777777</v>
      </c>
    </row>
    <row r="45" s="70" customFormat="1" ht="11.25" customHeight="1">
      <c r="A45" s="87"/>
      <c r="C45" s="43" t="s">
        <v>472</v>
      </c>
      <c r="D45" s="71" t="s">
        <v>382</v>
      </c>
      <c r="E45" s="71" t="str">
        <f>MID(D45,1,2)</f>
        <v>IL</v>
      </c>
      <c r="F45" s="71" t="s">
        <v>419</v>
      </c>
      <c r="G45" s="71" t="str">
        <f>MID(F45,1,2)</f>
        <v>US</v>
      </c>
      <c r="H45" s="43" t="s">
        <v>473</v>
      </c>
      <c r="I45" s="71" t="s">
        <v>474</v>
      </c>
      <c r="J45" s="71" t="s">
        <v>426</v>
      </c>
      <c r="K45" s="43"/>
      <c r="L45" s="71" t="s">
        <v>105</v>
      </c>
      <c r="M45" s="73">
        <v>8</v>
      </c>
      <c r="N45" s="71" t="s">
        <v>388</v>
      </c>
      <c r="O45" s="73">
        <v>0.031</v>
      </c>
      <c r="P45" s="71" t="s">
        <v>389</v>
      </c>
      <c r="Q45" s="73">
        <v>8</v>
      </c>
      <c r="R45" s="71" t="s">
        <v>388</v>
      </c>
      <c r="S45" s="73">
        <v>0</v>
      </c>
      <c r="T45" s="71" t="s">
        <v>390</v>
      </c>
      <c r="U45" s="74">
        <v>1</v>
      </c>
      <c r="V45" s="71" t="s">
        <v>391</v>
      </c>
      <c r="W45" s="130"/>
      <c r="X45" s="72">
        <v>46054.690972222219</v>
      </c>
      <c r="Y45" s="72">
        <v>46055.604166666664</v>
      </c>
      <c r="Z45" s="104" t="s">
        <v>382</v>
      </c>
      <c r="AA45" s="104" t="s">
        <v>383</v>
      </c>
      <c r="AB45" s="105">
        <v>46054.707638888889</v>
      </c>
      <c r="AC45" s="105">
        <v>46054.838194444441</v>
      </c>
    </row>
    <row r="46" s="70" customFormat="1" ht="11.25" customHeight="1">
      <c r="A46" s="87"/>
      <c r="C46" s="43" t="s">
        <v>472</v>
      </c>
      <c r="D46" s="71" t="s">
        <v>382</v>
      </c>
      <c r="E46" s="71" t="str">
        <f>MID(D46,1,2)</f>
        <v>IL</v>
      </c>
      <c r="F46" s="71" t="s">
        <v>419</v>
      </c>
      <c r="G46" s="71" t="str">
        <f>MID(F46,1,2)</f>
        <v>US</v>
      </c>
      <c r="H46" s="43" t="s">
        <v>473</v>
      </c>
      <c r="I46" s="71" t="s">
        <v>474</v>
      </c>
      <c r="J46" s="71" t="s">
        <v>426</v>
      </c>
      <c r="K46" s="43"/>
      <c r="L46" s="71" t="s">
        <v>105</v>
      </c>
      <c r="M46" s="73">
        <v>8</v>
      </c>
      <c r="N46" s="71" t="s">
        <v>388</v>
      </c>
      <c r="O46" s="73">
        <v>0.031</v>
      </c>
      <c r="P46" s="71" t="s">
        <v>389</v>
      </c>
      <c r="Q46" s="73">
        <v>8</v>
      </c>
      <c r="R46" s="71" t="s">
        <v>388</v>
      </c>
      <c r="S46" s="73">
        <v>0</v>
      </c>
      <c r="T46" s="71" t="s">
        <v>390</v>
      </c>
      <c r="U46" s="74">
        <v>1</v>
      </c>
      <c r="V46" s="71" t="s">
        <v>391</v>
      </c>
      <c r="W46" s="130"/>
      <c r="X46" s="72">
        <v>46054.690972222219</v>
      </c>
      <c r="Y46" s="72">
        <v>46055.604166666664</v>
      </c>
      <c r="Z46" s="104" t="s">
        <v>383</v>
      </c>
      <c r="AA46" s="104" t="s">
        <v>419</v>
      </c>
      <c r="AB46" s="105">
        <v>46055.436111111114</v>
      </c>
      <c r="AC46" s="105">
        <v>46055.572222222225</v>
      </c>
    </row>
    <row r="47" s="70" customFormat="1" ht="11.25" customHeight="1">
      <c r="A47" s="87"/>
      <c r="C47" s="43" t="s">
        <v>475</v>
      </c>
      <c r="D47" s="71" t="s">
        <v>382</v>
      </c>
      <c r="E47" s="71" t="str">
        <f>MID(D47,1,2)</f>
        <v>IL</v>
      </c>
      <c r="F47" s="71" t="s">
        <v>476</v>
      </c>
      <c r="G47" s="71" t="str">
        <f>MID(F47,1,2)</f>
        <v>SG</v>
      </c>
      <c r="H47" s="43" t="s">
        <v>477</v>
      </c>
      <c r="I47" s="71" t="s">
        <v>478</v>
      </c>
      <c r="J47" s="71" t="s">
        <v>426</v>
      </c>
      <c r="K47" s="43"/>
      <c r="L47" s="71" t="s">
        <v>105</v>
      </c>
      <c r="M47" s="73">
        <v>212</v>
      </c>
      <c r="N47" s="71" t="s">
        <v>388</v>
      </c>
      <c r="O47" s="73">
        <v>1.755</v>
      </c>
      <c r="P47" s="71" t="s">
        <v>389</v>
      </c>
      <c r="Q47" s="73">
        <v>292.5</v>
      </c>
      <c r="R47" s="71" t="s">
        <v>388</v>
      </c>
      <c r="S47" s="73">
        <v>0</v>
      </c>
      <c r="T47" s="71" t="s">
        <v>390</v>
      </c>
      <c r="U47" s="74">
        <v>1</v>
      </c>
      <c r="V47" s="71" t="s">
        <v>391</v>
      </c>
      <c r="W47" s="130">
        <v>46049.906643518516</v>
      </c>
      <c r="X47" s="72">
        <v>46054.996527777781</v>
      </c>
      <c r="Y47" s="72">
        <v>46056.524305555555</v>
      </c>
      <c r="Z47" s="104" t="s">
        <v>382</v>
      </c>
      <c r="AA47" s="104" t="s">
        <v>465</v>
      </c>
      <c r="AB47" s="105">
        <v>46055.269444444442</v>
      </c>
      <c r="AC47" s="105">
        <v>46055.456944444442</v>
      </c>
    </row>
    <row r="48" s="70" customFormat="1" ht="11.25" customHeight="1">
      <c r="A48" s="87"/>
      <c r="C48" s="43" t="s">
        <v>475</v>
      </c>
      <c r="D48" s="71" t="s">
        <v>382</v>
      </c>
      <c r="E48" s="71" t="str">
        <f>MID(D48,1,2)</f>
        <v>IL</v>
      </c>
      <c r="F48" s="71" t="s">
        <v>476</v>
      </c>
      <c r="G48" s="71" t="str">
        <f>MID(F48,1,2)</f>
        <v>SG</v>
      </c>
      <c r="H48" s="43" t="s">
        <v>477</v>
      </c>
      <c r="I48" s="71" t="s">
        <v>478</v>
      </c>
      <c r="J48" s="71" t="s">
        <v>426</v>
      </c>
      <c r="K48" s="43"/>
      <c r="L48" s="71" t="s">
        <v>105</v>
      </c>
      <c r="M48" s="73">
        <v>212</v>
      </c>
      <c r="N48" s="71" t="s">
        <v>388</v>
      </c>
      <c r="O48" s="73">
        <v>1.755</v>
      </c>
      <c r="P48" s="71" t="s">
        <v>389</v>
      </c>
      <c r="Q48" s="73">
        <v>292.5</v>
      </c>
      <c r="R48" s="71" t="s">
        <v>388</v>
      </c>
      <c r="S48" s="73">
        <v>0</v>
      </c>
      <c r="T48" s="71" t="s">
        <v>390</v>
      </c>
      <c r="U48" s="74">
        <v>1</v>
      </c>
      <c r="V48" s="71" t="s">
        <v>391</v>
      </c>
      <c r="W48" s="130">
        <v>46049.906643518516</v>
      </c>
      <c r="X48" s="72">
        <v>46054.996527777781</v>
      </c>
      <c r="Y48" s="72">
        <v>46056.524305555555</v>
      </c>
      <c r="Z48" s="104" t="s">
        <v>465</v>
      </c>
      <c r="AA48" s="104" t="s">
        <v>476</v>
      </c>
      <c r="AB48" s="105">
        <v>46055.977777777778</v>
      </c>
      <c r="AC48" s="105">
        <v>46056.493055555555</v>
      </c>
    </row>
    <row r="49" s="70" customFormat="1" ht="11.25" customHeight="1">
      <c r="A49" s="87"/>
      <c r="C49" s="43" t="s">
        <v>479</v>
      </c>
      <c r="D49" s="71" t="s">
        <v>382</v>
      </c>
      <c r="E49" s="71" t="str">
        <f>MID(D49,1,2)</f>
        <v>IL</v>
      </c>
      <c r="F49" s="71" t="s">
        <v>480</v>
      </c>
      <c r="G49" s="71" t="str">
        <f>MID(F49,1,2)</f>
        <v>CA</v>
      </c>
      <c r="H49" s="43" t="s">
        <v>481</v>
      </c>
      <c r="I49" s="71" t="s">
        <v>482</v>
      </c>
      <c r="J49" s="71" t="s">
        <v>483</v>
      </c>
      <c r="K49" s="43"/>
      <c r="L49" s="71" t="s">
        <v>105</v>
      </c>
      <c r="M49" s="73">
        <v>5</v>
      </c>
      <c r="N49" s="71" t="s">
        <v>388</v>
      </c>
      <c r="O49" s="73">
        <v>0.033</v>
      </c>
      <c r="P49" s="71" t="s">
        <v>389</v>
      </c>
      <c r="Q49" s="73">
        <v>5.5</v>
      </c>
      <c r="R49" s="71" t="s">
        <v>388</v>
      </c>
      <c r="S49" s="73">
        <v>0</v>
      </c>
      <c r="T49" s="71" t="s">
        <v>390</v>
      </c>
      <c r="U49" s="74">
        <v>1</v>
      </c>
      <c r="V49" s="71" t="s">
        <v>391</v>
      </c>
      <c r="W49" s="130">
        <v>46051.652777777781</v>
      </c>
      <c r="X49" s="72">
        <v>46056.496527777781</v>
      </c>
      <c r="Y49" s="72">
        <v>46058.765972222223</v>
      </c>
      <c r="Z49" s="104" t="s">
        <v>382</v>
      </c>
      <c r="AA49" s="104" t="s">
        <v>405</v>
      </c>
      <c r="AB49" s="105">
        <v>46057.51875</v>
      </c>
      <c r="AC49" s="105">
        <v>46057.686111111114</v>
      </c>
    </row>
    <row r="50" s="70" customFormat="1" ht="11.25" customHeight="1">
      <c r="A50" s="87"/>
      <c r="C50" s="43" t="s">
        <v>479</v>
      </c>
      <c r="D50" s="71" t="s">
        <v>382</v>
      </c>
      <c r="E50" s="71" t="str">
        <f>MID(D50,1,2)</f>
        <v>IL</v>
      </c>
      <c r="F50" s="71" t="s">
        <v>480</v>
      </c>
      <c r="G50" s="71" t="str">
        <f>MID(F50,1,2)</f>
        <v>CA</v>
      </c>
      <c r="H50" s="43" t="s">
        <v>481</v>
      </c>
      <c r="I50" s="71" t="s">
        <v>482</v>
      </c>
      <c r="J50" s="71" t="s">
        <v>483</v>
      </c>
      <c r="K50" s="43"/>
      <c r="L50" s="71" t="s">
        <v>105</v>
      </c>
      <c r="M50" s="73">
        <v>5</v>
      </c>
      <c r="N50" s="71" t="s">
        <v>388</v>
      </c>
      <c r="O50" s="73">
        <v>0.033</v>
      </c>
      <c r="P50" s="71" t="s">
        <v>389</v>
      </c>
      <c r="Q50" s="73">
        <v>5.5</v>
      </c>
      <c r="R50" s="71" t="s">
        <v>388</v>
      </c>
      <c r="S50" s="73">
        <v>0</v>
      </c>
      <c r="T50" s="71" t="s">
        <v>390</v>
      </c>
      <c r="U50" s="74">
        <v>1</v>
      </c>
      <c r="V50" s="71" t="s">
        <v>391</v>
      </c>
      <c r="W50" s="130">
        <v>46051.652777777781</v>
      </c>
      <c r="X50" s="72">
        <v>46056.496527777781</v>
      </c>
      <c r="Y50" s="72">
        <v>46058.765972222223</v>
      </c>
      <c r="Z50" s="104" t="s">
        <v>405</v>
      </c>
      <c r="AA50" s="104" t="s">
        <v>480</v>
      </c>
      <c r="AB50" s="105">
        <v>46058.706944444442</v>
      </c>
      <c r="AC50" s="105">
        <v>46058.756944444445</v>
      </c>
    </row>
    <row r="51" s="70" customFormat="1" ht="11.25" customHeight="1">
      <c r="A51" s="87"/>
      <c r="C51" s="43" t="s">
        <v>484</v>
      </c>
      <c r="D51" s="71" t="s">
        <v>382</v>
      </c>
      <c r="E51" s="71" t="str">
        <f>MID(D51,1,2)</f>
        <v>IL</v>
      </c>
      <c r="F51" s="71" t="s">
        <v>485</v>
      </c>
      <c r="G51" s="71" t="str">
        <f>MID(F51,1,2)</f>
        <v>US</v>
      </c>
      <c r="H51" s="43" t="s">
        <v>486</v>
      </c>
      <c r="I51" s="71" t="s">
        <v>487</v>
      </c>
      <c r="J51" s="71" t="s">
        <v>386</v>
      </c>
      <c r="K51" s="43"/>
      <c r="L51" s="71" t="s">
        <v>107</v>
      </c>
      <c r="M51" s="73">
        <v>778</v>
      </c>
      <c r="N51" s="71" t="s">
        <v>388</v>
      </c>
      <c r="O51" s="73">
        <v>0.758</v>
      </c>
      <c r="P51" s="71" t="s">
        <v>389</v>
      </c>
      <c r="Q51" s="73">
        <v>778</v>
      </c>
      <c r="R51" s="71" t="s">
        <v>388</v>
      </c>
      <c r="S51" s="73">
        <v>0</v>
      </c>
      <c r="T51" s="71" t="s">
        <v>390</v>
      </c>
      <c r="U51" s="74">
        <v>2</v>
      </c>
      <c r="V51" s="71" t="s">
        <v>391</v>
      </c>
      <c r="W51" s="130">
        <v>46069.445138888892</v>
      </c>
      <c r="X51" s="72">
        <v>46071.297222222223</v>
      </c>
      <c r="Y51" s="72">
        <v>46075.375</v>
      </c>
      <c r="Z51" s="104" t="s">
        <v>382</v>
      </c>
      <c r="AA51" s="104" t="s">
        <v>422</v>
      </c>
      <c r="AB51" s="105">
        <v>46073.97152777778</v>
      </c>
      <c r="AC51" s="105">
        <v>46074.161111111112</v>
      </c>
    </row>
    <row r="52" s="70" customFormat="1" ht="11.25" customHeight="1">
      <c r="A52" s="87"/>
      <c r="C52" s="43" t="s">
        <v>484</v>
      </c>
      <c r="D52" s="71" t="s">
        <v>382</v>
      </c>
      <c r="E52" s="71" t="str">
        <f>MID(D52,1,2)</f>
        <v>IL</v>
      </c>
      <c r="F52" s="71" t="s">
        <v>485</v>
      </c>
      <c r="G52" s="71" t="str">
        <f>MID(F52,1,2)</f>
        <v>US</v>
      </c>
      <c r="H52" s="43" t="s">
        <v>486</v>
      </c>
      <c r="I52" s="71" t="s">
        <v>487</v>
      </c>
      <c r="J52" s="71" t="s">
        <v>386</v>
      </c>
      <c r="K52" s="43"/>
      <c r="L52" s="71" t="s">
        <v>107</v>
      </c>
      <c r="M52" s="73">
        <v>778</v>
      </c>
      <c r="N52" s="71" t="s">
        <v>388</v>
      </c>
      <c r="O52" s="73">
        <v>0.758</v>
      </c>
      <c r="P52" s="71" t="s">
        <v>389</v>
      </c>
      <c r="Q52" s="73">
        <v>778</v>
      </c>
      <c r="R52" s="71" t="s">
        <v>388</v>
      </c>
      <c r="S52" s="73">
        <v>0</v>
      </c>
      <c r="T52" s="71" t="s">
        <v>390</v>
      </c>
      <c r="U52" s="74">
        <v>2</v>
      </c>
      <c r="V52" s="71" t="s">
        <v>391</v>
      </c>
      <c r="W52" s="130">
        <v>46069.445138888892</v>
      </c>
      <c r="X52" s="72">
        <v>46071.297222222223</v>
      </c>
      <c r="Y52" s="72">
        <v>46075.375</v>
      </c>
      <c r="Z52" s="104" t="s">
        <v>422</v>
      </c>
      <c r="AA52" s="104" t="s">
        <v>485</v>
      </c>
      <c r="AB52" s="105">
        <v>46075.128472222219</v>
      </c>
      <c r="AC52" s="105">
        <v>46075.342361111114</v>
      </c>
    </row>
    <row r="53" s="70" customFormat="1" ht="11.25" customHeight="1">
      <c r="A53" s="87"/>
      <c r="C53" s="43" t="s">
        <v>488</v>
      </c>
      <c r="D53" s="71" t="s">
        <v>382</v>
      </c>
      <c r="E53" s="71" t="str">
        <f>MID(D53,1,2)</f>
        <v>IL</v>
      </c>
      <c r="F53" s="71" t="s">
        <v>443</v>
      </c>
      <c r="G53" s="71" t="str">
        <f>MID(F53,1,2)</f>
        <v>US</v>
      </c>
      <c r="H53" s="43" t="s">
        <v>489</v>
      </c>
      <c r="I53" s="71" t="s">
        <v>490</v>
      </c>
      <c r="J53" s="71" t="s">
        <v>386</v>
      </c>
      <c r="K53" s="43"/>
      <c r="L53" s="71" t="s">
        <v>107</v>
      </c>
      <c r="M53" s="73">
        <v>84</v>
      </c>
      <c r="N53" s="71" t="s">
        <v>388</v>
      </c>
      <c r="O53" s="73">
        <v>0.966</v>
      </c>
      <c r="P53" s="71" t="s">
        <v>389</v>
      </c>
      <c r="Q53" s="73">
        <v>161</v>
      </c>
      <c r="R53" s="71" t="s">
        <v>388</v>
      </c>
      <c r="S53" s="73">
        <v>0</v>
      </c>
      <c r="T53" s="71" t="s">
        <v>390</v>
      </c>
      <c r="U53" s="74">
        <v>1</v>
      </c>
      <c r="V53" s="71" t="s">
        <v>446</v>
      </c>
      <c r="W53" s="130">
        <v>46051.382638888892</v>
      </c>
      <c r="X53" s="72">
        <v>46054.479166666664</v>
      </c>
      <c r="Y53" s="72">
        <v>46057.333333333336</v>
      </c>
      <c r="Z53" s="104" t="s">
        <v>382</v>
      </c>
      <c r="AA53" s="104" t="s">
        <v>422</v>
      </c>
      <c r="AB53" s="105">
        <v>46054.530555555553</v>
      </c>
      <c r="AC53" s="105">
        <v>46054.714583333334</v>
      </c>
    </row>
    <row r="54" s="70" customFormat="1" ht="11.25" customHeight="1">
      <c r="A54" s="87"/>
      <c r="C54" s="43" t="s">
        <v>488</v>
      </c>
      <c r="D54" s="71" t="s">
        <v>382</v>
      </c>
      <c r="E54" s="71" t="str">
        <f>MID(D54,1,2)</f>
        <v>IL</v>
      </c>
      <c r="F54" s="71" t="s">
        <v>443</v>
      </c>
      <c r="G54" s="71" t="str">
        <f>MID(F54,1,2)</f>
        <v>US</v>
      </c>
      <c r="H54" s="43" t="s">
        <v>489</v>
      </c>
      <c r="I54" s="71" t="s">
        <v>490</v>
      </c>
      <c r="J54" s="71" t="s">
        <v>386</v>
      </c>
      <c r="K54" s="43"/>
      <c r="L54" s="71" t="s">
        <v>107</v>
      </c>
      <c r="M54" s="73">
        <v>84</v>
      </c>
      <c r="N54" s="71" t="s">
        <v>388</v>
      </c>
      <c r="O54" s="73">
        <v>0.966</v>
      </c>
      <c r="P54" s="71" t="s">
        <v>389</v>
      </c>
      <c r="Q54" s="73">
        <v>161</v>
      </c>
      <c r="R54" s="71" t="s">
        <v>388</v>
      </c>
      <c r="S54" s="73">
        <v>0</v>
      </c>
      <c r="T54" s="71" t="s">
        <v>390</v>
      </c>
      <c r="U54" s="74">
        <v>1</v>
      </c>
      <c r="V54" s="71" t="s">
        <v>446</v>
      </c>
      <c r="W54" s="130">
        <v>46051.382638888892</v>
      </c>
      <c r="X54" s="72">
        <v>46054.479166666664</v>
      </c>
      <c r="Y54" s="72">
        <v>46057.333333333336</v>
      </c>
      <c r="Z54" s="104" t="s">
        <v>422</v>
      </c>
      <c r="AA54" s="104" t="s">
        <v>443</v>
      </c>
      <c r="AB54" s="105">
        <v>46055.29583333333</v>
      </c>
      <c r="AC54" s="105">
        <v>46055.423611111109</v>
      </c>
    </row>
    <row r="55" s="70" customFormat="1" ht="11.25" customHeight="1">
      <c r="A55" s="87"/>
      <c r="C55" s="43" t="s">
        <v>491</v>
      </c>
      <c r="D55" s="71" t="s">
        <v>382</v>
      </c>
      <c r="E55" s="71" t="str">
        <f>MID(D55,1,2)</f>
        <v>IL</v>
      </c>
      <c r="F55" s="71" t="s">
        <v>383</v>
      </c>
      <c r="G55" s="71" t="str">
        <f>MID(F55,1,2)</f>
        <v>DE</v>
      </c>
      <c r="H55" s="43" t="s">
        <v>492</v>
      </c>
      <c r="I55" s="71" t="s">
        <v>493</v>
      </c>
      <c r="J55" s="71" t="s">
        <v>386</v>
      </c>
      <c r="K55" s="43"/>
      <c r="L55" s="71" t="s">
        <v>107</v>
      </c>
      <c r="M55" s="73">
        <v>47</v>
      </c>
      <c r="N55" s="71" t="s">
        <v>388</v>
      </c>
      <c r="O55" s="73">
        <v>0.265</v>
      </c>
      <c r="P55" s="71" t="s">
        <v>389</v>
      </c>
      <c r="Q55" s="73">
        <v>47</v>
      </c>
      <c r="R55" s="71" t="s">
        <v>388</v>
      </c>
      <c r="S55" s="73">
        <v>0</v>
      </c>
      <c r="T55" s="71" t="s">
        <v>390</v>
      </c>
      <c r="U55" s="74">
        <v>1</v>
      </c>
      <c r="V55" s="71" t="s">
        <v>391</v>
      </c>
      <c r="W55" s="130">
        <v>46054.63958333333</v>
      </c>
      <c r="X55" s="72">
        <v>46057.229166666664</v>
      </c>
      <c r="Y55" s="72">
        <v>46072.333333333336</v>
      </c>
      <c r="Z55" s="104" t="s">
        <v>383</v>
      </c>
      <c r="AA55" s="104" t="s">
        <v>494</v>
      </c>
      <c r="AB55" s="105">
        <v>46070</v>
      </c>
      <c r="AC55" s="105">
        <v>46070</v>
      </c>
    </row>
    <row r="56" s="70" customFormat="1" ht="11.25" customHeight="1">
      <c r="A56" s="87"/>
      <c r="C56" s="43" t="s">
        <v>491</v>
      </c>
      <c r="D56" s="71" t="s">
        <v>382</v>
      </c>
      <c r="E56" s="71" t="str">
        <f>MID(D56,1,2)</f>
        <v>IL</v>
      </c>
      <c r="F56" s="71" t="s">
        <v>383</v>
      </c>
      <c r="G56" s="71" t="str">
        <f>MID(F56,1,2)</f>
        <v>DE</v>
      </c>
      <c r="H56" s="43" t="s">
        <v>492</v>
      </c>
      <c r="I56" s="71" t="s">
        <v>493</v>
      </c>
      <c r="J56" s="71" t="s">
        <v>386</v>
      </c>
      <c r="K56" s="43"/>
      <c r="L56" s="71" t="s">
        <v>107</v>
      </c>
      <c r="M56" s="73">
        <v>47</v>
      </c>
      <c r="N56" s="71" t="s">
        <v>388</v>
      </c>
      <c r="O56" s="73">
        <v>0.265</v>
      </c>
      <c r="P56" s="71" t="s">
        <v>389</v>
      </c>
      <c r="Q56" s="73">
        <v>47</v>
      </c>
      <c r="R56" s="71" t="s">
        <v>388</v>
      </c>
      <c r="S56" s="73">
        <v>0</v>
      </c>
      <c r="T56" s="71" t="s">
        <v>390</v>
      </c>
      <c r="U56" s="74">
        <v>1</v>
      </c>
      <c r="V56" s="71" t="s">
        <v>391</v>
      </c>
      <c r="W56" s="130">
        <v>46054.63958333333</v>
      </c>
      <c r="X56" s="72">
        <v>46057.229166666664</v>
      </c>
      <c r="Y56" s="72">
        <v>46072.333333333336</v>
      </c>
      <c r="Z56" s="104" t="s">
        <v>383</v>
      </c>
      <c r="AA56" s="104" t="s">
        <v>494</v>
      </c>
      <c r="AB56" s="105">
        <v>46072.019444444442</v>
      </c>
      <c r="AC56" s="105">
        <v>46072.166666666664</v>
      </c>
    </row>
    <row r="57" s="70" customFormat="1" ht="11.25" customHeight="1">
      <c r="A57" s="87"/>
      <c r="C57" s="43" t="s">
        <v>491</v>
      </c>
      <c r="D57" s="71" t="s">
        <v>382</v>
      </c>
      <c r="E57" s="71" t="str">
        <f>MID(D57,1,2)</f>
        <v>IL</v>
      </c>
      <c r="F57" s="71" t="s">
        <v>383</v>
      </c>
      <c r="G57" s="71" t="str">
        <f>MID(F57,1,2)</f>
        <v>DE</v>
      </c>
      <c r="H57" s="43" t="s">
        <v>492</v>
      </c>
      <c r="I57" s="71" t="s">
        <v>493</v>
      </c>
      <c r="J57" s="71" t="s">
        <v>386</v>
      </c>
      <c r="K57" s="43"/>
      <c r="L57" s="71" t="s">
        <v>107</v>
      </c>
      <c r="M57" s="73">
        <v>47</v>
      </c>
      <c r="N57" s="71" t="s">
        <v>388</v>
      </c>
      <c r="O57" s="73">
        <v>0.265</v>
      </c>
      <c r="P57" s="71" t="s">
        <v>389</v>
      </c>
      <c r="Q57" s="73">
        <v>47</v>
      </c>
      <c r="R57" s="71" t="s">
        <v>388</v>
      </c>
      <c r="S57" s="73">
        <v>0</v>
      </c>
      <c r="T57" s="71" t="s">
        <v>390</v>
      </c>
      <c r="U57" s="74">
        <v>1</v>
      </c>
      <c r="V57" s="71" t="s">
        <v>391</v>
      </c>
      <c r="W57" s="130">
        <v>46054.63958333333</v>
      </c>
      <c r="X57" s="72">
        <v>46057.229166666664</v>
      </c>
      <c r="Y57" s="72">
        <v>46072.333333333336</v>
      </c>
      <c r="Z57" s="104" t="s">
        <v>382</v>
      </c>
      <c r="AA57" s="104" t="s">
        <v>466</v>
      </c>
      <c r="AB57" s="105">
        <v>46057.976388888892</v>
      </c>
      <c r="AC57" s="105"/>
    </row>
    <row r="58" s="70" customFormat="1" ht="11.25" customHeight="1">
      <c r="A58" s="87"/>
      <c r="C58" s="43" t="s">
        <v>491</v>
      </c>
      <c r="D58" s="71" t="s">
        <v>382</v>
      </c>
      <c r="E58" s="71" t="str">
        <f>MID(D58,1,2)</f>
        <v>IL</v>
      </c>
      <c r="F58" s="71" t="s">
        <v>383</v>
      </c>
      <c r="G58" s="71" t="str">
        <f>MID(F58,1,2)</f>
        <v>DE</v>
      </c>
      <c r="H58" s="43" t="s">
        <v>492</v>
      </c>
      <c r="I58" s="71" t="s">
        <v>493</v>
      </c>
      <c r="J58" s="71" t="s">
        <v>386</v>
      </c>
      <c r="K58" s="43"/>
      <c r="L58" s="71" t="s">
        <v>107</v>
      </c>
      <c r="M58" s="73">
        <v>47</v>
      </c>
      <c r="N58" s="71" t="s">
        <v>388</v>
      </c>
      <c r="O58" s="73">
        <v>0.265</v>
      </c>
      <c r="P58" s="71" t="s">
        <v>389</v>
      </c>
      <c r="Q58" s="73">
        <v>47</v>
      </c>
      <c r="R58" s="71" t="s">
        <v>388</v>
      </c>
      <c r="S58" s="73">
        <v>0</v>
      </c>
      <c r="T58" s="71" t="s">
        <v>390</v>
      </c>
      <c r="U58" s="74">
        <v>1</v>
      </c>
      <c r="V58" s="71" t="s">
        <v>391</v>
      </c>
      <c r="W58" s="130">
        <v>46054.63958333333</v>
      </c>
      <c r="X58" s="72">
        <v>46057.229166666664</v>
      </c>
      <c r="Y58" s="72">
        <v>46072.333333333336</v>
      </c>
      <c r="Z58" s="104" t="s">
        <v>466</v>
      </c>
      <c r="AA58" s="104" t="s">
        <v>383</v>
      </c>
      <c r="AB58" s="105">
        <v>46058.986111111109</v>
      </c>
      <c r="AC58" s="105"/>
    </row>
    <row r="59" s="70" customFormat="1" ht="11.25" customHeight="1">
      <c r="A59" s="87"/>
      <c r="C59" s="43" t="s">
        <v>495</v>
      </c>
      <c r="D59" s="71" t="s">
        <v>382</v>
      </c>
      <c r="E59" s="71" t="str">
        <f>MID(D59,1,2)</f>
        <v>IL</v>
      </c>
      <c r="F59" s="71" t="s">
        <v>496</v>
      </c>
      <c r="G59" s="71" t="str">
        <f>MID(F59,1,2)</f>
        <v>RO</v>
      </c>
      <c r="H59" s="43" t="s">
        <v>497</v>
      </c>
      <c r="I59" s="71" t="s">
        <v>498</v>
      </c>
      <c r="J59" s="71" t="s">
        <v>400</v>
      </c>
      <c r="K59" s="43"/>
      <c r="L59" s="71" t="s">
        <v>105</v>
      </c>
      <c r="M59" s="73">
        <v>984</v>
      </c>
      <c r="N59" s="71" t="s">
        <v>388</v>
      </c>
      <c r="O59" s="73">
        <v>9.978</v>
      </c>
      <c r="P59" s="71" t="s">
        <v>389</v>
      </c>
      <c r="Q59" s="73">
        <v>1663</v>
      </c>
      <c r="R59" s="71" t="s">
        <v>388</v>
      </c>
      <c r="S59" s="73">
        <v>0</v>
      </c>
      <c r="T59" s="71" t="s">
        <v>390</v>
      </c>
      <c r="U59" s="74">
        <v>4</v>
      </c>
      <c r="V59" s="71" t="s">
        <v>391</v>
      </c>
      <c r="W59" s="130">
        <v>46050.941875</v>
      </c>
      <c r="X59" s="72">
        <v>46056.965277777781</v>
      </c>
      <c r="Y59" s="72">
        <v>46065.395833333336</v>
      </c>
      <c r="Z59" s="104" t="s">
        <v>382</v>
      </c>
      <c r="AA59" s="104" t="s">
        <v>383</v>
      </c>
      <c r="AB59" s="105">
        <v>46062.00625</v>
      </c>
      <c r="AC59" s="105">
        <v>46062.304861111108</v>
      </c>
    </row>
    <row r="60" s="70" customFormat="1" ht="11.25" customHeight="1">
      <c r="A60" s="87"/>
      <c r="C60" s="43" t="s">
        <v>495</v>
      </c>
      <c r="D60" s="71" t="s">
        <v>382</v>
      </c>
      <c r="E60" s="71" t="str">
        <f>MID(D60,1,2)</f>
        <v>IL</v>
      </c>
      <c r="F60" s="71" t="s">
        <v>496</v>
      </c>
      <c r="G60" s="71" t="str">
        <f>MID(F60,1,2)</f>
        <v>RO</v>
      </c>
      <c r="H60" s="43" t="s">
        <v>497</v>
      </c>
      <c r="I60" s="71" t="s">
        <v>498</v>
      </c>
      <c r="J60" s="71" t="s">
        <v>400</v>
      </c>
      <c r="K60" s="43"/>
      <c r="L60" s="71" t="s">
        <v>105</v>
      </c>
      <c r="M60" s="73">
        <v>984</v>
      </c>
      <c r="N60" s="71" t="s">
        <v>388</v>
      </c>
      <c r="O60" s="73">
        <v>9.978</v>
      </c>
      <c r="P60" s="71" t="s">
        <v>389</v>
      </c>
      <c r="Q60" s="73">
        <v>1663</v>
      </c>
      <c r="R60" s="71" t="s">
        <v>388</v>
      </c>
      <c r="S60" s="73">
        <v>0</v>
      </c>
      <c r="T60" s="71" t="s">
        <v>390</v>
      </c>
      <c r="U60" s="74">
        <v>4</v>
      </c>
      <c r="V60" s="71" t="s">
        <v>391</v>
      </c>
      <c r="W60" s="130">
        <v>46050.941875</v>
      </c>
      <c r="X60" s="72">
        <v>46056.965277777781</v>
      </c>
      <c r="Y60" s="72">
        <v>46065.395833333336</v>
      </c>
      <c r="Z60" s="104" t="s">
        <v>383</v>
      </c>
      <c r="AA60" s="104" t="s">
        <v>496</v>
      </c>
      <c r="AB60" s="105">
        <v>46063.444444444445</v>
      </c>
      <c r="AC60" s="105"/>
    </row>
    <row r="61" s="70" customFormat="1" ht="11.25" customHeight="1">
      <c r="A61" s="87"/>
      <c r="C61" s="43" t="s">
        <v>499</v>
      </c>
      <c r="D61" s="71" t="s">
        <v>382</v>
      </c>
      <c r="E61" s="71" t="str">
        <f>MID(D61,1,2)</f>
        <v>IL</v>
      </c>
      <c r="F61" s="71" t="s">
        <v>476</v>
      </c>
      <c r="G61" s="71" t="str">
        <f>MID(F61,1,2)</f>
        <v>SG</v>
      </c>
      <c r="H61" s="43" t="s">
        <v>477</v>
      </c>
      <c r="I61" s="71" t="s">
        <v>500</v>
      </c>
      <c r="J61" s="71" t="s">
        <v>400</v>
      </c>
      <c r="K61" s="43"/>
      <c r="L61" s="71" t="s">
        <v>105</v>
      </c>
      <c r="M61" s="73">
        <v>148</v>
      </c>
      <c r="N61" s="71" t="s">
        <v>388</v>
      </c>
      <c r="O61" s="73">
        <v>3.06</v>
      </c>
      <c r="P61" s="71" t="s">
        <v>389</v>
      </c>
      <c r="Q61" s="73">
        <v>510</v>
      </c>
      <c r="R61" s="71" t="s">
        <v>388</v>
      </c>
      <c r="S61" s="73">
        <v>0</v>
      </c>
      <c r="T61" s="71" t="s">
        <v>390</v>
      </c>
      <c r="U61" s="74">
        <v>2</v>
      </c>
      <c r="V61" s="71" t="s">
        <v>391</v>
      </c>
      <c r="W61" s="130">
        <v>46050.677777777775</v>
      </c>
      <c r="X61" s="72">
        <v>46054.996527777781</v>
      </c>
      <c r="Y61" s="72">
        <v>46056.524305555555</v>
      </c>
      <c r="Z61" s="104" t="s">
        <v>382</v>
      </c>
      <c r="AA61" s="104" t="s">
        <v>465</v>
      </c>
      <c r="AB61" s="105">
        <v>46055.269444444442</v>
      </c>
      <c r="AC61" s="105">
        <v>46055.456944444442</v>
      </c>
    </row>
    <row r="62" s="70" customFormat="1" ht="11.25" customHeight="1">
      <c r="A62" s="87"/>
      <c r="C62" s="43" t="s">
        <v>499</v>
      </c>
      <c r="D62" s="71" t="s">
        <v>382</v>
      </c>
      <c r="E62" s="71" t="str">
        <f>MID(D62,1,2)</f>
        <v>IL</v>
      </c>
      <c r="F62" s="71" t="s">
        <v>476</v>
      </c>
      <c r="G62" s="71" t="str">
        <f>MID(F62,1,2)</f>
        <v>SG</v>
      </c>
      <c r="H62" s="43" t="s">
        <v>477</v>
      </c>
      <c r="I62" s="71" t="s">
        <v>500</v>
      </c>
      <c r="J62" s="71" t="s">
        <v>400</v>
      </c>
      <c r="K62" s="43"/>
      <c r="L62" s="71" t="s">
        <v>105</v>
      </c>
      <c r="M62" s="73">
        <v>148</v>
      </c>
      <c r="N62" s="71" t="s">
        <v>388</v>
      </c>
      <c r="O62" s="73">
        <v>3.06</v>
      </c>
      <c r="P62" s="71" t="s">
        <v>389</v>
      </c>
      <c r="Q62" s="73">
        <v>510</v>
      </c>
      <c r="R62" s="71" t="s">
        <v>388</v>
      </c>
      <c r="S62" s="73">
        <v>0</v>
      </c>
      <c r="T62" s="71" t="s">
        <v>390</v>
      </c>
      <c r="U62" s="74">
        <v>2</v>
      </c>
      <c r="V62" s="71" t="s">
        <v>391</v>
      </c>
      <c r="W62" s="130">
        <v>46050.677777777775</v>
      </c>
      <c r="X62" s="72">
        <v>46054.996527777781</v>
      </c>
      <c r="Y62" s="72">
        <v>46056.524305555555</v>
      </c>
      <c r="Z62" s="104" t="s">
        <v>465</v>
      </c>
      <c r="AA62" s="104" t="s">
        <v>476</v>
      </c>
      <c r="AB62" s="105">
        <v>46055.977777777778</v>
      </c>
      <c r="AC62" s="105">
        <v>46056.493055555555</v>
      </c>
    </row>
    <row r="63" s="70" customFormat="1" ht="11.25" customHeight="1">
      <c r="A63" s="87"/>
      <c r="C63" s="43" t="s">
        <v>501</v>
      </c>
      <c r="D63" s="71" t="s">
        <v>382</v>
      </c>
      <c r="E63" s="71" t="str">
        <f>MID(D63,1,2)</f>
        <v>IL</v>
      </c>
      <c r="F63" s="71" t="s">
        <v>383</v>
      </c>
      <c r="G63" s="71" t="str">
        <f>MID(F63,1,2)</f>
        <v>DE</v>
      </c>
      <c r="H63" s="43" t="s">
        <v>502</v>
      </c>
      <c r="I63" s="71" t="s">
        <v>503</v>
      </c>
      <c r="J63" s="71" t="s">
        <v>435</v>
      </c>
      <c r="K63" s="43"/>
      <c r="L63" s="71" t="s">
        <v>105</v>
      </c>
      <c r="M63" s="73">
        <v>112</v>
      </c>
      <c r="N63" s="71" t="s">
        <v>388</v>
      </c>
      <c r="O63" s="73">
        <v>0.371</v>
      </c>
      <c r="P63" s="71" t="s">
        <v>389</v>
      </c>
      <c r="Q63" s="73">
        <v>112</v>
      </c>
      <c r="R63" s="71" t="s">
        <v>388</v>
      </c>
      <c r="S63" s="73">
        <v>0</v>
      </c>
      <c r="T63" s="71" t="s">
        <v>390</v>
      </c>
      <c r="U63" s="74">
        <v>1</v>
      </c>
      <c r="V63" s="71" t="s">
        <v>391</v>
      </c>
      <c r="W63" s="130">
        <v>46049.597916666666</v>
      </c>
      <c r="X63" s="72">
        <v>46054.253472222219</v>
      </c>
      <c r="Y63" s="72">
        <v>46059.3125</v>
      </c>
      <c r="Z63" s="104" t="s">
        <v>383</v>
      </c>
      <c r="AA63" s="104" t="s">
        <v>504</v>
      </c>
      <c r="AB63" s="105">
        <v>46058.870138888888</v>
      </c>
      <c r="AC63" s="105">
        <v>46059.333333333336</v>
      </c>
    </row>
    <row r="64" s="70" customFormat="1" ht="11.25" customHeight="1">
      <c r="A64" s="87"/>
      <c r="C64" s="43" t="s">
        <v>501</v>
      </c>
      <c r="D64" s="71" t="s">
        <v>382</v>
      </c>
      <c r="E64" s="71" t="str">
        <f>MID(D64,1,2)</f>
        <v>IL</v>
      </c>
      <c r="F64" s="71" t="s">
        <v>383</v>
      </c>
      <c r="G64" s="71" t="str">
        <f>MID(F64,1,2)</f>
        <v>DE</v>
      </c>
      <c r="H64" s="43" t="s">
        <v>502</v>
      </c>
      <c r="I64" s="71" t="s">
        <v>503</v>
      </c>
      <c r="J64" s="71" t="s">
        <v>435</v>
      </c>
      <c r="K64" s="43"/>
      <c r="L64" s="71" t="s">
        <v>105</v>
      </c>
      <c r="M64" s="73">
        <v>112</v>
      </c>
      <c r="N64" s="71" t="s">
        <v>388</v>
      </c>
      <c r="O64" s="73">
        <v>0.371</v>
      </c>
      <c r="P64" s="71" t="s">
        <v>389</v>
      </c>
      <c r="Q64" s="73">
        <v>112</v>
      </c>
      <c r="R64" s="71" t="s">
        <v>388</v>
      </c>
      <c r="S64" s="73">
        <v>0</v>
      </c>
      <c r="T64" s="71" t="s">
        <v>390</v>
      </c>
      <c r="U64" s="74">
        <v>1</v>
      </c>
      <c r="V64" s="71" t="s">
        <v>391</v>
      </c>
      <c r="W64" s="130">
        <v>46049.597916666666</v>
      </c>
      <c r="X64" s="72">
        <v>46054.253472222219</v>
      </c>
      <c r="Y64" s="72">
        <v>46059.3125</v>
      </c>
      <c r="Z64" s="104" t="s">
        <v>382</v>
      </c>
      <c r="AA64" s="104" t="s">
        <v>383</v>
      </c>
      <c r="AB64" s="105">
        <v>46054.279166666667</v>
      </c>
      <c r="AC64" s="105">
        <v>46054.420138888891</v>
      </c>
    </row>
    <row r="65" s="70" customFormat="1" ht="11.25" customHeight="1">
      <c r="A65" s="87"/>
      <c r="C65" s="43" t="s">
        <v>505</v>
      </c>
      <c r="D65" s="71" t="s">
        <v>382</v>
      </c>
      <c r="E65" s="71" t="str">
        <f>MID(D65,1,2)</f>
        <v>IL</v>
      </c>
      <c r="F65" s="71" t="s">
        <v>506</v>
      </c>
      <c r="G65" s="71" t="str">
        <f>MID(F65,1,2)</f>
        <v>CH</v>
      </c>
      <c r="H65" s="43" t="s">
        <v>507</v>
      </c>
      <c r="I65" s="71" t="s">
        <v>508</v>
      </c>
      <c r="J65" s="71" t="s">
        <v>386</v>
      </c>
      <c r="K65" s="43"/>
      <c r="L65" s="71" t="s">
        <v>107</v>
      </c>
      <c r="M65" s="73">
        <v>770</v>
      </c>
      <c r="N65" s="71" t="s">
        <v>388</v>
      </c>
      <c r="O65" s="73">
        <v>8.87</v>
      </c>
      <c r="P65" s="71" t="s">
        <v>389</v>
      </c>
      <c r="Q65" s="73">
        <v>1478.5</v>
      </c>
      <c r="R65" s="71" t="s">
        <v>388</v>
      </c>
      <c r="S65" s="73">
        <v>0</v>
      </c>
      <c r="T65" s="71" t="s">
        <v>390</v>
      </c>
      <c r="U65" s="74">
        <v>8</v>
      </c>
      <c r="V65" s="71" t="s">
        <v>391</v>
      </c>
      <c r="W65" s="130">
        <v>46054.752557870372</v>
      </c>
      <c r="X65" s="72">
        <v>46056.565972222219</v>
      </c>
      <c r="Y65" s="72">
        <v>46058.333333333336</v>
      </c>
      <c r="Z65" s="104" t="s">
        <v>382</v>
      </c>
      <c r="AA65" s="104" t="s">
        <v>383</v>
      </c>
      <c r="AB65" s="105">
        <v>46056.557638888888</v>
      </c>
      <c r="AC65" s="105">
        <v>46056.726388888892</v>
      </c>
    </row>
    <row r="66" s="70" customFormat="1" ht="11.25" customHeight="1">
      <c r="A66" s="87"/>
      <c r="C66" s="43" t="s">
        <v>505</v>
      </c>
      <c r="D66" s="71" t="s">
        <v>382</v>
      </c>
      <c r="E66" s="71" t="str">
        <f>MID(D66,1,2)</f>
        <v>IL</v>
      </c>
      <c r="F66" s="71" t="s">
        <v>506</v>
      </c>
      <c r="G66" s="71" t="str">
        <f>MID(F66,1,2)</f>
        <v>CH</v>
      </c>
      <c r="H66" s="43" t="s">
        <v>507</v>
      </c>
      <c r="I66" s="71" t="s">
        <v>508</v>
      </c>
      <c r="J66" s="71" t="s">
        <v>386</v>
      </c>
      <c r="K66" s="43"/>
      <c r="L66" s="71" t="s">
        <v>107</v>
      </c>
      <c r="M66" s="73">
        <v>770</v>
      </c>
      <c r="N66" s="71" t="s">
        <v>388</v>
      </c>
      <c r="O66" s="73">
        <v>8.87</v>
      </c>
      <c r="P66" s="71" t="s">
        <v>389</v>
      </c>
      <c r="Q66" s="73">
        <v>1478.5</v>
      </c>
      <c r="R66" s="71" t="s">
        <v>388</v>
      </c>
      <c r="S66" s="73">
        <v>0</v>
      </c>
      <c r="T66" s="71" t="s">
        <v>390</v>
      </c>
      <c r="U66" s="74">
        <v>8</v>
      </c>
      <c r="V66" s="71" t="s">
        <v>391</v>
      </c>
      <c r="W66" s="130">
        <v>46054.752557870372</v>
      </c>
      <c r="X66" s="72">
        <v>46056.565972222219</v>
      </c>
      <c r="Y66" s="72">
        <v>46058.333333333336</v>
      </c>
      <c r="Z66" s="104" t="s">
        <v>383</v>
      </c>
      <c r="AA66" s="104" t="s">
        <v>506</v>
      </c>
      <c r="AB66" s="105">
        <v>46058.125</v>
      </c>
      <c r="AC66" s="105">
        <v>46058.322916666664</v>
      </c>
    </row>
    <row r="67" s="70" customFormat="1" ht="11.25" customHeight="1">
      <c r="A67" s="87"/>
      <c r="C67" s="43" t="s">
        <v>509</v>
      </c>
      <c r="D67" s="71" t="s">
        <v>382</v>
      </c>
      <c r="E67" s="71" t="str">
        <f>MID(D67,1,2)</f>
        <v>IL</v>
      </c>
      <c r="F67" s="71" t="s">
        <v>510</v>
      </c>
      <c r="G67" s="71" t="str">
        <f>MID(F67,1,2)</f>
        <v>US</v>
      </c>
      <c r="H67" s="43" t="s">
        <v>511</v>
      </c>
      <c r="I67" s="71" t="s">
        <v>512</v>
      </c>
      <c r="J67" s="71" t="s">
        <v>400</v>
      </c>
      <c r="K67" s="43"/>
      <c r="L67" s="71" t="s">
        <v>105</v>
      </c>
      <c r="M67" s="73">
        <v>568</v>
      </c>
      <c r="N67" s="71" t="s">
        <v>388</v>
      </c>
      <c r="O67" s="73">
        <v>2.603</v>
      </c>
      <c r="P67" s="71" t="s">
        <v>389</v>
      </c>
      <c r="Q67" s="73">
        <v>568</v>
      </c>
      <c r="R67" s="71" t="s">
        <v>388</v>
      </c>
      <c r="S67" s="73">
        <v>0</v>
      </c>
      <c r="T67" s="71" t="s">
        <v>390</v>
      </c>
      <c r="U67" s="74">
        <v>1</v>
      </c>
      <c r="V67" s="71" t="s">
        <v>446</v>
      </c>
      <c r="W67" s="130">
        <v>46050.444444444445</v>
      </c>
      <c r="X67" s="72">
        <v>46055.368055555555</v>
      </c>
      <c r="Y67" s="72">
        <v>46062.708333333336</v>
      </c>
      <c r="Z67" s="104" t="s">
        <v>382</v>
      </c>
      <c r="AA67" s="104" t="s">
        <v>422</v>
      </c>
      <c r="AB67" s="105">
        <v>46055.960416666669</v>
      </c>
      <c r="AC67" s="105">
        <v>46056.154166666667</v>
      </c>
    </row>
    <row r="68" s="70" customFormat="1" ht="11.25" customHeight="1">
      <c r="A68" s="87"/>
      <c r="C68" s="43" t="s">
        <v>509</v>
      </c>
      <c r="D68" s="71" t="s">
        <v>382</v>
      </c>
      <c r="E68" s="71" t="str">
        <f>MID(D68,1,2)</f>
        <v>IL</v>
      </c>
      <c r="F68" s="71" t="s">
        <v>510</v>
      </c>
      <c r="G68" s="71" t="str">
        <f>MID(F68,1,2)</f>
        <v>US</v>
      </c>
      <c r="H68" s="43" t="s">
        <v>511</v>
      </c>
      <c r="I68" s="71" t="s">
        <v>512</v>
      </c>
      <c r="J68" s="71" t="s">
        <v>400</v>
      </c>
      <c r="K68" s="43"/>
      <c r="L68" s="71" t="s">
        <v>105</v>
      </c>
      <c r="M68" s="73">
        <v>568</v>
      </c>
      <c r="N68" s="71" t="s">
        <v>388</v>
      </c>
      <c r="O68" s="73">
        <v>2.603</v>
      </c>
      <c r="P68" s="71" t="s">
        <v>389</v>
      </c>
      <c r="Q68" s="73">
        <v>568</v>
      </c>
      <c r="R68" s="71" t="s">
        <v>388</v>
      </c>
      <c r="S68" s="73">
        <v>0</v>
      </c>
      <c r="T68" s="71" t="s">
        <v>390</v>
      </c>
      <c r="U68" s="74">
        <v>1</v>
      </c>
      <c r="V68" s="71" t="s">
        <v>446</v>
      </c>
      <c r="W68" s="130">
        <v>46050.444444444445</v>
      </c>
      <c r="X68" s="72">
        <v>46055.368055555555</v>
      </c>
      <c r="Y68" s="72">
        <v>46062.708333333336</v>
      </c>
      <c r="Z68" s="104" t="s">
        <v>422</v>
      </c>
      <c r="AA68" s="104" t="s">
        <v>510</v>
      </c>
      <c r="AB68" s="105">
        <v>46056.791666666664</v>
      </c>
      <c r="AC68" s="105">
        <v>46062.708333333336</v>
      </c>
    </row>
    <row r="69" s="70" customFormat="1" ht="11.25" customHeight="1">
      <c r="A69" s="87"/>
      <c r="C69" s="43" t="s">
        <v>513</v>
      </c>
      <c r="D69" s="71" t="s">
        <v>382</v>
      </c>
      <c r="E69" s="71" t="str">
        <f>MID(D69,1,2)</f>
        <v>IL</v>
      </c>
      <c r="F69" s="71" t="s">
        <v>514</v>
      </c>
      <c r="G69" s="71" t="str">
        <f>MID(F69,1,2)</f>
        <v>US</v>
      </c>
      <c r="H69" s="43" t="s">
        <v>515</v>
      </c>
      <c r="I69" s="71" t="s">
        <v>516</v>
      </c>
      <c r="J69" s="71" t="s">
        <v>386</v>
      </c>
      <c r="K69" s="43"/>
      <c r="L69" s="71" t="s">
        <v>107</v>
      </c>
      <c r="M69" s="73">
        <v>33</v>
      </c>
      <c r="N69" s="71" t="s">
        <v>388</v>
      </c>
      <c r="O69" s="73">
        <v>0.192</v>
      </c>
      <c r="P69" s="71" t="s">
        <v>389</v>
      </c>
      <c r="Q69" s="73">
        <v>100</v>
      </c>
      <c r="R69" s="71" t="s">
        <v>388</v>
      </c>
      <c r="S69" s="73">
        <v>0</v>
      </c>
      <c r="T69" s="71" t="s">
        <v>390</v>
      </c>
      <c r="U69" s="74">
        <v>1</v>
      </c>
      <c r="V69" s="71" t="s">
        <v>391</v>
      </c>
      <c r="W69" s="130">
        <v>46050.638888888891</v>
      </c>
      <c r="X69" s="72">
        <v>46063.479166666664</v>
      </c>
      <c r="Y69" s="72">
        <v>46065.90902777778</v>
      </c>
      <c r="Z69" s="104" t="s">
        <v>382</v>
      </c>
      <c r="AA69" s="104" t="s">
        <v>422</v>
      </c>
      <c r="AB69" s="105">
        <v>46063.475</v>
      </c>
      <c r="AC69" s="105">
        <v>46063.659722222219</v>
      </c>
    </row>
    <row r="70" s="70" customFormat="1" ht="11.25" customHeight="1">
      <c r="A70" s="87"/>
      <c r="C70" s="43" t="s">
        <v>513</v>
      </c>
      <c r="D70" s="71" t="s">
        <v>382</v>
      </c>
      <c r="E70" s="71" t="str">
        <f>MID(D70,1,2)</f>
        <v>IL</v>
      </c>
      <c r="F70" s="71" t="s">
        <v>514</v>
      </c>
      <c r="G70" s="71" t="str">
        <f>MID(F70,1,2)</f>
        <v>US</v>
      </c>
      <c r="H70" s="43" t="s">
        <v>515</v>
      </c>
      <c r="I70" s="71" t="s">
        <v>516</v>
      </c>
      <c r="J70" s="71" t="s">
        <v>386</v>
      </c>
      <c r="K70" s="43"/>
      <c r="L70" s="71" t="s">
        <v>107</v>
      </c>
      <c r="M70" s="73">
        <v>33</v>
      </c>
      <c r="N70" s="71" t="s">
        <v>388</v>
      </c>
      <c r="O70" s="73">
        <v>0.192</v>
      </c>
      <c r="P70" s="71" t="s">
        <v>389</v>
      </c>
      <c r="Q70" s="73">
        <v>100</v>
      </c>
      <c r="R70" s="71" t="s">
        <v>388</v>
      </c>
      <c r="S70" s="73">
        <v>0</v>
      </c>
      <c r="T70" s="71" t="s">
        <v>390</v>
      </c>
      <c r="U70" s="74">
        <v>1</v>
      </c>
      <c r="V70" s="71" t="s">
        <v>391</v>
      </c>
      <c r="W70" s="130">
        <v>46050.638888888891</v>
      </c>
      <c r="X70" s="72">
        <v>46063.479166666664</v>
      </c>
      <c r="Y70" s="72">
        <v>46065.90902777778</v>
      </c>
      <c r="Z70" s="104" t="s">
        <v>422</v>
      </c>
      <c r="AA70" s="104" t="s">
        <v>514</v>
      </c>
      <c r="AB70" s="105">
        <v>46065.736805555556</v>
      </c>
      <c r="AC70" s="105">
        <v>46065.859027777777</v>
      </c>
    </row>
    <row r="71" s="70" customFormat="1" ht="11.25" customHeight="1">
      <c r="A71" s="87"/>
      <c r="C71" s="43" t="s">
        <v>517</v>
      </c>
      <c r="D71" s="71" t="s">
        <v>382</v>
      </c>
      <c r="E71" s="71" t="str">
        <f>MID(D71,1,2)</f>
        <v>IL</v>
      </c>
      <c r="F71" s="71" t="s">
        <v>518</v>
      </c>
      <c r="G71" s="71" t="str">
        <f>MID(F71,1,2)</f>
        <v>US</v>
      </c>
      <c r="H71" s="43" t="s">
        <v>519</v>
      </c>
      <c r="I71" s="71" t="s">
        <v>520</v>
      </c>
      <c r="J71" s="71" t="s">
        <v>386</v>
      </c>
      <c r="K71" s="43"/>
      <c r="L71" s="71" t="s">
        <v>107</v>
      </c>
      <c r="M71" s="73">
        <v>2.6</v>
      </c>
      <c r="N71" s="71" t="s">
        <v>388</v>
      </c>
      <c r="O71" s="73">
        <v>0.03</v>
      </c>
      <c r="P71" s="71" t="s">
        <v>389</v>
      </c>
      <c r="Q71" s="73">
        <v>5</v>
      </c>
      <c r="R71" s="71" t="s">
        <v>388</v>
      </c>
      <c r="S71" s="73">
        <v>0</v>
      </c>
      <c r="T71" s="71" t="s">
        <v>390</v>
      </c>
      <c r="U71" s="74">
        <v>1</v>
      </c>
      <c r="V71" s="71" t="s">
        <v>391</v>
      </c>
      <c r="W71" s="130">
        <v>46056.787523148145</v>
      </c>
      <c r="X71" s="72">
        <v>46079.003472222219</v>
      </c>
      <c r="Y71" s="72">
        <v>46081.701388888891</v>
      </c>
      <c r="Z71" s="104" t="s">
        <v>382</v>
      </c>
      <c r="AA71" s="104" t="s">
        <v>383</v>
      </c>
      <c r="AB71" s="105">
        <v>46079.009722222225</v>
      </c>
      <c r="AC71" s="105"/>
    </row>
    <row r="72" s="70" customFormat="1" ht="11.25" customHeight="1">
      <c r="A72" s="87"/>
      <c r="C72" s="43" t="s">
        <v>517</v>
      </c>
      <c r="D72" s="71" t="s">
        <v>382</v>
      </c>
      <c r="E72" s="71" t="str">
        <f>MID(D72,1,2)</f>
        <v>IL</v>
      </c>
      <c r="F72" s="71" t="s">
        <v>518</v>
      </c>
      <c r="G72" s="71" t="str">
        <f>MID(F72,1,2)</f>
        <v>US</v>
      </c>
      <c r="H72" s="43" t="s">
        <v>519</v>
      </c>
      <c r="I72" s="71" t="s">
        <v>520</v>
      </c>
      <c r="J72" s="71" t="s">
        <v>386</v>
      </c>
      <c r="K72" s="43"/>
      <c r="L72" s="71" t="s">
        <v>107</v>
      </c>
      <c r="M72" s="73">
        <v>2.6</v>
      </c>
      <c r="N72" s="71" t="s">
        <v>388</v>
      </c>
      <c r="O72" s="73">
        <v>0.03</v>
      </c>
      <c r="P72" s="71" t="s">
        <v>389</v>
      </c>
      <c r="Q72" s="73">
        <v>5</v>
      </c>
      <c r="R72" s="71" t="s">
        <v>388</v>
      </c>
      <c r="S72" s="73">
        <v>0</v>
      </c>
      <c r="T72" s="71" t="s">
        <v>390</v>
      </c>
      <c r="U72" s="74">
        <v>1</v>
      </c>
      <c r="V72" s="71" t="s">
        <v>391</v>
      </c>
      <c r="W72" s="130">
        <v>46056.787523148145</v>
      </c>
      <c r="X72" s="72">
        <v>46079.003472222219</v>
      </c>
      <c r="Y72" s="72">
        <v>46081.701388888891</v>
      </c>
      <c r="Z72" s="104" t="s">
        <v>383</v>
      </c>
      <c r="AA72" s="104" t="s">
        <v>518</v>
      </c>
      <c r="AB72" s="105">
        <v>46081.645833333336</v>
      </c>
      <c r="AC72" s="105">
        <v>46081.702777777777</v>
      </c>
    </row>
    <row r="73" s="70" customFormat="1" ht="11.25" customHeight="1">
      <c r="A73" s="87"/>
      <c r="C73" s="43" t="s">
        <v>521</v>
      </c>
      <c r="D73" s="71" t="s">
        <v>382</v>
      </c>
      <c r="E73" s="71" t="str">
        <f>MID(D73,1,2)</f>
        <v>IL</v>
      </c>
      <c r="F73" s="71" t="s">
        <v>522</v>
      </c>
      <c r="G73" s="71" t="str">
        <f>MID(F73,1,2)</f>
        <v>CZ</v>
      </c>
      <c r="H73" s="43" t="s">
        <v>523</v>
      </c>
      <c r="I73" s="71" t="s">
        <v>524</v>
      </c>
      <c r="J73" s="71" t="s">
        <v>386</v>
      </c>
      <c r="K73" s="43"/>
      <c r="L73" s="71" t="s">
        <v>107</v>
      </c>
      <c r="M73" s="73">
        <v>61</v>
      </c>
      <c r="N73" s="71" t="s">
        <v>388</v>
      </c>
      <c r="O73" s="73">
        <v>1.219</v>
      </c>
      <c r="P73" s="71" t="s">
        <v>389</v>
      </c>
      <c r="Q73" s="73">
        <v>203.5</v>
      </c>
      <c r="R73" s="71" t="s">
        <v>388</v>
      </c>
      <c r="S73" s="73">
        <v>0</v>
      </c>
      <c r="T73" s="71" t="s">
        <v>390</v>
      </c>
      <c r="U73" s="74">
        <v>1</v>
      </c>
      <c r="V73" s="71" t="s">
        <v>391</v>
      </c>
      <c r="W73" s="130">
        <v>46078.614328703705</v>
      </c>
      <c r="X73" s="72">
        <v>46080.572916666664</v>
      </c>
      <c r="Y73" s="72">
        <v>46082.725694444445</v>
      </c>
      <c r="Z73" s="104" t="s">
        <v>382</v>
      </c>
      <c r="AA73" s="104" t="s">
        <v>383</v>
      </c>
      <c r="AB73" s="105">
        <v>46080.56527777778</v>
      </c>
      <c r="AC73" s="105">
        <v>46080.703472222223</v>
      </c>
    </row>
    <row r="74" s="70" customFormat="1" ht="11.25" customHeight="1">
      <c r="A74" s="87"/>
      <c r="C74" s="43" t="s">
        <v>525</v>
      </c>
      <c r="D74" s="71" t="s">
        <v>382</v>
      </c>
      <c r="E74" s="71" t="str">
        <f>MID(D74,1,2)</f>
        <v>IL</v>
      </c>
      <c r="F74" s="71" t="s">
        <v>526</v>
      </c>
      <c r="G74" s="71" t="str">
        <f>MID(F74,1,2)</f>
        <v>US</v>
      </c>
      <c r="H74" s="43" t="s">
        <v>527</v>
      </c>
      <c r="I74" s="71" t="s">
        <v>528</v>
      </c>
      <c r="J74" s="71" t="s">
        <v>386</v>
      </c>
      <c r="K74" s="43"/>
      <c r="L74" s="71" t="s">
        <v>107</v>
      </c>
      <c r="M74" s="73">
        <v>326</v>
      </c>
      <c r="N74" s="71" t="s">
        <v>388</v>
      </c>
      <c r="O74" s="73">
        <v>2.588</v>
      </c>
      <c r="P74" s="71" t="s">
        <v>389</v>
      </c>
      <c r="Q74" s="73">
        <v>431.5</v>
      </c>
      <c r="R74" s="71" t="s">
        <v>388</v>
      </c>
      <c r="S74" s="73">
        <v>0</v>
      </c>
      <c r="T74" s="71" t="s">
        <v>390</v>
      </c>
      <c r="U74" s="74">
        <v>1</v>
      </c>
      <c r="V74" s="71" t="s">
        <v>446</v>
      </c>
      <c r="W74" s="130">
        <v>46051.4375</v>
      </c>
      <c r="X74" s="72">
        <v>46054.42083333333</v>
      </c>
      <c r="Y74" s="72">
        <v>46057.333333333336</v>
      </c>
      <c r="Z74" s="104" t="s">
        <v>382</v>
      </c>
      <c r="AA74" s="104" t="s">
        <v>526</v>
      </c>
      <c r="AB74" s="105">
        <v>46054.03402777778</v>
      </c>
      <c r="AC74" s="105">
        <v>46055.227777777778</v>
      </c>
    </row>
    <row r="75" s="70" customFormat="1" ht="11.25" customHeight="1">
      <c r="A75" s="87"/>
      <c r="C75" s="43" t="s">
        <v>529</v>
      </c>
      <c r="D75" s="71" t="s">
        <v>382</v>
      </c>
      <c r="E75" s="71" t="str">
        <f>MID(D75,1,2)</f>
        <v>IL</v>
      </c>
      <c r="F75" s="71" t="s">
        <v>433</v>
      </c>
      <c r="G75" s="71" t="str">
        <f>MID(F75,1,2)</f>
        <v>US</v>
      </c>
      <c r="H75" s="43" t="s">
        <v>530</v>
      </c>
      <c r="I75" s="71"/>
      <c r="J75" s="71" t="s">
        <v>435</v>
      </c>
      <c r="K75" s="43"/>
      <c r="L75" s="71" t="s">
        <v>105</v>
      </c>
      <c r="M75" s="73">
        <v>4916</v>
      </c>
      <c r="N75" s="71" t="s">
        <v>388</v>
      </c>
      <c r="O75" s="73">
        <v>21</v>
      </c>
      <c r="P75" s="71" t="s">
        <v>389</v>
      </c>
      <c r="Q75" s="73">
        <v>4916</v>
      </c>
      <c r="R75" s="71" t="s">
        <v>388</v>
      </c>
      <c r="S75" s="73">
        <v>0</v>
      </c>
      <c r="T75" s="71" t="s">
        <v>390</v>
      </c>
      <c r="U75" s="74">
        <v>12</v>
      </c>
      <c r="V75" s="71" t="s">
        <v>391</v>
      </c>
      <c r="W75" s="130">
        <v>46071.511111111111</v>
      </c>
      <c r="X75" s="72">
        <v>46072.979166666664</v>
      </c>
      <c r="Y75" s="72">
        <v>46092.5</v>
      </c>
      <c r="Z75" s="104" t="s">
        <v>382</v>
      </c>
      <c r="AA75" s="104" t="s">
        <v>422</v>
      </c>
      <c r="AB75" s="105">
        <v>46080.960416666669</v>
      </c>
      <c r="AC75" s="105">
        <v>46081.152777777781</v>
      </c>
    </row>
    <row r="76" s="70" customFormat="1" ht="11.25" customHeight="1">
      <c r="A76" s="87"/>
      <c r="C76" s="43" t="s">
        <v>529</v>
      </c>
      <c r="D76" s="71" t="s">
        <v>382</v>
      </c>
      <c r="E76" s="71" t="str">
        <f>MID(D76,1,2)</f>
        <v>IL</v>
      </c>
      <c r="F76" s="71" t="s">
        <v>433</v>
      </c>
      <c r="G76" s="71" t="str">
        <f>MID(F76,1,2)</f>
        <v>US</v>
      </c>
      <c r="H76" s="43" t="s">
        <v>530</v>
      </c>
      <c r="I76" s="71"/>
      <c r="J76" s="71" t="s">
        <v>435</v>
      </c>
      <c r="K76" s="43"/>
      <c r="L76" s="71" t="s">
        <v>105</v>
      </c>
      <c r="M76" s="73">
        <v>4916</v>
      </c>
      <c r="N76" s="71" t="s">
        <v>388</v>
      </c>
      <c r="O76" s="73">
        <v>21</v>
      </c>
      <c r="P76" s="71" t="s">
        <v>389</v>
      </c>
      <c r="Q76" s="73">
        <v>4916</v>
      </c>
      <c r="R76" s="71" t="s">
        <v>388</v>
      </c>
      <c r="S76" s="73">
        <v>0</v>
      </c>
      <c r="T76" s="71" t="s">
        <v>390</v>
      </c>
      <c r="U76" s="74">
        <v>12</v>
      </c>
      <c r="V76" s="71" t="s">
        <v>391</v>
      </c>
      <c r="W76" s="130">
        <v>46071.511111111111</v>
      </c>
      <c r="X76" s="72">
        <v>46072.979166666664</v>
      </c>
      <c r="Y76" s="72">
        <v>46092.5</v>
      </c>
      <c r="Z76" s="104" t="s">
        <v>422</v>
      </c>
      <c r="AA76" s="104" t="s">
        <v>433</v>
      </c>
      <c r="AB76" s="105"/>
      <c r="AC76" s="105"/>
    </row>
    <row r="77" s="70" customFormat="1" ht="11.25" customHeight="1">
      <c r="A77" s="87"/>
      <c r="C77" s="43" t="s">
        <v>531</v>
      </c>
      <c r="D77" s="71" t="s">
        <v>382</v>
      </c>
      <c r="E77" s="71" t="str">
        <f>MID(D77,1,2)</f>
        <v>IL</v>
      </c>
      <c r="F77" s="71" t="s">
        <v>433</v>
      </c>
      <c r="G77" s="71" t="str">
        <f>MID(F77,1,2)</f>
        <v>US</v>
      </c>
      <c r="H77" s="43" t="s">
        <v>532</v>
      </c>
      <c r="I77" s="71"/>
      <c r="J77" s="71" t="s">
        <v>435</v>
      </c>
      <c r="K77" s="43"/>
      <c r="L77" s="71" t="s">
        <v>105</v>
      </c>
      <c r="M77" s="73">
        <v>3645</v>
      </c>
      <c r="N77" s="71" t="s">
        <v>388</v>
      </c>
      <c r="O77" s="73">
        <v>8.004</v>
      </c>
      <c r="P77" s="71" t="s">
        <v>389</v>
      </c>
      <c r="Q77" s="73">
        <v>3645</v>
      </c>
      <c r="R77" s="71" t="s">
        <v>388</v>
      </c>
      <c r="S77" s="73">
        <v>0</v>
      </c>
      <c r="T77" s="71" t="s">
        <v>390</v>
      </c>
      <c r="U77" s="74">
        <v>5</v>
      </c>
      <c r="V77" s="71" t="s">
        <v>391</v>
      </c>
      <c r="W77" s="130">
        <v>46077.493055555555</v>
      </c>
      <c r="X77" s="72">
        <v>46080.965277777781</v>
      </c>
      <c r="Y77" s="72">
        <v>46105.522916666669</v>
      </c>
      <c r="Z77" s="104" t="s">
        <v>382</v>
      </c>
      <c r="AA77" s="104" t="s">
        <v>408</v>
      </c>
      <c r="AB77" s="105">
        <v>46098.52847222222</v>
      </c>
      <c r="AC77" s="105"/>
    </row>
    <row r="78" s="70" customFormat="1" ht="11.25" customHeight="1">
      <c r="A78" s="87"/>
      <c r="C78" s="43" t="s">
        <v>531</v>
      </c>
      <c r="D78" s="71" t="s">
        <v>382</v>
      </c>
      <c r="E78" s="71" t="str">
        <f>MID(D78,1,2)</f>
        <v>IL</v>
      </c>
      <c r="F78" s="71" t="s">
        <v>433</v>
      </c>
      <c r="G78" s="71" t="str">
        <f>MID(F78,1,2)</f>
        <v>US</v>
      </c>
      <c r="H78" s="43" t="s">
        <v>532</v>
      </c>
      <c r="I78" s="71"/>
      <c r="J78" s="71" t="s">
        <v>435</v>
      </c>
      <c r="K78" s="43"/>
      <c r="L78" s="71" t="s">
        <v>105</v>
      </c>
      <c r="M78" s="73">
        <v>3645</v>
      </c>
      <c r="N78" s="71" t="s">
        <v>388</v>
      </c>
      <c r="O78" s="73">
        <v>8.004</v>
      </c>
      <c r="P78" s="71" t="s">
        <v>389</v>
      </c>
      <c r="Q78" s="73">
        <v>3645</v>
      </c>
      <c r="R78" s="71" t="s">
        <v>388</v>
      </c>
      <c r="S78" s="73">
        <v>0</v>
      </c>
      <c r="T78" s="71" t="s">
        <v>390</v>
      </c>
      <c r="U78" s="74">
        <v>5</v>
      </c>
      <c r="V78" s="71" t="s">
        <v>391</v>
      </c>
      <c r="W78" s="130">
        <v>46077.493055555555</v>
      </c>
      <c r="X78" s="72">
        <v>46080.965277777781</v>
      </c>
      <c r="Y78" s="72">
        <v>46105.522916666669</v>
      </c>
      <c r="Z78" s="104" t="s">
        <v>408</v>
      </c>
      <c r="AA78" s="104" t="s">
        <v>405</v>
      </c>
      <c r="AB78" s="105">
        <v>46102.511111111111</v>
      </c>
      <c r="AC78" s="105">
        <v>46102.6875</v>
      </c>
    </row>
    <row r="79" s="70" customFormat="1" ht="11.25" customHeight="1">
      <c r="A79" s="87"/>
      <c r="C79" s="43" t="s">
        <v>531</v>
      </c>
      <c r="D79" s="71" t="s">
        <v>382</v>
      </c>
      <c r="E79" s="71" t="str">
        <f>MID(D79,1,2)</f>
        <v>IL</v>
      </c>
      <c r="F79" s="71" t="s">
        <v>433</v>
      </c>
      <c r="G79" s="71" t="str">
        <f>MID(F79,1,2)</f>
        <v>US</v>
      </c>
      <c r="H79" s="43" t="s">
        <v>532</v>
      </c>
      <c r="I79" s="71"/>
      <c r="J79" s="71" t="s">
        <v>435</v>
      </c>
      <c r="K79" s="43"/>
      <c r="L79" s="71" t="s">
        <v>105</v>
      </c>
      <c r="M79" s="73">
        <v>3645</v>
      </c>
      <c r="N79" s="71" t="s">
        <v>388</v>
      </c>
      <c r="O79" s="73">
        <v>8.004</v>
      </c>
      <c r="P79" s="71" t="s">
        <v>389</v>
      </c>
      <c r="Q79" s="73">
        <v>3645</v>
      </c>
      <c r="R79" s="71" t="s">
        <v>388</v>
      </c>
      <c r="S79" s="73">
        <v>0</v>
      </c>
      <c r="T79" s="71" t="s">
        <v>390</v>
      </c>
      <c r="U79" s="74">
        <v>5</v>
      </c>
      <c r="V79" s="71" t="s">
        <v>391</v>
      </c>
      <c r="W79" s="130">
        <v>46077.493055555555</v>
      </c>
      <c r="X79" s="72">
        <v>46080.965277777781</v>
      </c>
      <c r="Y79" s="72">
        <v>46105.522916666669</v>
      </c>
      <c r="Z79" s="104" t="s">
        <v>405</v>
      </c>
      <c r="AA79" s="104" t="s">
        <v>433</v>
      </c>
      <c r="AB79" s="105"/>
      <c r="AC79" s="105"/>
    </row>
    <row r="80" s="70" customFormat="1" ht="11.25" customHeight="1">
      <c r="A80" s="87"/>
      <c r="C80" s="43" t="s">
        <v>533</v>
      </c>
      <c r="D80" s="71" t="s">
        <v>382</v>
      </c>
      <c r="E80" s="71" t="str">
        <f>MID(D80,1,2)</f>
        <v>IL</v>
      </c>
      <c r="F80" s="71" t="s">
        <v>443</v>
      </c>
      <c r="G80" s="71" t="str">
        <f>MID(F80,1,2)</f>
        <v>US</v>
      </c>
      <c r="H80" s="43" t="s">
        <v>534</v>
      </c>
      <c r="I80" s="71" t="s">
        <v>535</v>
      </c>
      <c r="J80" s="71" t="s">
        <v>386</v>
      </c>
      <c r="K80" s="43"/>
      <c r="L80" s="71" t="s">
        <v>107</v>
      </c>
      <c r="M80" s="73">
        <v>286</v>
      </c>
      <c r="N80" s="71" t="s">
        <v>388</v>
      </c>
      <c r="O80" s="73">
        <v>4.5</v>
      </c>
      <c r="P80" s="71" t="s">
        <v>389</v>
      </c>
      <c r="Q80" s="73">
        <v>750</v>
      </c>
      <c r="R80" s="71" t="s">
        <v>388</v>
      </c>
      <c r="S80" s="73">
        <v>0</v>
      </c>
      <c r="T80" s="71" t="s">
        <v>390</v>
      </c>
      <c r="U80" s="74">
        <v>5</v>
      </c>
      <c r="V80" s="71" t="s">
        <v>536</v>
      </c>
      <c r="W80" s="130">
        <v>46050.459027777775</v>
      </c>
      <c r="X80" s="72">
        <v>46054.466666666667</v>
      </c>
      <c r="Y80" s="72">
        <v>46055.877083333333</v>
      </c>
      <c r="Z80" s="104" t="s">
        <v>382</v>
      </c>
      <c r="AA80" s="104" t="s">
        <v>422</v>
      </c>
      <c r="AB80" s="105">
        <v>46054.530555555553</v>
      </c>
      <c r="AC80" s="105">
        <v>46055.145833333336</v>
      </c>
    </row>
    <row r="81" s="70" customFormat="1" ht="11.25" customHeight="1">
      <c r="A81" s="87"/>
      <c r="C81" s="43" t="s">
        <v>533</v>
      </c>
      <c r="D81" s="71" t="s">
        <v>382</v>
      </c>
      <c r="E81" s="71" t="str">
        <f>MID(D81,1,2)</f>
        <v>IL</v>
      </c>
      <c r="F81" s="71" t="s">
        <v>443</v>
      </c>
      <c r="G81" s="71" t="str">
        <f>MID(F81,1,2)</f>
        <v>US</v>
      </c>
      <c r="H81" s="43" t="s">
        <v>534</v>
      </c>
      <c r="I81" s="71" t="s">
        <v>535</v>
      </c>
      <c r="J81" s="71" t="s">
        <v>386</v>
      </c>
      <c r="K81" s="43"/>
      <c r="L81" s="71" t="s">
        <v>107</v>
      </c>
      <c r="M81" s="73">
        <v>286</v>
      </c>
      <c r="N81" s="71" t="s">
        <v>388</v>
      </c>
      <c r="O81" s="73">
        <v>4.5</v>
      </c>
      <c r="P81" s="71" t="s">
        <v>389</v>
      </c>
      <c r="Q81" s="73">
        <v>750</v>
      </c>
      <c r="R81" s="71" t="s">
        <v>388</v>
      </c>
      <c r="S81" s="73">
        <v>0</v>
      </c>
      <c r="T81" s="71" t="s">
        <v>390</v>
      </c>
      <c r="U81" s="74">
        <v>5</v>
      </c>
      <c r="V81" s="71" t="s">
        <v>536</v>
      </c>
      <c r="W81" s="130">
        <v>46050.459027777775</v>
      </c>
      <c r="X81" s="72">
        <v>46054.466666666667</v>
      </c>
      <c r="Y81" s="72">
        <v>46055.877083333333</v>
      </c>
      <c r="Z81" s="104" t="s">
        <v>422</v>
      </c>
      <c r="AA81" s="104" t="s">
        <v>443</v>
      </c>
      <c r="AB81" s="105">
        <v>46055.949305555558</v>
      </c>
      <c r="AC81" s="105">
        <v>46056.06875</v>
      </c>
    </row>
    <row r="82" s="70" customFormat="1" ht="11.25" customHeight="1">
      <c r="A82" s="87"/>
      <c r="C82" s="43" t="s">
        <v>537</v>
      </c>
      <c r="D82" s="71" t="s">
        <v>382</v>
      </c>
      <c r="E82" s="71" t="str">
        <f>MID(D82,1,2)</f>
        <v>IL</v>
      </c>
      <c r="F82" s="71" t="s">
        <v>443</v>
      </c>
      <c r="G82" s="71" t="str">
        <f>MID(F82,1,2)</f>
        <v>US</v>
      </c>
      <c r="H82" s="43" t="s">
        <v>534</v>
      </c>
      <c r="I82" s="71" t="s">
        <v>538</v>
      </c>
      <c r="J82" s="71" t="s">
        <v>386</v>
      </c>
      <c r="K82" s="43"/>
      <c r="L82" s="71" t="s">
        <v>107</v>
      </c>
      <c r="M82" s="73">
        <v>132</v>
      </c>
      <c r="N82" s="71" t="s">
        <v>388</v>
      </c>
      <c r="O82" s="73">
        <v>1.8</v>
      </c>
      <c r="P82" s="71" t="s">
        <v>389</v>
      </c>
      <c r="Q82" s="73">
        <v>300</v>
      </c>
      <c r="R82" s="71" t="s">
        <v>388</v>
      </c>
      <c r="S82" s="73">
        <v>0</v>
      </c>
      <c r="T82" s="71" t="s">
        <v>390</v>
      </c>
      <c r="U82" s="74">
        <v>2</v>
      </c>
      <c r="V82" s="71" t="s">
        <v>536</v>
      </c>
      <c r="W82" s="130">
        <v>46050.465277777781</v>
      </c>
      <c r="X82" s="72">
        <v>46054.466666666667</v>
      </c>
      <c r="Y82" s="72">
        <v>46055.877083333333</v>
      </c>
      <c r="Z82" s="104" t="s">
        <v>382</v>
      </c>
      <c r="AA82" s="104" t="s">
        <v>422</v>
      </c>
      <c r="AB82" s="105">
        <v>46054.530555555553</v>
      </c>
      <c r="AC82" s="105">
        <v>46055.145833333336</v>
      </c>
    </row>
    <row r="83" s="70" customFormat="1" ht="11.25" customHeight="1">
      <c r="A83" s="87"/>
      <c r="C83" s="43" t="s">
        <v>537</v>
      </c>
      <c r="D83" s="71" t="s">
        <v>382</v>
      </c>
      <c r="E83" s="71" t="str">
        <f>MID(D83,1,2)</f>
        <v>IL</v>
      </c>
      <c r="F83" s="71" t="s">
        <v>443</v>
      </c>
      <c r="G83" s="71" t="str">
        <f>MID(F83,1,2)</f>
        <v>US</v>
      </c>
      <c r="H83" s="43" t="s">
        <v>534</v>
      </c>
      <c r="I83" s="71" t="s">
        <v>538</v>
      </c>
      <c r="J83" s="71" t="s">
        <v>386</v>
      </c>
      <c r="K83" s="43"/>
      <c r="L83" s="71" t="s">
        <v>107</v>
      </c>
      <c r="M83" s="73">
        <v>132</v>
      </c>
      <c r="N83" s="71" t="s">
        <v>388</v>
      </c>
      <c r="O83" s="73">
        <v>1.8</v>
      </c>
      <c r="P83" s="71" t="s">
        <v>389</v>
      </c>
      <c r="Q83" s="73">
        <v>300</v>
      </c>
      <c r="R83" s="71" t="s">
        <v>388</v>
      </c>
      <c r="S83" s="73">
        <v>0</v>
      </c>
      <c r="T83" s="71" t="s">
        <v>390</v>
      </c>
      <c r="U83" s="74">
        <v>2</v>
      </c>
      <c r="V83" s="71" t="s">
        <v>536</v>
      </c>
      <c r="W83" s="130">
        <v>46050.465277777781</v>
      </c>
      <c r="X83" s="72">
        <v>46054.466666666667</v>
      </c>
      <c r="Y83" s="72">
        <v>46055.877083333333</v>
      </c>
      <c r="Z83" s="104" t="s">
        <v>422</v>
      </c>
      <c r="AA83" s="104" t="s">
        <v>443</v>
      </c>
      <c r="AB83" s="105">
        <v>46055.949305555558</v>
      </c>
      <c r="AC83" s="105">
        <v>46056.06875</v>
      </c>
    </row>
    <row r="84" s="70" customFormat="1" ht="11.25" customHeight="1">
      <c r="A84" s="87"/>
      <c r="C84" s="43" t="s">
        <v>539</v>
      </c>
      <c r="D84" s="71" t="s">
        <v>382</v>
      </c>
      <c r="E84" s="71" t="str">
        <f>MID(D84,1,2)</f>
        <v>IL</v>
      </c>
      <c r="F84" s="71" t="s">
        <v>443</v>
      </c>
      <c r="G84" s="71" t="str">
        <f>MID(F84,1,2)</f>
        <v>US</v>
      </c>
      <c r="H84" s="43" t="s">
        <v>489</v>
      </c>
      <c r="I84" s="71" t="s">
        <v>540</v>
      </c>
      <c r="J84" s="71" t="s">
        <v>386</v>
      </c>
      <c r="K84" s="43"/>
      <c r="L84" s="71" t="s">
        <v>107</v>
      </c>
      <c r="M84" s="73">
        <v>82</v>
      </c>
      <c r="N84" s="71" t="s">
        <v>388</v>
      </c>
      <c r="O84" s="73">
        <v>0.95</v>
      </c>
      <c r="P84" s="71" t="s">
        <v>389</v>
      </c>
      <c r="Q84" s="73">
        <v>158.5</v>
      </c>
      <c r="R84" s="71" t="s">
        <v>388</v>
      </c>
      <c r="S84" s="73">
        <v>0</v>
      </c>
      <c r="T84" s="71" t="s">
        <v>390</v>
      </c>
      <c r="U84" s="74">
        <v>1</v>
      </c>
      <c r="V84" s="71" t="s">
        <v>446</v>
      </c>
      <c r="W84" s="130">
        <v>46051.375</v>
      </c>
      <c r="X84" s="72">
        <v>46054.479166666664</v>
      </c>
      <c r="Y84" s="72">
        <v>46057.333333333336</v>
      </c>
      <c r="Z84" s="104" t="s">
        <v>382</v>
      </c>
      <c r="AA84" s="104" t="s">
        <v>422</v>
      </c>
      <c r="AB84" s="105">
        <v>46054.530555555553</v>
      </c>
      <c r="AC84" s="105">
        <v>46054.714583333334</v>
      </c>
    </row>
    <row r="85" s="70" customFormat="1" ht="11.25" customHeight="1">
      <c r="A85" s="87"/>
      <c r="C85" s="43" t="s">
        <v>539</v>
      </c>
      <c r="D85" s="71" t="s">
        <v>382</v>
      </c>
      <c r="E85" s="71" t="str">
        <f>MID(D85,1,2)</f>
        <v>IL</v>
      </c>
      <c r="F85" s="71" t="s">
        <v>443</v>
      </c>
      <c r="G85" s="71" t="str">
        <f>MID(F85,1,2)</f>
        <v>US</v>
      </c>
      <c r="H85" s="43" t="s">
        <v>489</v>
      </c>
      <c r="I85" s="71" t="s">
        <v>540</v>
      </c>
      <c r="J85" s="71" t="s">
        <v>386</v>
      </c>
      <c r="K85" s="43"/>
      <c r="L85" s="71" t="s">
        <v>107</v>
      </c>
      <c r="M85" s="73">
        <v>82</v>
      </c>
      <c r="N85" s="71" t="s">
        <v>388</v>
      </c>
      <c r="O85" s="73">
        <v>0.95</v>
      </c>
      <c r="P85" s="71" t="s">
        <v>389</v>
      </c>
      <c r="Q85" s="73">
        <v>158.5</v>
      </c>
      <c r="R85" s="71" t="s">
        <v>388</v>
      </c>
      <c r="S85" s="73">
        <v>0</v>
      </c>
      <c r="T85" s="71" t="s">
        <v>390</v>
      </c>
      <c r="U85" s="74">
        <v>1</v>
      </c>
      <c r="V85" s="71" t="s">
        <v>446</v>
      </c>
      <c r="W85" s="130">
        <v>46051.375</v>
      </c>
      <c r="X85" s="72">
        <v>46054.479166666664</v>
      </c>
      <c r="Y85" s="72">
        <v>46057.333333333336</v>
      </c>
      <c r="Z85" s="104" t="s">
        <v>422</v>
      </c>
      <c r="AA85" s="104" t="s">
        <v>443</v>
      </c>
      <c r="AB85" s="105">
        <v>46055.29583333333</v>
      </c>
      <c r="AC85" s="105">
        <v>46055.423611111109</v>
      </c>
    </row>
    <row r="86" s="70" customFormat="1" ht="11.25" customHeight="1">
      <c r="A86" s="87"/>
      <c r="C86" s="43" t="s">
        <v>541</v>
      </c>
      <c r="D86" s="71" t="s">
        <v>382</v>
      </c>
      <c r="E86" s="71" t="str">
        <f>MID(D86,1,2)</f>
        <v>IL</v>
      </c>
      <c r="F86" s="71" t="s">
        <v>542</v>
      </c>
      <c r="G86" s="71" t="str">
        <f>MID(F86,1,2)</f>
        <v>US</v>
      </c>
      <c r="H86" s="43" t="s">
        <v>543</v>
      </c>
      <c r="I86" s="71" t="s">
        <v>544</v>
      </c>
      <c r="J86" s="71" t="s">
        <v>386</v>
      </c>
      <c r="K86" s="43"/>
      <c r="L86" s="71" t="s">
        <v>107</v>
      </c>
      <c r="M86" s="73">
        <v>106</v>
      </c>
      <c r="N86" s="71" t="s">
        <v>388</v>
      </c>
      <c r="O86" s="73">
        <v>1.005</v>
      </c>
      <c r="P86" s="71" t="s">
        <v>389</v>
      </c>
      <c r="Q86" s="73">
        <v>168</v>
      </c>
      <c r="R86" s="71" t="s">
        <v>388</v>
      </c>
      <c r="S86" s="73">
        <v>0</v>
      </c>
      <c r="T86" s="71" t="s">
        <v>390</v>
      </c>
      <c r="U86" s="74">
        <v>1</v>
      </c>
      <c r="V86" s="71" t="s">
        <v>391</v>
      </c>
      <c r="W86" s="130">
        <v>46051.51458333333</v>
      </c>
      <c r="X86" s="72">
        <v>46054.965277777781</v>
      </c>
      <c r="Y86" s="72">
        <v>46057.333333333336</v>
      </c>
      <c r="Z86" s="104" t="s">
        <v>382</v>
      </c>
      <c r="AA86" s="104" t="s">
        <v>422</v>
      </c>
      <c r="AB86" s="105">
        <v>46054.963888888888</v>
      </c>
      <c r="AC86" s="105">
        <v>46055.145833333336</v>
      </c>
    </row>
    <row r="87" s="70" customFormat="1" ht="11.25" customHeight="1">
      <c r="A87" s="87"/>
      <c r="C87" s="43" t="s">
        <v>541</v>
      </c>
      <c r="D87" s="71" t="s">
        <v>382</v>
      </c>
      <c r="E87" s="71" t="str">
        <f>MID(D87,1,2)</f>
        <v>IL</v>
      </c>
      <c r="F87" s="71" t="s">
        <v>542</v>
      </c>
      <c r="G87" s="71" t="str">
        <f>MID(F87,1,2)</f>
        <v>US</v>
      </c>
      <c r="H87" s="43" t="s">
        <v>543</v>
      </c>
      <c r="I87" s="71" t="s">
        <v>544</v>
      </c>
      <c r="J87" s="71" t="s">
        <v>386</v>
      </c>
      <c r="K87" s="43"/>
      <c r="L87" s="71" t="s">
        <v>107</v>
      </c>
      <c r="M87" s="73">
        <v>106</v>
      </c>
      <c r="N87" s="71" t="s">
        <v>388</v>
      </c>
      <c r="O87" s="73">
        <v>1.005</v>
      </c>
      <c r="P87" s="71" t="s">
        <v>389</v>
      </c>
      <c r="Q87" s="73">
        <v>168</v>
      </c>
      <c r="R87" s="71" t="s">
        <v>388</v>
      </c>
      <c r="S87" s="73">
        <v>0</v>
      </c>
      <c r="T87" s="71" t="s">
        <v>390</v>
      </c>
      <c r="U87" s="74">
        <v>1</v>
      </c>
      <c r="V87" s="71" t="s">
        <v>391</v>
      </c>
      <c r="W87" s="130">
        <v>46051.51458333333</v>
      </c>
      <c r="X87" s="72">
        <v>46054.965277777781</v>
      </c>
      <c r="Y87" s="72">
        <v>46057.333333333336</v>
      </c>
      <c r="Z87" s="104" t="s">
        <v>422</v>
      </c>
      <c r="AA87" s="104" t="s">
        <v>471</v>
      </c>
      <c r="AB87" s="105">
        <v>46055.811805555553</v>
      </c>
      <c r="AC87" s="105">
        <v>46055.86041666667</v>
      </c>
    </row>
    <row r="88" s="70" customFormat="1" ht="11.25" customHeight="1">
      <c r="A88" s="87"/>
      <c r="C88" s="43" t="s">
        <v>541</v>
      </c>
      <c r="D88" s="71" t="s">
        <v>382</v>
      </c>
      <c r="E88" s="71" t="str">
        <f>MID(D88,1,2)</f>
        <v>IL</v>
      </c>
      <c r="F88" s="71" t="s">
        <v>542</v>
      </c>
      <c r="G88" s="71" t="str">
        <f>MID(F88,1,2)</f>
        <v>US</v>
      </c>
      <c r="H88" s="43" t="s">
        <v>543</v>
      </c>
      <c r="I88" s="71" t="s">
        <v>544</v>
      </c>
      <c r="J88" s="71" t="s">
        <v>386</v>
      </c>
      <c r="K88" s="43"/>
      <c r="L88" s="71" t="s">
        <v>107</v>
      </c>
      <c r="M88" s="73">
        <v>106</v>
      </c>
      <c r="N88" s="71" t="s">
        <v>388</v>
      </c>
      <c r="O88" s="73">
        <v>1.005</v>
      </c>
      <c r="P88" s="71" t="s">
        <v>389</v>
      </c>
      <c r="Q88" s="73">
        <v>168</v>
      </c>
      <c r="R88" s="71" t="s">
        <v>388</v>
      </c>
      <c r="S88" s="73">
        <v>0</v>
      </c>
      <c r="T88" s="71" t="s">
        <v>390</v>
      </c>
      <c r="U88" s="74">
        <v>1</v>
      </c>
      <c r="V88" s="71" t="s">
        <v>391</v>
      </c>
      <c r="W88" s="130">
        <v>46051.51458333333</v>
      </c>
      <c r="X88" s="72">
        <v>46054.965277777781</v>
      </c>
      <c r="Y88" s="72">
        <v>46057.333333333336</v>
      </c>
      <c r="Z88" s="104" t="s">
        <v>471</v>
      </c>
      <c r="AA88" s="104" t="s">
        <v>542</v>
      </c>
      <c r="AB88" s="105">
        <v>46056.303472222222</v>
      </c>
      <c r="AC88" s="105">
        <v>46056.484027777777</v>
      </c>
    </row>
    <row r="89" s="70" customFormat="1" ht="11.25" customHeight="1">
      <c r="A89" s="87"/>
      <c r="C89" s="43" t="s">
        <v>545</v>
      </c>
      <c r="D89" s="71" t="s">
        <v>382</v>
      </c>
      <c r="E89" s="71" t="str">
        <f>MID(D89,1,2)</f>
        <v>IL</v>
      </c>
      <c r="F89" s="71" t="s">
        <v>546</v>
      </c>
      <c r="G89" s="71" t="str">
        <f>MID(F89,1,2)</f>
        <v>GB</v>
      </c>
      <c r="H89" s="43" t="s">
        <v>547</v>
      </c>
      <c r="I89" s="71" t="s">
        <v>548</v>
      </c>
      <c r="J89" s="71" t="s">
        <v>454</v>
      </c>
      <c r="K89" s="43"/>
      <c r="L89" s="71" t="s">
        <v>107</v>
      </c>
      <c r="M89" s="73">
        <v>60</v>
      </c>
      <c r="N89" s="71" t="s">
        <v>388</v>
      </c>
      <c r="O89" s="73">
        <v>0.756</v>
      </c>
      <c r="P89" s="71" t="s">
        <v>389</v>
      </c>
      <c r="Q89" s="73">
        <v>126</v>
      </c>
      <c r="R89" s="71" t="s">
        <v>388</v>
      </c>
      <c r="S89" s="73">
        <v>2</v>
      </c>
      <c r="T89" s="71" t="s">
        <v>390</v>
      </c>
      <c r="U89" s="74">
        <v>1</v>
      </c>
      <c r="V89" s="71" t="s">
        <v>391</v>
      </c>
      <c r="W89" s="130">
        <v>46050.49375</v>
      </c>
      <c r="X89" s="72">
        <v>46055.381944444445</v>
      </c>
      <c r="Y89" s="72">
        <v>46055.524305555555</v>
      </c>
      <c r="Z89" s="104" t="s">
        <v>382</v>
      </c>
      <c r="AA89" s="104" t="s">
        <v>546</v>
      </c>
      <c r="AB89" s="105">
        <v>46055.380555555559</v>
      </c>
      <c r="AC89" s="105">
        <v>46055.524305555555</v>
      </c>
    </row>
    <row r="90" s="70" customFormat="1" ht="11.25" customHeight="1">
      <c r="A90" s="87"/>
      <c r="C90" s="43" t="s">
        <v>549</v>
      </c>
      <c r="D90" s="71" t="s">
        <v>382</v>
      </c>
      <c r="E90" s="71" t="str">
        <f>MID(D90,1,2)</f>
        <v>IL</v>
      </c>
      <c r="F90" s="71" t="s">
        <v>550</v>
      </c>
      <c r="G90" s="71" t="str">
        <f>MID(F90,1,2)</f>
        <v>UA</v>
      </c>
      <c r="H90" s="43" t="s">
        <v>492</v>
      </c>
      <c r="I90" s="71" t="s">
        <v>551</v>
      </c>
      <c r="J90" s="71" t="s">
        <v>386</v>
      </c>
      <c r="K90" s="43"/>
      <c r="L90" s="71" t="s">
        <v>107</v>
      </c>
      <c r="M90" s="73">
        <v>97</v>
      </c>
      <c r="N90" s="71" t="s">
        <v>388</v>
      </c>
      <c r="O90" s="73">
        <v>0.631</v>
      </c>
      <c r="P90" s="71" t="s">
        <v>389</v>
      </c>
      <c r="Q90" s="73">
        <v>105.5</v>
      </c>
      <c r="R90" s="71" t="s">
        <v>388</v>
      </c>
      <c r="S90" s="73">
        <v>0</v>
      </c>
      <c r="T90" s="71" t="s">
        <v>390</v>
      </c>
      <c r="U90" s="74">
        <v>4</v>
      </c>
      <c r="V90" s="71" t="s">
        <v>391</v>
      </c>
      <c r="W90" s="130"/>
      <c r="X90" s="72">
        <v>46057.208333333336</v>
      </c>
      <c r="Y90" s="72">
        <v>46060.5</v>
      </c>
      <c r="Z90" s="104" t="s">
        <v>383</v>
      </c>
      <c r="AA90" s="104" t="s">
        <v>552</v>
      </c>
      <c r="AB90" s="105">
        <v>46063.906944444447</v>
      </c>
      <c r="AC90" s="105">
        <v>46065.584027777775</v>
      </c>
    </row>
    <row r="91" s="70" customFormat="1" ht="11.25" customHeight="1">
      <c r="A91" s="87"/>
      <c r="C91" s="43" t="s">
        <v>549</v>
      </c>
      <c r="D91" s="71" t="s">
        <v>382</v>
      </c>
      <c r="E91" s="71" t="str">
        <f>MID(D91,1,2)</f>
        <v>IL</v>
      </c>
      <c r="F91" s="71" t="s">
        <v>550</v>
      </c>
      <c r="G91" s="71" t="str">
        <f>MID(F91,1,2)</f>
        <v>UA</v>
      </c>
      <c r="H91" s="43" t="s">
        <v>492</v>
      </c>
      <c r="I91" s="71" t="s">
        <v>551</v>
      </c>
      <c r="J91" s="71" t="s">
        <v>386</v>
      </c>
      <c r="K91" s="43"/>
      <c r="L91" s="71" t="s">
        <v>107</v>
      </c>
      <c r="M91" s="73">
        <v>97</v>
      </c>
      <c r="N91" s="71" t="s">
        <v>388</v>
      </c>
      <c r="O91" s="73">
        <v>0.631</v>
      </c>
      <c r="P91" s="71" t="s">
        <v>389</v>
      </c>
      <c r="Q91" s="73">
        <v>105.5</v>
      </c>
      <c r="R91" s="71" t="s">
        <v>388</v>
      </c>
      <c r="S91" s="73">
        <v>0</v>
      </c>
      <c r="T91" s="71" t="s">
        <v>390</v>
      </c>
      <c r="U91" s="74">
        <v>4</v>
      </c>
      <c r="V91" s="71" t="s">
        <v>391</v>
      </c>
      <c r="W91" s="130"/>
      <c r="X91" s="72">
        <v>46057.208333333336</v>
      </c>
      <c r="Y91" s="72">
        <v>46060.5</v>
      </c>
      <c r="Z91" s="104" t="s">
        <v>382</v>
      </c>
      <c r="AA91" s="104" t="s">
        <v>466</v>
      </c>
      <c r="AB91" s="105">
        <v>46057.976388888892</v>
      </c>
      <c r="AC91" s="105"/>
    </row>
    <row r="92" s="70" customFormat="1" ht="11.25" customHeight="1">
      <c r="A92" s="87"/>
      <c r="C92" s="43" t="s">
        <v>549</v>
      </c>
      <c r="D92" s="71" t="s">
        <v>382</v>
      </c>
      <c r="E92" s="71" t="str">
        <f>MID(D92,1,2)</f>
        <v>IL</v>
      </c>
      <c r="F92" s="71" t="s">
        <v>550</v>
      </c>
      <c r="G92" s="71" t="str">
        <f>MID(F92,1,2)</f>
        <v>UA</v>
      </c>
      <c r="H92" s="43" t="s">
        <v>492</v>
      </c>
      <c r="I92" s="71" t="s">
        <v>551</v>
      </c>
      <c r="J92" s="71" t="s">
        <v>386</v>
      </c>
      <c r="K92" s="43"/>
      <c r="L92" s="71" t="s">
        <v>107</v>
      </c>
      <c r="M92" s="73">
        <v>97</v>
      </c>
      <c r="N92" s="71" t="s">
        <v>388</v>
      </c>
      <c r="O92" s="73">
        <v>0.631</v>
      </c>
      <c r="P92" s="71" t="s">
        <v>389</v>
      </c>
      <c r="Q92" s="73">
        <v>105.5</v>
      </c>
      <c r="R92" s="71" t="s">
        <v>388</v>
      </c>
      <c r="S92" s="73">
        <v>0</v>
      </c>
      <c r="T92" s="71" t="s">
        <v>390</v>
      </c>
      <c r="U92" s="74">
        <v>4</v>
      </c>
      <c r="V92" s="71" t="s">
        <v>391</v>
      </c>
      <c r="W92" s="130"/>
      <c r="X92" s="72">
        <v>46057.208333333336</v>
      </c>
      <c r="Y92" s="72">
        <v>46060.5</v>
      </c>
      <c r="Z92" s="104" t="s">
        <v>466</v>
      </c>
      <c r="AA92" s="104" t="s">
        <v>383</v>
      </c>
      <c r="AB92" s="105">
        <v>46058.986111111109</v>
      </c>
      <c r="AC92" s="105"/>
    </row>
    <row r="93" s="70" customFormat="1" ht="11.25" customHeight="1">
      <c r="A93" s="87"/>
      <c r="C93" s="43" t="s">
        <v>553</v>
      </c>
      <c r="D93" s="71" t="s">
        <v>382</v>
      </c>
      <c r="E93" s="71" t="str">
        <f>MID(D93,1,2)</f>
        <v>IL</v>
      </c>
      <c r="F93" s="71" t="s">
        <v>522</v>
      </c>
      <c r="G93" s="71" t="str">
        <f>MID(F93,1,2)</f>
        <v>CZ</v>
      </c>
      <c r="H93" s="43" t="s">
        <v>554</v>
      </c>
      <c r="I93" s="71" t="s">
        <v>555</v>
      </c>
      <c r="J93" s="71" t="s">
        <v>386</v>
      </c>
      <c r="K93" s="43"/>
      <c r="L93" s="71" t="s">
        <v>107</v>
      </c>
      <c r="M93" s="73">
        <v>3</v>
      </c>
      <c r="N93" s="71" t="s">
        <v>388</v>
      </c>
      <c r="O93" s="73">
        <v>0.012</v>
      </c>
      <c r="P93" s="71" t="s">
        <v>389</v>
      </c>
      <c r="Q93" s="73">
        <v>3</v>
      </c>
      <c r="R93" s="71" t="s">
        <v>388</v>
      </c>
      <c r="S93" s="73">
        <v>0</v>
      </c>
      <c r="T93" s="71" t="s">
        <v>390</v>
      </c>
      <c r="U93" s="74">
        <v>1</v>
      </c>
      <c r="V93" s="71" t="s">
        <v>391</v>
      </c>
      <c r="W93" s="130">
        <v>46050.507638888892</v>
      </c>
      <c r="X93" s="72">
        <v>46054.013888888891</v>
      </c>
      <c r="Y93" s="72">
        <v>46055.361111111109</v>
      </c>
      <c r="Z93" s="104" t="s">
        <v>382</v>
      </c>
      <c r="AA93" s="104" t="s">
        <v>496</v>
      </c>
      <c r="AB93" s="105">
        <v>46054.015277777777</v>
      </c>
      <c r="AC93" s="105"/>
    </row>
    <row r="94" s="70" customFormat="1" ht="11.25" customHeight="1">
      <c r="A94" s="87"/>
      <c r="C94" s="43" t="s">
        <v>553</v>
      </c>
      <c r="D94" s="71" t="s">
        <v>382</v>
      </c>
      <c r="E94" s="71" t="str">
        <f>MID(D94,1,2)</f>
        <v>IL</v>
      </c>
      <c r="F94" s="71" t="s">
        <v>522</v>
      </c>
      <c r="G94" s="71" t="str">
        <f>MID(F94,1,2)</f>
        <v>CZ</v>
      </c>
      <c r="H94" s="43" t="s">
        <v>554</v>
      </c>
      <c r="I94" s="71" t="s">
        <v>555</v>
      </c>
      <c r="J94" s="71" t="s">
        <v>386</v>
      </c>
      <c r="K94" s="43"/>
      <c r="L94" s="71" t="s">
        <v>107</v>
      </c>
      <c r="M94" s="73">
        <v>3</v>
      </c>
      <c r="N94" s="71" t="s">
        <v>388</v>
      </c>
      <c r="O94" s="73">
        <v>0.012</v>
      </c>
      <c r="P94" s="71" t="s">
        <v>389</v>
      </c>
      <c r="Q94" s="73">
        <v>3</v>
      </c>
      <c r="R94" s="71" t="s">
        <v>388</v>
      </c>
      <c r="S94" s="73">
        <v>0</v>
      </c>
      <c r="T94" s="71" t="s">
        <v>390</v>
      </c>
      <c r="U94" s="74">
        <v>1</v>
      </c>
      <c r="V94" s="71" t="s">
        <v>391</v>
      </c>
      <c r="W94" s="130">
        <v>46050.507638888892</v>
      </c>
      <c r="X94" s="72">
        <v>46054.013888888891</v>
      </c>
      <c r="Y94" s="72">
        <v>46055.361111111109</v>
      </c>
      <c r="Z94" s="104" t="s">
        <v>496</v>
      </c>
      <c r="AA94" s="104" t="s">
        <v>522</v>
      </c>
      <c r="AB94" s="105">
        <v>46055.293055555558</v>
      </c>
      <c r="AC94" s="105">
        <v>46055.376388888886</v>
      </c>
    </row>
    <row r="95" s="70" customFormat="1" ht="11.25" customHeight="1">
      <c r="A95" s="87"/>
      <c r="C95" s="43" t="s">
        <v>556</v>
      </c>
      <c r="D95" s="71" t="s">
        <v>382</v>
      </c>
      <c r="E95" s="71" t="str">
        <f>MID(D95,1,2)</f>
        <v>IL</v>
      </c>
      <c r="F95" s="71" t="s">
        <v>546</v>
      </c>
      <c r="G95" s="71" t="str">
        <f>MID(F95,1,2)</f>
        <v>GB</v>
      </c>
      <c r="H95" s="43" t="s">
        <v>557</v>
      </c>
      <c r="I95" s="71" t="s">
        <v>558</v>
      </c>
      <c r="J95" s="71" t="s">
        <v>559</v>
      </c>
      <c r="K95" s="43"/>
      <c r="L95" s="71" t="s">
        <v>107</v>
      </c>
      <c r="M95" s="73">
        <v>121</v>
      </c>
      <c r="N95" s="71" t="s">
        <v>388</v>
      </c>
      <c r="O95" s="73">
        <v>0.371</v>
      </c>
      <c r="P95" s="71" t="s">
        <v>389</v>
      </c>
      <c r="Q95" s="73">
        <v>121</v>
      </c>
      <c r="R95" s="71" t="s">
        <v>388</v>
      </c>
      <c r="S95" s="73">
        <v>0</v>
      </c>
      <c r="T95" s="71" t="s">
        <v>390</v>
      </c>
      <c r="U95" s="74">
        <v>1</v>
      </c>
      <c r="V95" s="71" t="s">
        <v>391</v>
      </c>
      <c r="W95" s="130">
        <v>46050.527777777781</v>
      </c>
      <c r="X95" s="72">
        <v>46054.375</v>
      </c>
      <c r="Y95" s="72">
        <v>46054.541666666664</v>
      </c>
      <c r="Z95" s="104" t="s">
        <v>560</v>
      </c>
      <c r="AA95" s="104" t="s">
        <v>561</v>
      </c>
      <c r="AB95" s="105"/>
      <c r="AC95" s="105"/>
    </row>
    <row r="96" s="70" customFormat="1" ht="11.25" customHeight="1">
      <c r="A96" s="87"/>
      <c r="C96" s="43" t="s">
        <v>556</v>
      </c>
      <c r="D96" s="71" t="s">
        <v>382</v>
      </c>
      <c r="E96" s="71" t="str">
        <f>MID(D96,1,2)</f>
        <v>IL</v>
      </c>
      <c r="F96" s="71" t="s">
        <v>546</v>
      </c>
      <c r="G96" s="71" t="str">
        <f>MID(F96,1,2)</f>
        <v>GB</v>
      </c>
      <c r="H96" s="43" t="s">
        <v>557</v>
      </c>
      <c r="I96" s="71" t="s">
        <v>558</v>
      </c>
      <c r="J96" s="71" t="s">
        <v>559</v>
      </c>
      <c r="K96" s="43"/>
      <c r="L96" s="71" t="s">
        <v>107</v>
      </c>
      <c r="M96" s="73">
        <v>121</v>
      </c>
      <c r="N96" s="71" t="s">
        <v>388</v>
      </c>
      <c r="O96" s="73">
        <v>0.371</v>
      </c>
      <c r="P96" s="71" t="s">
        <v>389</v>
      </c>
      <c r="Q96" s="73">
        <v>121</v>
      </c>
      <c r="R96" s="71" t="s">
        <v>388</v>
      </c>
      <c r="S96" s="73">
        <v>0</v>
      </c>
      <c r="T96" s="71" t="s">
        <v>390</v>
      </c>
      <c r="U96" s="74">
        <v>1</v>
      </c>
      <c r="V96" s="71" t="s">
        <v>391</v>
      </c>
      <c r="W96" s="130">
        <v>46050.527777777781</v>
      </c>
      <c r="X96" s="72">
        <v>46054.375</v>
      </c>
      <c r="Y96" s="72">
        <v>46054.541666666664</v>
      </c>
      <c r="Z96" s="104" t="s">
        <v>382</v>
      </c>
      <c r="AA96" s="104" t="s">
        <v>546</v>
      </c>
      <c r="AB96" s="105">
        <v>46054.377083333333</v>
      </c>
      <c r="AC96" s="105">
        <v>46054.505555555559</v>
      </c>
    </row>
    <row r="97" s="70" customFormat="1" ht="11.25" customHeight="1">
      <c r="A97" s="87"/>
      <c r="C97" s="43" t="s">
        <v>562</v>
      </c>
      <c r="D97" s="71" t="s">
        <v>382</v>
      </c>
      <c r="E97" s="71" t="str">
        <f>MID(D97,1,2)</f>
        <v>IL</v>
      </c>
      <c r="F97" s="71" t="s">
        <v>563</v>
      </c>
      <c r="G97" s="71" t="str">
        <f>MID(F97,1,2)</f>
        <v>IQ</v>
      </c>
      <c r="H97" s="43" t="s">
        <v>564</v>
      </c>
      <c r="I97" s="71"/>
      <c r="J97" s="71" t="s">
        <v>435</v>
      </c>
      <c r="K97" s="43"/>
      <c r="L97" s="71" t="s">
        <v>105</v>
      </c>
      <c r="M97" s="73">
        <v>678</v>
      </c>
      <c r="N97" s="71" t="s">
        <v>388</v>
      </c>
      <c r="O97" s="73">
        <v>3.888</v>
      </c>
      <c r="P97" s="71" t="s">
        <v>389</v>
      </c>
      <c r="Q97" s="73">
        <v>678</v>
      </c>
      <c r="R97" s="71" t="s">
        <v>388</v>
      </c>
      <c r="S97" s="73">
        <v>0</v>
      </c>
      <c r="T97" s="71" t="s">
        <v>390</v>
      </c>
      <c r="U97" s="74">
        <v>3</v>
      </c>
      <c r="V97" s="71" t="s">
        <v>391</v>
      </c>
      <c r="W97" s="130"/>
      <c r="X97" s="72">
        <v>46062.996527777781</v>
      </c>
      <c r="Y97" s="72">
        <v>46067.911805555559</v>
      </c>
      <c r="Z97" s="104" t="s">
        <v>382</v>
      </c>
      <c r="AA97" s="104" t="s">
        <v>465</v>
      </c>
      <c r="AB97" s="105">
        <v>46063.006944444445</v>
      </c>
      <c r="AC97" s="105">
        <v>46063.208333333336</v>
      </c>
    </row>
    <row r="98" s="70" customFormat="1" ht="11.25" customHeight="1">
      <c r="A98" s="87"/>
      <c r="C98" s="43" t="s">
        <v>562</v>
      </c>
      <c r="D98" s="71" t="s">
        <v>382</v>
      </c>
      <c r="E98" s="71" t="str">
        <f>MID(D98,1,2)</f>
        <v>IL</v>
      </c>
      <c r="F98" s="71" t="s">
        <v>563</v>
      </c>
      <c r="G98" s="71" t="str">
        <f>MID(F98,1,2)</f>
        <v>IQ</v>
      </c>
      <c r="H98" s="43" t="s">
        <v>564</v>
      </c>
      <c r="I98" s="71"/>
      <c r="J98" s="71" t="s">
        <v>435</v>
      </c>
      <c r="K98" s="43"/>
      <c r="L98" s="71" t="s">
        <v>105</v>
      </c>
      <c r="M98" s="73">
        <v>678</v>
      </c>
      <c r="N98" s="71" t="s">
        <v>388</v>
      </c>
      <c r="O98" s="73">
        <v>3.888</v>
      </c>
      <c r="P98" s="71" t="s">
        <v>389</v>
      </c>
      <c r="Q98" s="73">
        <v>678</v>
      </c>
      <c r="R98" s="71" t="s">
        <v>388</v>
      </c>
      <c r="S98" s="73">
        <v>0</v>
      </c>
      <c r="T98" s="71" t="s">
        <v>390</v>
      </c>
      <c r="U98" s="74">
        <v>3</v>
      </c>
      <c r="V98" s="71" t="s">
        <v>391</v>
      </c>
      <c r="W98" s="130"/>
      <c r="X98" s="72">
        <v>46062.996527777781</v>
      </c>
      <c r="Y98" s="72">
        <v>46067.911805555559</v>
      </c>
      <c r="Z98" s="104" t="s">
        <v>465</v>
      </c>
      <c r="AA98" s="104" t="s">
        <v>565</v>
      </c>
      <c r="AB98" s="105">
        <v>46066.417361111111</v>
      </c>
      <c r="AC98" s="105">
        <v>46066.584722222222</v>
      </c>
    </row>
    <row r="99" s="70" customFormat="1" ht="11.25" customHeight="1">
      <c r="A99" s="87"/>
      <c r="C99" s="43" t="s">
        <v>562</v>
      </c>
      <c r="D99" s="71" t="s">
        <v>382</v>
      </c>
      <c r="E99" s="71" t="str">
        <f>MID(D99,1,2)</f>
        <v>IL</v>
      </c>
      <c r="F99" s="71" t="s">
        <v>563</v>
      </c>
      <c r="G99" s="71" t="str">
        <f>MID(F99,1,2)</f>
        <v>IQ</v>
      </c>
      <c r="H99" s="43" t="s">
        <v>564</v>
      </c>
      <c r="I99" s="71"/>
      <c r="J99" s="71" t="s">
        <v>435</v>
      </c>
      <c r="K99" s="43"/>
      <c r="L99" s="71" t="s">
        <v>105</v>
      </c>
      <c r="M99" s="73">
        <v>678</v>
      </c>
      <c r="N99" s="71" t="s">
        <v>388</v>
      </c>
      <c r="O99" s="73">
        <v>3.888</v>
      </c>
      <c r="P99" s="71" t="s">
        <v>389</v>
      </c>
      <c r="Q99" s="73">
        <v>678</v>
      </c>
      <c r="R99" s="71" t="s">
        <v>388</v>
      </c>
      <c r="S99" s="73">
        <v>0</v>
      </c>
      <c r="T99" s="71" t="s">
        <v>390</v>
      </c>
      <c r="U99" s="74">
        <v>3</v>
      </c>
      <c r="V99" s="71" t="s">
        <v>391</v>
      </c>
      <c r="W99" s="130"/>
      <c r="X99" s="72">
        <v>46062.996527777781</v>
      </c>
      <c r="Y99" s="72">
        <v>46067.911805555559</v>
      </c>
      <c r="Z99" s="104" t="s">
        <v>565</v>
      </c>
      <c r="AA99" s="104" t="s">
        <v>563</v>
      </c>
      <c r="AB99" s="105">
        <v>46074.674305555556</v>
      </c>
      <c r="AC99" s="105">
        <v>46074.75</v>
      </c>
    </row>
    <row r="100" s="70" customFormat="1" ht="11.25" customHeight="1">
      <c r="A100" s="87"/>
      <c r="C100" s="43" t="s">
        <v>566</v>
      </c>
      <c r="D100" s="71" t="s">
        <v>382</v>
      </c>
      <c r="E100" s="71" t="str">
        <f>MID(D100,1,2)</f>
        <v>IL</v>
      </c>
      <c r="F100" s="71" t="s">
        <v>526</v>
      </c>
      <c r="G100" s="71" t="str">
        <f>MID(F100,1,2)</f>
        <v>US</v>
      </c>
      <c r="H100" s="43" t="s">
        <v>567</v>
      </c>
      <c r="I100" s="71" t="s">
        <v>568</v>
      </c>
      <c r="J100" s="71" t="s">
        <v>386</v>
      </c>
      <c r="K100" s="43"/>
      <c r="L100" s="71" t="s">
        <v>107</v>
      </c>
      <c r="M100" s="73">
        <v>754</v>
      </c>
      <c r="N100" s="71" t="s">
        <v>388</v>
      </c>
      <c r="O100" s="73">
        <v>6.048</v>
      </c>
      <c r="P100" s="71" t="s">
        <v>389</v>
      </c>
      <c r="Q100" s="73">
        <v>1008</v>
      </c>
      <c r="R100" s="71" t="s">
        <v>388</v>
      </c>
      <c r="S100" s="73">
        <v>48</v>
      </c>
      <c r="T100" s="71" t="s">
        <v>390</v>
      </c>
      <c r="U100" s="74">
        <v>8</v>
      </c>
      <c r="V100" s="71" t="s">
        <v>391</v>
      </c>
      <c r="W100" s="130">
        <v>46050.597916666666</v>
      </c>
      <c r="X100" s="72">
        <v>46055.03125</v>
      </c>
      <c r="Y100" s="72">
        <v>46055.25</v>
      </c>
      <c r="Z100" s="104" t="s">
        <v>382</v>
      </c>
      <c r="AA100" s="104" t="s">
        <v>526</v>
      </c>
      <c r="AB100" s="105">
        <v>46055.034722222219</v>
      </c>
      <c r="AC100" s="105">
        <v>46055.25</v>
      </c>
    </row>
    <row r="101" s="70" customFormat="1" ht="11.25" customHeight="1">
      <c r="A101" s="87"/>
      <c r="C101" s="43" t="s">
        <v>569</v>
      </c>
      <c r="D101" s="71" t="s">
        <v>382</v>
      </c>
      <c r="E101" s="71" t="str">
        <f>MID(D101,1,2)</f>
        <v>IL</v>
      </c>
      <c r="F101" s="71" t="s">
        <v>546</v>
      </c>
      <c r="G101" s="71" t="str">
        <f>MID(F101,1,2)</f>
        <v>GB</v>
      </c>
      <c r="H101" s="43" t="s">
        <v>570</v>
      </c>
      <c r="I101" s="71" t="s">
        <v>571</v>
      </c>
      <c r="J101" s="71" t="s">
        <v>454</v>
      </c>
      <c r="K101" s="43"/>
      <c r="L101" s="71" t="s">
        <v>107</v>
      </c>
      <c r="M101" s="73">
        <v>59</v>
      </c>
      <c r="N101" s="71" t="s">
        <v>388</v>
      </c>
      <c r="O101" s="73">
        <v>0.756</v>
      </c>
      <c r="P101" s="71" t="s">
        <v>389</v>
      </c>
      <c r="Q101" s="73">
        <v>126</v>
      </c>
      <c r="R101" s="71" t="s">
        <v>388</v>
      </c>
      <c r="S101" s="73">
        <v>2</v>
      </c>
      <c r="T101" s="71" t="s">
        <v>390</v>
      </c>
      <c r="U101" s="74">
        <v>1</v>
      </c>
      <c r="V101" s="71" t="s">
        <v>391</v>
      </c>
      <c r="W101" s="130">
        <v>46050.604166666664</v>
      </c>
      <c r="X101" s="72">
        <v>46055.381944444445</v>
      </c>
      <c r="Y101" s="72">
        <v>46055.524305555555</v>
      </c>
      <c r="Z101" s="104" t="s">
        <v>382</v>
      </c>
      <c r="AA101" s="104" t="s">
        <v>546</v>
      </c>
      <c r="AB101" s="105">
        <v>46055.380555555559</v>
      </c>
      <c r="AC101" s="105">
        <v>46055.524305555555</v>
      </c>
    </row>
    <row r="102" s="70" customFormat="1" ht="11.25" customHeight="1">
      <c r="A102" s="87"/>
      <c r="C102" s="43" t="s">
        <v>572</v>
      </c>
      <c r="D102" s="71" t="s">
        <v>382</v>
      </c>
      <c r="E102" s="71" t="str">
        <f>MID(D102,1,2)</f>
        <v>IL</v>
      </c>
      <c r="F102" s="71" t="s">
        <v>573</v>
      </c>
      <c r="G102" s="71" t="str">
        <f>MID(F102,1,2)</f>
        <v>CH</v>
      </c>
      <c r="H102" s="43" t="s">
        <v>574</v>
      </c>
      <c r="I102" s="71" t="s">
        <v>575</v>
      </c>
      <c r="J102" s="71" t="s">
        <v>400</v>
      </c>
      <c r="K102" s="43"/>
      <c r="L102" s="71" t="s">
        <v>105</v>
      </c>
      <c r="M102" s="73">
        <v>193</v>
      </c>
      <c r="N102" s="71" t="s">
        <v>388</v>
      </c>
      <c r="O102" s="73">
        <v>0.948</v>
      </c>
      <c r="P102" s="71" t="s">
        <v>389</v>
      </c>
      <c r="Q102" s="73">
        <v>193</v>
      </c>
      <c r="R102" s="71" t="s">
        <v>388</v>
      </c>
      <c r="S102" s="73">
        <v>0</v>
      </c>
      <c r="T102" s="71" t="s">
        <v>390</v>
      </c>
      <c r="U102" s="74">
        <v>7</v>
      </c>
      <c r="V102" s="71" t="s">
        <v>391</v>
      </c>
      <c r="W102" s="130"/>
      <c r="X102" s="72">
        <v>46054.61875</v>
      </c>
      <c r="Y102" s="72">
        <v>46054.61875</v>
      </c>
      <c r="Z102" s="104" t="s">
        <v>382</v>
      </c>
      <c r="AA102" s="104" t="s">
        <v>573</v>
      </c>
      <c r="AB102" s="105"/>
      <c r="AC102" s="105"/>
    </row>
    <row r="103" s="70" customFormat="1" ht="11.25" customHeight="1">
      <c r="A103" s="87"/>
      <c r="C103" s="43" t="s">
        <v>576</v>
      </c>
      <c r="D103" s="71" t="s">
        <v>382</v>
      </c>
      <c r="E103" s="71" t="str">
        <f>MID(D103,1,2)</f>
        <v>IL</v>
      </c>
      <c r="F103" s="71" t="s">
        <v>577</v>
      </c>
      <c r="G103" s="71" t="str">
        <f>MID(F103,1,2)</f>
        <v>FR</v>
      </c>
      <c r="H103" s="43" t="s">
        <v>578</v>
      </c>
      <c r="I103" s="71" t="s">
        <v>579</v>
      </c>
      <c r="J103" s="71" t="s">
        <v>400</v>
      </c>
      <c r="K103" s="43"/>
      <c r="L103" s="71" t="s">
        <v>105</v>
      </c>
      <c r="M103" s="73">
        <v>246</v>
      </c>
      <c r="N103" s="71" t="s">
        <v>388</v>
      </c>
      <c r="O103" s="73">
        <v>0.48</v>
      </c>
      <c r="P103" s="71" t="s">
        <v>389</v>
      </c>
      <c r="Q103" s="73">
        <v>246</v>
      </c>
      <c r="R103" s="71" t="s">
        <v>388</v>
      </c>
      <c r="S103" s="73">
        <v>0</v>
      </c>
      <c r="T103" s="71" t="s">
        <v>390</v>
      </c>
      <c r="U103" s="74">
        <v>1</v>
      </c>
      <c r="V103" s="71" t="s">
        <v>391</v>
      </c>
      <c r="W103" s="130">
        <v>46054.669178240743</v>
      </c>
      <c r="X103" s="72">
        <v>46055.663194444445</v>
      </c>
      <c r="Y103" s="72">
        <v>46056.361111111109</v>
      </c>
      <c r="Z103" s="104" t="s">
        <v>382</v>
      </c>
      <c r="AA103" s="104" t="s">
        <v>577</v>
      </c>
      <c r="AB103" s="105">
        <v>46055.652777777781</v>
      </c>
      <c r="AC103" s="105">
        <v>46055.805555555555</v>
      </c>
    </row>
    <row r="104" s="70" customFormat="1" ht="11.25" customHeight="1">
      <c r="A104" s="87"/>
      <c r="C104" s="43" t="s">
        <v>580</v>
      </c>
      <c r="D104" s="71" t="s">
        <v>382</v>
      </c>
      <c r="E104" s="71" t="str">
        <f>MID(D104,1,2)</f>
        <v>IL</v>
      </c>
      <c r="F104" s="71" t="s">
        <v>480</v>
      </c>
      <c r="G104" s="71" t="str">
        <f>MID(F104,1,2)</f>
        <v>CA</v>
      </c>
      <c r="H104" s="43" t="s">
        <v>581</v>
      </c>
      <c r="I104" s="71" t="s">
        <v>582</v>
      </c>
      <c r="J104" s="71" t="s">
        <v>400</v>
      </c>
      <c r="K104" s="43"/>
      <c r="L104" s="71" t="s">
        <v>105</v>
      </c>
      <c r="M104" s="73">
        <v>440</v>
      </c>
      <c r="N104" s="71" t="s">
        <v>388</v>
      </c>
      <c r="O104" s="73">
        <v>1.193</v>
      </c>
      <c r="P104" s="71" t="s">
        <v>389</v>
      </c>
      <c r="Q104" s="73">
        <v>440</v>
      </c>
      <c r="R104" s="71" t="s">
        <v>388</v>
      </c>
      <c r="S104" s="73">
        <v>0</v>
      </c>
      <c r="T104" s="71" t="s">
        <v>390</v>
      </c>
      <c r="U104" s="74">
        <v>1</v>
      </c>
      <c r="V104" s="71" t="s">
        <v>391</v>
      </c>
      <c r="W104" s="130">
        <v>46050.68125</v>
      </c>
      <c r="X104" s="72">
        <v>46055.496527777781</v>
      </c>
      <c r="Y104" s="72">
        <v>46057.5</v>
      </c>
      <c r="Z104" s="104" t="s">
        <v>382</v>
      </c>
      <c r="AA104" s="104" t="s">
        <v>405</v>
      </c>
      <c r="AB104" s="105">
        <v>46055.565972222219</v>
      </c>
      <c r="AC104" s="105">
        <v>46055.7625</v>
      </c>
    </row>
    <row r="105" s="70" customFormat="1" ht="11.25" customHeight="1">
      <c r="A105" s="87"/>
      <c r="C105" s="43" t="s">
        <v>580</v>
      </c>
      <c r="D105" s="71" t="s">
        <v>382</v>
      </c>
      <c r="E105" s="71" t="str">
        <f>MID(D105,1,2)</f>
        <v>IL</v>
      </c>
      <c r="F105" s="71" t="s">
        <v>480</v>
      </c>
      <c r="G105" s="71" t="str">
        <f>MID(F105,1,2)</f>
        <v>CA</v>
      </c>
      <c r="H105" s="43" t="s">
        <v>581</v>
      </c>
      <c r="I105" s="71" t="s">
        <v>582</v>
      </c>
      <c r="J105" s="71" t="s">
        <v>400</v>
      </c>
      <c r="K105" s="43"/>
      <c r="L105" s="71" t="s">
        <v>105</v>
      </c>
      <c r="M105" s="73">
        <v>440</v>
      </c>
      <c r="N105" s="71" t="s">
        <v>388</v>
      </c>
      <c r="O105" s="73">
        <v>1.193</v>
      </c>
      <c r="P105" s="71" t="s">
        <v>389</v>
      </c>
      <c r="Q105" s="73">
        <v>440</v>
      </c>
      <c r="R105" s="71" t="s">
        <v>388</v>
      </c>
      <c r="S105" s="73">
        <v>0</v>
      </c>
      <c r="T105" s="71" t="s">
        <v>390</v>
      </c>
      <c r="U105" s="74">
        <v>1</v>
      </c>
      <c r="V105" s="71" t="s">
        <v>391</v>
      </c>
      <c r="W105" s="130">
        <v>46050.68125</v>
      </c>
      <c r="X105" s="72">
        <v>46055.496527777781</v>
      </c>
      <c r="Y105" s="72">
        <v>46057.5</v>
      </c>
      <c r="Z105" s="104" t="s">
        <v>405</v>
      </c>
      <c r="AA105" s="104" t="s">
        <v>480</v>
      </c>
      <c r="AB105" s="105">
        <v>46057.1875</v>
      </c>
      <c r="AC105" s="105">
        <v>46057.75</v>
      </c>
    </row>
    <row r="106" s="70" customFormat="1" ht="11.25" customHeight="1">
      <c r="A106" s="87"/>
      <c r="C106" s="43" t="s">
        <v>583</v>
      </c>
      <c r="D106" s="71" t="s">
        <v>382</v>
      </c>
      <c r="E106" s="71" t="str">
        <f>MID(D106,1,2)</f>
        <v>IL</v>
      </c>
      <c r="F106" s="71" t="s">
        <v>496</v>
      </c>
      <c r="G106" s="71" t="str">
        <f>MID(F106,1,2)</f>
        <v>RO</v>
      </c>
      <c r="H106" s="43" t="s">
        <v>584</v>
      </c>
      <c r="I106" s="71" t="s">
        <v>585</v>
      </c>
      <c r="J106" s="71" t="s">
        <v>386</v>
      </c>
      <c r="K106" s="43"/>
      <c r="L106" s="71" t="s">
        <v>107</v>
      </c>
      <c r="M106" s="73">
        <v>12</v>
      </c>
      <c r="N106" s="71" t="s">
        <v>388</v>
      </c>
      <c r="O106" s="73">
        <v>0.05</v>
      </c>
      <c r="P106" s="71" t="s">
        <v>389</v>
      </c>
      <c r="Q106" s="73">
        <v>12</v>
      </c>
      <c r="R106" s="71" t="s">
        <v>388</v>
      </c>
      <c r="S106" s="73">
        <v>0</v>
      </c>
      <c r="T106" s="71" t="s">
        <v>390</v>
      </c>
      <c r="U106" s="74">
        <v>3</v>
      </c>
      <c r="V106" s="71" t="s">
        <v>391</v>
      </c>
      <c r="W106" s="130">
        <v>46057.709027777775</v>
      </c>
      <c r="X106" s="72">
        <v>46061.013888888891</v>
      </c>
      <c r="Y106" s="72">
        <v>46062.111111111109</v>
      </c>
      <c r="Z106" s="104" t="s">
        <v>382</v>
      </c>
      <c r="AA106" s="104" t="s">
        <v>496</v>
      </c>
      <c r="AB106" s="105">
        <v>46061.996527777781</v>
      </c>
      <c r="AC106" s="105">
        <v>46062.102083333331</v>
      </c>
    </row>
    <row r="107" s="70" customFormat="1" ht="11.25" customHeight="1">
      <c r="A107" s="87"/>
      <c r="C107" s="43" t="s">
        <v>586</v>
      </c>
      <c r="D107" s="71" t="s">
        <v>382</v>
      </c>
      <c r="E107" s="71" t="str">
        <f>MID(D107,1,2)</f>
        <v>IL</v>
      </c>
      <c r="F107" s="71" t="s">
        <v>587</v>
      </c>
      <c r="G107" s="71" t="str">
        <f>MID(F107,1,2)</f>
        <v>MX</v>
      </c>
      <c r="H107" s="43" t="s">
        <v>588</v>
      </c>
      <c r="I107" s="71" t="s">
        <v>589</v>
      </c>
      <c r="J107" s="71" t="s">
        <v>411</v>
      </c>
      <c r="K107" s="43"/>
      <c r="L107" s="71" t="s">
        <v>105</v>
      </c>
      <c r="M107" s="73">
        <v>128</v>
      </c>
      <c r="N107" s="71" t="s">
        <v>388</v>
      </c>
      <c r="O107" s="73">
        <v>0.989</v>
      </c>
      <c r="P107" s="71" t="s">
        <v>389</v>
      </c>
      <c r="Q107" s="73">
        <v>165</v>
      </c>
      <c r="R107" s="71" t="s">
        <v>388</v>
      </c>
      <c r="S107" s="73">
        <v>0</v>
      </c>
      <c r="T107" s="71" t="s">
        <v>390</v>
      </c>
      <c r="U107" s="74">
        <v>1</v>
      </c>
      <c r="V107" s="71" t="s">
        <v>391</v>
      </c>
      <c r="W107" s="130">
        <v>46051.354861111111</v>
      </c>
      <c r="X107" s="72">
        <v>46054.586805555555</v>
      </c>
      <c r="Y107" s="72">
        <v>46058.916666666664</v>
      </c>
      <c r="Z107" s="104" t="s">
        <v>382</v>
      </c>
      <c r="AA107" s="104" t="s">
        <v>590</v>
      </c>
      <c r="AB107" s="105">
        <v>46054.677083333336</v>
      </c>
      <c r="AC107" s="105">
        <v>46055.072222222225</v>
      </c>
    </row>
    <row r="108" s="70" customFormat="1" ht="11.25" customHeight="1">
      <c r="A108" s="87"/>
      <c r="C108" s="43" t="s">
        <v>586</v>
      </c>
      <c r="D108" s="71" t="s">
        <v>382</v>
      </c>
      <c r="E108" s="71" t="str">
        <f>MID(D108,1,2)</f>
        <v>IL</v>
      </c>
      <c r="F108" s="71" t="s">
        <v>587</v>
      </c>
      <c r="G108" s="71" t="str">
        <f>MID(F108,1,2)</f>
        <v>MX</v>
      </c>
      <c r="H108" s="43" t="s">
        <v>588</v>
      </c>
      <c r="I108" s="71" t="s">
        <v>589</v>
      </c>
      <c r="J108" s="71" t="s">
        <v>411</v>
      </c>
      <c r="K108" s="43"/>
      <c r="L108" s="71" t="s">
        <v>105</v>
      </c>
      <c r="M108" s="73">
        <v>128</v>
      </c>
      <c r="N108" s="71" t="s">
        <v>388</v>
      </c>
      <c r="O108" s="73">
        <v>0.989</v>
      </c>
      <c r="P108" s="71" t="s">
        <v>389</v>
      </c>
      <c r="Q108" s="73">
        <v>165</v>
      </c>
      <c r="R108" s="71" t="s">
        <v>388</v>
      </c>
      <c r="S108" s="73">
        <v>0</v>
      </c>
      <c r="T108" s="71" t="s">
        <v>390</v>
      </c>
      <c r="U108" s="74">
        <v>1</v>
      </c>
      <c r="V108" s="71" t="s">
        <v>391</v>
      </c>
      <c r="W108" s="130">
        <v>46051.354861111111</v>
      </c>
      <c r="X108" s="72">
        <v>46054.586805555555</v>
      </c>
      <c r="Y108" s="72">
        <v>46058.916666666664</v>
      </c>
      <c r="Z108" s="104" t="s">
        <v>590</v>
      </c>
      <c r="AA108" s="104" t="s">
        <v>591</v>
      </c>
      <c r="AB108" s="105">
        <v>46056.666666666664</v>
      </c>
      <c r="AC108" s="105">
        <v>46056.90625</v>
      </c>
    </row>
    <row r="109" s="70" customFormat="1" ht="11.25" customHeight="1">
      <c r="A109" s="87"/>
      <c r="C109" s="43" t="s">
        <v>586</v>
      </c>
      <c r="D109" s="71" t="s">
        <v>382</v>
      </c>
      <c r="E109" s="71" t="str">
        <f>MID(D109,1,2)</f>
        <v>IL</v>
      </c>
      <c r="F109" s="71" t="s">
        <v>587</v>
      </c>
      <c r="G109" s="71" t="str">
        <f>MID(F109,1,2)</f>
        <v>MX</v>
      </c>
      <c r="H109" s="43" t="s">
        <v>588</v>
      </c>
      <c r="I109" s="71" t="s">
        <v>589</v>
      </c>
      <c r="J109" s="71" t="s">
        <v>411</v>
      </c>
      <c r="K109" s="43"/>
      <c r="L109" s="71" t="s">
        <v>105</v>
      </c>
      <c r="M109" s="73">
        <v>128</v>
      </c>
      <c r="N109" s="71" t="s">
        <v>388</v>
      </c>
      <c r="O109" s="73">
        <v>0.989</v>
      </c>
      <c r="P109" s="71" t="s">
        <v>389</v>
      </c>
      <c r="Q109" s="73">
        <v>165</v>
      </c>
      <c r="R109" s="71" t="s">
        <v>388</v>
      </c>
      <c r="S109" s="73">
        <v>0</v>
      </c>
      <c r="T109" s="71" t="s">
        <v>390</v>
      </c>
      <c r="U109" s="74">
        <v>1</v>
      </c>
      <c r="V109" s="71" t="s">
        <v>391</v>
      </c>
      <c r="W109" s="130">
        <v>46051.354861111111</v>
      </c>
      <c r="X109" s="72">
        <v>46054.586805555555</v>
      </c>
      <c r="Y109" s="72">
        <v>46058.916666666664</v>
      </c>
      <c r="Z109" s="104" t="s">
        <v>591</v>
      </c>
      <c r="AA109" s="104" t="s">
        <v>587</v>
      </c>
      <c r="AB109" s="105">
        <v>46057.75</v>
      </c>
      <c r="AC109" s="105">
        <v>46063.5</v>
      </c>
    </row>
    <row r="110" s="70" customFormat="1" ht="11.25" customHeight="1">
      <c r="A110" s="87"/>
      <c r="C110" s="43" t="s">
        <v>592</v>
      </c>
      <c r="D110" s="71" t="s">
        <v>382</v>
      </c>
      <c r="E110" s="71" t="str">
        <f>MID(D110,1,2)</f>
        <v>IL</v>
      </c>
      <c r="F110" s="71" t="s">
        <v>573</v>
      </c>
      <c r="G110" s="71" t="str">
        <f>MID(F110,1,2)</f>
        <v>CH</v>
      </c>
      <c r="H110" s="43" t="s">
        <v>593</v>
      </c>
      <c r="I110" s="71" t="s">
        <v>594</v>
      </c>
      <c r="J110" s="71" t="s">
        <v>426</v>
      </c>
      <c r="K110" s="43"/>
      <c r="L110" s="71" t="s">
        <v>105</v>
      </c>
      <c r="M110" s="73">
        <v>232</v>
      </c>
      <c r="N110" s="71" t="s">
        <v>388</v>
      </c>
      <c r="O110" s="73">
        <v>1.565</v>
      </c>
      <c r="P110" s="71" t="s">
        <v>389</v>
      </c>
      <c r="Q110" s="73">
        <v>261</v>
      </c>
      <c r="R110" s="71" t="s">
        <v>388</v>
      </c>
      <c r="S110" s="73">
        <v>0</v>
      </c>
      <c r="T110" s="71" t="s">
        <v>390</v>
      </c>
      <c r="U110" s="74">
        <v>2</v>
      </c>
      <c r="V110" s="71" t="s">
        <v>391</v>
      </c>
      <c r="W110" s="130">
        <v>46051.95590277778</v>
      </c>
      <c r="X110" s="72">
        <v>46054.699305555558</v>
      </c>
      <c r="Y110" s="72">
        <v>46055.370833333334</v>
      </c>
      <c r="Z110" s="104" t="s">
        <v>382</v>
      </c>
      <c r="AA110" s="104" t="s">
        <v>595</v>
      </c>
      <c r="AB110" s="105">
        <v>46054.701388888891</v>
      </c>
      <c r="AC110" s="105">
        <v>46054.834027777775</v>
      </c>
    </row>
    <row r="111" s="70" customFormat="1" ht="11.25" customHeight="1">
      <c r="A111" s="87"/>
      <c r="C111" s="43" t="s">
        <v>592</v>
      </c>
      <c r="D111" s="71" t="s">
        <v>382</v>
      </c>
      <c r="E111" s="71" t="str">
        <f>MID(D111,1,2)</f>
        <v>IL</v>
      </c>
      <c r="F111" s="71" t="s">
        <v>573</v>
      </c>
      <c r="G111" s="71" t="str">
        <f>MID(F111,1,2)</f>
        <v>CH</v>
      </c>
      <c r="H111" s="43" t="s">
        <v>593</v>
      </c>
      <c r="I111" s="71" t="s">
        <v>594</v>
      </c>
      <c r="J111" s="71" t="s">
        <v>426</v>
      </c>
      <c r="K111" s="43"/>
      <c r="L111" s="71" t="s">
        <v>105</v>
      </c>
      <c r="M111" s="73">
        <v>232</v>
      </c>
      <c r="N111" s="71" t="s">
        <v>388</v>
      </c>
      <c r="O111" s="73">
        <v>1.565</v>
      </c>
      <c r="P111" s="71" t="s">
        <v>389</v>
      </c>
      <c r="Q111" s="73">
        <v>261</v>
      </c>
      <c r="R111" s="71" t="s">
        <v>388</v>
      </c>
      <c r="S111" s="73">
        <v>0</v>
      </c>
      <c r="T111" s="71" t="s">
        <v>390</v>
      </c>
      <c r="U111" s="74">
        <v>2</v>
      </c>
      <c r="V111" s="71" t="s">
        <v>391</v>
      </c>
      <c r="W111" s="130">
        <v>46051.95590277778</v>
      </c>
      <c r="X111" s="72">
        <v>46054.699305555558</v>
      </c>
      <c r="Y111" s="72">
        <v>46055.370833333334</v>
      </c>
      <c r="Z111" s="104" t="s">
        <v>595</v>
      </c>
      <c r="AA111" s="104" t="s">
        <v>573</v>
      </c>
      <c r="AB111" s="105">
        <v>46055.306944444441</v>
      </c>
      <c r="AC111" s="105">
        <v>46055.371527777781</v>
      </c>
    </row>
    <row r="112" s="70" customFormat="1" ht="11.25" customHeight="1">
      <c r="A112" s="87"/>
      <c r="C112" s="43" t="s">
        <v>596</v>
      </c>
      <c r="D112" s="71" t="s">
        <v>382</v>
      </c>
      <c r="E112" s="71" t="str">
        <f>MID(D112,1,2)</f>
        <v>IL</v>
      </c>
      <c r="F112" s="71" t="s">
        <v>597</v>
      </c>
      <c r="G112" s="71" t="str">
        <f>MID(F112,1,2)</f>
        <v>NL</v>
      </c>
      <c r="H112" s="43" t="s">
        <v>598</v>
      </c>
      <c r="I112" s="71" t="s">
        <v>599</v>
      </c>
      <c r="J112" s="71" t="s">
        <v>454</v>
      </c>
      <c r="K112" s="43"/>
      <c r="L112" s="71" t="s">
        <v>107</v>
      </c>
      <c r="M112" s="73">
        <v>415</v>
      </c>
      <c r="N112" s="71" t="s">
        <v>388</v>
      </c>
      <c r="O112" s="73">
        <v>0.984</v>
      </c>
      <c r="P112" s="71" t="s">
        <v>389</v>
      </c>
      <c r="Q112" s="73">
        <v>415</v>
      </c>
      <c r="R112" s="71" t="s">
        <v>388</v>
      </c>
      <c r="S112" s="73">
        <v>0</v>
      </c>
      <c r="T112" s="71" t="s">
        <v>390</v>
      </c>
      <c r="U112" s="74">
        <v>3</v>
      </c>
      <c r="V112" s="71" t="s">
        <v>391</v>
      </c>
      <c r="W112" s="130">
        <v>46051.692083333335</v>
      </c>
      <c r="X112" s="72">
        <v>46055.565972222219</v>
      </c>
      <c r="Y112" s="72">
        <v>46056.989583333336</v>
      </c>
      <c r="Z112" s="104" t="s">
        <v>382</v>
      </c>
      <c r="AA112" s="104" t="s">
        <v>451</v>
      </c>
      <c r="AB112" s="105">
        <v>46055.611111111109</v>
      </c>
      <c r="AC112" s="105">
        <v>46055.719444444447</v>
      </c>
    </row>
    <row r="113" s="70" customFormat="1" ht="11.25" customHeight="1">
      <c r="A113" s="87"/>
      <c r="C113" s="43" t="s">
        <v>596</v>
      </c>
      <c r="D113" s="71" t="s">
        <v>382</v>
      </c>
      <c r="E113" s="71" t="str">
        <f>MID(D113,1,2)</f>
        <v>IL</v>
      </c>
      <c r="F113" s="71" t="s">
        <v>597</v>
      </c>
      <c r="G113" s="71" t="str">
        <f>MID(F113,1,2)</f>
        <v>NL</v>
      </c>
      <c r="H113" s="43" t="s">
        <v>598</v>
      </c>
      <c r="I113" s="71" t="s">
        <v>599</v>
      </c>
      <c r="J113" s="71" t="s">
        <v>454</v>
      </c>
      <c r="K113" s="43"/>
      <c r="L113" s="71" t="s">
        <v>107</v>
      </c>
      <c r="M113" s="73">
        <v>415</v>
      </c>
      <c r="N113" s="71" t="s">
        <v>388</v>
      </c>
      <c r="O113" s="73">
        <v>0.984</v>
      </c>
      <c r="P113" s="71" t="s">
        <v>389</v>
      </c>
      <c r="Q113" s="73">
        <v>415</v>
      </c>
      <c r="R113" s="71" t="s">
        <v>388</v>
      </c>
      <c r="S113" s="73">
        <v>0</v>
      </c>
      <c r="T113" s="71" t="s">
        <v>390</v>
      </c>
      <c r="U113" s="74">
        <v>3</v>
      </c>
      <c r="V113" s="71" t="s">
        <v>391</v>
      </c>
      <c r="W113" s="130">
        <v>46051.692083333335</v>
      </c>
      <c r="X113" s="72">
        <v>46055.565972222219</v>
      </c>
      <c r="Y113" s="72">
        <v>46056.989583333336</v>
      </c>
      <c r="Z113" s="104" t="s">
        <v>451</v>
      </c>
      <c r="AA113" s="104" t="s">
        <v>597</v>
      </c>
      <c r="AB113" s="105">
        <v>46056.602083333331</v>
      </c>
      <c r="AC113" s="105">
        <v>46056.692361111112</v>
      </c>
    </row>
    <row r="114" s="70" customFormat="1" ht="11.25" customHeight="1">
      <c r="A114" s="87"/>
      <c r="C114" s="43" t="s">
        <v>600</v>
      </c>
      <c r="D114" s="71" t="s">
        <v>382</v>
      </c>
      <c r="E114" s="71" t="str">
        <f>MID(D114,1,2)</f>
        <v>IL</v>
      </c>
      <c r="F114" s="71" t="s">
        <v>573</v>
      </c>
      <c r="G114" s="71" t="str">
        <f>MID(F114,1,2)</f>
        <v>CH</v>
      </c>
      <c r="H114" s="43" t="s">
        <v>593</v>
      </c>
      <c r="I114" s="71" t="s">
        <v>601</v>
      </c>
      <c r="J114" s="71" t="s">
        <v>400</v>
      </c>
      <c r="K114" s="43"/>
      <c r="L114" s="71" t="s">
        <v>105</v>
      </c>
      <c r="M114" s="73">
        <v>204</v>
      </c>
      <c r="N114" s="71" t="s">
        <v>388</v>
      </c>
      <c r="O114" s="73">
        <v>1.057</v>
      </c>
      <c r="P114" s="71" t="s">
        <v>389</v>
      </c>
      <c r="Q114" s="73">
        <v>204</v>
      </c>
      <c r="R114" s="71" t="s">
        <v>388</v>
      </c>
      <c r="S114" s="73">
        <v>0</v>
      </c>
      <c r="T114" s="71" t="s">
        <v>390</v>
      </c>
      <c r="U114" s="74">
        <v>1</v>
      </c>
      <c r="V114" s="71" t="s">
        <v>391</v>
      </c>
      <c r="W114" s="130">
        <v>46051.955914351849</v>
      </c>
      <c r="X114" s="72">
        <v>46054.699305555558</v>
      </c>
      <c r="Y114" s="72">
        <v>46055.370833333334</v>
      </c>
      <c r="Z114" s="104" t="s">
        <v>382</v>
      </c>
      <c r="AA114" s="104" t="s">
        <v>595</v>
      </c>
      <c r="AB114" s="105">
        <v>46054.701388888891</v>
      </c>
      <c r="AC114" s="105">
        <v>46054.834027777775</v>
      </c>
    </row>
    <row r="115" s="70" customFormat="1" ht="11.25" customHeight="1">
      <c r="A115" s="87"/>
      <c r="C115" s="43" t="s">
        <v>600</v>
      </c>
      <c r="D115" s="71" t="s">
        <v>382</v>
      </c>
      <c r="E115" s="71" t="str">
        <f>MID(D115,1,2)</f>
        <v>IL</v>
      </c>
      <c r="F115" s="71" t="s">
        <v>573</v>
      </c>
      <c r="G115" s="71" t="str">
        <f>MID(F115,1,2)</f>
        <v>CH</v>
      </c>
      <c r="H115" s="43" t="s">
        <v>593</v>
      </c>
      <c r="I115" s="71" t="s">
        <v>601</v>
      </c>
      <c r="J115" s="71" t="s">
        <v>400</v>
      </c>
      <c r="K115" s="43"/>
      <c r="L115" s="71" t="s">
        <v>105</v>
      </c>
      <c r="M115" s="73">
        <v>204</v>
      </c>
      <c r="N115" s="71" t="s">
        <v>388</v>
      </c>
      <c r="O115" s="73">
        <v>1.057</v>
      </c>
      <c r="P115" s="71" t="s">
        <v>389</v>
      </c>
      <c r="Q115" s="73">
        <v>204</v>
      </c>
      <c r="R115" s="71" t="s">
        <v>388</v>
      </c>
      <c r="S115" s="73">
        <v>0</v>
      </c>
      <c r="T115" s="71" t="s">
        <v>390</v>
      </c>
      <c r="U115" s="74">
        <v>1</v>
      </c>
      <c r="V115" s="71" t="s">
        <v>391</v>
      </c>
      <c r="W115" s="130">
        <v>46051.955914351849</v>
      </c>
      <c r="X115" s="72">
        <v>46054.699305555558</v>
      </c>
      <c r="Y115" s="72">
        <v>46055.370833333334</v>
      </c>
      <c r="Z115" s="104" t="s">
        <v>595</v>
      </c>
      <c r="AA115" s="104" t="s">
        <v>573</v>
      </c>
      <c r="AB115" s="105">
        <v>46055.306944444441</v>
      </c>
      <c r="AC115" s="105">
        <v>46055.371527777781</v>
      </c>
    </row>
    <row r="116" s="70" customFormat="1" ht="11.25" customHeight="1">
      <c r="A116" s="87"/>
      <c r="C116" s="43" t="s">
        <v>602</v>
      </c>
      <c r="D116" s="71" t="s">
        <v>382</v>
      </c>
      <c r="E116" s="71" t="str">
        <f>MID(D116,1,2)</f>
        <v>IL</v>
      </c>
      <c r="F116" s="71" t="s">
        <v>573</v>
      </c>
      <c r="G116" s="71" t="str">
        <f>MID(F116,1,2)</f>
        <v>CH</v>
      </c>
      <c r="H116" s="43" t="s">
        <v>593</v>
      </c>
      <c r="I116" s="71" t="s">
        <v>603</v>
      </c>
      <c r="J116" s="71" t="s">
        <v>400</v>
      </c>
      <c r="K116" s="43"/>
      <c r="L116" s="71" t="s">
        <v>105</v>
      </c>
      <c r="M116" s="73">
        <v>139</v>
      </c>
      <c r="N116" s="71" t="s">
        <v>388</v>
      </c>
      <c r="O116" s="73">
        <v>0.532</v>
      </c>
      <c r="P116" s="71" t="s">
        <v>389</v>
      </c>
      <c r="Q116" s="73">
        <v>139</v>
      </c>
      <c r="R116" s="71" t="s">
        <v>388</v>
      </c>
      <c r="S116" s="73">
        <v>0</v>
      </c>
      <c r="T116" s="71" t="s">
        <v>390</v>
      </c>
      <c r="U116" s="74">
        <v>1</v>
      </c>
      <c r="V116" s="71" t="s">
        <v>391</v>
      </c>
      <c r="W116" s="130">
        <v>46051.959375</v>
      </c>
      <c r="X116" s="72">
        <v>46054.699305555558</v>
      </c>
      <c r="Y116" s="72">
        <v>46055.370833333334</v>
      </c>
      <c r="Z116" s="104" t="s">
        <v>382</v>
      </c>
      <c r="AA116" s="104" t="s">
        <v>595</v>
      </c>
      <c r="AB116" s="105">
        <v>46054.701388888891</v>
      </c>
      <c r="AC116" s="105">
        <v>46054.834027777775</v>
      </c>
    </row>
    <row r="117" s="70" customFormat="1" ht="11.25" customHeight="1">
      <c r="A117" s="87"/>
      <c r="C117" s="43" t="s">
        <v>602</v>
      </c>
      <c r="D117" s="71" t="s">
        <v>382</v>
      </c>
      <c r="E117" s="71" t="str">
        <f>MID(D117,1,2)</f>
        <v>IL</v>
      </c>
      <c r="F117" s="71" t="s">
        <v>573</v>
      </c>
      <c r="G117" s="71" t="str">
        <f>MID(F117,1,2)</f>
        <v>CH</v>
      </c>
      <c r="H117" s="43" t="s">
        <v>593</v>
      </c>
      <c r="I117" s="71" t="s">
        <v>603</v>
      </c>
      <c r="J117" s="71" t="s">
        <v>400</v>
      </c>
      <c r="K117" s="43"/>
      <c r="L117" s="71" t="s">
        <v>105</v>
      </c>
      <c r="M117" s="73">
        <v>139</v>
      </c>
      <c r="N117" s="71" t="s">
        <v>388</v>
      </c>
      <c r="O117" s="73">
        <v>0.532</v>
      </c>
      <c r="P117" s="71" t="s">
        <v>389</v>
      </c>
      <c r="Q117" s="73">
        <v>139</v>
      </c>
      <c r="R117" s="71" t="s">
        <v>388</v>
      </c>
      <c r="S117" s="73">
        <v>0</v>
      </c>
      <c r="T117" s="71" t="s">
        <v>390</v>
      </c>
      <c r="U117" s="74">
        <v>1</v>
      </c>
      <c r="V117" s="71" t="s">
        <v>391</v>
      </c>
      <c r="W117" s="130">
        <v>46051.959375</v>
      </c>
      <c r="X117" s="72">
        <v>46054.699305555558</v>
      </c>
      <c r="Y117" s="72">
        <v>46055.370833333334</v>
      </c>
      <c r="Z117" s="104" t="s">
        <v>595</v>
      </c>
      <c r="AA117" s="104" t="s">
        <v>573</v>
      </c>
      <c r="AB117" s="105">
        <v>46055.306944444441</v>
      </c>
      <c r="AC117" s="105">
        <v>46055.371527777781</v>
      </c>
    </row>
    <row r="118" s="70" customFormat="1" ht="11.25" customHeight="1">
      <c r="A118" s="87"/>
      <c r="C118" s="43" t="s">
        <v>604</v>
      </c>
      <c r="D118" s="71" t="s">
        <v>382</v>
      </c>
      <c r="E118" s="71" t="str">
        <f>MID(D118,1,2)</f>
        <v>IL</v>
      </c>
      <c r="F118" s="71" t="s">
        <v>480</v>
      </c>
      <c r="G118" s="71" t="str">
        <f>MID(F118,1,2)</f>
        <v>CA</v>
      </c>
      <c r="H118" s="43" t="s">
        <v>581</v>
      </c>
      <c r="I118" s="71" t="s">
        <v>605</v>
      </c>
      <c r="J118" s="71" t="s">
        <v>400</v>
      </c>
      <c r="K118" s="43"/>
      <c r="L118" s="71" t="s">
        <v>105</v>
      </c>
      <c r="M118" s="73">
        <v>427</v>
      </c>
      <c r="N118" s="71" t="s">
        <v>388</v>
      </c>
      <c r="O118" s="73">
        <v>1.379</v>
      </c>
      <c r="P118" s="71" t="s">
        <v>389</v>
      </c>
      <c r="Q118" s="73">
        <v>427</v>
      </c>
      <c r="R118" s="71" t="s">
        <v>388</v>
      </c>
      <c r="S118" s="73">
        <v>0</v>
      </c>
      <c r="T118" s="71" t="s">
        <v>390</v>
      </c>
      <c r="U118" s="74">
        <v>1</v>
      </c>
      <c r="V118" s="71" t="s">
        <v>391</v>
      </c>
      <c r="W118" s="130">
        <v>46050.709027777775</v>
      </c>
      <c r="X118" s="72">
        <v>46055.496527777781</v>
      </c>
      <c r="Y118" s="72">
        <v>46057.5</v>
      </c>
      <c r="Z118" s="104" t="s">
        <v>382</v>
      </c>
      <c r="AA118" s="104" t="s">
        <v>405</v>
      </c>
      <c r="AB118" s="105">
        <v>46055.565972222219</v>
      </c>
      <c r="AC118" s="105">
        <v>46055.7625</v>
      </c>
    </row>
    <row r="119" s="70" customFormat="1" ht="11.25" customHeight="1">
      <c r="A119" s="87"/>
      <c r="C119" s="43" t="s">
        <v>604</v>
      </c>
      <c r="D119" s="71" t="s">
        <v>382</v>
      </c>
      <c r="E119" s="71" t="str">
        <f>MID(D119,1,2)</f>
        <v>IL</v>
      </c>
      <c r="F119" s="71" t="s">
        <v>480</v>
      </c>
      <c r="G119" s="71" t="str">
        <f>MID(F119,1,2)</f>
        <v>CA</v>
      </c>
      <c r="H119" s="43" t="s">
        <v>581</v>
      </c>
      <c r="I119" s="71" t="s">
        <v>605</v>
      </c>
      <c r="J119" s="71" t="s">
        <v>400</v>
      </c>
      <c r="K119" s="43"/>
      <c r="L119" s="71" t="s">
        <v>105</v>
      </c>
      <c r="M119" s="73">
        <v>427</v>
      </c>
      <c r="N119" s="71" t="s">
        <v>388</v>
      </c>
      <c r="O119" s="73">
        <v>1.379</v>
      </c>
      <c r="P119" s="71" t="s">
        <v>389</v>
      </c>
      <c r="Q119" s="73">
        <v>427</v>
      </c>
      <c r="R119" s="71" t="s">
        <v>388</v>
      </c>
      <c r="S119" s="73">
        <v>0</v>
      </c>
      <c r="T119" s="71" t="s">
        <v>390</v>
      </c>
      <c r="U119" s="74">
        <v>1</v>
      </c>
      <c r="V119" s="71" t="s">
        <v>391</v>
      </c>
      <c r="W119" s="130">
        <v>46050.709027777775</v>
      </c>
      <c r="X119" s="72">
        <v>46055.496527777781</v>
      </c>
      <c r="Y119" s="72">
        <v>46057.5</v>
      </c>
      <c r="Z119" s="104" t="s">
        <v>405</v>
      </c>
      <c r="AA119" s="104" t="s">
        <v>480</v>
      </c>
      <c r="AB119" s="105">
        <v>46057.1875</v>
      </c>
      <c r="AC119" s="105">
        <v>46057.75</v>
      </c>
    </row>
    <row r="120" s="70" customFormat="1" ht="11.25" customHeight="1">
      <c r="A120" s="87"/>
      <c r="C120" s="43" t="s">
        <v>606</v>
      </c>
      <c r="D120" s="71" t="s">
        <v>382</v>
      </c>
      <c r="E120" s="71" t="str">
        <f>MID(D120,1,2)</f>
        <v>IL</v>
      </c>
      <c r="F120" s="71" t="s">
        <v>480</v>
      </c>
      <c r="G120" s="71" t="str">
        <f>MID(F120,1,2)</f>
        <v>CA</v>
      </c>
      <c r="H120" s="43" t="s">
        <v>581</v>
      </c>
      <c r="I120" s="71" t="s">
        <v>607</v>
      </c>
      <c r="J120" s="71" t="s">
        <v>400</v>
      </c>
      <c r="K120" s="43"/>
      <c r="L120" s="71" t="s">
        <v>105</v>
      </c>
      <c r="M120" s="73">
        <v>500</v>
      </c>
      <c r="N120" s="71" t="s">
        <v>388</v>
      </c>
      <c r="O120" s="73">
        <v>1.724</v>
      </c>
      <c r="P120" s="71" t="s">
        <v>389</v>
      </c>
      <c r="Q120" s="73">
        <v>500</v>
      </c>
      <c r="R120" s="71" t="s">
        <v>388</v>
      </c>
      <c r="S120" s="73">
        <v>0</v>
      </c>
      <c r="T120" s="71" t="s">
        <v>390</v>
      </c>
      <c r="U120" s="74">
        <v>1</v>
      </c>
      <c r="V120" s="71" t="s">
        <v>391</v>
      </c>
      <c r="W120" s="130">
        <v>46050.729861111111</v>
      </c>
      <c r="X120" s="72">
        <v>46055.496527777781</v>
      </c>
      <c r="Y120" s="72">
        <v>46057.5</v>
      </c>
      <c r="Z120" s="104" t="s">
        <v>382</v>
      </c>
      <c r="AA120" s="104" t="s">
        <v>405</v>
      </c>
      <c r="AB120" s="105">
        <v>46055.565972222219</v>
      </c>
      <c r="AC120" s="105">
        <v>46055.7625</v>
      </c>
    </row>
    <row r="121" s="70" customFormat="1" ht="11.25" customHeight="1">
      <c r="A121" s="87"/>
      <c r="C121" s="43" t="s">
        <v>606</v>
      </c>
      <c r="D121" s="71" t="s">
        <v>382</v>
      </c>
      <c r="E121" s="71" t="str">
        <f>MID(D121,1,2)</f>
        <v>IL</v>
      </c>
      <c r="F121" s="71" t="s">
        <v>480</v>
      </c>
      <c r="G121" s="71" t="str">
        <f>MID(F121,1,2)</f>
        <v>CA</v>
      </c>
      <c r="H121" s="43" t="s">
        <v>581</v>
      </c>
      <c r="I121" s="71" t="s">
        <v>607</v>
      </c>
      <c r="J121" s="71" t="s">
        <v>400</v>
      </c>
      <c r="K121" s="43"/>
      <c r="L121" s="71" t="s">
        <v>105</v>
      </c>
      <c r="M121" s="73">
        <v>500</v>
      </c>
      <c r="N121" s="71" t="s">
        <v>388</v>
      </c>
      <c r="O121" s="73">
        <v>1.724</v>
      </c>
      <c r="P121" s="71" t="s">
        <v>389</v>
      </c>
      <c r="Q121" s="73">
        <v>500</v>
      </c>
      <c r="R121" s="71" t="s">
        <v>388</v>
      </c>
      <c r="S121" s="73">
        <v>0</v>
      </c>
      <c r="T121" s="71" t="s">
        <v>390</v>
      </c>
      <c r="U121" s="74">
        <v>1</v>
      </c>
      <c r="V121" s="71" t="s">
        <v>391</v>
      </c>
      <c r="W121" s="130">
        <v>46050.729861111111</v>
      </c>
      <c r="X121" s="72">
        <v>46055.496527777781</v>
      </c>
      <c r="Y121" s="72">
        <v>46057.5</v>
      </c>
      <c r="Z121" s="104" t="s">
        <v>405</v>
      </c>
      <c r="AA121" s="104" t="s">
        <v>480</v>
      </c>
      <c r="AB121" s="105">
        <v>46057.1875</v>
      </c>
      <c r="AC121" s="105">
        <v>46057.75</v>
      </c>
    </row>
    <row r="122" s="70" customFormat="1" ht="11.25" customHeight="1">
      <c r="A122" s="87"/>
      <c r="C122" s="43" t="s">
        <v>608</v>
      </c>
      <c r="D122" s="71" t="s">
        <v>382</v>
      </c>
      <c r="E122" s="71" t="str">
        <f>MID(D122,1,2)</f>
        <v>IL</v>
      </c>
      <c r="F122" s="71" t="s">
        <v>383</v>
      </c>
      <c r="G122" s="71" t="str">
        <f>MID(F122,1,2)</f>
        <v>DE</v>
      </c>
      <c r="H122" s="43" t="s">
        <v>609</v>
      </c>
      <c r="I122" s="71" t="s">
        <v>610</v>
      </c>
      <c r="J122" s="71" t="s">
        <v>611</v>
      </c>
      <c r="K122" s="43"/>
      <c r="L122" s="71" t="s">
        <v>105</v>
      </c>
      <c r="M122" s="73">
        <v>164</v>
      </c>
      <c r="N122" s="71" t="s">
        <v>388</v>
      </c>
      <c r="O122" s="73">
        <v>1.314</v>
      </c>
      <c r="P122" s="71" t="s">
        <v>389</v>
      </c>
      <c r="Q122" s="73">
        <v>219</v>
      </c>
      <c r="R122" s="71" t="s">
        <v>388</v>
      </c>
      <c r="S122" s="73">
        <v>0</v>
      </c>
      <c r="T122" s="71" t="s">
        <v>390</v>
      </c>
      <c r="U122" s="74">
        <v>1</v>
      </c>
      <c r="V122" s="71" t="s">
        <v>391</v>
      </c>
      <c r="W122" s="130"/>
      <c r="X122" s="72">
        <v>46056.565972222219</v>
      </c>
      <c r="Y122" s="72">
        <v>46064.31875</v>
      </c>
      <c r="Z122" s="104" t="s">
        <v>383</v>
      </c>
      <c r="AA122" s="104" t="s">
        <v>504</v>
      </c>
      <c r="AB122" s="105">
        <v>46063.904166666667</v>
      </c>
      <c r="AC122" s="105">
        <v>46064.310416666667</v>
      </c>
    </row>
    <row r="123" s="70" customFormat="1" ht="11.25" customHeight="1">
      <c r="A123" s="87"/>
      <c r="C123" s="43" t="s">
        <v>608</v>
      </c>
      <c r="D123" s="71" t="s">
        <v>382</v>
      </c>
      <c r="E123" s="71" t="str">
        <f>MID(D123,1,2)</f>
        <v>IL</v>
      </c>
      <c r="F123" s="71" t="s">
        <v>383</v>
      </c>
      <c r="G123" s="71" t="str">
        <f>MID(F123,1,2)</f>
        <v>DE</v>
      </c>
      <c r="H123" s="43" t="s">
        <v>609</v>
      </c>
      <c r="I123" s="71" t="s">
        <v>610</v>
      </c>
      <c r="J123" s="71" t="s">
        <v>611</v>
      </c>
      <c r="K123" s="43"/>
      <c r="L123" s="71" t="s">
        <v>105</v>
      </c>
      <c r="M123" s="73">
        <v>164</v>
      </c>
      <c r="N123" s="71" t="s">
        <v>388</v>
      </c>
      <c r="O123" s="73">
        <v>1.314</v>
      </c>
      <c r="P123" s="71" t="s">
        <v>389</v>
      </c>
      <c r="Q123" s="73">
        <v>219</v>
      </c>
      <c r="R123" s="71" t="s">
        <v>388</v>
      </c>
      <c r="S123" s="73">
        <v>0</v>
      </c>
      <c r="T123" s="71" t="s">
        <v>390</v>
      </c>
      <c r="U123" s="74">
        <v>1</v>
      </c>
      <c r="V123" s="71" t="s">
        <v>391</v>
      </c>
      <c r="W123" s="130"/>
      <c r="X123" s="72">
        <v>46056.565972222219</v>
      </c>
      <c r="Y123" s="72">
        <v>46064.31875</v>
      </c>
      <c r="Z123" s="104" t="s">
        <v>382</v>
      </c>
      <c r="AA123" s="104" t="s">
        <v>383</v>
      </c>
      <c r="AB123" s="105">
        <v>46056.557638888888</v>
      </c>
      <c r="AC123" s="105">
        <v>46056.726388888892</v>
      </c>
    </row>
    <row r="124" s="70" customFormat="1" ht="11.25" customHeight="1">
      <c r="A124" s="87"/>
      <c r="C124" s="43" t="s">
        <v>612</v>
      </c>
      <c r="D124" s="71" t="s">
        <v>382</v>
      </c>
      <c r="E124" s="71" t="str">
        <f>MID(D124,1,2)</f>
        <v>IL</v>
      </c>
      <c r="F124" s="71" t="s">
        <v>468</v>
      </c>
      <c r="G124" s="71" t="str">
        <f>MID(F124,1,2)</f>
        <v>US</v>
      </c>
      <c r="H124" s="43" t="s">
        <v>613</v>
      </c>
      <c r="I124" s="71" t="s">
        <v>614</v>
      </c>
      <c r="J124" s="71" t="s">
        <v>386</v>
      </c>
      <c r="K124" s="43"/>
      <c r="L124" s="71" t="s">
        <v>107</v>
      </c>
      <c r="M124" s="73">
        <v>3</v>
      </c>
      <c r="N124" s="71" t="s">
        <v>388</v>
      </c>
      <c r="O124" s="73">
        <v>0.092</v>
      </c>
      <c r="P124" s="71" t="s">
        <v>389</v>
      </c>
      <c r="Q124" s="73">
        <v>15.5</v>
      </c>
      <c r="R124" s="71" t="s">
        <v>388</v>
      </c>
      <c r="S124" s="73">
        <v>0</v>
      </c>
      <c r="T124" s="71" t="s">
        <v>390</v>
      </c>
      <c r="U124" s="74">
        <v>1</v>
      </c>
      <c r="V124" s="71" t="s">
        <v>446</v>
      </c>
      <c r="W124" s="130">
        <v>46054.438194444447</v>
      </c>
      <c r="X124" s="72">
        <v>46057.458333333336</v>
      </c>
      <c r="Y124" s="72">
        <v>46062.416666666664</v>
      </c>
      <c r="Z124" s="104" t="s">
        <v>382</v>
      </c>
      <c r="AA124" s="104" t="s">
        <v>422</v>
      </c>
      <c r="AB124" s="105">
        <v>46057.961111111108</v>
      </c>
      <c r="AC124" s="105">
        <v>46058.131944444445</v>
      </c>
    </row>
    <row r="125" s="70" customFormat="1" ht="11.25" customHeight="1">
      <c r="A125" s="87"/>
      <c r="C125" s="43" t="s">
        <v>612</v>
      </c>
      <c r="D125" s="71" t="s">
        <v>382</v>
      </c>
      <c r="E125" s="71" t="str">
        <f>MID(D125,1,2)</f>
        <v>IL</v>
      </c>
      <c r="F125" s="71" t="s">
        <v>468</v>
      </c>
      <c r="G125" s="71" t="str">
        <f>MID(F125,1,2)</f>
        <v>US</v>
      </c>
      <c r="H125" s="43" t="s">
        <v>613</v>
      </c>
      <c r="I125" s="71" t="s">
        <v>614</v>
      </c>
      <c r="J125" s="71" t="s">
        <v>386</v>
      </c>
      <c r="K125" s="43"/>
      <c r="L125" s="71" t="s">
        <v>107</v>
      </c>
      <c r="M125" s="73">
        <v>3</v>
      </c>
      <c r="N125" s="71" t="s">
        <v>388</v>
      </c>
      <c r="O125" s="73">
        <v>0.092</v>
      </c>
      <c r="P125" s="71" t="s">
        <v>389</v>
      </c>
      <c r="Q125" s="73">
        <v>15.5</v>
      </c>
      <c r="R125" s="71" t="s">
        <v>388</v>
      </c>
      <c r="S125" s="73">
        <v>0</v>
      </c>
      <c r="T125" s="71" t="s">
        <v>390</v>
      </c>
      <c r="U125" s="74">
        <v>1</v>
      </c>
      <c r="V125" s="71" t="s">
        <v>446</v>
      </c>
      <c r="W125" s="130">
        <v>46054.438194444447</v>
      </c>
      <c r="X125" s="72">
        <v>46057.458333333336</v>
      </c>
      <c r="Y125" s="72">
        <v>46062.416666666664</v>
      </c>
      <c r="Z125" s="104" t="s">
        <v>422</v>
      </c>
      <c r="AA125" s="104" t="s">
        <v>468</v>
      </c>
      <c r="AB125" s="105">
        <v>46058.906944444447</v>
      </c>
      <c r="AC125" s="105">
        <v>46060.544444444444</v>
      </c>
    </row>
    <row r="126" s="70" customFormat="1" ht="11.25" customHeight="1">
      <c r="A126" s="87"/>
      <c r="C126" s="43" t="s">
        <v>615</v>
      </c>
      <c r="D126" s="71" t="s">
        <v>382</v>
      </c>
      <c r="E126" s="71" t="str">
        <f>MID(D126,1,2)</f>
        <v>IL</v>
      </c>
      <c r="F126" s="71" t="s">
        <v>616</v>
      </c>
      <c r="G126" s="71" t="str">
        <f>MID(F126,1,2)</f>
        <v>HN</v>
      </c>
      <c r="H126" s="43" t="s">
        <v>617</v>
      </c>
      <c r="I126" s="71"/>
      <c r="J126" s="71" t="s">
        <v>426</v>
      </c>
      <c r="K126" s="43"/>
      <c r="L126" s="71" t="s">
        <v>105</v>
      </c>
      <c r="M126" s="73">
        <v>156</v>
      </c>
      <c r="N126" s="71" t="s">
        <v>388</v>
      </c>
      <c r="O126" s="73">
        <v>0.506</v>
      </c>
      <c r="P126" s="71" t="s">
        <v>389</v>
      </c>
      <c r="Q126" s="73">
        <v>156</v>
      </c>
      <c r="R126" s="71" t="s">
        <v>388</v>
      </c>
      <c r="S126" s="73">
        <v>0</v>
      </c>
      <c r="T126" s="71" t="s">
        <v>390</v>
      </c>
      <c r="U126" s="74">
        <v>1</v>
      </c>
      <c r="V126" s="71" t="s">
        <v>391</v>
      </c>
      <c r="W126" s="130">
        <v>46051.395833333336</v>
      </c>
      <c r="X126" s="72">
        <v>46054.586805555555</v>
      </c>
      <c r="Y126" s="72">
        <v>46082.909722222219</v>
      </c>
      <c r="Z126" s="104" t="s">
        <v>382</v>
      </c>
      <c r="AA126" s="104" t="s">
        <v>577</v>
      </c>
      <c r="AB126" s="105">
        <v>46054.384722222225</v>
      </c>
      <c r="AC126" s="105">
        <v>46054.52847222222</v>
      </c>
    </row>
    <row r="127" s="70" customFormat="1" ht="11.25" customHeight="1">
      <c r="A127" s="87"/>
      <c r="C127" s="43" t="s">
        <v>615</v>
      </c>
      <c r="D127" s="71" t="s">
        <v>382</v>
      </c>
      <c r="E127" s="71" t="str">
        <f>MID(D127,1,2)</f>
        <v>IL</v>
      </c>
      <c r="F127" s="71" t="s">
        <v>616</v>
      </c>
      <c r="G127" s="71" t="str">
        <f>MID(F127,1,2)</f>
        <v>HN</v>
      </c>
      <c r="H127" s="43" t="s">
        <v>617</v>
      </c>
      <c r="I127" s="71"/>
      <c r="J127" s="71" t="s">
        <v>426</v>
      </c>
      <c r="K127" s="43"/>
      <c r="L127" s="71" t="s">
        <v>105</v>
      </c>
      <c r="M127" s="73">
        <v>156</v>
      </c>
      <c r="N127" s="71" t="s">
        <v>388</v>
      </c>
      <c r="O127" s="73">
        <v>0.506</v>
      </c>
      <c r="P127" s="71" t="s">
        <v>389</v>
      </c>
      <c r="Q127" s="73">
        <v>156</v>
      </c>
      <c r="R127" s="71" t="s">
        <v>388</v>
      </c>
      <c r="S127" s="73">
        <v>0</v>
      </c>
      <c r="T127" s="71" t="s">
        <v>390</v>
      </c>
      <c r="U127" s="74">
        <v>1</v>
      </c>
      <c r="V127" s="71" t="s">
        <v>391</v>
      </c>
      <c r="W127" s="130">
        <v>46051.395833333336</v>
      </c>
      <c r="X127" s="72">
        <v>46054.586805555555</v>
      </c>
      <c r="Y127" s="72">
        <v>46082.909722222219</v>
      </c>
      <c r="Z127" s="104" t="s">
        <v>577</v>
      </c>
      <c r="AA127" s="104" t="s">
        <v>618</v>
      </c>
      <c r="AB127" s="105">
        <v>46056.438888888886</v>
      </c>
      <c r="AC127" s="105">
        <v>46056.6375</v>
      </c>
    </row>
    <row r="128" s="70" customFormat="1" ht="11.25" customHeight="1">
      <c r="A128" s="87"/>
      <c r="C128" s="43" t="s">
        <v>615</v>
      </c>
      <c r="D128" s="71" t="s">
        <v>382</v>
      </c>
      <c r="E128" s="71" t="str">
        <f>MID(D128,1,2)</f>
        <v>IL</v>
      </c>
      <c r="F128" s="71" t="s">
        <v>616</v>
      </c>
      <c r="G128" s="71" t="str">
        <f>MID(F128,1,2)</f>
        <v>HN</v>
      </c>
      <c r="H128" s="43" t="s">
        <v>617</v>
      </c>
      <c r="I128" s="71"/>
      <c r="J128" s="71" t="s">
        <v>426</v>
      </c>
      <c r="K128" s="43"/>
      <c r="L128" s="71" t="s">
        <v>105</v>
      </c>
      <c r="M128" s="73">
        <v>156</v>
      </c>
      <c r="N128" s="71" t="s">
        <v>388</v>
      </c>
      <c r="O128" s="73">
        <v>0.506</v>
      </c>
      <c r="P128" s="71" t="s">
        <v>389</v>
      </c>
      <c r="Q128" s="73">
        <v>156</v>
      </c>
      <c r="R128" s="71" t="s">
        <v>388</v>
      </c>
      <c r="S128" s="73">
        <v>0</v>
      </c>
      <c r="T128" s="71" t="s">
        <v>390</v>
      </c>
      <c r="U128" s="74">
        <v>1</v>
      </c>
      <c r="V128" s="71" t="s">
        <v>391</v>
      </c>
      <c r="W128" s="130">
        <v>46051.395833333336</v>
      </c>
      <c r="X128" s="72">
        <v>46054.586805555555</v>
      </c>
      <c r="Y128" s="72">
        <v>46082.909722222219</v>
      </c>
      <c r="Z128" s="104" t="s">
        <v>618</v>
      </c>
      <c r="AA128" s="104" t="s">
        <v>619</v>
      </c>
      <c r="AB128" s="105">
        <v>46075.470833333333</v>
      </c>
      <c r="AC128" s="105">
        <v>46081.566666666666</v>
      </c>
    </row>
    <row r="129" s="70" customFormat="1" ht="11.25" customHeight="1">
      <c r="A129" s="87"/>
      <c r="C129" s="43" t="s">
        <v>615</v>
      </c>
      <c r="D129" s="71" t="s">
        <v>382</v>
      </c>
      <c r="E129" s="71" t="str">
        <f>MID(D129,1,2)</f>
        <v>IL</v>
      </c>
      <c r="F129" s="71" t="s">
        <v>616</v>
      </c>
      <c r="G129" s="71" t="str">
        <f>MID(F129,1,2)</f>
        <v>HN</v>
      </c>
      <c r="H129" s="43" t="s">
        <v>617</v>
      </c>
      <c r="I129" s="71"/>
      <c r="J129" s="71" t="s">
        <v>426</v>
      </c>
      <c r="K129" s="43"/>
      <c r="L129" s="71" t="s">
        <v>105</v>
      </c>
      <c r="M129" s="73">
        <v>156</v>
      </c>
      <c r="N129" s="71" t="s">
        <v>388</v>
      </c>
      <c r="O129" s="73">
        <v>0.506</v>
      </c>
      <c r="P129" s="71" t="s">
        <v>389</v>
      </c>
      <c r="Q129" s="73">
        <v>156</v>
      </c>
      <c r="R129" s="71" t="s">
        <v>388</v>
      </c>
      <c r="S129" s="73">
        <v>0</v>
      </c>
      <c r="T129" s="71" t="s">
        <v>390</v>
      </c>
      <c r="U129" s="74">
        <v>1</v>
      </c>
      <c r="V129" s="71" t="s">
        <v>391</v>
      </c>
      <c r="W129" s="130">
        <v>46051.395833333336</v>
      </c>
      <c r="X129" s="72">
        <v>46054.586805555555</v>
      </c>
      <c r="Y129" s="72">
        <v>46082.909722222219</v>
      </c>
      <c r="Z129" s="104" t="s">
        <v>619</v>
      </c>
      <c r="AA129" s="104" t="s">
        <v>616</v>
      </c>
      <c r="AB129" s="105">
        <v>46082.736805555556</v>
      </c>
      <c r="AC129" s="105">
        <v>46058.76458333333</v>
      </c>
    </row>
    <row r="130" s="70" customFormat="1" ht="11.25" customHeight="1">
      <c r="A130" s="87"/>
      <c r="C130" s="43" t="s">
        <v>620</v>
      </c>
      <c r="D130" s="71" t="s">
        <v>382</v>
      </c>
      <c r="E130" s="71" t="str">
        <f>MID(D130,1,2)</f>
        <v>IL</v>
      </c>
      <c r="F130" s="71" t="s">
        <v>443</v>
      </c>
      <c r="G130" s="71" t="str">
        <f>MID(F130,1,2)</f>
        <v>US</v>
      </c>
      <c r="H130" s="43" t="s">
        <v>621</v>
      </c>
      <c r="I130" s="71" t="s">
        <v>622</v>
      </c>
      <c r="J130" s="71" t="s">
        <v>386</v>
      </c>
      <c r="K130" s="43"/>
      <c r="L130" s="71" t="s">
        <v>107</v>
      </c>
      <c r="M130" s="73">
        <v>115</v>
      </c>
      <c r="N130" s="71" t="s">
        <v>388</v>
      </c>
      <c r="O130" s="73">
        <v>1.085</v>
      </c>
      <c r="P130" s="71" t="s">
        <v>389</v>
      </c>
      <c r="Q130" s="73">
        <v>181</v>
      </c>
      <c r="R130" s="71" t="s">
        <v>388</v>
      </c>
      <c r="S130" s="73">
        <v>0</v>
      </c>
      <c r="T130" s="71" t="s">
        <v>390</v>
      </c>
      <c r="U130" s="74">
        <v>1</v>
      </c>
      <c r="V130" s="71" t="s">
        <v>391</v>
      </c>
      <c r="W130" s="130">
        <v>46051.424305555556</v>
      </c>
      <c r="X130" s="72">
        <v>46054.479166666664</v>
      </c>
      <c r="Y130" s="72">
        <v>46057.333333333336</v>
      </c>
      <c r="Z130" s="104" t="s">
        <v>382</v>
      </c>
      <c r="AA130" s="104" t="s">
        <v>422</v>
      </c>
      <c r="AB130" s="105">
        <v>46054.530555555553</v>
      </c>
      <c r="AC130" s="105">
        <v>46054.714583333334</v>
      </c>
    </row>
    <row r="131" s="70" customFormat="1" ht="11.25" customHeight="1">
      <c r="A131" s="87"/>
      <c r="C131" s="43" t="s">
        <v>620</v>
      </c>
      <c r="D131" s="71" t="s">
        <v>382</v>
      </c>
      <c r="E131" s="71" t="str">
        <f>MID(D131,1,2)</f>
        <v>IL</v>
      </c>
      <c r="F131" s="71" t="s">
        <v>443</v>
      </c>
      <c r="G131" s="71" t="str">
        <f>MID(F131,1,2)</f>
        <v>US</v>
      </c>
      <c r="H131" s="43" t="s">
        <v>621</v>
      </c>
      <c r="I131" s="71" t="s">
        <v>622</v>
      </c>
      <c r="J131" s="71" t="s">
        <v>386</v>
      </c>
      <c r="K131" s="43"/>
      <c r="L131" s="71" t="s">
        <v>107</v>
      </c>
      <c r="M131" s="73">
        <v>115</v>
      </c>
      <c r="N131" s="71" t="s">
        <v>388</v>
      </c>
      <c r="O131" s="73">
        <v>1.085</v>
      </c>
      <c r="P131" s="71" t="s">
        <v>389</v>
      </c>
      <c r="Q131" s="73">
        <v>181</v>
      </c>
      <c r="R131" s="71" t="s">
        <v>388</v>
      </c>
      <c r="S131" s="73">
        <v>0</v>
      </c>
      <c r="T131" s="71" t="s">
        <v>390</v>
      </c>
      <c r="U131" s="74">
        <v>1</v>
      </c>
      <c r="V131" s="71" t="s">
        <v>391</v>
      </c>
      <c r="W131" s="130">
        <v>46051.424305555556</v>
      </c>
      <c r="X131" s="72">
        <v>46054.479166666664</v>
      </c>
      <c r="Y131" s="72">
        <v>46057.333333333336</v>
      </c>
      <c r="Z131" s="104" t="s">
        <v>422</v>
      </c>
      <c r="AA131" s="104" t="s">
        <v>443</v>
      </c>
      <c r="AB131" s="105">
        <v>46055.29583333333</v>
      </c>
      <c r="AC131" s="105">
        <v>46055.423611111109</v>
      </c>
    </row>
    <row r="132" s="70" customFormat="1" ht="11.25" customHeight="1">
      <c r="A132" s="87"/>
      <c r="C132" s="43" t="s">
        <v>623</v>
      </c>
      <c r="D132" s="71" t="s">
        <v>382</v>
      </c>
      <c r="E132" s="71" t="str">
        <f>MID(D132,1,2)</f>
        <v>IL</v>
      </c>
      <c r="F132" s="71" t="s">
        <v>443</v>
      </c>
      <c r="G132" s="71" t="str">
        <f>MID(F132,1,2)</f>
        <v>US</v>
      </c>
      <c r="H132" s="43" t="s">
        <v>534</v>
      </c>
      <c r="I132" s="71" t="s">
        <v>624</v>
      </c>
      <c r="J132" s="71" t="s">
        <v>386</v>
      </c>
      <c r="K132" s="43"/>
      <c r="L132" s="71" t="s">
        <v>107</v>
      </c>
      <c r="M132" s="73">
        <v>330</v>
      </c>
      <c r="N132" s="71" t="s">
        <v>388</v>
      </c>
      <c r="O132" s="73">
        <v>4.5</v>
      </c>
      <c r="P132" s="71" t="s">
        <v>389</v>
      </c>
      <c r="Q132" s="73">
        <v>750</v>
      </c>
      <c r="R132" s="71" t="s">
        <v>388</v>
      </c>
      <c r="S132" s="73">
        <v>0</v>
      </c>
      <c r="T132" s="71" t="s">
        <v>390</v>
      </c>
      <c r="U132" s="74">
        <v>5</v>
      </c>
      <c r="V132" s="71" t="s">
        <v>536</v>
      </c>
      <c r="W132" s="130">
        <v>46051.465277777781</v>
      </c>
      <c r="X132" s="72">
        <v>46054.479166666664</v>
      </c>
      <c r="Y132" s="72">
        <v>46055.877083333333</v>
      </c>
      <c r="Z132" s="104" t="s">
        <v>382</v>
      </c>
      <c r="AA132" s="104" t="s">
        <v>422</v>
      </c>
      <c r="AB132" s="105">
        <v>46054.530555555553</v>
      </c>
      <c r="AC132" s="105">
        <v>46055.145833333336</v>
      </c>
    </row>
    <row r="133" s="70" customFormat="1" ht="11.25" customHeight="1">
      <c r="A133" s="87"/>
      <c r="C133" s="43" t="s">
        <v>623</v>
      </c>
      <c r="D133" s="71" t="s">
        <v>382</v>
      </c>
      <c r="E133" s="71" t="str">
        <f>MID(D133,1,2)</f>
        <v>IL</v>
      </c>
      <c r="F133" s="71" t="s">
        <v>443</v>
      </c>
      <c r="G133" s="71" t="str">
        <f>MID(F133,1,2)</f>
        <v>US</v>
      </c>
      <c r="H133" s="43" t="s">
        <v>534</v>
      </c>
      <c r="I133" s="71" t="s">
        <v>624</v>
      </c>
      <c r="J133" s="71" t="s">
        <v>386</v>
      </c>
      <c r="K133" s="43"/>
      <c r="L133" s="71" t="s">
        <v>107</v>
      </c>
      <c r="M133" s="73">
        <v>330</v>
      </c>
      <c r="N133" s="71" t="s">
        <v>388</v>
      </c>
      <c r="O133" s="73">
        <v>4.5</v>
      </c>
      <c r="P133" s="71" t="s">
        <v>389</v>
      </c>
      <c r="Q133" s="73">
        <v>750</v>
      </c>
      <c r="R133" s="71" t="s">
        <v>388</v>
      </c>
      <c r="S133" s="73">
        <v>0</v>
      </c>
      <c r="T133" s="71" t="s">
        <v>390</v>
      </c>
      <c r="U133" s="74">
        <v>5</v>
      </c>
      <c r="V133" s="71" t="s">
        <v>536</v>
      </c>
      <c r="W133" s="130">
        <v>46051.465277777781</v>
      </c>
      <c r="X133" s="72">
        <v>46054.479166666664</v>
      </c>
      <c r="Y133" s="72">
        <v>46055.877083333333</v>
      </c>
      <c r="Z133" s="104" t="s">
        <v>422</v>
      </c>
      <c r="AA133" s="104" t="s">
        <v>443</v>
      </c>
      <c r="AB133" s="105">
        <v>46055.949305555558</v>
      </c>
      <c r="AC133" s="105">
        <v>46056.06875</v>
      </c>
    </row>
    <row r="134" s="70" customFormat="1" ht="11.25" customHeight="1">
      <c r="A134" s="87"/>
      <c r="C134" s="43" t="s">
        <v>625</v>
      </c>
      <c r="D134" s="71" t="s">
        <v>382</v>
      </c>
      <c r="E134" s="71" t="str">
        <f>MID(D134,1,2)</f>
        <v>IL</v>
      </c>
      <c r="F134" s="71" t="s">
        <v>414</v>
      </c>
      <c r="G134" s="71" t="str">
        <f>MID(F134,1,2)</f>
        <v>US</v>
      </c>
      <c r="H134" s="43" t="s">
        <v>626</v>
      </c>
      <c r="I134" s="71" t="s">
        <v>627</v>
      </c>
      <c r="J134" s="71" t="s">
        <v>426</v>
      </c>
      <c r="K134" s="43"/>
      <c r="L134" s="71" t="s">
        <v>105</v>
      </c>
      <c r="M134" s="73">
        <v>131</v>
      </c>
      <c r="N134" s="71" t="s">
        <v>388</v>
      </c>
      <c r="O134" s="73">
        <v>0.166</v>
      </c>
      <c r="P134" s="71" t="s">
        <v>389</v>
      </c>
      <c r="Q134" s="73">
        <v>131</v>
      </c>
      <c r="R134" s="71" t="s">
        <v>388</v>
      </c>
      <c r="S134" s="73">
        <v>0</v>
      </c>
      <c r="T134" s="71" t="s">
        <v>390</v>
      </c>
      <c r="U134" s="74">
        <v>1</v>
      </c>
      <c r="V134" s="71" t="s">
        <v>391</v>
      </c>
      <c r="W134" s="130">
        <v>46051.4375</v>
      </c>
      <c r="X134" s="72">
        <v>46054.03125</v>
      </c>
      <c r="Y134" s="72">
        <v>46054.25</v>
      </c>
      <c r="Z134" s="104" t="s">
        <v>382</v>
      </c>
      <c r="AA134" s="104" t="s">
        <v>414</v>
      </c>
      <c r="AB134" s="105">
        <v>46054.029166666667</v>
      </c>
      <c r="AC134" s="105">
        <v>46054.220138888886</v>
      </c>
    </row>
    <row r="135" s="70" customFormat="1" ht="11.25" customHeight="1">
      <c r="A135" s="87"/>
      <c r="C135" s="43" t="s">
        <v>628</v>
      </c>
      <c r="D135" s="71" t="s">
        <v>382</v>
      </c>
      <c r="E135" s="71" t="str">
        <f>MID(D135,1,2)</f>
        <v>IL</v>
      </c>
      <c r="F135" s="71" t="s">
        <v>629</v>
      </c>
      <c r="G135" s="71" t="str">
        <f>MID(F135,1,2)</f>
        <v>HR</v>
      </c>
      <c r="H135" s="43" t="s">
        <v>630</v>
      </c>
      <c r="I135" s="71" t="s">
        <v>631</v>
      </c>
      <c r="J135" s="71" t="s">
        <v>426</v>
      </c>
      <c r="K135" s="43"/>
      <c r="L135" s="71" t="s">
        <v>105</v>
      </c>
      <c r="M135" s="73">
        <v>164</v>
      </c>
      <c r="N135" s="71" t="s">
        <v>388</v>
      </c>
      <c r="O135" s="73">
        <v>0.506</v>
      </c>
      <c r="P135" s="71" t="s">
        <v>389</v>
      </c>
      <c r="Q135" s="73">
        <v>164</v>
      </c>
      <c r="R135" s="71" t="s">
        <v>388</v>
      </c>
      <c r="S135" s="73">
        <v>0</v>
      </c>
      <c r="T135" s="71" t="s">
        <v>390</v>
      </c>
      <c r="U135" s="74">
        <v>1</v>
      </c>
      <c r="V135" s="71" t="s">
        <v>391</v>
      </c>
      <c r="W135" s="130">
        <v>46051.789340277777</v>
      </c>
      <c r="X135" s="72">
        <v>46054.246527777781</v>
      </c>
      <c r="Y135" s="72">
        <v>46055.511111111111</v>
      </c>
      <c r="Z135" s="104" t="s">
        <v>382</v>
      </c>
      <c r="AA135" s="104" t="s">
        <v>595</v>
      </c>
      <c r="AB135" s="105">
        <v>46054.25</v>
      </c>
      <c r="AC135" s="105">
        <v>46054.351388888892</v>
      </c>
    </row>
    <row r="136" s="70" customFormat="1" ht="11.25" customHeight="1">
      <c r="A136" s="87"/>
      <c r="C136" s="43" t="s">
        <v>628</v>
      </c>
      <c r="D136" s="71" t="s">
        <v>382</v>
      </c>
      <c r="E136" s="71" t="str">
        <f>MID(D136,1,2)</f>
        <v>IL</v>
      </c>
      <c r="F136" s="71" t="s">
        <v>629</v>
      </c>
      <c r="G136" s="71" t="str">
        <f>MID(F136,1,2)</f>
        <v>HR</v>
      </c>
      <c r="H136" s="43" t="s">
        <v>630</v>
      </c>
      <c r="I136" s="71" t="s">
        <v>631</v>
      </c>
      <c r="J136" s="71" t="s">
        <v>426</v>
      </c>
      <c r="K136" s="43"/>
      <c r="L136" s="71" t="s">
        <v>105</v>
      </c>
      <c r="M136" s="73">
        <v>164</v>
      </c>
      <c r="N136" s="71" t="s">
        <v>388</v>
      </c>
      <c r="O136" s="73">
        <v>0.506</v>
      </c>
      <c r="P136" s="71" t="s">
        <v>389</v>
      </c>
      <c r="Q136" s="73">
        <v>164</v>
      </c>
      <c r="R136" s="71" t="s">
        <v>388</v>
      </c>
      <c r="S136" s="73">
        <v>0</v>
      </c>
      <c r="T136" s="71" t="s">
        <v>390</v>
      </c>
      <c r="U136" s="74">
        <v>1</v>
      </c>
      <c r="V136" s="71" t="s">
        <v>391</v>
      </c>
      <c r="W136" s="130">
        <v>46051.789340277777</v>
      </c>
      <c r="X136" s="72">
        <v>46054.246527777781</v>
      </c>
      <c r="Y136" s="72">
        <v>46055.511111111111</v>
      </c>
      <c r="Z136" s="104" t="s">
        <v>595</v>
      </c>
      <c r="AA136" s="104" t="s">
        <v>629</v>
      </c>
      <c r="AB136" s="105">
        <v>46054.942361111112</v>
      </c>
      <c r="AC136" s="105">
        <v>46055.32708333333</v>
      </c>
    </row>
    <row r="137" s="70" customFormat="1" ht="11.25" customHeight="1">
      <c r="A137" s="87"/>
      <c r="C137" s="43" t="s">
        <v>632</v>
      </c>
      <c r="D137" s="71" t="s">
        <v>382</v>
      </c>
      <c r="E137" s="71" t="str">
        <f>MID(D137,1,2)</f>
        <v>IL</v>
      </c>
      <c r="F137" s="71" t="s">
        <v>522</v>
      </c>
      <c r="G137" s="71" t="str">
        <f>MID(F137,1,2)</f>
        <v>CZ</v>
      </c>
      <c r="H137" s="43" t="s">
        <v>492</v>
      </c>
      <c r="I137" s="71" t="s">
        <v>633</v>
      </c>
      <c r="J137" s="71" t="s">
        <v>386</v>
      </c>
      <c r="K137" s="43"/>
      <c r="L137" s="71" t="s">
        <v>107</v>
      </c>
      <c r="M137" s="73">
        <v>173</v>
      </c>
      <c r="N137" s="71" t="s">
        <v>388</v>
      </c>
      <c r="O137" s="73">
        <v>2.516</v>
      </c>
      <c r="P137" s="71" t="s">
        <v>389</v>
      </c>
      <c r="Q137" s="73">
        <v>419.5</v>
      </c>
      <c r="R137" s="71" t="s">
        <v>388</v>
      </c>
      <c r="S137" s="73">
        <v>0</v>
      </c>
      <c r="T137" s="71" t="s">
        <v>390</v>
      </c>
      <c r="U137" s="74">
        <v>2</v>
      </c>
      <c r="V137" s="71" t="s">
        <v>391</v>
      </c>
      <c r="W137" s="130">
        <v>46054.738888888889</v>
      </c>
      <c r="X137" s="72">
        <v>46057.229166666664</v>
      </c>
      <c r="Y137" s="72">
        <v>46059.5</v>
      </c>
      <c r="Z137" s="104" t="s">
        <v>383</v>
      </c>
      <c r="AA137" s="104" t="s">
        <v>522</v>
      </c>
      <c r="AB137" s="105">
        <v>46061.93472222222</v>
      </c>
      <c r="AC137" s="105">
        <v>46062.397222222222</v>
      </c>
    </row>
    <row r="138" s="70" customFormat="1" ht="11.25" customHeight="1">
      <c r="A138" s="87"/>
      <c r="C138" s="43" t="s">
        <v>632</v>
      </c>
      <c r="D138" s="71" t="s">
        <v>382</v>
      </c>
      <c r="E138" s="71" t="str">
        <f>MID(D138,1,2)</f>
        <v>IL</v>
      </c>
      <c r="F138" s="71" t="s">
        <v>522</v>
      </c>
      <c r="G138" s="71" t="str">
        <f>MID(F138,1,2)</f>
        <v>CZ</v>
      </c>
      <c r="H138" s="43" t="s">
        <v>492</v>
      </c>
      <c r="I138" s="71" t="s">
        <v>633</v>
      </c>
      <c r="J138" s="71" t="s">
        <v>386</v>
      </c>
      <c r="K138" s="43"/>
      <c r="L138" s="71" t="s">
        <v>107</v>
      </c>
      <c r="M138" s="73">
        <v>173</v>
      </c>
      <c r="N138" s="71" t="s">
        <v>388</v>
      </c>
      <c r="O138" s="73">
        <v>2.516</v>
      </c>
      <c r="P138" s="71" t="s">
        <v>389</v>
      </c>
      <c r="Q138" s="73">
        <v>419.5</v>
      </c>
      <c r="R138" s="71" t="s">
        <v>388</v>
      </c>
      <c r="S138" s="73">
        <v>0</v>
      </c>
      <c r="T138" s="71" t="s">
        <v>390</v>
      </c>
      <c r="U138" s="74">
        <v>2</v>
      </c>
      <c r="V138" s="71" t="s">
        <v>391</v>
      </c>
      <c r="W138" s="130">
        <v>46054.738888888889</v>
      </c>
      <c r="X138" s="72">
        <v>46057.229166666664</v>
      </c>
      <c r="Y138" s="72">
        <v>46059.5</v>
      </c>
      <c r="Z138" s="104" t="s">
        <v>382</v>
      </c>
      <c r="AA138" s="104" t="s">
        <v>466</v>
      </c>
      <c r="AB138" s="105">
        <v>46057.976388888892</v>
      </c>
      <c r="AC138" s="105"/>
    </row>
    <row r="139" s="70" customFormat="1" ht="11.25" customHeight="1">
      <c r="A139" s="87"/>
      <c r="C139" s="43" t="s">
        <v>632</v>
      </c>
      <c r="D139" s="71" t="s">
        <v>382</v>
      </c>
      <c r="E139" s="71" t="str">
        <f>MID(D139,1,2)</f>
        <v>IL</v>
      </c>
      <c r="F139" s="71" t="s">
        <v>522</v>
      </c>
      <c r="G139" s="71" t="str">
        <f>MID(F139,1,2)</f>
        <v>CZ</v>
      </c>
      <c r="H139" s="43" t="s">
        <v>492</v>
      </c>
      <c r="I139" s="71" t="s">
        <v>633</v>
      </c>
      <c r="J139" s="71" t="s">
        <v>386</v>
      </c>
      <c r="K139" s="43"/>
      <c r="L139" s="71" t="s">
        <v>107</v>
      </c>
      <c r="M139" s="73">
        <v>173</v>
      </c>
      <c r="N139" s="71" t="s">
        <v>388</v>
      </c>
      <c r="O139" s="73">
        <v>2.516</v>
      </c>
      <c r="P139" s="71" t="s">
        <v>389</v>
      </c>
      <c r="Q139" s="73">
        <v>419.5</v>
      </c>
      <c r="R139" s="71" t="s">
        <v>388</v>
      </c>
      <c r="S139" s="73">
        <v>0</v>
      </c>
      <c r="T139" s="71" t="s">
        <v>390</v>
      </c>
      <c r="U139" s="74">
        <v>2</v>
      </c>
      <c r="V139" s="71" t="s">
        <v>391</v>
      </c>
      <c r="W139" s="130">
        <v>46054.738888888889</v>
      </c>
      <c r="X139" s="72">
        <v>46057.229166666664</v>
      </c>
      <c r="Y139" s="72">
        <v>46059.5</v>
      </c>
      <c r="Z139" s="104" t="s">
        <v>466</v>
      </c>
      <c r="AA139" s="104" t="s">
        <v>383</v>
      </c>
      <c r="AB139" s="105">
        <v>46058.986111111109</v>
      </c>
      <c r="AC139" s="105"/>
    </row>
    <row r="140" s="70" customFormat="1" ht="11.25" customHeight="1">
      <c r="A140" s="87"/>
      <c r="C140" s="43" t="s">
        <v>634</v>
      </c>
      <c r="D140" s="71" t="s">
        <v>382</v>
      </c>
      <c r="E140" s="71" t="str">
        <f>MID(D140,1,2)</f>
        <v>IL</v>
      </c>
      <c r="F140" s="71" t="s">
        <v>471</v>
      </c>
      <c r="G140" s="71" t="str">
        <f>MID(F140,1,2)</f>
        <v>US</v>
      </c>
      <c r="H140" s="43" t="s">
        <v>635</v>
      </c>
      <c r="I140" s="71" t="s">
        <v>636</v>
      </c>
      <c r="J140" s="71" t="s">
        <v>386</v>
      </c>
      <c r="K140" s="43"/>
      <c r="L140" s="71" t="s">
        <v>107</v>
      </c>
      <c r="M140" s="73">
        <v>209</v>
      </c>
      <c r="N140" s="71" t="s">
        <v>388</v>
      </c>
      <c r="O140" s="73">
        <v>1.012</v>
      </c>
      <c r="P140" s="71" t="s">
        <v>389</v>
      </c>
      <c r="Q140" s="73">
        <v>209</v>
      </c>
      <c r="R140" s="71" t="s">
        <v>388</v>
      </c>
      <c r="S140" s="73">
        <v>0</v>
      </c>
      <c r="T140" s="71" t="s">
        <v>390</v>
      </c>
      <c r="U140" s="74">
        <v>3</v>
      </c>
      <c r="V140" s="71" t="s">
        <v>391</v>
      </c>
      <c r="W140" s="130">
        <v>46051.563194444447</v>
      </c>
      <c r="X140" s="72">
        <v>46055.458333333336</v>
      </c>
      <c r="Y140" s="72">
        <v>46056.215277777781</v>
      </c>
      <c r="Z140" s="104" t="s">
        <v>382</v>
      </c>
      <c r="AA140" s="104" t="s">
        <v>471</v>
      </c>
      <c r="AB140" s="105">
        <v>46056.009722222225</v>
      </c>
      <c r="AC140" s="105">
        <v>46056.18472222222</v>
      </c>
    </row>
    <row r="141" s="70" customFormat="1" ht="11.25" customHeight="1">
      <c r="A141" s="87"/>
      <c r="C141" s="43" t="s">
        <v>637</v>
      </c>
      <c r="D141" s="71" t="s">
        <v>382</v>
      </c>
      <c r="E141" s="71" t="str">
        <f>MID(D141,1,2)</f>
        <v>IL</v>
      </c>
      <c r="F141" s="71" t="s">
        <v>443</v>
      </c>
      <c r="G141" s="71" t="str">
        <f>MID(F141,1,2)</f>
        <v>US</v>
      </c>
      <c r="H141" s="43" t="s">
        <v>534</v>
      </c>
      <c r="I141" s="71" t="s">
        <v>638</v>
      </c>
      <c r="J141" s="71" t="s">
        <v>386</v>
      </c>
      <c r="K141" s="43"/>
      <c r="L141" s="71" t="s">
        <v>107</v>
      </c>
      <c r="M141" s="73">
        <v>65</v>
      </c>
      <c r="N141" s="71" t="s">
        <v>388</v>
      </c>
      <c r="O141" s="73">
        <v>0.9</v>
      </c>
      <c r="P141" s="71" t="s">
        <v>389</v>
      </c>
      <c r="Q141" s="73">
        <v>150</v>
      </c>
      <c r="R141" s="71" t="s">
        <v>388</v>
      </c>
      <c r="S141" s="73">
        <v>0</v>
      </c>
      <c r="T141" s="71" t="s">
        <v>390</v>
      </c>
      <c r="U141" s="74">
        <v>1</v>
      </c>
      <c r="V141" s="71" t="s">
        <v>536</v>
      </c>
      <c r="W141" s="130">
        <v>46051.472222222219</v>
      </c>
      <c r="X141" s="72">
        <v>46054.479166666664</v>
      </c>
      <c r="Y141" s="72">
        <v>46055.877083333333</v>
      </c>
      <c r="Z141" s="104" t="s">
        <v>382</v>
      </c>
      <c r="AA141" s="104" t="s">
        <v>422</v>
      </c>
      <c r="AB141" s="105">
        <v>46054.530555555553</v>
      </c>
      <c r="AC141" s="105">
        <v>46055.145833333336</v>
      </c>
    </row>
    <row r="142" s="70" customFormat="1" ht="11.25" customHeight="1">
      <c r="A142" s="87"/>
      <c r="C142" s="43" t="s">
        <v>637</v>
      </c>
      <c r="D142" s="71" t="s">
        <v>382</v>
      </c>
      <c r="E142" s="71" t="str">
        <f>MID(D142,1,2)</f>
        <v>IL</v>
      </c>
      <c r="F142" s="71" t="s">
        <v>443</v>
      </c>
      <c r="G142" s="71" t="str">
        <f>MID(F142,1,2)</f>
        <v>US</v>
      </c>
      <c r="H142" s="43" t="s">
        <v>534</v>
      </c>
      <c r="I142" s="71" t="s">
        <v>638</v>
      </c>
      <c r="J142" s="71" t="s">
        <v>386</v>
      </c>
      <c r="K142" s="43"/>
      <c r="L142" s="71" t="s">
        <v>107</v>
      </c>
      <c r="M142" s="73">
        <v>65</v>
      </c>
      <c r="N142" s="71" t="s">
        <v>388</v>
      </c>
      <c r="O142" s="73">
        <v>0.9</v>
      </c>
      <c r="P142" s="71" t="s">
        <v>389</v>
      </c>
      <c r="Q142" s="73">
        <v>150</v>
      </c>
      <c r="R142" s="71" t="s">
        <v>388</v>
      </c>
      <c r="S142" s="73">
        <v>0</v>
      </c>
      <c r="T142" s="71" t="s">
        <v>390</v>
      </c>
      <c r="U142" s="74">
        <v>1</v>
      </c>
      <c r="V142" s="71" t="s">
        <v>536</v>
      </c>
      <c r="W142" s="130">
        <v>46051.472222222219</v>
      </c>
      <c r="X142" s="72">
        <v>46054.479166666664</v>
      </c>
      <c r="Y142" s="72">
        <v>46055.877083333333</v>
      </c>
      <c r="Z142" s="104" t="s">
        <v>422</v>
      </c>
      <c r="AA142" s="104" t="s">
        <v>443</v>
      </c>
      <c r="AB142" s="105">
        <v>46055.949305555558</v>
      </c>
      <c r="AC142" s="105">
        <v>46056.06875</v>
      </c>
    </row>
    <row r="143" s="70" customFormat="1" ht="11.25" customHeight="1">
      <c r="A143" s="87"/>
      <c r="C143" s="43" t="s">
        <v>639</v>
      </c>
      <c r="D143" s="71" t="s">
        <v>382</v>
      </c>
      <c r="E143" s="71" t="str">
        <f>MID(D143,1,2)</f>
        <v>IL</v>
      </c>
      <c r="F143" s="71" t="s">
        <v>640</v>
      </c>
      <c r="G143" s="71" t="str">
        <f>MID(F143,1,2)</f>
        <v>VN</v>
      </c>
      <c r="H143" s="43" t="s">
        <v>641</v>
      </c>
      <c r="I143" s="71"/>
      <c r="J143" s="71" t="s">
        <v>426</v>
      </c>
      <c r="K143" s="43"/>
      <c r="L143" s="71" t="s">
        <v>105</v>
      </c>
      <c r="M143" s="73">
        <v>1242</v>
      </c>
      <c r="N143" s="71" t="s">
        <v>388</v>
      </c>
      <c r="O143" s="73">
        <v>0.741</v>
      </c>
      <c r="P143" s="71" t="s">
        <v>389</v>
      </c>
      <c r="Q143" s="73">
        <v>1242</v>
      </c>
      <c r="R143" s="71" t="s">
        <v>388</v>
      </c>
      <c r="S143" s="73">
        <v>0</v>
      </c>
      <c r="T143" s="71" t="s">
        <v>390</v>
      </c>
      <c r="U143" s="74">
        <v>1</v>
      </c>
      <c r="V143" s="71" t="s">
        <v>391</v>
      </c>
      <c r="W143" s="130">
        <v>46058.455555555556</v>
      </c>
      <c r="X143" s="72">
        <v>46061.470833333333</v>
      </c>
      <c r="Y143" s="72">
        <v>46062.470833333333</v>
      </c>
      <c r="Z143" s="104" t="s">
        <v>382</v>
      </c>
      <c r="AA143" s="104" t="s">
        <v>640</v>
      </c>
      <c r="AB143" s="105">
        <v>46061.92291666667</v>
      </c>
      <c r="AC143" s="105">
        <v>46062.5</v>
      </c>
    </row>
    <row r="144" s="70" customFormat="1" ht="11.25" customHeight="1">
      <c r="A144" s="87"/>
      <c r="C144" s="43" t="s">
        <v>642</v>
      </c>
      <c r="D144" s="71" t="s">
        <v>382</v>
      </c>
      <c r="E144" s="71" t="str">
        <f>MID(D144,1,2)</f>
        <v>IL</v>
      </c>
      <c r="F144" s="71" t="s">
        <v>546</v>
      </c>
      <c r="G144" s="71" t="str">
        <f>MID(F144,1,2)</f>
        <v>GB</v>
      </c>
      <c r="H144" s="43" t="s">
        <v>643</v>
      </c>
      <c r="I144" s="71" t="s">
        <v>644</v>
      </c>
      <c r="J144" s="71" t="s">
        <v>400</v>
      </c>
      <c r="K144" s="43"/>
      <c r="L144" s="71" t="s">
        <v>105</v>
      </c>
      <c r="M144" s="73">
        <v>158</v>
      </c>
      <c r="N144" s="71" t="s">
        <v>388</v>
      </c>
      <c r="O144" s="73">
        <v>2.083</v>
      </c>
      <c r="P144" s="71" t="s">
        <v>389</v>
      </c>
      <c r="Q144" s="73">
        <v>347.5</v>
      </c>
      <c r="R144" s="71" t="s">
        <v>388</v>
      </c>
      <c r="S144" s="73">
        <v>0</v>
      </c>
      <c r="T144" s="71" t="s">
        <v>390</v>
      </c>
      <c r="U144" s="74">
        <v>2</v>
      </c>
      <c r="V144" s="71" t="s">
        <v>391</v>
      </c>
      <c r="W144" s="130">
        <v>46051.472222222219</v>
      </c>
      <c r="X144" s="72">
        <v>46054.375</v>
      </c>
      <c r="Y144" s="72">
        <v>46054.504861111112</v>
      </c>
      <c r="Z144" s="104" t="s">
        <v>382</v>
      </c>
      <c r="AA144" s="104" t="s">
        <v>546</v>
      </c>
      <c r="AB144" s="105">
        <v>46054.377083333333</v>
      </c>
      <c r="AC144" s="105">
        <v>46054.541666666664</v>
      </c>
    </row>
    <row r="145" s="70" customFormat="1" ht="11.25" customHeight="1">
      <c r="A145" s="87"/>
      <c r="C145" s="43" t="s">
        <v>645</v>
      </c>
      <c r="D145" s="71" t="s">
        <v>382</v>
      </c>
      <c r="E145" s="71" t="str">
        <f>MID(D145,1,2)</f>
        <v>IL</v>
      </c>
      <c r="F145" s="71" t="s">
        <v>496</v>
      </c>
      <c r="G145" s="71" t="str">
        <f>MID(F145,1,2)</f>
        <v>RO</v>
      </c>
      <c r="H145" s="43" t="s">
        <v>646</v>
      </c>
      <c r="I145" s="71" t="s">
        <v>647</v>
      </c>
      <c r="J145" s="71" t="s">
        <v>386</v>
      </c>
      <c r="K145" s="43"/>
      <c r="L145" s="71" t="s">
        <v>107</v>
      </c>
      <c r="M145" s="73">
        <v>8</v>
      </c>
      <c r="N145" s="71" t="s">
        <v>388</v>
      </c>
      <c r="O145" s="73">
        <v>0.094</v>
      </c>
      <c r="P145" s="71" t="s">
        <v>389</v>
      </c>
      <c r="Q145" s="73">
        <v>16</v>
      </c>
      <c r="R145" s="71" t="s">
        <v>388</v>
      </c>
      <c r="S145" s="73">
        <v>0</v>
      </c>
      <c r="T145" s="71" t="s">
        <v>390</v>
      </c>
      <c r="U145" s="74">
        <v>1</v>
      </c>
      <c r="V145" s="71" t="s">
        <v>391</v>
      </c>
      <c r="W145" s="130">
        <v>46051.625694444447</v>
      </c>
      <c r="X145" s="72">
        <v>46056.013888888891</v>
      </c>
      <c r="Y145" s="72">
        <v>46056.128472222219</v>
      </c>
      <c r="Z145" s="104" t="s">
        <v>382</v>
      </c>
      <c r="AA145" s="104" t="s">
        <v>496</v>
      </c>
      <c r="AB145" s="105">
        <v>46056.013888888891</v>
      </c>
      <c r="AC145" s="105">
        <v>46056.159722222219</v>
      </c>
    </row>
    <row r="146" s="70" customFormat="1" ht="11.25" customHeight="1">
      <c r="A146" s="87"/>
      <c r="C146" s="43" t="s">
        <v>648</v>
      </c>
      <c r="D146" s="71" t="s">
        <v>382</v>
      </c>
      <c r="E146" s="71" t="str">
        <f>MID(D146,1,2)</f>
        <v>IL</v>
      </c>
      <c r="F146" s="71" t="s">
        <v>443</v>
      </c>
      <c r="G146" s="71" t="str">
        <f>MID(F146,1,2)</f>
        <v>US</v>
      </c>
      <c r="H146" s="43" t="s">
        <v>534</v>
      </c>
      <c r="I146" s="71" t="s">
        <v>649</v>
      </c>
      <c r="J146" s="71" t="s">
        <v>386</v>
      </c>
      <c r="K146" s="43"/>
      <c r="L146" s="71" t="s">
        <v>107</v>
      </c>
      <c r="M146" s="73">
        <v>65</v>
      </c>
      <c r="N146" s="71" t="s">
        <v>388</v>
      </c>
      <c r="O146" s="73">
        <v>0.9</v>
      </c>
      <c r="P146" s="71" t="s">
        <v>389</v>
      </c>
      <c r="Q146" s="73">
        <v>150</v>
      </c>
      <c r="R146" s="71" t="s">
        <v>388</v>
      </c>
      <c r="S146" s="73">
        <v>0</v>
      </c>
      <c r="T146" s="71" t="s">
        <v>390</v>
      </c>
      <c r="U146" s="74">
        <v>1</v>
      </c>
      <c r="V146" s="71" t="s">
        <v>536</v>
      </c>
      <c r="W146" s="130">
        <v>46051.486805555556</v>
      </c>
      <c r="X146" s="72">
        <v>46054.479166666664</v>
      </c>
      <c r="Y146" s="72">
        <v>46055.877083333333</v>
      </c>
      <c r="Z146" s="104" t="s">
        <v>382</v>
      </c>
      <c r="AA146" s="104" t="s">
        <v>422</v>
      </c>
      <c r="AB146" s="105">
        <v>46054.530555555553</v>
      </c>
      <c r="AC146" s="105">
        <v>46055.145833333336</v>
      </c>
    </row>
    <row r="147" s="70" customFormat="1" ht="11.25" customHeight="1">
      <c r="A147" s="87"/>
      <c r="C147" s="43" t="s">
        <v>648</v>
      </c>
      <c r="D147" s="71" t="s">
        <v>382</v>
      </c>
      <c r="E147" s="71" t="str">
        <f>MID(D147,1,2)</f>
        <v>IL</v>
      </c>
      <c r="F147" s="71" t="s">
        <v>443</v>
      </c>
      <c r="G147" s="71" t="str">
        <f>MID(F147,1,2)</f>
        <v>US</v>
      </c>
      <c r="H147" s="43" t="s">
        <v>534</v>
      </c>
      <c r="I147" s="71" t="s">
        <v>649</v>
      </c>
      <c r="J147" s="71" t="s">
        <v>386</v>
      </c>
      <c r="K147" s="43"/>
      <c r="L147" s="71" t="s">
        <v>107</v>
      </c>
      <c r="M147" s="73">
        <v>65</v>
      </c>
      <c r="N147" s="71" t="s">
        <v>388</v>
      </c>
      <c r="O147" s="73">
        <v>0.9</v>
      </c>
      <c r="P147" s="71" t="s">
        <v>389</v>
      </c>
      <c r="Q147" s="73">
        <v>150</v>
      </c>
      <c r="R147" s="71" t="s">
        <v>388</v>
      </c>
      <c r="S147" s="73">
        <v>0</v>
      </c>
      <c r="T147" s="71" t="s">
        <v>390</v>
      </c>
      <c r="U147" s="74">
        <v>1</v>
      </c>
      <c r="V147" s="71" t="s">
        <v>536</v>
      </c>
      <c r="W147" s="130">
        <v>46051.486805555556</v>
      </c>
      <c r="X147" s="72">
        <v>46054.479166666664</v>
      </c>
      <c r="Y147" s="72">
        <v>46055.877083333333</v>
      </c>
      <c r="Z147" s="104" t="s">
        <v>422</v>
      </c>
      <c r="AA147" s="104" t="s">
        <v>443</v>
      </c>
      <c r="AB147" s="105">
        <v>46055.949305555558</v>
      </c>
      <c r="AC147" s="105">
        <v>46056.06875</v>
      </c>
    </row>
    <row r="148" s="70" customFormat="1" ht="11.25" customHeight="1">
      <c r="A148" s="87"/>
      <c r="C148" s="43" t="s">
        <v>650</v>
      </c>
      <c r="D148" s="71" t="s">
        <v>382</v>
      </c>
      <c r="E148" s="71" t="str">
        <f>MID(D148,1,2)</f>
        <v>IL</v>
      </c>
      <c r="F148" s="71" t="s">
        <v>651</v>
      </c>
      <c r="G148" s="71" t="str">
        <f>MID(F148,1,2)</f>
        <v>BR</v>
      </c>
      <c r="H148" s="43" t="s">
        <v>652</v>
      </c>
      <c r="I148" s="71" t="s">
        <v>653</v>
      </c>
      <c r="J148" s="71" t="s">
        <v>386</v>
      </c>
      <c r="K148" s="43"/>
      <c r="L148" s="71" t="s">
        <v>107</v>
      </c>
      <c r="M148" s="73">
        <v>22</v>
      </c>
      <c r="N148" s="71" t="s">
        <v>388</v>
      </c>
      <c r="O148" s="73">
        <v>0.142</v>
      </c>
      <c r="P148" s="71" t="s">
        <v>389</v>
      </c>
      <c r="Q148" s="73">
        <v>24</v>
      </c>
      <c r="R148" s="71" t="s">
        <v>388</v>
      </c>
      <c r="S148" s="73">
        <v>0</v>
      </c>
      <c r="T148" s="71" t="s">
        <v>390</v>
      </c>
      <c r="U148" s="74">
        <v>1</v>
      </c>
      <c r="V148" s="71" t="s">
        <v>391</v>
      </c>
      <c r="W148" s="130">
        <v>46051.49375</v>
      </c>
      <c r="X148" s="72">
        <v>46056.586805555555</v>
      </c>
      <c r="Y148" s="72">
        <v>46059.395833333336</v>
      </c>
      <c r="Z148" s="104" t="s">
        <v>382</v>
      </c>
      <c r="AA148" s="104" t="s">
        <v>590</v>
      </c>
      <c r="AB148" s="105">
        <v>46056.689583333333</v>
      </c>
      <c r="AC148" s="105">
        <v>46056.689583333333</v>
      </c>
    </row>
    <row r="149" s="70" customFormat="1" ht="11.25" customHeight="1">
      <c r="A149" s="87"/>
      <c r="C149" s="43" t="s">
        <v>650</v>
      </c>
      <c r="D149" s="71" t="s">
        <v>382</v>
      </c>
      <c r="E149" s="71" t="str">
        <f>MID(D149,1,2)</f>
        <v>IL</v>
      </c>
      <c r="F149" s="71" t="s">
        <v>651</v>
      </c>
      <c r="G149" s="71" t="str">
        <f>MID(F149,1,2)</f>
        <v>BR</v>
      </c>
      <c r="H149" s="43" t="s">
        <v>652</v>
      </c>
      <c r="I149" s="71" t="s">
        <v>653</v>
      </c>
      <c r="J149" s="71" t="s">
        <v>386</v>
      </c>
      <c r="K149" s="43"/>
      <c r="L149" s="71" t="s">
        <v>107</v>
      </c>
      <c r="M149" s="73">
        <v>22</v>
      </c>
      <c r="N149" s="71" t="s">
        <v>388</v>
      </c>
      <c r="O149" s="73">
        <v>0.142</v>
      </c>
      <c r="P149" s="71" t="s">
        <v>389</v>
      </c>
      <c r="Q149" s="73">
        <v>24</v>
      </c>
      <c r="R149" s="71" t="s">
        <v>388</v>
      </c>
      <c r="S149" s="73">
        <v>0</v>
      </c>
      <c r="T149" s="71" t="s">
        <v>390</v>
      </c>
      <c r="U149" s="74">
        <v>1</v>
      </c>
      <c r="V149" s="71" t="s">
        <v>391</v>
      </c>
      <c r="W149" s="130">
        <v>46051.49375</v>
      </c>
      <c r="X149" s="72">
        <v>46056.586805555555</v>
      </c>
      <c r="Y149" s="72">
        <v>46059.395833333336</v>
      </c>
      <c r="Z149" s="104" t="s">
        <v>590</v>
      </c>
      <c r="AA149" s="104" t="s">
        <v>651</v>
      </c>
      <c r="AB149" s="105">
        <v>46057.965277777781</v>
      </c>
      <c r="AC149" s="105">
        <v>46058.82708333333</v>
      </c>
    </row>
    <row r="150" s="70" customFormat="1" ht="11.25" customHeight="1">
      <c r="A150" s="87"/>
      <c r="C150" s="43" t="s">
        <v>654</v>
      </c>
      <c r="D150" s="71" t="s">
        <v>382</v>
      </c>
      <c r="E150" s="71" t="str">
        <f>MID(D150,1,2)</f>
        <v>IL</v>
      </c>
      <c r="F150" s="71" t="s">
        <v>443</v>
      </c>
      <c r="G150" s="71" t="str">
        <f>MID(F150,1,2)</f>
        <v>US</v>
      </c>
      <c r="H150" s="43" t="s">
        <v>534</v>
      </c>
      <c r="I150" s="71" t="s">
        <v>655</v>
      </c>
      <c r="J150" s="71" t="s">
        <v>386</v>
      </c>
      <c r="K150" s="43"/>
      <c r="L150" s="71" t="s">
        <v>107</v>
      </c>
      <c r="M150" s="73">
        <v>65</v>
      </c>
      <c r="N150" s="71" t="s">
        <v>388</v>
      </c>
      <c r="O150" s="73">
        <v>0.9</v>
      </c>
      <c r="P150" s="71" t="s">
        <v>389</v>
      </c>
      <c r="Q150" s="73">
        <v>150</v>
      </c>
      <c r="R150" s="71" t="s">
        <v>388</v>
      </c>
      <c r="S150" s="73">
        <v>0</v>
      </c>
      <c r="T150" s="71" t="s">
        <v>390</v>
      </c>
      <c r="U150" s="74">
        <v>1</v>
      </c>
      <c r="V150" s="71" t="s">
        <v>536</v>
      </c>
      <c r="W150" s="130">
        <v>46051.49375</v>
      </c>
      <c r="X150" s="72">
        <v>46054.479166666664</v>
      </c>
      <c r="Y150" s="72">
        <v>46055.877083333333</v>
      </c>
      <c r="Z150" s="104" t="s">
        <v>382</v>
      </c>
      <c r="AA150" s="104" t="s">
        <v>422</v>
      </c>
      <c r="AB150" s="105">
        <v>46054.530555555553</v>
      </c>
      <c r="AC150" s="105">
        <v>46055.145833333336</v>
      </c>
    </row>
    <row r="151" s="70" customFormat="1" ht="11.25" customHeight="1">
      <c r="A151" s="87"/>
      <c r="C151" s="43" t="s">
        <v>654</v>
      </c>
      <c r="D151" s="71" t="s">
        <v>382</v>
      </c>
      <c r="E151" s="71" t="str">
        <f>MID(D151,1,2)</f>
        <v>IL</v>
      </c>
      <c r="F151" s="71" t="s">
        <v>443</v>
      </c>
      <c r="G151" s="71" t="str">
        <f>MID(F151,1,2)</f>
        <v>US</v>
      </c>
      <c r="H151" s="43" t="s">
        <v>534</v>
      </c>
      <c r="I151" s="71" t="s">
        <v>655</v>
      </c>
      <c r="J151" s="71" t="s">
        <v>386</v>
      </c>
      <c r="K151" s="43"/>
      <c r="L151" s="71" t="s">
        <v>107</v>
      </c>
      <c r="M151" s="73">
        <v>65</v>
      </c>
      <c r="N151" s="71" t="s">
        <v>388</v>
      </c>
      <c r="O151" s="73">
        <v>0.9</v>
      </c>
      <c r="P151" s="71" t="s">
        <v>389</v>
      </c>
      <c r="Q151" s="73">
        <v>150</v>
      </c>
      <c r="R151" s="71" t="s">
        <v>388</v>
      </c>
      <c r="S151" s="73">
        <v>0</v>
      </c>
      <c r="T151" s="71" t="s">
        <v>390</v>
      </c>
      <c r="U151" s="74">
        <v>1</v>
      </c>
      <c r="V151" s="71" t="s">
        <v>536</v>
      </c>
      <c r="W151" s="130">
        <v>46051.49375</v>
      </c>
      <c r="X151" s="72">
        <v>46054.479166666664</v>
      </c>
      <c r="Y151" s="72">
        <v>46055.877083333333</v>
      </c>
      <c r="Z151" s="104" t="s">
        <v>422</v>
      </c>
      <c r="AA151" s="104" t="s">
        <v>443</v>
      </c>
      <c r="AB151" s="105">
        <v>46055.949305555558</v>
      </c>
      <c r="AC151" s="105">
        <v>46056.06875</v>
      </c>
    </row>
    <row r="152" s="70" customFormat="1" ht="11.25" customHeight="1">
      <c r="A152" s="87"/>
      <c r="C152" s="43" t="s">
        <v>656</v>
      </c>
      <c r="D152" s="71" t="s">
        <v>382</v>
      </c>
      <c r="E152" s="71" t="str">
        <f>MID(D152,1,2)</f>
        <v>IL</v>
      </c>
      <c r="F152" s="71" t="s">
        <v>651</v>
      </c>
      <c r="G152" s="71" t="str">
        <f>MID(F152,1,2)</f>
        <v>BR</v>
      </c>
      <c r="H152" s="43" t="s">
        <v>652</v>
      </c>
      <c r="I152" s="71" t="s">
        <v>657</v>
      </c>
      <c r="J152" s="71" t="s">
        <v>386</v>
      </c>
      <c r="K152" s="43"/>
      <c r="L152" s="71" t="s">
        <v>107</v>
      </c>
      <c r="M152" s="73">
        <v>75</v>
      </c>
      <c r="N152" s="71" t="s">
        <v>388</v>
      </c>
      <c r="O152" s="73">
        <v>0.525</v>
      </c>
      <c r="P152" s="71" t="s">
        <v>389</v>
      </c>
      <c r="Q152" s="73">
        <v>87.5</v>
      </c>
      <c r="R152" s="71" t="s">
        <v>388</v>
      </c>
      <c r="S152" s="73">
        <v>0</v>
      </c>
      <c r="T152" s="71" t="s">
        <v>390</v>
      </c>
      <c r="U152" s="74">
        <v>5</v>
      </c>
      <c r="V152" s="71" t="s">
        <v>391</v>
      </c>
      <c r="W152" s="130">
        <v>46051.5</v>
      </c>
      <c r="X152" s="72">
        <v>46056.586805555555</v>
      </c>
      <c r="Y152" s="72">
        <v>46059.395833333336</v>
      </c>
      <c r="Z152" s="104" t="s">
        <v>382</v>
      </c>
      <c r="AA152" s="104" t="s">
        <v>590</v>
      </c>
      <c r="AB152" s="105">
        <v>46056.689583333333</v>
      </c>
      <c r="AC152" s="105">
        <v>46056.689583333333</v>
      </c>
    </row>
    <row r="153" s="70" customFormat="1" ht="11.25" customHeight="1">
      <c r="A153" s="87"/>
      <c r="C153" s="43" t="s">
        <v>656</v>
      </c>
      <c r="D153" s="71" t="s">
        <v>382</v>
      </c>
      <c r="E153" s="71" t="str">
        <f>MID(D153,1,2)</f>
        <v>IL</v>
      </c>
      <c r="F153" s="71" t="s">
        <v>651</v>
      </c>
      <c r="G153" s="71" t="str">
        <f>MID(F153,1,2)</f>
        <v>BR</v>
      </c>
      <c r="H153" s="43" t="s">
        <v>652</v>
      </c>
      <c r="I153" s="71" t="s">
        <v>657</v>
      </c>
      <c r="J153" s="71" t="s">
        <v>386</v>
      </c>
      <c r="K153" s="43"/>
      <c r="L153" s="71" t="s">
        <v>107</v>
      </c>
      <c r="M153" s="73">
        <v>75</v>
      </c>
      <c r="N153" s="71" t="s">
        <v>388</v>
      </c>
      <c r="O153" s="73">
        <v>0.525</v>
      </c>
      <c r="P153" s="71" t="s">
        <v>389</v>
      </c>
      <c r="Q153" s="73">
        <v>87.5</v>
      </c>
      <c r="R153" s="71" t="s">
        <v>388</v>
      </c>
      <c r="S153" s="73">
        <v>0</v>
      </c>
      <c r="T153" s="71" t="s">
        <v>390</v>
      </c>
      <c r="U153" s="74">
        <v>5</v>
      </c>
      <c r="V153" s="71" t="s">
        <v>391</v>
      </c>
      <c r="W153" s="130">
        <v>46051.5</v>
      </c>
      <c r="X153" s="72">
        <v>46056.586805555555</v>
      </c>
      <c r="Y153" s="72">
        <v>46059.395833333336</v>
      </c>
      <c r="Z153" s="104" t="s">
        <v>590</v>
      </c>
      <c r="AA153" s="104" t="s">
        <v>651</v>
      </c>
      <c r="AB153" s="105">
        <v>46057.965277777781</v>
      </c>
      <c r="AC153" s="105">
        <v>46058.82708333333</v>
      </c>
    </row>
    <row r="154" s="70" customFormat="1" ht="11.25" customHeight="1">
      <c r="A154" s="87"/>
      <c r="C154" s="43" t="s">
        <v>658</v>
      </c>
      <c r="D154" s="71" t="s">
        <v>382</v>
      </c>
      <c r="E154" s="71" t="str">
        <f>MID(D154,1,2)</f>
        <v>IL</v>
      </c>
      <c r="F154" s="71" t="s">
        <v>443</v>
      </c>
      <c r="G154" s="71" t="str">
        <f>MID(F154,1,2)</f>
        <v>US</v>
      </c>
      <c r="H154" s="43" t="s">
        <v>534</v>
      </c>
      <c r="I154" s="71" t="s">
        <v>659</v>
      </c>
      <c r="J154" s="71" t="s">
        <v>386</v>
      </c>
      <c r="K154" s="43"/>
      <c r="L154" s="71" t="s">
        <v>107</v>
      </c>
      <c r="M154" s="73">
        <v>65</v>
      </c>
      <c r="N154" s="71" t="s">
        <v>388</v>
      </c>
      <c r="O154" s="73">
        <v>0.9</v>
      </c>
      <c r="P154" s="71" t="s">
        <v>389</v>
      </c>
      <c r="Q154" s="73">
        <v>150</v>
      </c>
      <c r="R154" s="71" t="s">
        <v>388</v>
      </c>
      <c r="S154" s="73">
        <v>0</v>
      </c>
      <c r="T154" s="71" t="s">
        <v>390</v>
      </c>
      <c r="U154" s="74">
        <v>1</v>
      </c>
      <c r="V154" s="71" t="s">
        <v>536</v>
      </c>
      <c r="W154" s="130">
        <v>46051.49375</v>
      </c>
      <c r="X154" s="72">
        <v>46054.479166666664</v>
      </c>
      <c r="Y154" s="72">
        <v>46055.877083333333</v>
      </c>
      <c r="Z154" s="104" t="s">
        <v>382</v>
      </c>
      <c r="AA154" s="104" t="s">
        <v>422</v>
      </c>
      <c r="AB154" s="105">
        <v>46054.530555555553</v>
      </c>
      <c r="AC154" s="105">
        <v>46055.145833333336</v>
      </c>
    </row>
    <row r="155" s="70" customFormat="1" ht="11.25" customHeight="1">
      <c r="A155" s="87"/>
      <c r="C155" s="43" t="s">
        <v>658</v>
      </c>
      <c r="D155" s="71" t="s">
        <v>382</v>
      </c>
      <c r="E155" s="71" t="str">
        <f>MID(D155,1,2)</f>
        <v>IL</v>
      </c>
      <c r="F155" s="71" t="s">
        <v>443</v>
      </c>
      <c r="G155" s="71" t="str">
        <f>MID(F155,1,2)</f>
        <v>US</v>
      </c>
      <c r="H155" s="43" t="s">
        <v>534</v>
      </c>
      <c r="I155" s="71" t="s">
        <v>659</v>
      </c>
      <c r="J155" s="71" t="s">
        <v>386</v>
      </c>
      <c r="K155" s="43"/>
      <c r="L155" s="71" t="s">
        <v>107</v>
      </c>
      <c r="M155" s="73">
        <v>65</v>
      </c>
      <c r="N155" s="71" t="s">
        <v>388</v>
      </c>
      <c r="O155" s="73">
        <v>0.9</v>
      </c>
      <c r="P155" s="71" t="s">
        <v>389</v>
      </c>
      <c r="Q155" s="73">
        <v>150</v>
      </c>
      <c r="R155" s="71" t="s">
        <v>388</v>
      </c>
      <c r="S155" s="73">
        <v>0</v>
      </c>
      <c r="T155" s="71" t="s">
        <v>390</v>
      </c>
      <c r="U155" s="74">
        <v>1</v>
      </c>
      <c r="V155" s="71" t="s">
        <v>536</v>
      </c>
      <c r="W155" s="130">
        <v>46051.49375</v>
      </c>
      <c r="X155" s="72">
        <v>46054.479166666664</v>
      </c>
      <c r="Y155" s="72">
        <v>46055.877083333333</v>
      </c>
      <c r="Z155" s="104" t="s">
        <v>422</v>
      </c>
      <c r="AA155" s="104" t="s">
        <v>443</v>
      </c>
      <c r="AB155" s="105">
        <v>46055.949305555558</v>
      </c>
      <c r="AC155" s="105">
        <v>46056.06875</v>
      </c>
    </row>
    <row r="156" s="70" customFormat="1" ht="11.25" customHeight="1">
      <c r="A156" s="87"/>
      <c r="C156" s="43" t="s">
        <v>660</v>
      </c>
      <c r="D156" s="71" t="s">
        <v>382</v>
      </c>
      <c r="E156" s="71" t="str">
        <f>MID(D156,1,2)</f>
        <v>IL</v>
      </c>
      <c r="F156" s="71" t="s">
        <v>651</v>
      </c>
      <c r="G156" s="71" t="str">
        <f>MID(F156,1,2)</f>
        <v>BR</v>
      </c>
      <c r="H156" s="43" t="s">
        <v>652</v>
      </c>
      <c r="I156" s="71" t="s">
        <v>661</v>
      </c>
      <c r="J156" s="71" t="s">
        <v>386</v>
      </c>
      <c r="K156" s="43"/>
      <c r="L156" s="71" t="s">
        <v>107</v>
      </c>
      <c r="M156" s="73">
        <v>44</v>
      </c>
      <c r="N156" s="71" t="s">
        <v>388</v>
      </c>
      <c r="O156" s="73">
        <v>0.284</v>
      </c>
      <c r="P156" s="71" t="s">
        <v>389</v>
      </c>
      <c r="Q156" s="73">
        <v>47.5</v>
      </c>
      <c r="R156" s="71" t="s">
        <v>388</v>
      </c>
      <c r="S156" s="73">
        <v>0</v>
      </c>
      <c r="T156" s="71" t="s">
        <v>390</v>
      </c>
      <c r="U156" s="74">
        <v>2</v>
      </c>
      <c r="V156" s="71" t="s">
        <v>391</v>
      </c>
      <c r="W156" s="130">
        <v>46051.506944444445</v>
      </c>
      <c r="X156" s="72">
        <v>46056.586805555555</v>
      </c>
      <c r="Y156" s="72">
        <v>46059.395833333336</v>
      </c>
      <c r="Z156" s="104" t="s">
        <v>382</v>
      </c>
      <c r="AA156" s="104" t="s">
        <v>590</v>
      </c>
      <c r="AB156" s="105">
        <v>46056.689583333333</v>
      </c>
      <c r="AC156" s="105">
        <v>46056.689583333333</v>
      </c>
    </row>
    <row r="157" s="70" customFormat="1" ht="11.25" customHeight="1">
      <c r="A157" s="87"/>
      <c r="C157" s="43" t="s">
        <v>660</v>
      </c>
      <c r="D157" s="71" t="s">
        <v>382</v>
      </c>
      <c r="E157" s="71" t="str">
        <f>MID(D157,1,2)</f>
        <v>IL</v>
      </c>
      <c r="F157" s="71" t="s">
        <v>651</v>
      </c>
      <c r="G157" s="71" t="str">
        <f>MID(F157,1,2)</f>
        <v>BR</v>
      </c>
      <c r="H157" s="43" t="s">
        <v>652</v>
      </c>
      <c r="I157" s="71" t="s">
        <v>661</v>
      </c>
      <c r="J157" s="71" t="s">
        <v>386</v>
      </c>
      <c r="K157" s="43"/>
      <c r="L157" s="71" t="s">
        <v>107</v>
      </c>
      <c r="M157" s="73">
        <v>44</v>
      </c>
      <c r="N157" s="71" t="s">
        <v>388</v>
      </c>
      <c r="O157" s="73">
        <v>0.284</v>
      </c>
      <c r="P157" s="71" t="s">
        <v>389</v>
      </c>
      <c r="Q157" s="73">
        <v>47.5</v>
      </c>
      <c r="R157" s="71" t="s">
        <v>388</v>
      </c>
      <c r="S157" s="73">
        <v>0</v>
      </c>
      <c r="T157" s="71" t="s">
        <v>390</v>
      </c>
      <c r="U157" s="74">
        <v>2</v>
      </c>
      <c r="V157" s="71" t="s">
        <v>391</v>
      </c>
      <c r="W157" s="130">
        <v>46051.506944444445</v>
      </c>
      <c r="X157" s="72">
        <v>46056.586805555555</v>
      </c>
      <c r="Y157" s="72">
        <v>46059.395833333336</v>
      </c>
      <c r="Z157" s="104" t="s">
        <v>590</v>
      </c>
      <c r="AA157" s="104" t="s">
        <v>651</v>
      </c>
      <c r="AB157" s="105">
        <v>46057.965277777781</v>
      </c>
      <c r="AC157" s="105">
        <v>46058.82708333333</v>
      </c>
    </row>
    <row r="158" s="70" customFormat="1" ht="11.25" customHeight="1">
      <c r="A158" s="87"/>
      <c r="C158" s="43" t="s">
        <v>662</v>
      </c>
      <c r="D158" s="71" t="s">
        <v>382</v>
      </c>
      <c r="E158" s="71" t="str">
        <f>MID(D158,1,2)</f>
        <v>IL</v>
      </c>
      <c r="F158" s="71" t="s">
        <v>651</v>
      </c>
      <c r="G158" s="71" t="str">
        <f>MID(F158,1,2)</f>
        <v>BR</v>
      </c>
      <c r="H158" s="43" t="s">
        <v>652</v>
      </c>
      <c r="I158" s="71" t="s">
        <v>663</v>
      </c>
      <c r="J158" s="71" t="s">
        <v>386</v>
      </c>
      <c r="K158" s="43"/>
      <c r="L158" s="71" t="s">
        <v>107</v>
      </c>
      <c r="M158" s="73">
        <v>22</v>
      </c>
      <c r="N158" s="71" t="s">
        <v>388</v>
      </c>
      <c r="O158" s="73">
        <v>0.142</v>
      </c>
      <c r="P158" s="71" t="s">
        <v>389</v>
      </c>
      <c r="Q158" s="73">
        <v>24</v>
      </c>
      <c r="R158" s="71" t="s">
        <v>388</v>
      </c>
      <c r="S158" s="73">
        <v>0</v>
      </c>
      <c r="T158" s="71" t="s">
        <v>390</v>
      </c>
      <c r="U158" s="74">
        <v>1</v>
      </c>
      <c r="V158" s="71" t="s">
        <v>391</v>
      </c>
      <c r="W158" s="130">
        <v>46051.51458333333</v>
      </c>
      <c r="X158" s="72">
        <v>46056.586805555555</v>
      </c>
      <c r="Y158" s="72">
        <v>46059.395833333336</v>
      </c>
      <c r="Z158" s="104" t="s">
        <v>382</v>
      </c>
      <c r="AA158" s="104" t="s">
        <v>590</v>
      </c>
      <c r="AB158" s="105">
        <v>46056.689583333333</v>
      </c>
      <c r="AC158" s="105">
        <v>46056.689583333333</v>
      </c>
    </row>
    <row r="159" s="70" customFormat="1" ht="11.25" customHeight="1">
      <c r="A159" s="87"/>
      <c r="C159" s="43" t="s">
        <v>662</v>
      </c>
      <c r="D159" s="71" t="s">
        <v>382</v>
      </c>
      <c r="E159" s="71" t="str">
        <f>MID(D159,1,2)</f>
        <v>IL</v>
      </c>
      <c r="F159" s="71" t="s">
        <v>651</v>
      </c>
      <c r="G159" s="71" t="str">
        <f>MID(F159,1,2)</f>
        <v>BR</v>
      </c>
      <c r="H159" s="43" t="s">
        <v>652</v>
      </c>
      <c r="I159" s="71" t="s">
        <v>663</v>
      </c>
      <c r="J159" s="71" t="s">
        <v>386</v>
      </c>
      <c r="K159" s="43"/>
      <c r="L159" s="71" t="s">
        <v>107</v>
      </c>
      <c r="M159" s="73">
        <v>22</v>
      </c>
      <c r="N159" s="71" t="s">
        <v>388</v>
      </c>
      <c r="O159" s="73">
        <v>0.142</v>
      </c>
      <c r="P159" s="71" t="s">
        <v>389</v>
      </c>
      <c r="Q159" s="73">
        <v>24</v>
      </c>
      <c r="R159" s="71" t="s">
        <v>388</v>
      </c>
      <c r="S159" s="73">
        <v>0</v>
      </c>
      <c r="T159" s="71" t="s">
        <v>390</v>
      </c>
      <c r="U159" s="74">
        <v>1</v>
      </c>
      <c r="V159" s="71" t="s">
        <v>391</v>
      </c>
      <c r="W159" s="130">
        <v>46051.51458333333</v>
      </c>
      <c r="X159" s="72">
        <v>46056.586805555555</v>
      </c>
      <c r="Y159" s="72">
        <v>46059.395833333336</v>
      </c>
      <c r="Z159" s="104" t="s">
        <v>590</v>
      </c>
      <c r="AA159" s="104" t="s">
        <v>651</v>
      </c>
      <c r="AB159" s="105">
        <v>46057.965277777781</v>
      </c>
      <c r="AC159" s="105">
        <v>46058.82708333333</v>
      </c>
    </row>
    <row r="160" s="70" customFormat="1" ht="11.25" customHeight="1">
      <c r="A160" s="87"/>
      <c r="C160" s="43" t="s">
        <v>664</v>
      </c>
      <c r="D160" s="71" t="s">
        <v>382</v>
      </c>
      <c r="E160" s="71" t="str">
        <f>MID(D160,1,2)</f>
        <v>IL</v>
      </c>
      <c r="F160" s="71" t="s">
        <v>651</v>
      </c>
      <c r="G160" s="71" t="str">
        <f>MID(F160,1,2)</f>
        <v>BR</v>
      </c>
      <c r="H160" s="43" t="s">
        <v>652</v>
      </c>
      <c r="I160" s="71" t="s">
        <v>665</v>
      </c>
      <c r="J160" s="71" t="s">
        <v>386</v>
      </c>
      <c r="K160" s="43"/>
      <c r="L160" s="71" t="s">
        <v>107</v>
      </c>
      <c r="M160" s="73">
        <v>88</v>
      </c>
      <c r="N160" s="71" t="s">
        <v>388</v>
      </c>
      <c r="O160" s="73">
        <v>0.567</v>
      </c>
      <c r="P160" s="71" t="s">
        <v>389</v>
      </c>
      <c r="Q160" s="73">
        <v>94.5</v>
      </c>
      <c r="R160" s="71" t="s">
        <v>388</v>
      </c>
      <c r="S160" s="73">
        <v>0</v>
      </c>
      <c r="T160" s="71" t="s">
        <v>390</v>
      </c>
      <c r="U160" s="74">
        <v>4</v>
      </c>
      <c r="V160" s="71" t="s">
        <v>391</v>
      </c>
      <c r="W160" s="130">
        <v>46051.51458333333</v>
      </c>
      <c r="X160" s="72">
        <v>46056.586805555555</v>
      </c>
      <c r="Y160" s="72">
        <v>46059.395833333336</v>
      </c>
      <c r="Z160" s="104" t="s">
        <v>382</v>
      </c>
      <c r="AA160" s="104" t="s">
        <v>590</v>
      </c>
      <c r="AB160" s="105">
        <v>46056.689583333333</v>
      </c>
      <c r="AC160" s="105">
        <v>46056.689583333333</v>
      </c>
    </row>
    <row r="161" s="70" customFormat="1" ht="11.25" customHeight="1">
      <c r="A161" s="87"/>
      <c r="C161" s="43" t="s">
        <v>664</v>
      </c>
      <c r="D161" s="71" t="s">
        <v>382</v>
      </c>
      <c r="E161" s="71" t="str">
        <f>MID(D161,1,2)</f>
        <v>IL</v>
      </c>
      <c r="F161" s="71" t="s">
        <v>651</v>
      </c>
      <c r="G161" s="71" t="str">
        <f>MID(F161,1,2)</f>
        <v>BR</v>
      </c>
      <c r="H161" s="43" t="s">
        <v>652</v>
      </c>
      <c r="I161" s="71" t="s">
        <v>665</v>
      </c>
      <c r="J161" s="71" t="s">
        <v>386</v>
      </c>
      <c r="K161" s="43"/>
      <c r="L161" s="71" t="s">
        <v>107</v>
      </c>
      <c r="M161" s="73">
        <v>88</v>
      </c>
      <c r="N161" s="71" t="s">
        <v>388</v>
      </c>
      <c r="O161" s="73">
        <v>0.567</v>
      </c>
      <c r="P161" s="71" t="s">
        <v>389</v>
      </c>
      <c r="Q161" s="73">
        <v>94.5</v>
      </c>
      <c r="R161" s="71" t="s">
        <v>388</v>
      </c>
      <c r="S161" s="73">
        <v>0</v>
      </c>
      <c r="T161" s="71" t="s">
        <v>390</v>
      </c>
      <c r="U161" s="74">
        <v>4</v>
      </c>
      <c r="V161" s="71" t="s">
        <v>391</v>
      </c>
      <c r="W161" s="130">
        <v>46051.51458333333</v>
      </c>
      <c r="X161" s="72">
        <v>46056.586805555555</v>
      </c>
      <c r="Y161" s="72">
        <v>46059.395833333336</v>
      </c>
      <c r="Z161" s="104" t="s">
        <v>590</v>
      </c>
      <c r="AA161" s="104" t="s">
        <v>651</v>
      </c>
      <c r="AB161" s="105">
        <v>46057.965277777781</v>
      </c>
      <c r="AC161" s="105">
        <v>46058.82708333333</v>
      </c>
    </row>
    <row r="162" s="70" customFormat="1" ht="11.25" customHeight="1">
      <c r="A162" s="87"/>
      <c r="C162" s="43" t="s">
        <v>666</v>
      </c>
      <c r="D162" s="71" t="s">
        <v>382</v>
      </c>
      <c r="E162" s="71" t="str">
        <f>MID(D162,1,2)</f>
        <v>IL</v>
      </c>
      <c r="F162" s="71" t="s">
        <v>667</v>
      </c>
      <c r="G162" s="71" t="str">
        <f>MID(F162,1,2)</f>
        <v>DE</v>
      </c>
      <c r="H162" s="43" t="s">
        <v>668</v>
      </c>
      <c r="I162" s="71" t="s">
        <v>669</v>
      </c>
      <c r="J162" s="71" t="s">
        <v>400</v>
      </c>
      <c r="K162" s="43"/>
      <c r="L162" s="71" t="s">
        <v>105</v>
      </c>
      <c r="M162" s="73">
        <v>30</v>
      </c>
      <c r="N162" s="71" t="s">
        <v>388</v>
      </c>
      <c r="O162" s="73">
        <v>0.342</v>
      </c>
      <c r="P162" s="71" t="s">
        <v>389</v>
      </c>
      <c r="Q162" s="73">
        <v>57</v>
      </c>
      <c r="R162" s="71" t="s">
        <v>388</v>
      </c>
      <c r="S162" s="73">
        <v>0</v>
      </c>
      <c r="T162" s="71" t="s">
        <v>390</v>
      </c>
      <c r="U162" s="74">
        <v>1</v>
      </c>
      <c r="V162" s="71" t="s">
        <v>391</v>
      </c>
      <c r="W162" s="130">
        <v>46051.629432870373</v>
      </c>
      <c r="X162" s="72">
        <v>46054.526388888888</v>
      </c>
      <c r="Y162" s="72">
        <v>46054.8625</v>
      </c>
      <c r="Z162" s="104" t="s">
        <v>382</v>
      </c>
      <c r="AA162" s="104" t="s">
        <v>667</v>
      </c>
      <c r="AB162" s="105">
        <v>46054.73541666667</v>
      </c>
      <c r="AC162" s="105">
        <v>46054.847916666666</v>
      </c>
    </row>
    <row r="163" s="70" customFormat="1" ht="11.25" customHeight="1">
      <c r="A163" s="87"/>
      <c r="C163" s="43" t="s">
        <v>670</v>
      </c>
      <c r="D163" s="71" t="s">
        <v>382</v>
      </c>
      <c r="E163" s="71" t="str">
        <f>MID(D163,1,2)</f>
        <v>IL</v>
      </c>
      <c r="F163" s="71" t="s">
        <v>667</v>
      </c>
      <c r="G163" s="71" t="str">
        <f>MID(F163,1,2)</f>
        <v>DE</v>
      </c>
      <c r="H163" s="43" t="s">
        <v>671</v>
      </c>
      <c r="I163" s="71" t="s">
        <v>672</v>
      </c>
      <c r="J163" s="71" t="s">
        <v>400</v>
      </c>
      <c r="K163" s="43"/>
      <c r="L163" s="71" t="s">
        <v>105</v>
      </c>
      <c r="M163" s="73">
        <v>397</v>
      </c>
      <c r="N163" s="71" t="s">
        <v>388</v>
      </c>
      <c r="O163" s="73">
        <v>3.141</v>
      </c>
      <c r="P163" s="71" t="s">
        <v>389</v>
      </c>
      <c r="Q163" s="73">
        <v>523.5</v>
      </c>
      <c r="R163" s="71" t="s">
        <v>388</v>
      </c>
      <c r="S163" s="73">
        <v>0</v>
      </c>
      <c r="T163" s="71" t="s">
        <v>390</v>
      </c>
      <c r="U163" s="74">
        <v>2</v>
      </c>
      <c r="V163" s="71" t="s">
        <v>391</v>
      </c>
      <c r="W163" s="130">
        <v>46054.6553125</v>
      </c>
      <c r="X163" s="72">
        <v>46056.965277777781</v>
      </c>
      <c r="Y163" s="72">
        <v>46059.0625</v>
      </c>
      <c r="Z163" s="104" t="s">
        <v>382</v>
      </c>
      <c r="AA163" s="104" t="s">
        <v>383</v>
      </c>
      <c r="AB163" s="105">
        <v>46057.972222222219</v>
      </c>
      <c r="AC163" s="105">
        <v>46058.284722222219</v>
      </c>
    </row>
    <row r="164" s="70" customFormat="1" ht="11.25" customHeight="1">
      <c r="A164" s="87"/>
      <c r="C164" s="43" t="s">
        <v>670</v>
      </c>
      <c r="D164" s="71" t="s">
        <v>382</v>
      </c>
      <c r="E164" s="71" t="str">
        <f>MID(D164,1,2)</f>
        <v>IL</v>
      </c>
      <c r="F164" s="71" t="s">
        <v>667</v>
      </c>
      <c r="G164" s="71" t="str">
        <f>MID(F164,1,2)</f>
        <v>DE</v>
      </c>
      <c r="H164" s="43" t="s">
        <v>671</v>
      </c>
      <c r="I164" s="71" t="s">
        <v>672</v>
      </c>
      <c r="J164" s="71" t="s">
        <v>400</v>
      </c>
      <c r="K164" s="43"/>
      <c r="L164" s="71" t="s">
        <v>105</v>
      </c>
      <c r="M164" s="73">
        <v>397</v>
      </c>
      <c r="N164" s="71" t="s">
        <v>388</v>
      </c>
      <c r="O164" s="73">
        <v>3.141</v>
      </c>
      <c r="P164" s="71" t="s">
        <v>389</v>
      </c>
      <c r="Q164" s="73">
        <v>523.5</v>
      </c>
      <c r="R164" s="71" t="s">
        <v>388</v>
      </c>
      <c r="S164" s="73">
        <v>0</v>
      </c>
      <c r="T164" s="71" t="s">
        <v>390</v>
      </c>
      <c r="U164" s="74">
        <v>2</v>
      </c>
      <c r="V164" s="71" t="s">
        <v>391</v>
      </c>
      <c r="W164" s="130">
        <v>46054.6553125</v>
      </c>
      <c r="X164" s="72">
        <v>46056.965277777781</v>
      </c>
      <c r="Y164" s="72">
        <v>46059.0625</v>
      </c>
      <c r="Z164" s="104" t="s">
        <v>383</v>
      </c>
      <c r="AA164" s="104" t="s">
        <v>667</v>
      </c>
      <c r="AB164" s="105">
        <v>46058.780555555553</v>
      </c>
      <c r="AC164" s="105">
        <v>46059.044444444444</v>
      </c>
    </row>
    <row r="165" s="70" customFormat="1" ht="11.25" customHeight="1">
      <c r="A165" s="87"/>
      <c r="C165" s="43" t="s">
        <v>673</v>
      </c>
      <c r="D165" s="71" t="s">
        <v>382</v>
      </c>
      <c r="E165" s="71" t="str">
        <f>MID(D165,1,2)</f>
        <v>IL</v>
      </c>
      <c r="F165" s="71" t="s">
        <v>496</v>
      </c>
      <c r="G165" s="71" t="str">
        <f>MID(F165,1,2)</f>
        <v>RO</v>
      </c>
      <c r="H165" s="43" t="s">
        <v>674</v>
      </c>
      <c r="I165" s="71" t="s">
        <v>675</v>
      </c>
      <c r="J165" s="71" t="s">
        <v>426</v>
      </c>
      <c r="K165" s="43"/>
      <c r="L165" s="71" t="s">
        <v>105</v>
      </c>
      <c r="M165" s="73">
        <v>395</v>
      </c>
      <c r="N165" s="71" t="s">
        <v>388</v>
      </c>
      <c r="O165" s="73">
        <v>2.995</v>
      </c>
      <c r="P165" s="71" t="s">
        <v>389</v>
      </c>
      <c r="Q165" s="73">
        <v>499.5</v>
      </c>
      <c r="R165" s="71" t="s">
        <v>388</v>
      </c>
      <c r="S165" s="73">
        <v>0</v>
      </c>
      <c r="T165" s="71" t="s">
        <v>390</v>
      </c>
      <c r="U165" s="74">
        <v>1</v>
      </c>
      <c r="V165" s="71" t="s">
        <v>391</v>
      </c>
      <c r="W165" s="130"/>
      <c r="X165" s="72">
        <v>46055.565972222219</v>
      </c>
      <c r="Y165" s="72">
        <v>46058.395833333336</v>
      </c>
      <c r="Z165" s="104" t="s">
        <v>382</v>
      </c>
      <c r="AA165" s="104" t="s">
        <v>383</v>
      </c>
      <c r="AB165" s="105">
        <v>46055.552777777775</v>
      </c>
      <c r="AC165" s="105">
        <v>46055.7</v>
      </c>
    </row>
    <row r="166" s="70" customFormat="1" ht="11.25" customHeight="1">
      <c r="A166" s="87"/>
      <c r="C166" s="43" t="s">
        <v>673</v>
      </c>
      <c r="D166" s="71" t="s">
        <v>382</v>
      </c>
      <c r="E166" s="71" t="str">
        <f>MID(D166,1,2)</f>
        <v>IL</v>
      </c>
      <c r="F166" s="71" t="s">
        <v>496</v>
      </c>
      <c r="G166" s="71" t="str">
        <f>MID(F166,1,2)</f>
        <v>RO</v>
      </c>
      <c r="H166" s="43" t="s">
        <v>674</v>
      </c>
      <c r="I166" s="71" t="s">
        <v>675</v>
      </c>
      <c r="J166" s="71" t="s">
        <v>426</v>
      </c>
      <c r="K166" s="43"/>
      <c r="L166" s="71" t="s">
        <v>105</v>
      </c>
      <c r="M166" s="73">
        <v>395</v>
      </c>
      <c r="N166" s="71" t="s">
        <v>388</v>
      </c>
      <c r="O166" s="73">
        <v>2.995</v>
      </c>
      <c r="P166" s="71" t="s">
        <v>389</v>
      </c>
      <c r="Q166" s="73">
        <v>499.5</v>
      </c>
      <c r="R166" s="71" t="s">
        <v>388</v>
      </c>
      <c r="S166" s="73">
        <v>0</v>
      </c>
      <c r="T166" s="71" t="s">
        <v>390</v>
      </c>
      <c r="U166" s="74">
        <v>1</v>
      </c>
      <c r="V166" s="71" t="s">
        <v>391</v>
      </c>
      <c r="W166" s="130"/>
      <c r="X166" s="72">
        <v>46055.565972222219</v>
      </c>
      <c r="Y166" s="72">
        <v>46058.395833333336</v>
      </c>
      <c r="Z166" s="104" t="s">
        <v>383</v>
      </c>
      <c r="AA166" s="104" t="s">
        <v>496</v>
      </c>
      <c r="AB166" s="105">
        <v>46056.413888888892</v>
      </c>
      <c r="AC166" s="105">
        <v>46058.503472222219</v>
      </c>
    </row>
    <row r="167" s="70" customFormat="1" ht="11.25" customHeight="1">
      <c r="A167" s="87"/>
      <c r="C167" s="43" t="s">
        <v>676</v>
      </c>
      <c r="D167" s="71" t="s">
        <v>382</v>
      </c>
      <c r="E167" s="71" t="str">
        <f>MID(D167,1,2)</f>
        <v>IL</v>
      </c>
      <c r="F167" s="71" t="s">
        <v>677</v>
      </c>
      <c r="G167" s="71" t="str">
        <f>MID(F167,1,2)</f>
        <v>DE</v>
      </c>
      <c r="H167" s="43" t="s">
        <v>678</v>
      </c>
      <c r="I167" s="71"/>
      <c r="J167" s="71" t="s">
        <v>435</v>
      </c>
      <c r="K167" s="43"/>
      <c r="L167" s="71" t="s">
        <v>105</v>
      </c>
      <c r="M167" s="73">
        <v>56</v>
      </c>
      <c r="N167" s="71" t="s">
        <v>388</v>
      </c>
      <c r="O167" s="73">
        <v>0.768</v>
      </c>
      <c r="P167" s="71" t="s">
        <v>389</v>
      </c>
      <c r="Q167" s="73">
        <v>128</v>
      </c>
      <c r="R167" s="71" t="s">
        <v>388</v>
      </c>
      <c r="S167" s="73">
        <v>0</v>
      </c>
      <c r="T167" s="71" t="s">
        <v>390</v>
      </c>
      <c r="U167" s="74">
        <v>1</v>
      </c>
      <c r="V167" s="71" t="s">
        <v>391</v>
      </c>
      <c r="W167" s="130"/>
      <c r="X167" s="72">
        <v>46055.565972222219</v>
      </c>
      <c r="Y167" s="72">
        <v>46056.394444444442</v>
      </c>
      <c r="Z167" s="104" t="s">
        <v>382</v>
      </c>
      <c r="AA167" s="104" t="s">
        <v>383</v>
      </c>
      <c r="AB167" s="105">
        <v>46055.552777777775</v>
      </c>
      <c r="AC167" s="105">
        <v>46055.7</v>
      </c>
    </row>
    <row r="168" s="70" customFormat="1" ht="11.25" customHeight="1">
      <c r="A168" s="87"/>
      <c r="C168" s="43" t="s">
        <v>676</v>
      </c>
      <c r="D168" s="71" t="s">
        <v>382</v>
      </c>
      <c r="E168" s="71" t="str">
        <f>MID(D168,1,2)</f>
        <v>IL</v>
      </c>
      <c r="F168" s="71" t="s">
        <v>677</v>
      </c>
      <c r="G168" s="71" t="str">
        <f>MID(F168,1,2)</f>
        <v>DE</v>
      </c>
      <c r="H168" s="43" t="s">
        <v>678</v>
      </c>
      <c r="I168" s="71"/>
      <c r="J168" s="71" t="s">
        <v>435</v>
      </c>
      <c r="K168" s="43"/>
      <c r="L168" s="71" t="s">
        <v>105</v>
      </c>
      <c r="M168" s="73">
        <v>56</v>
      </c>
      <c r="N168" s="71" t="s">
        <v>388</v>
      </c>
      <c r="O168" s="73">
        <v>0.768</v>
      </c>
      <c r="P168" s="71" t="s">
        <v>389</v>
      </c>
      <c r="Q168" s="73">
        <v>128</v>
      </c>
      <c r="R168" s="71" t="s">
        <v>388</v>
      </c>
      <c r="S168" s="73">
        <v>0</v>
      </c>
      <c r="T168" s="71" t="s">
        <v>390</v>
      </c>
      <c r="U168" s="74">
        <v>1</v>
      </c>
      <c r="V168" s="71" t="s">
        <v>391</v>
      </c>
      <c r="W168" s="130"/>
      <c r="X168" s="72">
        <v>46055.565972222219</v>
      </c>
      <c r="Y168" s="72">
        <v>46056.394444444442</v>
      </c>
      <c r="Z168" s="104" t="s">
        <v>383</v>
      </c>
      <c r="AA168" s="104" t="s">
        <v>677</v>
      </c>
      <c r="AB168" s="105">
        <v>46056.238194444442</v>
      </c>
      <c r="AC168" s="105">
        <v>46056.385416666664</v>
      </c>
    </row>
    <row r="169" s="70" customFormat="1" ht="11.25" customHeight="1">
      <c r="A169" s="87"/>
      <c r="C169" s="43" t="s">
        <v>679</v>
      </c>
      <c r="D169" s="71" t="s">
        <v>382</v>
      </c>
      <c r="E169" s="71" t="str">
        <f>MID(D169,1,2)</f>
        <v>IL</v>
      </c>
      <c r="F169" s="71" t="s">
        <v>680</v>
      </c>
      <c r="G169" s="71" t="str">
        <f>MID(F169,1,2)</f>
        <v>DE</v>
      </c>
      <c r="H169" s="43" t="s">
        <v>681</v>
      </c>
      <c r="I169" s="71" t="s">
        <v>682</v>
      </c>
      <c r="J169" s="71" t="s">
        <v>454</v>
      </c>
      <c r="K169" s="43"/>
      <c r="L169" s="71" t="s">
        <v>107</v>
      </c>
      <c r="M169" s="73">
        <v>27</v>
      </c>
      <c r="N169" s="71" t="s">
        <v>388</v>
      </c>
      <c r="O169" s="73">
        <v>0.125</v>
      </c>
      <c r="P169" s="71" t="s">
        <v>389</v>
      </c>
      <c r="Q169" s="73">
        <v>27</v>
      </c>
      <c r="R169" s="71" t="s">
        <v>388</v>
      </c>
      <c r="S169" s="73">
        <v>0</v>
      </c>
      <c r="T169" s="71" t="s">
        <v>390</v>
      </c>
      <c r="U169" s="74">
        <v>1</v>
      </c>
      <c r="V169" s="71" t="s">
        <v>391</v>
      </c>
      <c r="W169" s="130">
        <v>46054.908993055556</v>
      </c>
      <c r="X169" s="72">
        <v>46055.565972222219</v>
      </c>
      <c r="Y169" s="72">
        <v>46057.447222222225</v>
      </c>
      <c r="Z169" s="104" t="s">
        <v>382</v>
      </c>
      <c r="AA169" s="104" t="s">
        <v>383</v>
      </c>
      <c r="AB169" s="105">
        <v>46056.557638888888</v>
      </c>
      <c r="AC169" s="105">
        <v>46056.726388888892</v>
      </c>
    </row>
    <row r="170" s="70" customFormat="1" ht="11.25" customHeight="1">
      <c r="A170" s="87"/>
      <c r="C170" s="43" t="s">
        <v>679</v>
      </c>
      <c r="D170" s="71" t="s">
        <v>382</v>
      </c>
      <c r="E170" s="71" t="str">
        <f>MID(D170,1,2)</f>
        <v>IL</v>
      </c>
      <c r="F170" s="71" t="s">
        <v>680</v>
      </c>
      <c r="G170" s="71" t="str">
        <f>MID(F170,1,2)</f>
        <v>DE</v>
      </c>
      <c r="H170" s="43" t="s">
        <v>681</v>
      </c>
      <c r="I170" s="71" t="s">
        <v>682</v>
      </c>
      <c r="J170" s="71" t="s">
        <v>454</v>
      </c>
      <c r="K170" s="43"/>
      <c r="L170" s="71" t="s">
        <v>107</v>
      </c>
      <c r="M170" s="73">
        <v>27</v>
      </c>
      <c r="N170" s="71" t="s">
        <v>388</v>
      </c>
      <c r="O170" s="73">
        <v>0.125</v>
      </c>
      <c r="P170" s="71" t="s">
        <v>389</v>
      </c>
      <c r="Q170" s="73">
        <v>27</v>
      </c>
      <c r="R170" s="71" t="s">
        <v>388</v>
      </c>
      <c r="S170" s="73">
        <v>0</v>
      </c>
      <c r="T170" s="71" t="s">
        <v>390</v>
      </c>
      <c r="U170" s="74">
        <v>1</v>
      </c>
      <c r="V170" s="71" t="s">
        <v>391</v>
      </c>
      <c r="W170" s="130">
        <v>46054.908993055556</v>
      </c>
      <c r="X170" s="72">
        <v>46055.565972222219</v>
      </c>
      <c r="Y170" s="72">
        <v>46057.447222222225</v>
      </c>
      <c r="Z170" s="104" t="s">
        <v>383</v>
      </c>
      <c r="AA170" s="104" t="s">
        <v>680</v>
      </c>
      <c r="AB170" s="105">
        <v>46057.307638888888</v>
      </c>
      <c r="AC170" s="105">
        <v>46057.439583333333</v>
      </c>
    </row>
    <row r="171" s="70" customFormat="1" ht="11.25" customHeight="1">
      <c r="A171" s="87"/>
      <c r="C171" s="43" t="s">
        <v>683</v>
      </c>
      <c r="D171" s="71" t="s">
        <v>382</v>
      </c>
      <c r="E171" s="71" t="str">
        <f>MID(D171,1,2)</f>
        <v>IL</v>
      </c>
      <c r="F171" s="71" t="s">
        <v>684</v>
      </c>
      <c r="G171" s="71" t="str">
        <f>MID(F171,1,2)</f>
        <v>IT</v>
      </c>
      <c r="H171" s="43" t="s">
        <v>685</v>
      </c>
      <c r="I171" s="71"/>
      <c r="J171" s="71" t="s">
        <v>426</v>
      </c>
      <c r="K171" s="43"/>
      <c r="L171" s="71" t="s">
        <v>105</v>
      </c>
      <c r="M171" s="73">
        <v>33</v>
      </c>
      <c r="N171" s="71" t="s">
        <v>388</v>
      </c>
      <c r="O171" s="73">
        <v>0.048</v>
      </c>
      <c r="P171" s="71" t="s">
        <v>389</v>
      </c>
      <c r="Q171" s="73">
        <v>33</v>
      </c>
      <c r="R171" s="71" t="s">
        <v>388</v>
      </c>
      <c r="S171" s="73">
        <v>0</v>
      </c>
      <c r="T171" s="71" t="s">
        <v>390</v>
      </c>
      <c r="U171" s="74">
        <v>2</v>
      </c>
      <c r="V171" s="71" t="s">
        <v>391</v>
      </c>
      <c r="W171" s="130">
        <v>46051.604166666664</v>
      </c>
      <c r="X171" s="72">
        <v>46055.595138888886</v>
      </c>
      <c r="Y171" s="72">
        <v>46056.443055555559</v>
      </c>
      <c r="Z171" s="104" t="s">
        <v>382</v>
      </c>
      <c r="AA171" s="104" t="s">
        <v>684</v>
      </c>
      <c r="AB171" s="105">
        <v>46056.285416666666</v>
      </c>
      <c r="AC171" s="105">
        <v>46056.436805555553</v>
      </c>
    </row>
    <row r="172" s="70" customFormat="1" ht="11.25" customHeight="1">
      <c r="A172" s="87"/>
      <c r="C172" s="43" t="s">
        <v>686</v>
      </c>
      <c r="D172" s="71" t="s">
        <v>382</v>
      </c>
      <c r="E172" s="71" t="str">
        <f>MID(D172,1,2)</f>
        <v>IL</v>
      </c>
      <c r="F172" s="71" t="s">
        <v>687</v>
      </c>
      <c r="G172" s="71" t="str">
        <f>MID(F172,1,2)</f>
        <v>MA</v>
      </c>
      <c r="H172" s="43" t="s">
        <v>688</v>
      </c>
      <c r="I172" s="71"/>
      <c r="J172" s="71" t="s">
        <v>426</v>
      </c>
      <c r="K172" s="43"/>
      <c r="L172" s="71" t="s">
        <v>105</v>
      </c>
      <c r="M172" s="73">
        <v>112</v>
      </c>
      <c r="N172" s="71" t="s">
        <v>388</v>
      </c>
      <c r="O172" s="73">
        <v>0.325</v>
      </c>
      <c r="P172" s="71" t="s">
        <v>389</v>
      </c>
      <c r="Q172" s="73">
        <v>112</v>
      </c>
      <c r="R172" s="71" t="s">
        <v>388</v>
      </c>
      <c r="S172" s="73">
        <v>0</v>
      </c>
      <c r="T172" s="71" t="s">
        <v>390</v>
      </c>
      <c r="U172" s="74">
        <v>14</v>
      </c>
      <c r="V172" s="71" t="s">
        <v>391</v>
      </c>
      <c r="W172" s="130">
        <v>46053.834027777775</v>
      </c>
      <c r="X172" s="72">
        <v>46056.827777777777</v>
      </c>
      <c r="Y172" s="72">
        <v>46119</v>
      </c>
      <c r="Z172" s="104" t="s">
        <v>382</v>
      </c>
      <c r="AA172" s="104" t="s">
        <v>684</v>
      </c>
      <c r="AB172" s="105"/>
      <c r="AC172" s="105"/>
    </row>
    <row r="173" s="70" customFormat="1" ht="11.25" customHeight="1">
      <c r="A173" s="87"/>
      <c r="C173" s="43" t="s">
        <v>686</v>
      </c>
      <c r="D173" s="71" t="s">
        <v>382</v>
      </c>
      <c r="E173" s="71" t="str">
        <f>MID(D173,1,2)</f>
        <v>IL</v>
      </c>
      <c r="F173" s="71" t="s">
        <v>687</v>
      </c>
      <c r="G173" s="71" t="str">
        <f>MID(F173,1,2)</f>
        <v>MA</v>
      </c>
      <c r="H173" s="43" t="s">
        <v>688</v>
      </c>
      <c r="I173" s="71"/>
      <c r="J173" s="71" t="s">
        <v>426</v>
      </c>
      <c r="K173" s="43"/>
      <c r="L173" s="71" t="s">
        <v>105</v>
      </c>
      <c r="M173" s="73">
        <v>112</v>
      </c>
      <c r="N173" s="71" t="s">
        <v>388</v>
      </c>
      <c r="O173" s="73">
        <v>0.325</v>
      </c>
      <c r="P173" s="71" t="s">
        <v>389</v>
      </c>
      <c r="Q173" s="73">
        <v>112</v>
      </c>
      <c r="R173" s="71" t="s">
        <v>388</v>
      </c>
      <c r="S173" s="73">
        <v>0</v>
      </c>
      <c r="T173" s="71" t="s">
        <v>390</v>
      </c>
      <c r="U173" s="74">
        <v>14</v>
      </c>
      <c r="V173" s="71" t="s">
        <v>391</v>
      </c>
      <c r="W173" s="130">
        <v>46053.834027777775</v>
      </c>
      <c r="X173" s="72">
        <v>46056.827777777777</v>
      </c>
      <c r="Y173" s="72">
        <v>46119</v>
      </c>
      <c r="Z173" s="104" t="s">
        <v>684</v>
      </c>
      <c r="AA173" s="104" t="s">
        <v>689</v>
      </c>
      <c r="AB173" s="105"/>
      <c r="AC173" s="105"/>
    </row>
    <row r="174" s="70" customFormat="1" ht="11.25" customHeight="1">
      <c r="A174" s="87"/>
      <c r="C174" s="43" t="s">
        <v>686</v>
      </c>
      <c r="D174" s="71" t="s">
        <v>382</v>
      </c>
      <c r="E174" s="71" t="str">
        <f>MID(D174,1,2)</f>
        <v>IL</v>
      </c>
      <c r="F174" s="71" t="s">
        <v>687</v>
      </c>
      <c r="G174" s="71" t="str">
        <f>MID(F174,1,2)</f>
        <v>MA</v>
      </c>
      <c r="H174" s="43" t="s">
        <v>688</v>
      </c>
      <c r="I174" s="71"/>
      <c r="J174" s="71" t="s">
        <v>426</v>
      </c>
      <c r="K174" s="43"/>
      <c r="L174" s="71" t="s">
        <v>105</v>
      </c>
      <c r="M174" s="73">
        <v>112</v>
      </c>
      <c r="N174" s="71" t="s">
        <v>388</v>
      </c>
      <c r="O174" s="73">
        <v>0.325</v>
      </c>
      <c r="P174" s="71" t="s">
        <v>389</v>
      </c>
      <c r="Q174" s="73">
        <v>112</v>
      </c>
      <c r="R174" s="71" t="s">
        <v>388</v>
      </c>
      <c r="S174" s="73">
        <v>0</v>
      </c>
      <c r="T174" s="71" t="s">
        <v>390</v>
      </c>
      <c r="U174" s="74">
        <v>14</v>
      </c>
      <c r="V174" s="71" t="s">
        <v>391</v>
      </c>
      <c r="W174" s="130">
        <v>46053.834027777775</v>
      </c>
      <c r="X174" s="72">
        <v>46056.827777777777</v>
      </c>
      <c r="Y174" s="72">
        <v>46119</v>
      </c>
      <c r="Z174" s="104" t="s">
        <v>689</v>
      </c>
      <c r="AA174" s="104" t="s">
        <v>687</v>
      </c>
      <c r="AB174" s="105"/>
      <c r="AC174" s="105"/>
    </row>
    <row r="175" s="70" customFormat="1" ht="11.25" customHeight="1">
      <c r="A175" s="87"/>
      <c r="C175" s="43" t="s">
        <v>690</v>
      </c>
      <c r="D175" s="71" t="s">
        <v>382</v>
      </c>
      <c r="E175" s="71" t="str">
        <f>MID(D175,1,2)</f>
        <v>IL</v>
      </c>
      <c r="F175" s="71" t="s">
        <v>684</v>
      </c>
      <c r="G175" s="71" t="str">
        <f>MID(F175,1,2)</f>
        <v>IT</v>
      </c>
      <c r="H175" s="43" t="s">
        <v>691</v>
      </c>
      <c r="I175" s="71" t="s">
        <v>692</v>
      </c>
      <c r="J175" s="71" t="s">
        <v>386</v>
      </c>
      <c r="K175" s="43"/>
      <c r="L175" s="71" t="s">
        <v>107</v>
      </c>
      <c r="M175" s="73">
        <v>1068</v>
      </c>
      <c r="N175" s="71" t="s">
        <v>388</v>
      </c>
      <c r="O175" s="73">
        <v>5.592</v>
      </c>
      <c r="P175" s="71" t="s">
        <v>389</v>
      </c>
      <c r="Q175" s="73">
        <v>1068</v>
      </c>
      <c r="R175" s="71" t="s">
        <v>388</v>
      </c>
      <c r="S175" s="73">
        <v>0</v>
      </c>
      <c r="T175" s="71" t="s">
        <v>390</v>
      </c>
      <c r="U175" s="74">
        <v>4</v>
      </c>
      <c r="V175" s="71" t="s">
        <v>391</v>
      </c>
      <c r="W175" s="130">
        <v>46054.630972222221</v>
      </c>
      <c r="X175" s="72">
        <v>46056.458333333336</v>
      </c>
      <c r="Y175" s="72">
        <v>46056.795138888891</v>
      </c>
      <c r="Z175" s="104" t="s">
        <v>382</v>
      </c>
      <c r="AA175" s="104" t="s">
        <v>684</v>
      </c>
      <c r="AB175" s="105">
        <v>46056.620138888888</v>
      </c>
      <c r="AC175" s="105">
        <v>46057.136111111111</v>
      </c>
    </row>
    <row r="176" s="70" customFormat="1" ht="11.25" customHeight="1">
      <c r="A176" s="87"/>
      <c r="C176" s="43" t="s">
        <v>693</v>
      </c>
      <c r="D176" s="71" t="s">
        <v>382</v>
      </c>
      <c r="E176" s="71" t="str">
        <f>MID(D176,1,2)</f>
        <v>IL</v>
      </c>
      <c r="F176" s="71" t="s">
        <v>526</v>
      </c>
      <c r="G176" s="71" t="str">
        <f>MID(F176,1,2)</f>
        <v>US</v>
      </c>
      <c r="H176" s="43" t="s">
        <v>694</v>
      </c>
      <c r="I176" s="71" t="s">
        <v>695</v>
      </c>
      <c r="J176" s="71" t="s">
        <v>386</v>
      </c>
      <c r="K176" s="43"/>
      <c r="L176" s="71" t="s">
        <v>107</v>
      </c>
      <c r="M176" s="73">
        <v>540</v>
      </c>
      <c r="N176" s="71" t="s">
        <v>388</v>
      </c>
      <c r="O176" s="73">
        <v>4.536</v>
      </c>
      <c r="P176" s="71" t="s">
        <v>389</v>
      </c>
      <c r="Q176" s="73">
        <v>756</v>
      </c>
      <c r="R176" s="71" t="s">
        <v>388</v>
      </c>
      <c r="S176" s="73">
        <v>36</v>
      </c>
      <c r="T176" s="71" t="s">
        <v>390</v>
      </c>
      <c r="U176" s="74">
        <v>6</v>
      </c>
      <c r="V176" s="71" t="s">
        <v>391</v>
      </c>
      <c r="W176" s="130">
        <v>46051.632638888892</v>
      </c>
      <c r="X176" s="72">
        <v>46058.03125</v>
      </c>
      <c r="Y176" s="72">
        <v>46058.25</v>
      </c>
      <c r="Z176" s="104" t="s">
        <v>382</v>
      </c>
      <c r="AA176" s="104" t="s">
        <v>526</v>
      </c>
      <c r="AB176" s="105">
        <v>46058.02847222222</v>
      </c>
      <c r="AC176" s="105">
        <v>46058.206944444442</v>
      </c>
    </row>
    <row r="177" s="70" customFormat="1" ht="11.25" customHeight="1">
      <c r="A177" s="87"/>
      <c r="C177" s="43" t="s">
        <v>696</v>
      </c>
      <c r="D177" s="71" t="s">
        <v>382</v>
      </c>
      <c r="E177" s="71" t="str">
        <f>MID(D177,1,2)</f>
        <v>IL</v>
      </c>
      <c r="F177" s="71" t="s">
        <v>422</v>
      </c>
      <c r="G177" s="71" t="str">
        <f>MID(F177,1,2)</f>
        <v>US</v>
      </c>
      <c r="H177" s="43" t="s">
        <v>697</v>
      </c>
      <c r="I177" s="71" t="s">
        <v>698</v>
      </c>
      <c r="J177" s="71" t="s">
        <v>386</v>
      </c>
      <c r="K177" s="43"/>
      <c r="L177" s="71" t="s">
        <v>107</v>
      </c>
      <c r="M177" s="73">
        <v>390</v>
      </c>
      <c r="N177" s="71" t="s">
        <v>388</v>
      </c>
      <c r="O177" s="73">
        <v>5.76</v>
      </c>
      <c r="P177" s="71" t="s">
        <v>389</v>
      </c>
      <c r="Q177" s="73">
        <v>960</v>
      </c>
      <c r="R177" s="71" t="s">
        <v>388</v>
      </c>
      <c r="S177" s="73">
        <v>0</v>
      </c>
      <c r="T177" s="71" t="s">
        <v>390</v>
      </c>
      <c r="U177" s="74">
        <v>3</v>
      </c>
      <c r="V177" s="71" t="s">
        <v>391</v>
      </c>
      <c r="W177" s="130">
        <v>46051.652777777781</v>
      </c>
      <c r="X177" s="72">
        <v>46058.458333333336</v>
      </c>
      <c r="Y177" s="72">
        <v>46060.690972222219</v>
      </c>
      <c r="Z177" s="104" t="s">
        <v>382</v>
      </c>
      <c r="AA177" s="104" t="s">
        <v>422</v>
      </c>
      <c r="AB177" s="105">
        <v>46059.472222222219</v>
      </c>
      <c r="AC177" s="105">
        <v>46059.690972222219</v>
      </c>
    </row>
    <row r="178" s="70" customFormat="1" ht="11.25" customHeight="1">
      <c r="A178" s="87"/>
      <c r="C178" s="43" t="s">
        <v>699</v>
      </c>
      <c r="D178" s="71" t="s">
        <v>382</v>
      </c>
      <c r="E178" s="71" t="str">
        <f>MID(D178,1,2)</f>
        <v>IL</v>
      </c>
      <c r="F178" s="71" t="s">
        <v>468</v>
      </c>
      <c r="G178" s="71" t="str">
        <f>MID(F178,1,2)</f>
        <v>US</v>
      </c>
      <c r="H178" s="43" t="s">
        <v>613</v>
      </c>
      <c r="I178" s="71" t="s">
        <v>700</v>
      </c>
      <c r="J178" s="71" t="s">
        <v>386</v>
      </c>
      <c r="K178" s="43"/>
      <c r="L178" s="71" t="s">
        <v>107</v>
      </c>
      <c r="M178" s="73">
        <v>25</v>
      </c>
      <c r="N178" s="71" t="s">
        <v>388</v>
      </c>
      <c r="O178" s="73">
        <v>0.281</v>
      </c>
      <c r="P178" s="71" t="s">
        <v>389</v>
      </c>
      <c r="Q178" s="73">
        <v>47</v>
      </c>
      <c r="R178" s="71" t="s">
        <v>388</v>
      </c>
      <c r="S178" s="73">
        <v>0</v>
      </c>
      <c r="T178" s="71" t="s">
        <v>390</v>
      </c>
      <c r="U178" s="74">
        <v>1</v>
      </c>
      <c r="V178" s="71" t="s">
        <v>391</v>
      </c>
      <c r="W178" s="130">
        <v>46051.63958333333</v>
      </c>
      <c r="X178" s="72">
        <v>46057.458333333336</v>
      </c>
      <c r="Y178" s="72">
        <v>46062.416666666664</v>
      </c>
      <c r="Z178" s="104" t="s">
        <v>382</v>
      </c>
      <c r="AA178" s="104" t="s">
        <v>422</v>
      </c>
      <c r="AB178" s="105">
        <v>46057.961111111108</v>
      </c>
      <c r="AC178" s="105">
        <v>46058.131944444445</v>
      </c>
    </row>
    <row r="179" s="70" customFormat="1" ht="11.25" customHeight="1">
      <c r="A179" s="87"/>
      <c r="C179" s="43" t="s">
        <v>699</v>
      </c>
      <c r="D179" s="71" t="s">
        <v>382</v>
      </c>
      <c r="E179" s="71" t="str">
        <f>MID(D179,1,2)</f>
        <v>IL</v>
      </c>
      <c r="F179" s="71" t="s">
        <v>468</v>
      </c>
      <c r="G179" s="71" t="str">
        <f>MID(F179,1,2)</f>
        <v>US</v>
      </c>
      <c r="H179" s="43" t="s">
        <v>613</v>
      </c>
      <c r="I179" s="71" t="s">
        <v>700</v>
      </c>
      <c r="J179" s="71" t="s">
        <v>386</v>
      </c>
      <c r="K179" s="43"/>
      <c r="L179" s="71" t="s">
        <v>107</v>
      </c>
      <c r="M179" s="73">
        <v>25</v>
      </c>
      <c r="N179" s="71" t="s">
        <v>388</v>
      </c>
      <c r="O179" s="73">
        <v>0.281</v>
      </c>
      <c r="P179" s="71" t="s">
        <v>389</v>
      </c>
      <c r="Q179" s="73">
        <v>47</v>
      </c>
      <c r="R179" s="71" t="s">
        <v>388</v>
      </c>
      <c r="S179" s="73">
        <v>0</v>
      </c>
      <c r="T179" s="71" t="s">
        <v>390</v>
      </c>
      <c r="U179" s="74">
        <v>1</v>
      </c>
      <c r="V179" s="71" t="s">
        <v>391</v>
      </c>
      <c r="W179" s="130">
        <v>46051.63958333333</v>
      </c>
      <c r="X179" s="72">
        <v>46057.458333333336</v>
      </c>
      <c r="Y179" s="72">
        <v>46062.416666666664</v>
      </c>
      <c r="Z179" s="104" t="s">
        <v>422</v>
      </c>
      <c r="AA179" s="104" t="s">
        <v>468</v>
      </c>
      <c r="AB179" s="105">
        <v>46058.906944444447</v>
      </c>
      <c r="AC179" s="105">
        <v>46060.544444444444</v>
      </c>
    </row>
    <row r="180" s="70" customFormat="1" ht="11.25" customHeight="1">
      <c r="A180" s="87"/>
      <c r="C180" s="43" t="s">
        <v>701</v>
      </c>
      <c r="D180" s="71" t="s">
        <v>382</v>
      </c>
      <c r="E180" s="71" t="str">
        <f>MID(D180,1,2)</f>
        <v>IL</v>
      </c>
      <c r="F180" s="71" t="s">
        <v>702</v>
      </c>
      <c r="G180" s="71" t="str">
        <f>MID(F180,1,2)</f>
        <v>JP</v>
      </c>
      <c r="H180" s="43" t="s">
        <v>703</v>
      </c>
      <c r="I180" s="71" t="s">
        <v>704</v>
      </c>
      <c r="J180" s="71" t="s">
        <v>386</v>
      </c>
      <c r="K180" s="43"/>
      <c r="L180" s="71" t="s">
        <v>107</v>
      </c>
      <c r="M180" s="73">
        <v>19</v>
      </c>
      <c r="N180" s="71" t="s">
        <v>388</v>
      </c>
      <c r="O180" s="73">
        <v>0.242</v>
      </c>
      <c r="P180" s="71" t="s">
        <v>389</v>
      </c>
      <c r="Q180" s="73">
        <v>40.5</v>
      </c>
      <c r="R180" s="71" t="s">
        <v>388</v>
      </c>
      <c r="S180" s="73">
        <v>0</v>
      </c>
      <c r="T180" s="71" t="s">
        <v>390</v>
      </c>
      <c r="U180" s="74">
        <v>1</v>
      </c>
      <c r="V180" s="71" t="s">
        <v>391</v>
      </c>
      <c r="W180" s="130">
        <v>46054.891724537039</v>
      </c>
      <c r="X180" s="72">
        <v>46057.788194444445</v>
      </c>
      <c r="Y180" s="72">
        <v>46058.559027777781</v>
      </c>
      <c r="Z180" s="104" t="s">
        <v>382</v>
      </c>
      <c r="AA180" s="104" t="s">
        <v>702</v>
      </c>
      <c r="AB180" s="105">
        <v>46057.789583333331</v>
      </c>
      <c r="AC180" s="105">
        <v>46058.54375</v>
      </c>
    </row>
    <row r="181" s="70" customFormat="1" ht="11.25" customHeight="1">
      <c r="A181" s="87"/>
      <c r="C181" s="43" t="s">
        <v>705</v>
      </c>
      <c r="D181" s="71" t="s">
        <v>382</v>
      </c>
      <c r="E181" s="71" t="str">
        <f>MID(D181,1,2)</f>
        <v>IL</v>
      </c>
      <c r="F181" s="71" t="s">
        <v>468</v>
      </c>
      <c r="G181" s="71" t="str">
        <f>MID(F181,1,2)</f>
        <v>US</v>
      </c>
      <c r="H181" s="43" t="s">
        <v>706</v>
      </c>
      <c r="I181" s="71" t="s">
        <v>707</v>
      </c>
      <c r="J181" s="71" t="s">
        <v>386</v>
      </c>
      <c r="K181" s="43"/>
      <c r="L181" s="71" t="s">
        <v>107</v>
      </c>
      <c r="M181" s="73">
        <v>5</v>
      </c>
      <c r="N181" s="71" t="s">
        <v>388</v>
      </c>
      <c r="O181" s="73">
        <v>0.043</v>
      </c>
      <c r="P181" s="71" t="s">
        <v>389</v>
      </c>
      <c r="Q181" s="73">
        <v>7.5</v>
      </c>
      <c r="R181" s="71" t="s">
        <v>388</v>
      </c>
      <c r="S181" s="73">
        <v>0</v>
      </c>
      <c r="T181" s="71" t="s">
        <v>390</v>
      </c>
      <c r="U181" s="74">
        <v>1</v>
      </c>
      <c r="V181" s="71" t="s">
        <v>391</v>
      </c>
      <c r="W181" s="130">
        <v>46051.646527777775</v>
      </c>
      <c r="X181" s="72">
        <v>46060.958333333336</v>
      </c>
      <c r="Y181" s="72">
        <v>46063.673611111109</v>
      </c>
      <c r="Z181" s="104" t="s">
        <v>382</v>
      </c>
      <c r="AA181" s="104" t="s">
        <v>422</v>
      </c>
      <c r="AB181" s="105">
        <v>46060.963194444441</v>
      </c>
      <c r="AC181" s="105">
        <v>46061.144444444442</v>
      </c>
    </row>
    <row r="182" s="70" customFormat="1" ht="11.25" customHeight="1">
      <c r="A182" s="87"/>
      <c r="C182" s="43" t="s">
        <v>705</v>
      </c>
      <c r="D182" s="71" t="s">
        <v>382</v>
      </c>
      <c r="E182" s="71" t="str">
        <f>MID(D182,1,2)</f>
        <v>IL</v>
      </c>
      <c r="F182" s="71" t="s">
        <v>468</v>
      </c>
      <c r="G182" s="71" t="str">
        <f>MID(F182,1,2)</f>
        <v>US</v>
      </c>
      <c r="H182" s="43" t="s">
        <v>706</v>
      </c>
      <c r="I182" s="71" t="s">
        <v>707</v>
      </c>
      <c r="J182" s="71" t="s">
        <v>386</v>
      </c>
      <c r="K182" s="43"/>
      <c r="L182" s="71" t="s">
        <v>107</v>
      </c>
      <c r="M182" s="73">
        <v>5</v>
      </c>
      <c r="N182" s="71" t="s">
        <v>388</v>
      </c>
      <c r="O182" s="73">
        <v>0.043</v>
      </c>
      <c r="P182" s="71" t="s">
        <v>389</v>
      </c>
      <c r="Q182" s="73">
        <v>7.5</v>
      </c>
      <c r="R182" s="71" t="s">
        <v>388</v>
      </c>
      <c r="S182" s="73">
        <v>0</v>
      </c>
      <c r="T182" s="71" t="s">
        <v>390</v>
      </c>
      <c r="U182" s="74">
        <v>1</v>
      </c>
      <c r="V182" s="71" t="s">
        <v>391</v>
      </c>
      <c r="W182" s="130">
        <v>46051.646527777775</v>
      </c>
      <c r="X182" s="72">
        <v>46060.958333333336</v>
      </c>
      <c r="Y182" s="72">
        <v>46063.673611111109</v>
      </c>
      <c r="Z182" s="104" t="s">
        <v>422</v>
      </c>
      <c r="AA182" s="104" t="s">
        <v>468</v>
      </c>
      <c r="AB182" s="105">
        <v>46063.543055555558</v>
      </c>
      <c r="AC182" s="105">
        <v>46063.658333333333</v>
      </c>
    </row>
    <row r="183" s="70" customFormat="1" ht="11.25" customHeight="1">
      <c r="A183" s="87"/>
      <c r="C183" s="43" t="s">
        <v>708</v>
      </c>
      <c r="D183" s="71" t="s">
        <v>382</v>
      </c>
      <c r="E183" s="71" t="str">
        <f>MID(D183,1,2)</f>
        <v>IL</v>
      </c>
      <c r="F183" s="71" t="s">
        <v>422</v>
      </c>
      <c r="G183" s="71" t="str">
        <f>MID(F183,1,2)</f>
        <v>US</v>
      </c>
      <c r="H183" s="43" t="s">
        <v>697</v>
      </c>
      <c r="I183" s="71" t="s">
        <v>709</v>
      </c>
      <c r="J183" s="71" t="s">
        <v>386</v>
      </c>
      <c r="K183" s="43"/>
      <c r="L183" s="71" t="s">
        <v>107</v>
      </c>
      <c r="M183" s="73">
        <v>482</v>
      </c>
      <c r="N183" s="71" t="s">
        <v>388</v>
      </c>
      <c r="O183" s="73">
        <v>11.28</v>
      </c>
      <c r="P183" s="71" t="s">
        <v>389</v>
      </c>
      <c r="Q183" s="73">
        <v>1880</v>
      </c>
      <c r="R183" s="71" t="s">
        <v>388</v>
      </c>
      <c r="S183" s="73">
        <v>0</v>
      </c>
      <c r="T183" s="71" t="s">
        <v>390</v>
      </c>
      <c r="U183" s="74">
        <v>6</v>
      </c>
      <c r="V183" s="71" t="s">
        <v>391</v>
      </c>
      <c r="W183" s="130">
        <v>46053.847222222219</v>
      </c>
      <c r="X183" s="72">
        <v>46058.458333333336</v>
      </c>
      <c r="Y183" s="72">
        <v>46060.690972222219</v>
      </c>
      <c r="Z183" s="104" t="s">
        <v>382</v>
      </c>
      <c r="AA183" s="104" t="s">
        <v>422</v>
      </c>
      <c r="AB183" s="105">
        <v>46059.472222222219</v>
      </c>
      <c r="AC183" s="105">
        <v>46059.690972222219</v>
      </c>
    </row>
    <row r="184" s="70" customFormat="1" ht="11.25" customHeight="1">
      <c r="A184" s="87"/>
      <c r="C184" s="43" t="s">
        <v>710</v>
      </c>
      <c r="D184" s="71" t="s">
        <v>382</v>
      </c>
      <c r="E184" s="71" t="str">
        <f>MID(D184,1,2)</f>
        <v>IL</v>
      </c>
      <c r="F184" s="71" t="s">
        <v>468</v>
      </c>
      <c r="G184" s="71" t="str">
        <f>MID(F184,1,2)</f>
        <v>US</v>
      </c>
      <c r="H184" s="43" t="s">
        <v>613</v>
      </c>
      <c r="I184" s="71" t="s">
        <v>711</v>
      </c>
      <c r="J184" s="71" t="s">
        <v>386</v>
      </c>
      <c r="K184" s="43"/>
      <c r="L184" s="71" t="s">
        <v>107</v>
      </c>
      <c r="M184" s="73">
        <v>8</v>
      </c>
      <c r="N184" s="71" t="s">
        <v>388</v>
      </c>
      <c r="O184" s="73">
        <v>0.028</v>
      </c>
      <c r="P184" s="71" t="s">
        <v>389</v>
      </c>
      <c r="Q184" s="73">
        <v>8</v>
      </c>
      <c r="R184" s="71" t="s">
        <v>388</v>
      </c>
      <c r="S184" s="73">
        <v>0</v>
      </c>
      <c r="T184" s="71" t="s">
        <v>390</v>
      </c>
      <c r="U184" s="74">
        <v>1</v>
      </c>
      <c r="V184" s="71" t="s">
        <v>391</v>
      </c>
      <c r="W184" s="130">
        <v>46051.652777777781</v>
      </c>
      <c r="X184" s="72">
        <v>46057.458333333336</v>
      </c>
      <c r="Y184" s="72">
        <v>46062.416666666664</v>
      </c>
      <c r="Z184" s="104" t="s">
        <v>382</v>
      </c>
      <c r="AA184" s="104" t="s">
        <v>422</v>
      </c>
      <c r="AB184" s="105">
        <v>46057.961111111108</v>
      </c>
      <c r="AC184" s="105">
        <v>46058.131944444445</v>
      </c>
    </row>
    <row r="185" s="70" customFormat="1" ht="11.25" customHeight="1">
      <c r="A185" s="87"/>
      <c r="C185" s="43" t="s">
        <v>710</v>
      </c>
      <c r="D185" s="71" t="s">
        <v>382</v>
      </c>
      <c r="E185" s="71" t="str">
        <f>MID(D185,1,2)</f>
        <v>IL</v>
      </c>
      <c r="F185" s="71" t="s">
        <v>468</v>
      </c>
      <c r="G185" s="71" t="str">
        <f>MID(F185,1,2)</f>
        <v>US</v>
      </c>
      <c r="H185" s="43" t="s">
        <v>613</v>
      </c>
      <c r="I185" s="71" t="s">
        <v>711</v>
      </c>
      <c r="J185" s="71" t="s">
        <v>386</v>
      </c>
      <c r="K185" s="43"/>
      <c r="L185" s="71" t="s">
        <v>107</v>
      </c>
      <c r="M185" s="73">
        <v>8</v>
      </c>
      <c r="N185" s="71" t="s">
        <v>388</v>
      </c>
      <c r="O185" s="73">
        <v>0.028</v>
      </c>
      <c r="P185" s="71" t="s">
        <v>389</v>
      </c>
      <c r="Q185" s="73">
        <v>8</v>
      </c>
      <c r="R185" s="71" t="s">
        <v>388</v>
      </c>
      <c r="S185" s="73">
        <v>0</v>
      </c>
      <c r="T185" s="71" t="s">
        <v>390</v>
      </c>
      <c r="U185" s="74">
        <v>1</v>
      </c>
      <c r="V185" s="71" t="s">
        <v>391</v>
      </c>
      <c r="W185" s="130">
        <v>46051.652777777781</v>
      </c>
      <c r="X185" s="72">
        <v>46057.458333333336</v>
      </c>
      <c r="Y185" s="72">
        <v>46062.416666666664</v>
      </c>
      <c r="Z185" s="104" t="s">
        <v>422</v>
      </c>
      <c r="AA185" s="104" t="s">
        <v>468</v>
      </c>
      <c r="AB185" s="105">
        <v>46058.906944444447</v>
      </c>
      <c r="AC185" s="105">
        <v>46060.544444444444</v>
      </c>
    </row>
    <row r="186" s="70" customFormat="1" ht="11.25" customHeight="1">
      <c r="A186" s="87"/>
      <c r="C186" s="43" t="s">
        <v>712</v>
      </c>
      <c r="D186" s="71" t="s">
        <v>382</v>
      </c>
      <c r="E186" s="71" t="str">
        <f>MID(D186,1,2)</f>
        <v>IL</v>
      </c>
      <c r="F186" s="71" t="s">
        <v>468</v>
      </c>
      <c r="G186" s="71" t="str">
        <f>MID(F186,1,2)</f>
        <v>US</v>
      </c>
      <c r="H186" s="43" t="s">
        <v>613</v>
      </c>
      <c r="I186" s="71" t="s">
        <v>713</v>
      </c>
      <c r="J186" s="71" t="s">
        <v>386</v>
      </c>
      <c r="K186" s="43"/>
      <c r="L186" s="71" t="s">
        <v>107</v>
      </c>
      <c r="M186" s="73">
        <v>8</v>
      </c>
      <c r="N186" s="71" t="s">
        <v>388</v>
      </c>
      <c r="O186" s="73">
        <v>0.025</v>
      </c>
      <c r="P186" s="71" t="s">
        <v>389</v>
      </c>
      <c r="Q186" s="73">
        <v>8</v>
      </c>
      <c r="R186" s="71" t="s">
        <v>388</v>
      </c>
      <c r="S186" s="73">
        <v>0</v>
      </c>
      <c r="T186" s="71" t="s">
        <v>390</v>
      </c>
      <c r="U186" s="74">
        <v>1</v>
      </c>
      <c r="V186" s="71" t="s">
        <v>391</v>
      </c>
      <c r="W186" s="130">
        <v>46051.660416666666</v>
      </c>
      <c r="X186" s="72">
        <v>46057.458333333336</v>
      </c>
      <c r="Y186" s="72">
        <v>46062.416666666664</v>
      </c>
      <c r="Z186" s="104" t="s">
        <v>382</v>
      </c>
      <c r="AA186" s="104" t="s">
        <v>422</v>
      </c>
      <c r="AB186" s="105">
        <v>46057.961111111108</v>
      </c>
      <c r="AC186" s="105">
        <v>46058.131944444445</v>
      </c>
    </row>
    <row r="187" s="70" customFormat="1" ht="11.25" customHeight="1">
      <c r="A187" s="87"/>
      <c r="C187" s="43" t="s">
        <v>712</v>
      </c>
      <c r="D187" s="71" t="s">
        <v>382</v>
      </c>
      <c r="E187" s="71" t="str">
        <f>MID(D187,1,2)</f>
        <v>IL</v>
      </c>
      <c r="F187" s="71" t="s">
        <v>468</v>
      </c>
      <c r="G187" s="71" t="str">
        <f>MID(F187,1,2)</f>
        <v>US</v>
      </c>
      <c r="H187" s="43" t="s">
        <v>613</v>
      </c>
      <c r="I187" s="71" t="s">
        <v>713</v>
      </c>
      <c r="J187" s="71" t="s">
        <v>386</v>
      </c>
      <c r="K187" s="43"/>
      <c r="L187" s="71" t="s">
        <v>107</v>
      </c>
      <c r="M187" s="73">
        <v>8</v>
      </c>
      <c r="N187" s="71" t="s">
        <v>388</v>
      </c>
      <c r="O187" s="73">
        <v>0.025</v>
      </c>
      <c r="P187" s="71" t="s">
        <v>389</v>
      </c>
      <c r="Q187" s="73">
        <v>8</v>
      </c>
      <c r="R187" s="71" t="s">
        <v>388</v>
      </c>
      <c r="S187" s="73">
        <v>0</v>
      </c>
      <c r="T187" s="71" t="s">
        <v>390</v>
      </c>
      <c r="U187" s="74">
        <v>1</v>
      </c>
      <c r="V187" s="71" t="s">
        <v>391</v>
      </c>
      <c r="W187" s="130">
        <v>46051.660416666666</v>
      </c>
      <c r="X187" s="72">
        <v>46057.458333333336</v>
      </c>
      <c r="Y187" s="72">
        <v>46062.416666666664</v>
      </c>
      <c r="Z187" s="104" t="s">
        <v>422</v>
      </c>
      <c r="AA187" s="104" t="s">
        <v>468</v>
      </c>
      <c r="AB187" s="105">
        <v>46058.906944444447</v>
      </c>
      <c r="AC187" s="105">
        <v>46060.544444444444</v>
      </c>
    </row>
    <row r="188" s="70" customFormat="1" ht="11.25" customHeight="1">
      <c r="A188" s="87"/>
      <c r="C188" s="43" t="s">
        <v>714</v>
      </c>
      <c r="D188" s="71" t="s">
        <v>382</v>
      </c>
      <c r="E188" s="71" t="str">
        <f>MID(D188,1,2)</f>
        <v>IL</v>
      </c>
      <c r="F188" s="71" t="s">
        <v>597</v>
      </c>
      <c r="G188" s="71" t="str">
        <f>MID(F188,1,2)</f>
        <v>NL</v>
      </c>
      <c r="H188" s="43" t="s">
        <v>715</v>
      </c>
      <c r="I188" s="71"/>
      <c r="J188" s="71" t="s">
        <v>426</v>
      </c>
      <c r="K188" s="43"/>
      <c r="L188" s="71" t="s">
        <v>105</v>
      </c>
      <c r="M188" s="73">
        <v>31</v>
      </c>
      <c r="N188" s="71" t="s">
        <v>388</v>
      </c>
      <c r="O188" s="73">
        <v>0.146</v>
      </c>
      <c r="P188" s="71" t="s">
        <v>389</v>
      </c>
      <c r="Q188" s="73">
        <v>31</v>
      </c>
      <c r="R188" s="71" t="s">
        <v>388</v>
      </c>
      <c r="S188" s="73">
        <v>0</v>
      </c>
      <c r="T188" s="71" t="s">
        <v>390</v>
      </c>
      <c r="U188" s="74">
        <v>4</v>
      </c>
      <c r="V188" s="71" t="s">
        <v>391</v>
      </c>
      <c r="W188" s="130">
        <v>46051.667361111111</v>
      </c>
      <c r="X188" s="72">
        <v>46055.657638888886</v>
      </c>
      <c r="Y188" s="72">
        <v>46056.442361111112</v>
      </c>
      <c r="Z188" s="104" t="s">
        <v>382</v>
      </c>
      <c r="AA188" s="104" t="s">
        <v>597</v>
      </c>
      <c r="AB188" s="105">
        <v>46056.256944444445</v>
      </c>
      <c r="AC188" s="105">
        <v>46056.446527777778</v>
      </c>
    </row>
    <row r="189" s="70" customFormat="1" ht="11.25" customHeight="1">
      <c r="A189" s="87"/>
      <c r="C189" s="43" t="s">
        <v>716</v>
      </c>
      <c r="D189" s="71" t="s">
        <v>382</v>
      </c>
      <c r="E189" s="71" t="str">
        <f>MID(D189,1,2)</f>
        <v>IL</v>
      </c>
      <c r="F189" s="71" t="s">
        <v>468</v>
      </c>
      <c r="G189" s="71" t="str">
        <f>MID(F189,1,2)</f>
        <v>US</v>
      </c>
      <c r="H189" s="43" t="s">
        <v>613</v>
      </c>
      <c r="I189" s="71" t="s">
        <v>717</v>
      </c>
      <c r="J189" s="71" t="s">
        <v>386</v>
      </c>
      <c r="K189" s="43"/>
      <c r="L189" s="71" t="s">
        <v>107</v>
      </c>
      <c r="M189" s="73">
        <v>8</v>
      </c>
      <c r="N189" s="71" t="s">
        <v>388</v>
      </c>
      <c r="O189" s="73">
        <v>0.035</v>
      </c>
      <c r="P189" s="71" t="s">
        <v>389</v>
      </c>
      <c r="Q189" s="73">
        <v>8</v>
      </c>
      <c r="R189" s="71" t="s">
        <v>388</v>
      </c>
      <c r="S189" s="73">
        <v>0</v>
      </c>
      <c r="T189" s="71" t="s">
        <v>390</v>
      </c>
      <c r="U189" s="74">
        <v>1</v>
      </c>
      <c r="V189" s="71" t="s">
        <v>391</v>
      </c>
      <c r="W189" s="130">
        <v>46051.660416666666</v>
      </c>
      <c r="X189" s="72">
        <v>46057.458333333336</v>
      </c>
      <c r="Y189" s="72">
        <v>46062.416666666664</v>
      </c>
      <c r="Z189" s="104" t="s">
        <v>382</v>
      </c>
      <c r="AA189" s="104" t="s">
        <v>422</v>
      </c>
      <c r="AB189" s="105">
        <v>46057.961111111108</v>
      </c>
      <c r="AC189" s="105">
        <v>46058.131944444445</v>
      </c>
    </row>
    <row r="190" s="70" customFormat="1" ht="11.25" customHeight="1">
      <c r="A190" s="87"/>
      <c r="C190" s="43" t="s">
        <v>716</v>
      </c>
      <c r="D190" s="71" t="s">
        <v>382</v>
      </c>
      <c r="E190" s="71" t="str">
        <f>MID(D190,1,2)</f>
        <v>IL</v>
      </c>
      <c r="F190" s="71" t="s">
        <v>468</v>
      </c>
      <c r="G190" s="71" t="str">
        <f>MID(F190,1,2)</f>
        <v>US</v>
      </c>
      <c r="H190" s="43" t="s">
        <v>613</v>
      </c>
      <c r="I190" s="71" t="s">
        <v>717</v>
      </c>
      <c r="J190" s="71" t="s">
        <v>386</v>
      </c>
      <c r="K190" s="43"/>
      <c r="L190" s="71" t="s">
        <v>107</v>
      </c>
      <c r="M190" s="73">
        <v>8</v>
      </c>
      <c r="N190" s="71" t="s">
        <v>388</v>
      </c>
      <c r="O190" s="73">
        <v>0.035</v>
      </c>
      <c r="P190" s="71" t="s">
        <v>389</v>
      </c>
      <c r="Q190" s="73">
        <v>8</v>
      </c>
      <c r="R190" s="71" t="s">
        <v>388</v>
      </c>
      <c r="S190" s="73">
        <v>0</v>
      </c>
      <c r="T190" s="71" t="s">
        <v>390</v>
      </c>
      <c r="U190" s="74">
        <v>1</v>
      </c>
      <c r="V190" s="71" t="s">
        <v>391</v>
      </c>
      <c r="W190" s="130">
        <v>46051.660416666666</v>
      </c>
      <c r="X190" s="72">
        <v>46057.458333333336</v>
      </c>
      <c r="Y190" s="72">
        <v>46062.416666666664</v>
      </c>
      <c r="Z190" s="104" t="s">
        <v>422</v>
      </c>
      <c r="AA190" s="104" t="s">
        <v>468</v>
      </c>
      <c r="AB190" s="105">
        <v>46058.906944444447</v>
      </c>
      <c r="AC190" s="105">
        <v>46060.544444444444</v>
      </c>
    </row>
    <row r="191" s="70" customFormat="1" ht="11.25" customHeight="1">
      <c r="A191" s="87"/>
      <c r="C191" s="43" t="s">
        <v>718</v>
      </c>
      <c r="D191" s="71" t="s">
        <v>382</v>
      </c>
      <c r="E191" s="71" t="str">
        <f>MID(D191,1,2)</f>
        <v>IL</v>
      </c>
      <c r="F191" s="71" t="s">
        <v>468</v>
      </c>
      <c r="G191" s="71" t="str">
        <f>MID(F191,1,2)</f>
        <v>US</v>
      </c>
      <c r="H191" s="43" t="s">
        <v>613</v>
      </c>
      <c r="I191" s="71" t="s">
        <v>719</v>
      </c>
      <c r="J191" s="71" t="s">
        <v>386</v>
      </c>
      <c r="K191" s="43"/>
      <c r="L191" s="71" t="s">
        <v>107</v>
      </c>
      <c r="M191" s="73">
        <v>8</v>
      </c>
      <c r="N191" s="71" t="s">
        <v>388</v>
      </c>
      <c r="O191" s="73">
        <v>0.025</v>
      </c>
      <c r="P191" s="71" t="s">
        <v>389</v>
      </c>
      <c r="Q191" s="73">
        <v>8</v>
      </c>
      <c r="R191" s="71" t="s">
        <v>388</v>
      </c>
      <c r="S191" s="73">
        <v>0</v>
      </c>
      <c r="T191" s="71" t="s">
        <v>390</v>
      </c>
      <c r="U191" s="74">
        <v>1</v>
      </c>
      <c r="V191" s="71" t="s">
        <v>391</v>
      </c>
      <c r="W191" s="130">
        <v>46051.667361111111</v>
      </c>
      <c r="X191" s="72">
        <v>46057.458333333336</v>
      </c>
      <c r="Y191" s="72">
        <v>46062.416666666664</v>
      </c>
      <c r="Z191" s="104" t="s">
        <v>382</v>
      </c>
      <c r="AA191" s="104" t="s">
        <v>422</v>
      </c>
      <c r="AB191" s="105">
        <v>46057.961111111108</v>
      </c>
      <c r="AC191" s="105">
        <v>46058.131944444445</v>
      </c>
    </row>
    <row r="192" s="70" customFormat="1" ht="11.25" customHeight="1">
      <c r="A192" s="87"/>
      <c r="C192" s="43" t="s">
        <v>718</v>
      </c>
      <c r="D192" s="71" t="s">
        <v>382</v>
      </c>
      <c r="E192" s="71" t="str">
        <f>MID(D192,1,2)</f>
        <v>IL</v>
      </c>
      <c r="F192" s="71" t="s">
        <v>468</v>
      </c>
      <c r="G192" s="71" t="str">
        <f>MID(F192,1,2)</f>
        <v>US</v>
      </c>
      <c r="H192" s="43" t="s">
        <v>613</v>
      </c>
      <c r="I192" s="71" t="s">
        <v>719</v>
      </c>
      <c r="J192" s="71" t="s">
        <v>386</v>
      </c>
      <c r="K192" s="43"/>
      <c r="L192" s="71" t="s">
        <v>107</v>
      </c>
      <c r="M192" s="73">
        <v>8</v>
      </c>
      <c r="N192" s="71" t="s">
        <v>388</v>
      </c>
      <c r="O192" s="73">
        <v>0.025</v>
      </c>
      <c r="P192" s="71" t="s">
        <v>389</v>
      </c>
      <c r="Q192" s="73">
        <v>8</v>
      </c>
      <c r="R192" s="71" t="s">
        <v>388</v>
      </c>
      <c r="S192" s="73">
        <v>0</v>
      </c>
      <c r="T192" s="71" t="s">
        <v>390</v>
      </c>
      <c r="U192" s="74">
        <v>1</v>
      </c>
      <c r="V192" s="71" t="s">
        <v>391</v>
      </c>
      <c r="W192" s="130">
        <v>46051.667361111111</v>
      </c>
      <c r="X192" s="72">
        <v>46057.458333333336</v>
      </c>
      <c r="Y192" s="72">
        <v>46062.416666666664</v>
      </c>
      <c r="Z192" s="104" t="s">
        <v>422</v>
      </c>
      <c r="AA192" s="104" t="s">
        <v>468</v>
      </c>
      <c r="AB192" s="105">
        <v>46058.906944444447</v>
      </c>
      <c r="AC192" s="105">
        <v>46060.544444444444</v>
      </c>
    </row>
    <row r="193" s="70" customFormat="1" ht="11.25" customHeight="1">
      <c r="A193" s="87"/>
      <c r="C193" s="43" t="s">
        <v>720</v>
      </c>
      <c r="D193" s="71" t="s">
        <v>382</v>
      </c>
      <c r="E193" s="71" t="str">
        <f>MID(D193,1,2)</f>
        <v>IL</v>
      </c>
      <c r="F193" s="71" t="s">
        <v>468</v>
      </c>
      <c r="G193" s="71" t="str">
        <f>MID(F193,1,2)</f>
        <v>US</v>
      </c>
      <c r="H193" s="43" t="s">
        <v>613</v>
      </c>
      <c r="I193" s="71" t="s">
        <v>721</v>
      </c>
      <c r="J193" s="71" t="s">
        <v>386</v>
      </c>
      <c r="K193" s="43"/>
      <c r="L193" s="71" t="s">
        <v>107</v>
      </c>
      <c r="M193" s="73">
        <v>8</v>
      </c>
      <c r="N193" s="71" t="s">
        <v>388</v>
      </c>
      <c r="O193" s="73">
        <v>0.027</v>
      </c>
      <c r="P193" s="71" t="s">
        <v>389</v>
      </c>
      <c r="Q193" s="73">
        <v>8</v>
      </c>
      <c r="R193" s="71" t="s">
        <v>388</v>
      </c>
      <c r="S193" s="73">
        <v>0</v>
      </c>
      <c r="T193" s="71" t="s">
        <v>390</v>
      </c>
      <c r="U193" s="74">
        <v>1</v>
      </c>
      <c r="V193" s="71" t="s">
        <v>391</v>
      </c>
      <c r="W193" s="130">
        <v>46051.674305555556</v>
      </c>
      <c r="X193" s="72">
        <v>46057.458333333336</v>
      </c>
      <c r="Y193" s="72">
        <v>46062.416666666664</v>
      </c>
      <c r="Z193" s="104" t="s">
        <v>382</v>
      </c>
      <c r="AA193" s="104" t="s">
        <v>422</v>
      </c>
      <c r="AB193" s="105">
        <v>46057.961111111108</v>
      </c>
      <c r="AC193" s="105">
        <v>46058.131944444445</v>
      </c>
    </row>
    <row r="194" s="70" customFormat="1" ht="11.25" customHeight="1">
      <c r="A194" s="87"/>
      <c r="C194" s="43" t="s">
        <v>720</v>
      </c>
      <c r="D194" s="71" t="s">
        <v>382</v>
      </c>
      <c r="E194" s="71" t="str">
        <f>MID(D194,1,2)</f>
        <v>IL</v>
      </c>
      <c r="F194" s="71" t="s">
        <v>468</v>
      </c>
      <c r="G194" s="71" t="str">
        <f>MID(F194,1,2)</f>
        <v>US</v>
      </c>
      <c r="H194" s="43" t="s">
        <v>613</v>
      </c>
      <c r="I194" s="71" t="s">
        <v>721</v>
      </c>
      <c r="J194" s="71" t="s">
        <v>386</v>
      </c>
      <c r="K194" s="43"/>
      <c r="L194" s="71" t="s">
        <v>107</v>
      </c>
      <c r="M194" s="73">
        <v>8</v>
      </c>
      <c r="N194" s="71" t="s">
        <v>388</v>
      </c>
      <c r="O194" s="73">
        <v>0.027</v>
      </c>
      <c r="P194" s="71" t="s">
        <v>389</v>
      </c>
      <c r="Q194" s="73">
        <v>8</v>
      </c>
      <c r="R194" s="71" t="s">
        <v>388</v>
      </c>
      <c r="S194" s="73">
        <v>0</v>
      </c>
      <c r="T194" s="71" t="s">
        <v>390</v>
      </c>
      <c r="U194" s="74">
        <v>1</v>
      </c>
      <c r="V194" s="71" t="s">
        <v>391</v>
      </c>
      <c r="W194" s="130">
        <v>46051.674305555556</v>
      </c>
      <c r="X194" s="72">
        <v>46057.458333333336</v>
      </c>
      <c r="Y194" s="72">
        <v>46062.416666666664</v>
      </c>
      <c r="Z194" s="104" t="s">
        <v>422</v>
      </c>
      <c r="AA194" s="104" t="s">
        <v>468</v>
      </c>
      <c r="AB194" s="105">
        <v>46058.906944444447</v>
      </c>
      <c r="AC194" s="105">
        <v>46060.544444444444</v>
      </c>
    </row>
    <row r="195" s="70" customFormat="1" ht="11.25" customHeight="1">
      <c r="A195" s="87"/>
      <c r="C195" s="43" t="s">
        <v>722</v>
      </c>
      <c r="D195" s="71" t="s">
        <v>382</v>
      </c>
      <c r="E195" s="71" t="str">
        <f>MID(D195,1,2)</f>
        <v>IL</v>
      </c>
      <c r="F195" s="71" t="s">
        <v>468</v>
      </c>
      <c r="G195" s="71" t="str">
        <f>MID(F195,1,2)</f>
        <v>US</v>
      </c>
      <c r="H195" s="43" t="s">
        <v>613</v>
      </c>
      <c r="I195" s="71" t="s">
        <v>723</v>
      </c>
      <c r="J195" s="71" t="s">
        <v>386</v>
      </c>
      <c r="K195" s="43"/>
      <c r="L195" s="71" t="s">
        <v>107</v>
      </c>
      <c r="M195" s="73">
        <v>8</v>
      </c>
      <c r="N195" s="71" t="s">
        <v>388</v>
      </c>
      <c r="O195" s="73">
        <v>0.047</v>
      </c>
      <c r="P195" s="71" t="s">
        <v>389</v>
      </c>
      <c r="Q195" s="73">
        <v>8</v>
      </c>
      <c r="R195" s="71" t="s">
        <v>388</v>
      </c>
      <c r="S195" s="73">
        <v>0</v>
      </c>
      <c r="T195" s="71" t="s">
        <v>390</v>
      </c>
      <c r="U195" s="74">
        <v>1</v>
      </c>
      <c r="V195" s="71" t="s">
        <v>391</v>
      </c>
      <c r="W195" s="130">
        <v>46051.68125</v>
      </c>
      <c r="X195" s="72">
        <v>46057.458333333336</v>
      </c>
      <c r="Y195" s="72">
        <v>46062.416666666664</v>
      </c>
      <c r="Z195" s="104" t="s">
        <v>382</v>
      </c>
      <c r="AA195" s="104" t="s">
        <v>422</v>
      </c>
      <c r="AB195" s="105">
        <v>46057.961111111108</v>
      </c>
      <c r="AC195" s="105">
        <v>46058.131944444445</v>
      </c>
    </row>
    <row r="196" s="70" customFormat="1" ht="11.25" customHeight="1">
      <c r="A196" s="87"/>
      <c r="C196" s="43" t="s">
        <v>722</v>
      </c>
      <c r="D196" s="71" t="s">
        <v>382</v>
      </c>
      <c r="E196" s="71" t="str">
        <f>MID(D196,1,2)</f>
        <v>IL</v>
      </c>
      <c r="F196" s="71" t="s">
        <v>468</v>
      </c>
      <c r="G196" s="71" t="str">
        <f>MID(F196,1,2)</f>
        <v>US</v>
      </c>
      <c r="H196" s="43" t="s">
        <v>613</v>
      </c>
      <c r="I196" s="71" t="s">
        <v>723</v>
      </c>
      <c r="J196" s="71" t="s">
        <v>386</v>
      </c>
      <c r="K196" s="43"/>
      <c r="L196" s="71" t="s">
        <v>107</v>
      </c>
      <c r="M196" s="73">
        <v>8</v>
      </c>
      <c r="N196" s="71" t="s">
        <v>388</v>
      </c>
      <c r="O196" s="73">
        <v>0.047</v>
      </c>
      <c r="P196" s="71" t="s">
        <v>389</v>
      </c>
      <c r="Q196" s="73">
        <v>8</v>
      </c>
      <c r="R196" s="71" t="s">
        <v>388</v>
      </c>
      <c r="S196" s="73">
        <v>0</v>
      </c>
      <c r="T196" s="71" t="s">
        <v>390</v>
      </c>
      <c r="U196" s="74">
        <v>1</v>
      </c>
      <c r="V196" s="71" t="s">
        <v>391</v>
      </c>
      <c r="W196" s="130">
        <v>46051.68125</v>
      </c>
      <c r="X196" s="72">
        <v>46057.458333333336</v>
      </c>
      <c r="Y196" s="72">
        <v>46062.416666666664</v>
      </c>
      <c r="Z196" s="104" t="s">
        <v>422</v>
      </c>
      <c r="AA196" s="104" t="s">
        <v>468</v>
      </c>
      <c r="AB196" s="105">
        <v>46058.906944444447</v>
      </c>
      <c r="AC196" s="105">
        <v>46060.544444444444</v>
      </c>
    </row>
    <row r="197" s="70" customFormat="1" ht="11.25" customHeight="1">
      <c r="A197" s="87"/>
      <c r="C197" s="43" t="s">
        <v>724</v>
      </c>
      <c r="D197" s="71" t="s">
        <v>382</v>
      </c>
      <c r="E197" s="71" t="str">
        <f>MID(D197,1,2)</f>
        <v>IL</v>
      </c>
      <c r="F197" s="71" t="s">
        <v>468</v>
      </c>
      <c r="G197" s="71" t="str">
        <f>MID(F197,1,2)</f>
        <v>US</v>
      </c>
      <c r="H197" s="43" t="s">
        <v>613</v>
      </c>
      <c r="I197" s="71" t="s">
        <v>725</v>
      </c>
      <c r="J197" s="71" t="s">
        <v>386</v>
      </c>
      <c r="K197" s="43"/>
      <c r="L197" s="71" t="s">
        <v>107</v>
      </c>
      <c r="M197" s="73">
        <v>8</v>
      </c>
      <c r="N197" s="71" t="s">
        <v>388</v>
      </c>
      <c r="O197" s="73">
        <v>0.049</v>
      </c>
      <c r="P197" s="71" t="s">
        <v>389</v>
      </c>
      <c r="Q197" s="73">
        <v>8.5</v>
      </c>
      <c r="R197" s="71" t="s">
        <v>388</v>
      </c>
      <c r="S197" s="73">
        <v>0</v>
      </c>
      <c r="T197" s="71" t="s">
        <v>390</v>
      </c>
      <c r="U197" s="74">
        <v>1</v>
      </c>
      <c r="V197" s="71" t="s">
        <v>391</v>
      </c>
      <c r="W197" s="130">
        <v>46051.6875</v>
      </c>
      <c r="X197" s="72">
        <v>46057.458333333336</v>
      </c>
      <c r="Y197" s="72">
        <v>46062.416666666664</v>
      </c>
      <c r="Z197" s="104" t="s">
        <v>382</v>
      </c>
      <c r="AA197" s="104" t="s">
        <v>422</v>
      </c>
      <c r="AB197" s="105">
        <v>46057.961111111108</v>
      </c>
      <c r="AC197" s="105">
        <v>46058.131944444445</v>
      </c>
    </row>
    <row r="198" s="70" customFormat="1" ht="11.25" customHeight="1">
      <c r="A198" s="87"/>
      <c r="C198" s="43" t="s">
        <v>724</v>
      </c>
      <c r="D198" s="71" t="s">
        <v>382</v>
      </c>
      <c r="E198" s="71" t="str">
        <f>MID(D198,1,2)</f>
        <v>IL</v>
      </c>
      <c r="F198" s="71" t="s">
        <v>468</v>
      </c>
      <c r="G198" s="71" t="str">
        <f>MID(F198,1,2)</f>
        <v>US</v>
      </c>
      <c r="H198" s="43" t="s">
        <v>613</v>
      </c>
      <c r="I198" s="71" t="s">
        <v>725</v>
      </c>
      <c r="J198" s="71" t="s">
        <v>386</v>
      </c>
      <c r="K198" s="43"/>
      <c r="L198" s="71" t="s">
        <v>107</v>
      </c>
      <c r="M198" s="73">
        <v>8</v>
      </c>
      <c r="N198" s="71" t="s">
        <v>388</v>
      </c>
      <c r="O198" s="73">
        <v>0.049</v>
      </c>
      <c r="P198" s="71" t="s">
        <v>389</v>
      </c>
      <c r="Q198" s="73">
        <v>8.5</v>
      </c>
      <c r="R198" s="71" t="s">
        <v>388</v>
      </c>
      <c r="S198" s="73">
        <v>0</v>
      </c>
      <c r="T198" s="71" t="s">
        <v>390</v>
      </c>
      <c r="U198" s="74">
        <v>1</v>
      </c>
      <c r="V198" s="71" t="s">
        <v>391</v>
      </c>
      <c r="W198" s="130">
        <v>46051.6875</v>
      </c>
      <c r="X198" s="72">
        <v>46057.458333333336</v>
      </c>
      <c r="Y198" s="72">
        <v>46062.416666666664</v>
      </c>
      <c r="Z198" s="104" t="s">
        <v>422</v>
      </c>
      <c r="AA198" s="104" t="s">
        <v>468</v>
      </c>
      <c r="AB198" s="105">
        <v>46058.906944444447</v>
      </c>
      <c r="AC198" s="105">
        <v>46060.544444444444</v>
      </c>
    </row>
    <row r="199" s="70" customFormat="1" ht="11.25" customHeight="1">
      <c r="A199" s="87"/>
      <c r="C199" s="43" t="s">
        <v>726</v>
      </c>
      <c r="D199" s="71" t="s">
        <v>382</v>
      </c>
      <c r="E199" s="71" t="str">
        <f>MID(D199,1,2)</f>
        <v>IL</v>
      </c>
      <c r="F199" s="71" t="s">
        <v>468</v>
      </c>
      <c r="G199" s="71" t="str">
        <f>MID(F199,1,2)</f>
        <v>US</v>
      </c>
      <c r="H199" s="43" t="s">
        <v>613</v>
      </c>
      <c r="I199" s="71" t="s">
        <v>727</v>
      </c>
      <c r="J199" s="71" t="s">
        <v>386</v>
      </c>
      <c r="K199" s="43"/>
      <c r="L199" s="71" t="s">
        <v>107</v>
      </c>
      <c r="M199" s="73">
        <v>10</v>
      </c>
      <c r="N199" s="71" t="s">
        <v>388</v>
      </c>
      <c r="O199" s="73">
        <v>0.048</v>
      </c>
      <c r="P199" s="71" t="s">
        <v>389</v>
      </c>
      <c r="Q199" s="73">
        <v>10</v>
      </c>
      <c r="R199" s="71" t="s">
        <v>388</v>
      </c>
      <c r="S199" s="73">
        <v>0</v>
      </c>
      <c r="T199" s="71" t="s">
        <v>390</v>
      </c>
      <c r="U199" s="74">
        <v>1</v>
      </c>
      <c r="V199" s="71" t="s">
        <v>391</v>
      </c>
      <c r="W199" s="130">
        <v>46051.6875</v>
      </c>
      <c r="X199" s="72">
        <v>46057.458333333336</v>
      </c>
      <c r="Y199" s="72">
        <v>46062.416666666664</v>
      </c>
      <c r="Z199" s="104" t="s">
        <v>382</v>
      </c>
      <c r="AA199" s="104" t="s">
        <v>422</v>
      </c>
      <c r="AB199" s="105">
        <v>46057.961111111108</v>
      </c>
      <c r="AC199" s="105">
        <v>46058.131944444445</v>
      </c>
    </row>
    <row r="200" s="70" customFormat="1" ht="11.25" customHeight="1">
      <c r="A200" s="87"/>
      <c r="C200" s="43" t="s">
        <v>726</v>
      </c>
      <c r="D200" s="71" t="s">
        <v>382</v>
      </c>
      <c r="E200" s="71" t="str">
        <f>MID(D200,1,2)</f>
        <v>IL</v>
      </c>
      <c r="F200" s="71" t="s">
        <v>468</v>
      </c>
      <c r="G200" s="71" t="str">
        <f>MID(F200,1,2)</f>
        <v>US</v>
      </c>
      <c r="H200" s="43" t="s">
        <v>613</v>
      </c>
      <c r="I200" s="71" t="s">
        <v>727</v>
      </c>
      <c r="J200" s="71" t="s">
        <v>386</v>
      </c>
      <c r="K200" s="43"/>
      <c r="L200" s="71" t="s">
        <v>107</v>
      </c>
      <c r="M200" s="73">
        <v>10</v>
      </c>
      <c r="N200" s="71" t="s">
        <v>388</v>
      </c>
      <c r="O200" s="73">
        <v>0.048</v>
      </c>
      <c r="P200" s="71" t="s">
        <v>389</v>
      </c>
      <c r="Q200" s="73">
        <v>10</v>
      </c>
      <c r="R200" s="71" t="s">
        <v>388</v>
      </c>
      <c r="S200" s="73">
        <v>0</v>
      </c>
      <c r="T200" s="71" t="s">
        <v>390</v>
      </c>
      <c r="U200" s="74">
        <v>1</v>
      </c>
      <c r="V200" s="71" t="s">
        <v>391</v>
      </c>
      <c r="W200" s="130">
        <v>46051.6875</v>
      </c>
      <c r="X200" s="72">
        <v>46057.458333333336</v>
      </c>
      <c r="Y200" s="72">
        <v>46062.416666666664</v>
      </c>
      <c r="Z200" s="104" t="s">
        <v>422</v>
      </c>
      <c r="AA200" s="104" t="s">
        <v>468</v>
      </c>
      <c r="AB200" s="105">
        <v>46058.906944444447</v>
      </c>
      <c r="AC200" s="105">
        <v>46060.544444444444</v>
      </c>
    </row>
    <row r="201" s="70" customFormat="1" ht="11.25" customHeight="1">
      <c r="A201" s="87"/>
      <c r="C201" s="43" t="s">
        <v>728</v>
      </c>
      <c r="D201" s="71" t="s">
        <v>382</v>
      </c>
      <c r="E201" s="71" t="str">
        <f>MID(D201,1,2)</f>
        <v>IL</v>
      </c>
      <c r="F201" s="71" t="s">
        <v>468</v>
      </c>
      <c r="G201" s="71" t="str">
        <f>MID(F201,1,2)</f>
        <v>US</v>
      </c>
      <c r="H201" s="43" t="s">
        <v>613</v>
      </c>
      <c r="I201" s="71" t="s">
        <v>729</v>
      </c>
      <c r="J201" s="71" t="s">
        <v>386</v>
      </c>
      <c r="K201" s="43"/>
      <c r="L201" s="71" t="s">
        <v>107</v>
      </c>
      <c r="M201" s="73">
        <v>9</v>
      </c>
      <c r="N201" s="71" t="s">
        <v>388</v>
      </c>
      <c r="O201" s="73">
        <v>0.054</v>
      </c>
      <c r="P201" s="71" t="s">
        <v>389</v>
      </c>
      <c r="Q201" s="73">
        <v>9</v>
      </c>
      <c r="R201" s="71" t="s">
        <v>388</v>
      </c>
      <c r="S201" s="73">
        <v>0</v>
      </c>
      <c r="T201" s="71" t="s">
        <v>390</v>
      </c>
      <c r="U201" s="74">
        <v>1</v>
      </c>
      <c r="V201" s="71" t="s">
        <v>391</v>
      </c>
      <c r="W201" s="130">
        <v>46051.694444444445</v>
      </c>
      <c r="X201" s="72">
        <v>46057.458333333336</v>
      </c>
      <c r="Y201" s="72">
        <v>46062.416666666664</v>
      </c>
      <c r="Z201" s="104" t="s">
        <v>382</v>
      </c>
      <c r="AA201" s="104" t="s">
        <v>422</v>
      </c>
      <c r="AB201" s="105">
        <v>46057.961111111108</v>
      </c>
      <c r="AC201" s="105">
        <v>46058.131944444445</v>
      </c>
    </row>
    <row r="202" s="70" customFormat="1" ht="11.25" customHeight="1">
      <c r="A202" s="87"/>
      <c r="C202" s="43" t="s">
        <v>728</v>
      </c>
      <c r="D202" s="71" t="s">
        <v>382</v>
      </c>
      <c r="E202" s="71" t="str">
        <f>MID(D202,1,2)</f>
        <v>IL</v>
      </c>
      <c r="F202" s="71" t="s">
        <v>468</v>
      </c>
      <c r="G202" s="71" t="str">
        <f>MID(F202,1,2)</f>
        <v>US</v>
      </c>
      <c r="H202" s="43" t="s">
        <v>613</v>
      </c>
      <c r="I202" s="71" t="s">
        <v>729</v>
      </c>
      <c r="J202" s="71" t="s">
        <v>386</v>
      </c>
      <c r="K202" s="43"/>
      <c r="L202" s="71" t="s">
        <v>107</v>
      </c>
      <c r="M202" s="73">
        <v>9</v>
      </c>
      <c r="N202" s="71" t="s">
        <v>388</v>
      </c>
      <c r="O202" s="73">
        <v>0.054</v>
      </c>
      <c r="P202" s="71" t="s">
        <v>389</v>
      </c>
      <c r="Q202" s="73">
        <v>9</v>
      </c>
      <c r="R202" s="71" t="s">
        <v>388</v>
      </c>
      <c r="S202" s="73">
        <v>0</v>
      </c>
      <c r="T202" s="71" t="s">
        <v>390</v>
      </c>
      <c r="U202" s="74">
        <v>1</v>
      </c>
      <c r="V202" s="71" t="s">
        <v>391</v>
      </c>
      <c r="W202" s="130">
        <v>46051.694444444445</v>
      </c>
      <c r="X202" s="72">
        <v>46057.458333333336</v>
      </c>
      <c r="Y202" s="72">
        <v>46062.416666666664</v>
      </c>
      <c r="Z202" s="104" t="s">
        <v>422</v>
      </c>
      <c r="AA202" s="104" t="s">
        <v>468</v>
      </c>
      <c r="AB202" s="105">
        <v>46058.906944444447</v>
      </c>
      <c r="AC202" s="105">
        <v>46060.544444444444</v>
      </c>
    </row>
    <row r="203" s="70" customFormat="1" ht="11.25" customHeight="1">
      <c r="A203" s="87"/>
      <c r="C203" s="43" t="s">
        <v>730</v>
      </c>
      <c r="D203" s="71" t="s">
        <v>382</v>
      </c>
      <c r="E203" s="71" t="str">
        <f>MID(D203,1,2)</f>
        <v>IL</v>
      </c>
      <c r="F203" s="71" t="s">
        <v>468</v>
      </c>
      <c r="G203" s="71" t="str">
        <f>MID(F203,1,2)</f>
        <v>US</v>
      </c>
      <c r="H203" s="43" t="s">
        <v>613</v>
      </c>
      <c r="I203" s="71" t="s">
        <v>731</v>
      </c>
      <c r="J203" s="71" t="s">
        <v>386</v>
      </c>
      <c r="K203" s="43"/>
      <c r="L203" s="71" t="s">
        <v>107</v>
      </c>
      <c r="M203" s="73">
        <v>6</v>
      </c>
      <c r="N203" s="71" t="s">
        <v>388</v>
      </c>
      <c r="O203" s="73">
        <v>0.056</v>
      </c>
      <c r="P203" s="71" t="s">
        <v>389</v>
      </c>
      <c r="Q203" s="73">
        <v>9.5</v>
      </c>
      <c r="R203" s="71" t="s">
        <v>388</v>
      </c>
      <c r="S203" s="73">
        <v>0</v>
      </c>
      <c r="T203" s="71" t="s">
        <v>390</v>
      </c>
      <c r="U203" s="74">
        <v>1</v>
      </c>
      <c r="V203" s="71" t="s">
        <v>391</v>
      </c>
      <c r="W203" s="130">
        <v>46051.702777777777</v>
      </c>
      <c r="X203" s="72">
        <v>46057.458333333336</v>
      </c>
      <c r="Y203" s="72">
        <v>46062.416666666664</v>
      </c>
      <c r="Z203" s="104" t="s">
        <v>382</v>
      </c>
      <c r="AA203" s="104" t="s">
        <v>422</v>
      </c>
      <c r="AB203" s="105">
        <v>46057.961111111108</v>
      </c>
      <c r="AC203" s="105">
        <v>46058.131944444445</v>
      </c>
    </row>
    <row r="204" s="70" customFormat="1" ht="11.25" customHeight="1">
      <c r="A204" s="87"/>
      <c r="C204" s="43" t="s">
        <v>730</v>
      </c>
      <c r="D204" s="71" t="s">
        <v>382</v>
      </c>
      <c r="E204" s="71" t="str">
        <f>MID(D204,1,2)</f>
        <v>IL</v>
      </c>
      <c r="F204" s="71" t="s">
        <v>468</v>
      </c>
      <c r="G204" s="71" t="str">
        <f>MID(F204,1,2)</f>
        <v>US</v>
      </c>
      <c r="H204" s="43" t="s">
        <v>613</v>
      </c>
      <c r="I204" s="71" t="s">
        <v>731</v>
      </c>
      <c r="J204" s="71" t="s">
        <v>386</v>
      </c>
      <c r="K204" s="43"/>
      <c r="L204" s="71" t="s">
        <v>107</v>
      </c>
      <c r="M204" s="73">
        <v>6</v>
      </c>
      <c r="N204" s="71" t="s">
        <v>388</v>
      </c>
      <c r="O204" s="73">
        <v>0.056</v>
      </c>
      <c r="P204" s="71" t="s">
        <v>389</v>
      </c>
      <c r="Q204" s="73">
        <v>9.5</v>
      </c>
      <c r="R204" s="71" t="s">
        <v>388</v>
      </c>
      <c r="S204" s="73">
        <v>0</v>
      </c>
      <c r="T204" s="71" t="s">
        <v>390</v>
      </c>
      <c r="U204" s="74">
        <v>1</v>
      </c>
      <c r="V204" s="71" t="s">
        <v>391</v>
      </c>
      <c r="W204" s="130">
        <v>46051.702777777777</v>
      </c>
      <c r="X204" s="72">
        <v>46057.458333333336</v>
      </c>
      <c r="Y204" s="72">
        <v>46062.416666666664</v>
      </c>
      <c r="Z204" s="104" t="s">
        <v>422</v>
      </c>
      <c r="AA204" s="104" t="s">
        <v>468</v>
      </c>
      <c r="AB204" s="105">
        <v>46058.906944444447</v>
      </c>
      <c r="AC204" s="105">
        <v>46060.544444444444</v>
      </c>
    </row>
    <row r="205" s="70" customFormat="1" ht="11.25" customHeight="1">
      <c r="A205" s="87"/>
      <c r="C205" s="43" t="s">
        <v>732</v>
      </c>
      <c r="D205" s="71" t="s">
        <v>382</v>
      </c>
      <c r="E205" s="71" t="str">
        <f>MID(D205,1,2)</f>
        <v>IL</v>
      </c>
      <c r="F205" s="71" t="s">
        <v>468</v>
      </c>
      <c r="G205" s="71" t="str">
        <f>MID(F205,1,2)</f>
        <v>US</v>
      </c>
      <c r="H205" s="43" t="s">
        <v>613</v>
      </c>
      <c r="I205" s="71" t="s">
        <v>733</v>
      </c>
      <c r="J205" s="71" t="s">
        <v>386</v>
      </c>
      <c r="K205" s="43"/>
      <c r="L205" s="71" t="s">
        <v>107</v>
      </c>
      <c r="M205" s="73">
        <v>10</v>
      </c>
      <c r="N205" s="71" t="s">
        <v>388</v>
      </c>
      <c r="O205" s="73">
        <v>0.079</v>
      </c>
      <c r="P205" s="71" t="s">
        <v>389</v>
      </c>
      <c r="Q205" s="73">
        <v>13.5</v>
      </c>
      <c r="R205" s="71" t="s">
        <v>388</v>
      </c>
      <c r="S205" s="73">
        <v>0</v>
      </c>
      <c r="T205" s="71" t="s">
        <v>390</v>
      </c>
      <c r="U205" s="74">
        <v>1</v>
      </c>
      <c r="V205" s="71" t="s">
        <v>391</v>
      </c>
      <c r="W205" s="130">
        <v>46051.702777777777</v>
      </c>
      <c r="X205" s="72">
        <v>46057.458333333336</v>
      </c>
      <c r="Y205" s="72">
        <v>46062.416666666664</v>
      </c>
      <c r="Z205" s="104" t="s">
        <v>382</v>
      </c>
      <c r="AA205" s="104" t="s">
        <v>422</v>
      </c>
      <c r="AB205" s="105">
        <v>46057.961111111108</v>
      </c>
      <c r="AC205" s="105">
        <v>46058.131944444445</v>
      </c>
    </row>
    <row r="206" s="70" customFormat="1" ht="11.25" customHeight="1">
      <c r="A206" s="87"/>
      <c r="C206" s="43" t="s">
        <v>732</v>
      </c>
      <c r="D206" s="71" t="s">
        <v>382</v>
      </c>
      <c r="E206" s="71" t="str">
        <f>MID(D206,1,2)</f>
        <v>IL</v>
      </c>
      <c r="F206" s="71" t="s">
        <v>468</v>
      </c>
      <c r="G206" s="71" t="str">
        <f>MID(F206,1,2)</f>
        <v>US</v>
      </c>
      <c r="H206" s="43" t="s">
        <v>613</v>
      </c>
      <c r="I206" s="71" t="s">
        <v>733</v>
      </c>
      <c r="J206" s="71" t="s">
        <v>386</v>
      </c>
      <c r="K206" s="43"/>
      <c r="L206" s="71" t="s">
        <v>107</v>
      </c>
      <c r="M206" s="73">
        <v>10</v>
      </c>
      <c r="N206" s="71" t="s">
        <v>388</v>
      </c>
      <c r="O206" s="73">
        <v>0.079</v>
      </c>
      <c r="P206" s="71" t="s">
        <v>389</v>
      </c>
      <c r="Q206" s="73">
        <v>13.5</v>
      </c>
      <c r="R206" s="71" t="s">
        <v>388</v>
      </c>
      <c r="S206" s="73">
        <v>0</v>
      </c>
      <c r="T206" s="71" t="s">
        <v>390</v>
      </c>
      <c r="U206" s="74">
        <v>1</v>
      </c>
      <c r="V206" s="71" t="s">
        <v>391</v>
      </c>
      <c r="W206" s="130">
        <v>46051.702777777777</v>
      </c>
      <c r="X206" s="72">
        <v>46057.458333333336</v>
      </c>
      <c r="Y206" s="72">
        <v>46062.416666666664</v>
      </c>
      <c r="Z206" s="104" t="s">
        <v>422</v>
      </c>
      <c r="AA206" s="104" t="s">
        <v>468</v>
      </c>
      <c r="AB206" s="105">
        <v>46058.906944444447</v>
      </c>
      <c r="AC206" s="105">
        <v>46060.544444444444</v>
      </c>
    </row>
    <row r="207" s="70" customFormat="1" ht="11.25" customHeight="1">
      <c r="A207" s="87"/>
      <c r="C207" s="43" t="s">
        <v>734</v>
      </c>
      <c r="D207" s="71" t="s">
        <v>382</v>
      </c>
      <c r="E207" s="71" t="str">
        <f>MID(D207,1,2)</f>
        <v>IL</v>
      </c>
      <c r="F207" s="71" t="s">
        <v>468</v>
      </c>
      <c r="G207" s="71" t="str">
        <f>MID(F207,1,2)</f>
        <v>US</v>
      </c>
      <c r="H207" s="43" t="s">
        <v>613</v>
      </c>
      <c r="I207" s="71" t="s">
        <v>735</v>
      </c>
      <c r="J207" s="71" t="s">
        <v>386</v>
      </c>
      <c r="K207" s="43"/>
      <c r="L207" s="71" t="s">
        <v>107</v>
      </c>
      <c r="M207" s="73">
        <v>2</v>
      </c>
      <c r="N207" s="71" t="s">
        <v>388</v>
      </c>
      <c r="O207" s="73">
        <v>0.009</v>
      </c>
      <c r="P207" s="71" t="s">
        <v>389</v>
      </c>
      <c r="Q207" s="73">
        <v>2</v>
      </c>
      <c r="R207" s="71" t="s">
        <v>388</v>
      </c>
      <c r="S207" s="73">
        <v>0</v>
      </c>
      <c r="T207" s="71" t="s">
        <v>390</v>
      </c>
      <c r="U207" s="74">
        <v>1</v>
      </c>
      <c r="V207" s="71" t="s">
        <v>391</v>
      </c>
      <c r="W207" s="130">
        <v>46051.709027777775</v>
      </c>
      <c r="X207" s="72">
        <v>46057.458333333336</v>
      </c>
      <c r="Y207" s="72">
        <v>46062.416666666664</v>
      </c>
      <c r="Z207" s="104" t="s">
        <v>382</v>
      </c>
      <c r="AA207" s="104" t="s">
        <v>422</v>
      </c>
      <c r="AB207" s="105">
        <v>46057.961111111108</v>
      </c>
      <c r="AC207" s="105">
        <v>46058.131944444445</v>
      </c>
    </row>
    <row r="208" s="70" customFormat="1" ht="11.25" customHeight="1">
      <c r="A208" s="87"/>
      <c r="C208" s="43" t="s">
        <v>734</v>
      </c>
      <c r="D208" s="71" t="s">
        <v>382</v>
      </c>
      <c r="E208" s="71" t="str">
        <f>MID(D208,1,2)</f>
        <v>IL</v>
      </c>
      <c r="F208" s="71" t="s">
        <v>468</v>
      </c>
      <c r="G208" s="71" t="str">
        <f>MID(F208,1,2)</f>
        <v>US</v>
      </c>
      <c r="H208" s="43" t="s">
        <v>613</v>
      </c>
      <c r="I208" s="71" t="s">
        <v>735</v>
      </c>
      <c r="J208" s="71" t="s">
        <v>386</v>
      </c>
      <c r="K208" s="43"/>
      <c r="L208" s="71" t="s">
        <v>107</v>
      </c>
      <c r="M208" s="73">
        <v>2</v>
      </c>
      <c r="N208" s="71" t="s">
        <v>388</v>
      </c>
      <c r="O208" s="73">
        <v>0.009</v>
      </c>
      <c r="P208" s="71" t="s">
        <v>389</v>
      </c>
      <c r="Q208" s="73">
        <v>2</v>
      </c>
      <c r="R208" s="71" t="s">
        <v>388</v>
      </c>
      <c r="S208" s="73">
        <v>0</v>
      </c>
      <c r="T208" s="71" t="s">
        <v>390</v>
      </c>
      <c r="U208" s="74">
        <v>1</v>
      </c>
      <c r="V208" s="71" t="s">
        <v>391</v>
      </c>
      <c r="W208" s="130">
        <v>46051.709027777775</v>
      </c>
      <c r="X208" s="72">
        <v>46057.458333333336</v>
      </c>
      <c r="Y208" s="72">
        <v>46062.416666666664</v>
      </c>
      <c r="Z208" s="104" t="s">
        <v>422</v>
      </c>
      <c r="AA208" s="104" t="s">
        <v>468</v>
      </c>
      <c r="AB208" s="105">
        <v>46058.906944444447</v>
      </c>
      <c r="AC208" s="105">
        <v>46060.544444444444</v>
      </c>
    </row>
    <row r="209" s="70" customFormat="1" ht="11.25" customHeight="1">
      <c r="A209" s="87"/>
      <c r="C209" s="43" t="s">
        <v>736</v>
      </c>
      <c r="D209" s="71" t="s">
        <v>382</v>
      </c>
      <c r="E209" s="71" t="str">
        <f>MID(D209,1,2)</f>
        <v>IL</v>
      </c>
      <c r="F209" s="71" t="s">
        <v>419</v>
      </c>
      <c r="G209" s="71" t="str">
        <f>MID(F209,1,2)</f>
        <v>US</v>
      </c>
      <c r="H209" s="43" t="s">
        <v>737</v>
      </c>
      <c r="I209" s="71" t="s">
        <v>738</v>
      </c>
      <c r="J209" s="71" t="s">
        <v>426</v>
      </c>
      <c r="K209" s="43"/>
      <c r="L209" s="71" t="s">
        <v>105</v>
      </c>
      <c r="M209" s="73">
        <v>5235</v>
      </c>
      <c r="N209" s="71" t="s">
        <v>388</v>
      </c>
      <c r="O209" s="73">
        <v>24.84</v>
      </c>
      <c r="P209" s="71" t="s">
        <v>389</v>
      </c>
      <c r="Q209" s="73">
        <v>5235</v>
      </c>
      <c r="R209" s="71" t="s">
        <v>388</v>
      </c>
      <c r="S209" s="73">
        <v>0</v>
      </c>
      <c r="T209" s="71" t="s">
        <v>390</v>
      </c>
      <c r="U209" s="74">
        <v>18</v>
      </c>
      <c r="V209" s="71" t="s">
        <v>391</v>
      </c>
      <c r="W209" s="130">
        <v>46056.423611111109</v>
      </c>
      <c r="X209" s="72">
        <v>46058.965277777781</v>
      </c>
      <c r="Y209" s="72">
        <v>46060.666666666664</v>
      </c>
      <c r="Z209" s="104" t="s">
        <v>382</v>
      </c>
      <c r="AA209" s="104" t="s">
        <v>422</v>
      </c>
      <c r="AB209" s="105">
        <v>46059.472222222219</v>
      </c>
      <c r="AC209" s="105">
        <v>46059.65</v>
      </c>
    </row>
    <row r="210" s="70" customFormat="1" ht="11.25" customHeight="1">
      <c r="A210" s="87"/>
      <c r="C210" s="43" t="s">
        <v>736</v>
      </c>
      <c r="D210" s="71" t="s">
        <v>382</v>
      </c>
      <c r="E210" s="71" t="str">
        <f>MID(D210,1,2)</f>
        <v>IL</v>
      </c>
      <c r="F210" s="71" t="s">
        <v>419</v>
      </c>
      <c r="G210" s="71" t="str">
        <f>MID(F210,1,2)</f>
        <v>US</v>
      </c>
      <c r="H210" s="43" t="s">
        <v>737</v>
      </c>
      <c r="I210" s="71" t="s">
        <v>738</v>
      </c>
      <c r="J210" s="71" t="s">
        <v>426</v>
      </c>
      <c r="K210" s="43"/>
      <c r="L210" s="71" t="s">
        <v>105</v>
      </c>
      <c r="M210" s="73">
        <v>5235</v>
      </c>
      <c r="N210" s="71" t="s">
        <v>388</v>
      </c>
      <c r="O210" s="73">
        <v>24.84</v>
      </c>
      <c r="P210" s="71" t="s">
        <v>389</v>
      </c>
      <c r="Q210" s="73">
        <v>5235</v>
      </c>
      <c r="R210" s="71" t="s">
        <v>388</v>
      </c>
      <c r="S210" s="73">
        <v>0</v>
      </c>
      <c r="T210" s="71" t="s">
        <v>390</v>
      </c>
      <c r="U210" s="74">
        <v>18</v>
      </c>
      <c r="V210" s="71" t="s">
        <v>391</v>
      </c>
      <c r="W210" s="130">
        <v>46056.423611111109</v>
      </c>
      <c r="X210" s="72">
        <v>46058.965277777781</v>
      </c>
      <c r="Y210" s="72">
        <v>46060.666666666664</v>
      </c>
      <c r="Z210" s="104" t="s">
        <v>422</v>
      </c>
      <c r="AA210" s="104" t="s">
        <v>419</v>
      </c>
      <c r="AB210" s="105">
        <v>46059.923611111109</v>
      </c>
      <c r="AC210" s="105">
        <v>46061.229166666664</v>
      </c>
    </row>
    <row r="211" s="70" customFormat="1" ht="11.25" customHeight="1">
      <c r="A211" s="87"/>
      <c r="C211" s="43" t="s">
        <v>739</v>
      </c>
      <c r="D211" s="71" t="s">
        <v>382</v>
      </c>
      <c r="E211" s="71" t="str">
        <f>MID(D211,1,2)</f>
        <v>IL</v>
      </c>
      <c r="F211" s="71" t="s">
        <v>414</v>
      </c>
      <c r="G211" s="71" t="str">
        <f>MID(F211,1,2)</f>
        <v>US</v>
      </c>
      <c r="H211" s="43" t="s">
        <v>626</v>
      </c>
      <c r="I211" s="71" t="s">
        <v>740</v>
      </c>
      <c r="J211" s="71" t="s">
        <v>426</v>
      </c>
      <c r="K211" s="43"/>
      <c r="L211" s="71" t="s">
        <v>105</v>
      </c>
      <c r="M211" s="73">
        <v>192</v>
      </c>
      <c r="N211" s="71" t="s">
        <v>388</v>
      </c>
      <c r="O211" s="73">
        <v>1.158</v>
      </c>
      <c r="P211" s="71" t="s">
        <v>389</v>
      </c>
      <c r="Q211" s="73">
        <v>193</v>
      </c>
      <c r="R211" s="71" t="s">
        <v>388</v>
      </c>
      <c r="S211" s="73">
        <v>0</v>
      </c>
      <c r="T211" s="71" t="s">
        <v>390</v>
      </c>
      <c r="U211" s="74">
        <v>1</v>
      </c>
      <c r="V211" s="71" t="s">
        <v>391</v>
      </c>
      <c r="W211" s="130">
        <v>46051.736111111109</v>
      </c>
      <c r="X211" s="72">
        <v>46054.03125</v>
      </c>
      <c r="Y211" s="72">
        <v>46054.25</v>
      </c>
      <c r="Z211" s="104" t="s">
        <v>382</v>
      </c>
      <c r="AA211" s="104" t="s">
        <v>414</v>
      </c>
      <c r="AB211" s="105">
        <v>46054.029166666667</v>
      </c>
      <c r="AC211" s="105">
        <v>46054.220138888886</v>
      </c>
    </row>
    <row r="212" s="70" customFormat="1" ht="11.25" customHeight="1">
      <c r="A212" s="87"/>
      <c r="C212" s="43" t="s">
        <v>741</v>
      </c>
      <c r="D212" s="71" t="s">
        <v>382</v>
      </c>
      <c r="E212" s="71" t="str">
        <f>MID(D212,1,2)</f>
        <v>IL</v>
      </c>
      <c r="F212" s="71" t="s">
        <v>526</v>
      </c>
      <c r="G212" s="71" t="str">
        <f>MID(F212,1,2)</f>
        <v>US</v>
      </c>
      <c r="H212" s="43" t="s">
        <v>742</v>
      </c>
      <c r="I212" s="71" t="s">
        <v>743</v>
      </c>
      <c r="J212" s="71" t="s">
        <v>386</v>
      </c>
      <c r="K212" s="43"/>
      <c r="L212" s="71" t="s">
        <v>107</v>
      </c>
      <c r="M212" s="73">
        <v>154</v>
      </c>
      <c r="N212" s="71" t="s">
        <v>388</v>
      </c>
      <c r="O212" s="73">
        <v>0.9</v>
      </c>
      <c r="P212" s="71" t="s">
        <v>389</v>
      </c>
      <c r="Q212" s="73">
        <v>154</v>
      </c>
      <c r="R212" s="71" t="s">
        <v>388</v>
      </c>
      <c r="S212" s="73">
        <v>0</v>
      </c>
      <c r="T212" s="71" t="s">
        <v>390</v>
      </c>
      <c r="U212" s="74">
        <v>1</v>
      </c>
      <c r="V212" s="71" t="s">
        <v>446</v>
      </c>
      <c r="W212" s="130">
        <v>46054.65347222222</v>
      </c>
      <c r="X212" s="72">
        <v>46057.03125</v>
      </c>
      <c r="Y212" s="72">
        <v>46057.25</v>
      </c>
      <c r="Z212" s="104" t="s">
        <v>382</v>
      </c>
      <c r="AA212" s="104" t="s">
        <v>526</v>
      </c>
      <c r="AB212" s="105">
        <v>46057.029861111114</v>
      </c>
      <c r="AC212" s="105">
        <v>46057.208333333336</v>
      </c>
    </row>
    <row r="213" s="70" customFormat="1" ht="11.25" customHeight="1">
      <c r="A213" s="87"/>
      <c r="C213" s="43" t="s">
        <v>744</v>
      </c>
      <c r="D213" s="71" t="s">
        <v>382</v>
      </c>
      <c r="E213" s="71" t="str">
        <f>MID(D213,1,2)</f>
        <v>IL</v>
      </c>
      <c r="F213" s="71" t="s">
        <v>745</v>
      </c>
      <c r="G213" s="71" t="str">
        <f>MID(F213,1,2)</f>
        <v>DE</v>
      </c>
      <c r="H213" s="43" t="s">
        <v>746</v>
      </c>
      <c r="I213" s="71" t="s">
        <v>747</v>
      </c>
      <c r="J213" s="71" t="s">
        <v>386</v>
      </c>
      <c r="K213" s="43"/>
      <c r="L213" s="71" t="s">
        <v>107</v>
      </c>
      <c r="M213" s="73">
        <v>65</v>
      </c>
      <c r="N213" s="71" t="s">
        <v>388</v>
      </c>
      <c r="O213" s="73">
        <v>0.443</v>
      </c>
      <c r="P213" s="71" t="s">
        <v>389</v>
      </c>
      <c r="Q213" s="73">
        <v>74</v>
      </c>
      <c r="R213" s="71" t="s">
        <v>388</v>
      </c>
      <c r="S213" s="73">
        <v>0</v>
      </c>
      <c r="T213" s="71" t="s">
        <v>390</v>
      </c>
      <c r="U213" s="74">
        <v>1</v>
      </c>
      <c r="V213" s="71" t="s">
        <v>391</v>
      </c>
      <c r="W213" s="130">
        <v>46061.932372685187</v>
      </c>
      <c r="X213" s="72">
        <v>46064.753472222219</v>
      </c>
      <c r="Y213" s="72">
        <v>46066.625694444447</v>
      </c>
      <c r="Z213" s="104" t="s">
        <v>383</v>
      </c>
      <c r="AA213" s="104" t="s">
        <v>383</v>
      </c>
      <c r="AB213" s="105">
        <v>46080.725</v>
      </c>
      <c r="AC213" s="105">
        <v>46080.75</v>
      </c>
    </row>
    <row r="214" s="70" customFormat="1" ht="11.25" customHeight="1">
      <c r="A214" s="87"/>
      <c r="C214" s="43" t="s">
        <v>744</v>
      </c>
      <c r="D214" s="71" t="s">
        <v>382</v>
      </c>
      <c r="E214" s="71" t="str">
        <f>MID(D214,1,2)</f>
        <v>IL</v>
      </c>
      <c r="F214" s="71" t="s">
        <v>745</v>
      </c>
      <c r="G214" s="71" t="str">
        <f>MID(F214,1,2)</f>
        <v>DE</v>
      </c>
      <c r="H214" s="43" t="s">
        <v>746</v>
      </c>
      <c r="I214" s="71" t="s">
        <v>747</v>
      </c>
      <c r="J214" s="71" t="s">
        <v>386</v>
      </c>
      <c r="K214" s="43"/>
      <c r="L214" s="71" t="s">
        <v>107</v>
      </c>
      <c r="M214" s="73">
        <v>65</v>
      </c>
      <c r="N214" s="71" t="s">
        <v>388</v>
      </c>
      <c r="O214" s="73">
        <v>0.443</v>
      </c>
      <c r="P214" s="71" t="s">
        <v>389</v>
      </c>
      <c r="Q214" s="73">
        <v>74</v>
      </c>
      <c r="R214" s="71" t="s">
        <v>388</v>
      </c>
      <c r="S214" s="73">
        <v>0</v>
      </c>
      <c r="T214" s="71" t="s">
        <v>390</v>
      </c>
      <c r="U214" s="74">
        <v>1</v>
      </c>
      <c r="V214" s="71" t="s">
        <v>391</v>
      </c>
      <c r="W214" s="130">
        <v>46061.932372685187</v>
      </c>
      <c r="X214" s="72">
        <v>46064.753472222219</v>
      </c>
      <c r="Y214" s="72">
        <v>46066.625694444447</v>
      </c>
      <c r="Z214" s="104" t="s">
        <v>382</v>
      </c>
      <c r="AA214" s="104" t="s">
        <v>748</v>
      </c>
      <c r="AB214" s="105">
        <v>46064.851388888892</v>
      </c>
      <c r="AC214" s="105">
        <v>46064.980555555558</v>
      </c>
    </row>
    <row r="215" s="70" customFormat="1" ht="11.25" customHeight="1">
      <c r="A215" s="87"/>
      <c r="C215" s="43" t="s">
        <v>744</v>
      </c>
      <c r="D215" s="71" t="s">
        <v>382</v>
      </c>
      <c r="E215" s="71" t="str">
        <f>MID(D215,1,2)</f>
        <v>IL</v>
      </c>
      <c r="F215" s="71" t="s">
        <v>745</v>
      </c>
      <c r="G215" s="71" t="str">
        <f>MID(F215,1,2)</f>
        <v>DE</v>
      </c>
      <c r="H215" s="43" t="s">
        <v>746</v>
      </c>
      <c r="I215" s="71" t="s">
        <v>747</v>
      </c>
      <c r="J215" s="71" t="s">
        <v>386</v>
      </c>
      <c r="K215" s="43"/>
      <c r="L215" s="71" t="s">
        <v>107</v>
      </c>
      <c r="M215" s="73">
        <v>65</v>
      </c>
      <c r="N215" s="71" t="s">
        <v>388</v>
      </c>
      <c r="O215" s="73">
        <v>0.443</v>
      </c>
      <c r="P215" s="71" t="s">
        <v>389</v>
      </c>
      <c r="Q215" s="73">
        <v>74</v>
      </c>
      <c r="R215" s="71" t="s">
        <v>388</v>
      </c>
      <c r="S215" s="73">
        <v>0</v>
      </c>
      <c r="T215" s="71" t="s">
        <v>390</v>
      </c>
      <c r="U215" s="74">
        <v>1</v>
      </c>
      <c r="V215" s="71" t="s">
        <v>391</v>
      </c>
      <c r="W215" s="130">
        <v>46061.932372685187</v>
      </c>
      <c r="X215" s="72">
        <v>46064.753472222219</v>
      </c>
      <c r="Y215" s="72">
        <v>46066.625694444447</v>
      </c>
      <c r="Z215" s="104" t="s">
        <v>748</v>
      </c>
      <c r="AA215" s="104" t="s">
        <v>383</v>
      </c>
      <c r="AB215" s="105">
        <v>46066.504166666666</v>
      </c>
      <c r="AC215" s="105">
        <v>46066.750694444447</v>
      </c>
    </row>
    <row r="216" s="70" customFormat="1" ht="11.25" customHeight="1">
      <c r="A216" s="87"/>
      <c r="C216" s="43" t="s">
        <v>749</v>
      </c>
      <c r="D216" s="71" t="s">
        <v>382</v>
      </c>
      <c r="E216" s="71" t="str">
        <f>MID(D216,1,2)</f>
        <v>IL</v>
      </c>
      <c r="F216" s="71" t="s">
        <v>408</v>
      </c>
      <c r="G216" s="71" t="str">
        <f>MID(F216,1,2)</f>
        <v>GR</v>
      </c>
      <c r="H216" s="43" t="s">
        <v>750</v>
      </c>
      <c r="I216" s="71" t="s">
        <v>751</v>
      </c>
      <c r="J216" s="71" t="s">
        <v>400</v>
      </c>
      <c r="K216" s="43"/>
      <c r="L216" s="71" t="s">
        <v>105</v>
      </c>
      <c r="M216" s="73">
        <v>9</v>
      </c>
      <c r="N216" s="71" t="s">
        <v>388</v>
      </c>
      <c r="O216" s="73">
        <v>0.091</v>
      </c>
      <c r="P216" s="71" t="s">
        <v>389</v>
      </c>
      <c r="Q216" s="73">
        <v>15.5</v>
      </c>
      <c r="R216" s="71" t="s">
        <v>388</v>
      </c>
      <c r="S216" s="73">
        <v>0</v>
      </c>
      <c r="T216" s="71" t="s">
        <v>390</v>
      </c>
      <c r="U216" s="74">
        <v>1</v>
      </c>
      <c r="V216" s="71" t="s">
        <v>391</v>
      </c>
      <c r="W216" s="130">
        <v>46054.361805555556</v>
      </c>
      <c r="X216" s="72">
        <v>46055.458333333336</v>
      </c>
      <c r="Y216" s="72">
        <v>46056.2875</v>
      </c>
      <c r="Z216" s="104" t="s">
        <v>382</v>
      </c>
      <c r="AA216" s="104" t="s">
        <v>408</v>
      </c>
      <c r="AB216" s="105">
        <v>46055.809027777781</v>
      </c>
      <c r="AC216" s="105">
        <v>46055.913194444445</v>
      </c>
    </row>
    <row r="217" s="70" customFormat="1" ht="11.25" customHeight="1">
      <c r="A217" s="87"/>
      <c r="C217" s="43" t="s">
        <v>752</v>
      </c>
      <c r="D217" s="71" t="s">
        <v>382</v>
      </c>
      <c r="E217" s="71" t="str">
        <f>MID(D217,1,2)</f>
        <v>IL</v>
      </c>
      <c r="F217" s="71" t="s">
        <v>476</v>
      </c>
      <c r="G217" s="71" t="str">
        <f>MID(F217,1,2)</f>
        <v>SG</v>
      </c>
      <c r="H217" s="43" t="s">
        <v>753</v>
      </c>
      <c r="I217" s="71" t="s">
        <v>754</v>
      </c>
      <c r="J217" s="71" t="s">
        <v>755</v>
      </c>
      <c r="K217" s="43"/>
      <c r="L217" s="71" t="s">
        <v>105</v>
      </c>
      <c r="M217" s="73">
        <v>217</v>
      </c>
      <c r="N217" s="71" t="s">
        <v>388</v>
      </c>
      <c r="O217" s="73">
        <v>2.68</v>
      </c>
      <c r="P217" s="71" t="s">
        <v>389</v>
      </c>
      <c r="Q217" s="73">
        <v>447</v>
      </c>
      <c r="R217" s="71" t="s">
        <v>388</v>
      </c>
      <c r="S217" s="73">
        <v>0</v>
      </c>
      <c r="T217" s="71" t="s">
        <v>390</v>
      </c>
      <c r="U217" s="74">
        <v>3</v>
      </c>
      <c r="V217" s="71" t="s">
        <v>391</v>
      </c>
      <c r="W217" s="130">
        <v>46054.444444444445</v>
      </c>
      <c r="X217" s="72">
        <v>46055.590277777781</v>
      </c>
      <c r="Y217" s="72">
        <v>46058.400694444441</v>
      </c>
      <c r="Z217" s="104" t="s">
        <v>382</v>
      </c>
      <c r="AA217" s="104" t="s">
        <v>441</v>
      </c>
      <c r="AB217" s="105">
        <v>46055.588194444441</v>
      </c>
      <c r="AC217" s="105">
        <v>46055.786111111112</v>
      </c>
    </row>
    <row r="218" s="70" customFormat="1" ht="11.25" customHeight="1">
      <c r="A218" s="87"/>
      <c r="C218" s="43" t="s">
        <v>752</v>
      </c>
      <c r="D218" s="71" t="s">
        <v>382</v>
      </c>
      <c r="E218" s="71" t="str">
        <f>MID(D218,1,2)</f>
        <v>IL</v>
      </c>
      <c r="F218" s="71" t="s">
        <v>476</v>
      </c>
      <c r="G218" s="71" t="str">
        <f>MID(F218,1,2)</f>
        <v>SG</v>
      </c>
      <c r="H218" s="43" t="s">
        <v>753</v>
      </c>
      <c r="I218" s="71" t="s">
        <v>754</v>
      </c>
      <c r="J218" s="71" t="s">
        <v>755</v>
      </c>
      <c r="K218" s="43"/>
      <c r="L218" s="71" t="s">
        <v>105</v>
      </c>
      <c r="M218" s="73">
        <v>217</v>
      </c>
      <c r="N218" s="71" t="s">
        <v>388</v>
      </c>
      <c r="O218" s="73">
        <v>2.68</v>
      </c>
      <c r="P218" s="71" t="s">
        <v>389</v>
      </c>
      <c r="Q218" s="73">
        <v>447</v>
      </c>
      <c r="R218" s="71" t="s">
        <v>388</v>
      </c>
      <c r="S218" s="73">
        <v>0</v>
      </c>
      <c r="T218" s="71" t="s">
        <v>390</v>
      </c>
      <c r="U218" s="74">
        <v>3</v>
      </c>
      <c r="V218" s="71" t="s">
        <v>391</v>
      </c>
      <c r="W218" s="130">
        <v>46054.444444444445</v>
      </c>
      <c r="X218" s="72">
        <v>46055.590277777781</v>
      </c>
      <c r="Y218" s="72">
        <v>46058.400694444441</v>
      </c>
      <c r="Z218" s="104" t="s">
        <v>441</v>
      </c>
      <c r="AA218" s="104" t="s">
        <v>476</v>
      </c>
      <c r="AB218" s="105">
        <v>46057.914583333331</v>
      </c>
      <c r="AC218" s="105">
        <v>46058.379166666666</v>
      </c>
    </row>
    <row r="219" s="70" customFormat="1" ht="11.25" customHeight="1">
      <c r="A219" s="87"/>
      <c r="C219" s="43" t="s">
        <v>756</v>
      </c>
      <c r="D219" s="71" t="s">
        <v>382</v>
      </c>
      <c r="E219" s="71" t="str">
        <f>MID(D219,1,2)</f>
        <v>IL</v>
      </c>
      <c r="F219" s="71" t="s">
        <v>414</v>
      </c>
      <c r="G219" s="71" t="str">
        <f>MID(F219,1,2)</f>
        <v>US</v>
      </c>
      <c r="H219" s="43" t="s">
        <v>757</v>
      </c>
      <c r="I219" s="71" t="s">
        <v>758</v>
      </c>
      <c r="J219" s="71" t="s">
        <v>386</v>
      </c>
      <c r="K219" s="43" t="s">
        <v>759</v>
      </c>
      <c r="L219" s="71" t="s">
        <v>107</v>
      </c>
      <c r="M219" s="73">
        <v>140</v>
      </c>
      <c r="N219" s="71" t="s">
        <v>388</v>
      </c>
      <c r="O219" s="73">
        <v>1.059</v>
      </c>
      <c r="P219" s="71" t="s">
        <v>389</v>
      </c>
      <c r="Q219" s="73">
        <v>176.5</v>
      </c>
      <c r="R219" s="71" t="s">
        <v>388</v>
      </c>
      <c r="S219" s="73">
        <v>0</v>
      </c>
      <c r="T219" s="71" t="s">
        <v>390</v>
      </c>
      <c r="U219" s="74">
        <v>1</v>
      </c>
      <c r="V219" s="71" t="s">
        <v>391</v>
      </c>
      <c r="W219" s="130">
        <v>46054.34097222222</v>
      </c>
      <c r="X219" s="72">
        <v>46057.03125</v>
      </c>
      <c r="Y219" s="72">
        <v>46057.25</v>
      </c>
      <c r="Z219" s="104" t="s">
        <v>382</v>
      </c>
      <c r="AA219" s="104" t="s">
        <v>414</v>
      </c>
      <c r="AB219" s="105">
        <v>46057.031944444447</v>
      </c>
      <c r="AC219" s="105">
        <v>46057.214583333334</v>
      </c>
    </row>
    <row r="220" s="70" customFormat="1" ht="11.25" customHeight="1">
      <c r="A220" s="87"/>
      <c r="C220" s="43" t="s">
        <v>760</v>
      </c>
      <c r="D220" s="71" t="s">
        <v>382</v>
      </c>
      <c r="E220" s="71" t="str">
        <f>MID(D220,1,2)</f>
        <v>IL</v>
      </c>
      <c r="F220" s="71" t="s">
        <v>383</v>
      </c>
      <c r="G220" s="71" t="str">
        <f>MID(F220,1,2)</f>
        <v>DE</v>
      </c>
      <c r="H220" s="43" t="s">
        <v>761</v>
      </c>
      <c r="I220" s="71" t="s">
        <v>762</v>
      </c>
      <c r="J220" s="71" t="s">
        <v>386</v>
      </c>
      <c r="K220" s="43"/>
      <c r="L220" s="71" t="s">
        <v>107</v>
      </c>
      <c r="M220" s="73">
        <v>1690</v>
      </c>
      <c r="N220" s="71" t="s">
        <v>388</v>
      </c>
      <c r="O220" s="73">
        <v>17.526</v>
      </c>
      <c r="P220" s="71" t="s">
        <v>389</v>
      </c>
      <c r="Q220" s="73">
        <v>2921</v>
      </c>
      <c r="R220" s="71" t="s">
        <v>388</v>
      </c>
      <c r="S220" s="73">
        <v>0</v>
      </c>
      <c r="T220" s="71" t="s">
        <v>390</v>
      </c>
      <c r="U220" s="74">
        <v>14</v>
      </c>
      <c r="V220" s="71" t="s">
        <v>391</v>
      </c>
      <c r="W220" s="130">
        <v>46054.912476851852</v>
      </c>
      <c r="X220" s="72">
        <v>46056.545138888891</v>
      </c>
      <c r="Y220" s="72">
        <v>46058.385416666664</v>
      </c>
      <c r="Z220" s="104" t="s">
        <v>382</v>
      </c>
      <c r="AA220" s="104" t="s">
        <v>684</v>
      </c>
      <c r="AB220" s="105">
        <v>46056.604166666664</v>
      </c>
      <c r="AC220" s="105"/>
    </row>
    <row r="221" s="70" customFormat="1" ht="11.25" customHeight="1">
      <c r="A221" s="87"/>
      <c r="C221" s="43" t="s">
        <v>760</v>
      </c>
      <c r="D221" s="71" t="s">
        <v>382</v>
      </c>
      <c r="E221" s="71" t="str">
        <f>MID(D221,1,2)</f>
        <v>IL</v>
      </c>
      <c r="F221" s="71" t="s">
        <v>383</v>
      </c>
      <c r="G221" s="71" t="str">
        <f>MID(F221,1,2)</f>
        <v>DE</v>
      </c>
      <c r="H221" s="43" t="s">
        <v>761</v>
      </c>
      <c r="I221" s="71" t="s">
        <v>762</v>
      </c>
      <c r="J221" s="71" t="s">
        <v>386</v>
      </c>
      <c r="K221" s="43"/>
      <c r="L221" s="71" t="s">
        <v>107</v>
      </c>
      <c r="M221" s="73">
        <v>1690</v>
      </c>
      <c r="N221" s="71" t="s">
        <v>388</v>
      </c>
      <c r="O221" s="73">
        <v>17.526</v>
      </c>
      <c r="P221" s="71" t="s">
        <v>389</v>
      </c>
      <c r="Q221" s="73">
        <v>2921</v>
      </c>
      <c r="R221" s="71" t="s">
        <v>388</v>
      </c>
      <c r="S221" s="73">
        <v>0</v>
      </c>
      <c r="T221" s="71" t="s">
        <v>390</v>
      </c>
      <c r="U221" s="74">
        <v>14</v>
      </c>
      <c r="V221" s="71" t="s">
        <v>391</v>
      </c>
      <c r="W221" s="130">
        <v>46054.912476851852</v>
      </c>
      <c r="X221" s="72">
        <v>46056.545138888891</v>
      </c>
      <c r="Y221" s="72">
        <v>46058.385416666664</v>
      </c>
      <c r="Z221" s="104" t="s">
        <v>684</v>
      </c>
      <c r="AA221" s="104" t="s">
        <v>748</v>
      </c>
      <c r="AB221" s="105">
        <v>46056.9375</v>
      </c>
      <c r="AC221" s="105"/>
    </row>
    <row r="222" s="70" customFormat="1" ht="11.25" customHeight="1">
      <c r="A222" s="87"/>
      <c r="C222" s="43" t="s">
        <v>760</v>
      </c>
      <c r="D222" s="71" t="s">
        <v>382</v>
      </c>
      <c r="E222" s="71" t="str">
        <f>MID(D222,1,2)</f>
        <v>IL</v>
      </c>
      <c r="F222" s="71" t="s">
        <v>383</v>
      </c>
      <c r="G222" s="71" t="str">
        <f>MID(F222,1,2)</f>
        <v>DE</v>
      </c>
      <c r="H222" s="43" t="s">
        <v>761</v>
      </c>
      <c r="I222" s="71" t="s">
        <v>762</v>
      </c>
      <c r="J222" s="71" t="s">
        <v>386</v>
      </c>
      <c r="K222" s="43"/>
      <c r="L222" s="71" t="s">
        <v>107</v>
      </c>
      <c r="M222" s="73">
        <v>1690</v>
      </c>
      <c r="N222" s="71" t="s">
        <v>388</v>
      </c>
      <c r="O222" s="73">
        <v>17.526</v>
      </c>
      <c r="P222" s="71" t="s">
        <v>389</v>
      </c>
      <c r="Q222" s="73">
        <v>2921</v>
      </c>
      <c r="R222" s="71" t="s">
        <v>388</v>
      </c>
      <c r="S222" s="73">
        <v>0</v>
      </c>
      <c r="T222" s="71" t="s">
        <v>390</v>
      </c>
      <c r="U222" s="74">
        <v>14</v>
      </c>
      <c r="V222" s="71" t="s">
        <v>391</v>
      </c>
      <c r="W222" s="130">
        <v>46054.912476851852</v>
      </c>
      <c r="X222" s="72">
        <v>46056.545138888891</v>
      </c>
      <c r="Y222" s="72">
        <v>46058.385416666664</v>
      </c>
      <c r="Z222" s="104" t="s">
        <v>748</v>
      </c>
      <c r="AA222" s="104" t="s">
        <v>383</v>
      </c>
      <c r="AB222" s="105">
        <v>46057.672222222223</v>
      </c>
      <c r="AC222" s="105">
        <v>46057.385416666664</v>
      </c>
    </row>
    <row r="223" s="70" customFormat="1" ht="11.25" customHeight="1">
      <c r="A223" s="87"/>
      <c r="C223" s="43" t="s">
        <v>763</v>
      </c>
      <c r="D223" s="71" t="s">
        <v>382</v>
      </c>
      <c r="E223" s="71" t="str">
        <f>MID(D223,1,2)</f>
        <v>IL</v>
      </c>
      <c r="F223" s="71" t="s">
        <v>526</v>
      </c>
      <c r="G223" s="71" t="str">
        <f>MID(F223,1,2)</f>
        <v>US</v>
      </c>
      <c r="H223" s="43" t="s">
        <v>764</v>
      </c>
      <c r="I223" s="71" t="s">
        <v>765</v>
      </c>
      <c r="J223" s="71" t="s">
        <v>386</v>
      </c>
      <c r="K223" s="43"/>
      <c r="L223" s="71" t="s">
        <v>107</v>
      </c>
      <c r="M223" s="73">
        <v>572</v>
      </c>
      <c r="N223" s="71" t="s">
        <v>388</v>
      </c>
      <c r="O223" s="73">
        <v>4.536</v>
      </c>
      <c r="P223" s="71" t="s">
        <v>389</v>
      </c>
      <c r="Q223" s="73">
        <v>756</v>
      </c>
      <c r="R223" s="71" t="s">
        <v>388</v>
      </c>
      <c r="S223" s="73">
        <v>36</v>
      </c>
      <c r="T223" s="71" t="s">
        <v>390</v>
      </c>
      <c r="U223" s="74">
        <v>6</v>
      </c>
      <c r="V223" s="71" t="s">
        <v>391</v>
      </c>
      <c r="W223" s="130">
        <v>46054.354166666664</v>
      </c>
      <c r="X223" s="72">
        <v>46056.03125</v>
      </c>
      <c r="Y223" s="72">
        <v>46058.682638888888</v>
      </c>
      <c r="Z223" s="104" t="s">
        <v>382</v>
      </c>
      <c r="AA223" s="104" t="s">
        <v>526</v>
      </c>
      <c r="AB223" s="105">
        <v>46056.035416666666</v>
      </c>
      <c r="AC223" s="105">
        <v>46056.25</v>
      </c>
    </row>
    <row r="224" s="70" customFormat="1" ht="11.25" customHeight="1">
      <c r="A224" s="87"/>
      <c r="C224" s="43" t="s">
        <v>766</v>
      </c>
      <c r="D224" s="71" t="s">
        <v>382</v>
      </c>
      <c r="E224" s="71" t="str">
        <f>MID(D224,1,2)</f>
        <v>IL</v>
      </c>
      <c r="F224" s="71" t="s">
        <v>414</v>
      </c>
      <c r="G224" s="71" t="str">
        <f>MID(F224,1,2)</f>
        <v>US</v>
      </c>
      <c r="H224" s="43" t="s">
        <v>757</v>
      </c>
      <c r="I224" s="71" t="s">
        <v>767</v>
      </c>
      <c r="J224" s="71" t="s">
        <v>426</v>
      </c>
      <c r="K224" s="43" t="s">
        <v>768</v>
      </c>
      <c r="L224" s="71" t="s">
        <v>105</v>
      </c>
      <c r="M224" s="73">
        <v>858</v>
      </c>
      <c r="N224" s="71" t="s">
        <v>388</v>
      </c>
      <c r="O224" s="73">
        <v>4.002</v>
      </c>
      <c r="P224" s="71" t="s">
        <v>389</v>
      </c>
      <c r="Q224" s="73">
        <v>858</v>
      </c>
      <c r="R224" s="71" t="s">
        <v>388</v>
      </c>
      <c r="S224" s="73">
        <v>0</v>
      </c>
      <c r="T224" s="71" t="s">
        <v>390</v>
      </c>
      <c r="U224" s="74">
        <v>8</v>
      </c>
      <c r="V224" s="71" t="s">
        <v>391</v>
      </c>
      <c r="W224" s="130">
        <v>46054.36875</v>
      </c>
      <c r="X224" s="72">
        <v>46057.03125</v>
      </c>
      <c r="Y224" s="72">
        <v>46057.25</v>
      </c>
      <c r="Z224" s="104" t="s">
        <v>382</v>
      </c>
      <c r="AA224" s="104" t="s">
        <v>414</v>
      </c>
      <c r="AB224" s="105">
        <v>46057.031944444447</v>
      </c>
      <c r="AC224" s="105">
        <v>46057.214583333334</v>
      </c>
    </row>
    <row r="225" s="70" customFormat="1" ht="11.25" customHeight="1">
      <c r="A225" s="87"/>
      <c r="C225" s="43" t="s">
        <v>769</v>
      </c>
      <c r="D225" s="71" t="s">
        <v>382</v>
      </c>
      <c r="E225" s="71" t="str">
        <f>MID(D225,1,2)</f>
        <v>IL</v>
      </c>
      <c r="F225" s="71" t="s">
        <v>468</v>
      </c>
      <c r="G225" s="71" t="str">
        <f>MID(F225,1,2)</f>
        <v>US</v>
      </c>
      <c r="H225" s="43" t="s">
        <v>613</v>
      </c>
      <c r="I225" s="71" t="s">
        <v>770</v>
      </c>
      <c r="J225" s="71" t="s">
        <v>386</v>
      </c>
      <c r="K225" s="43"/>
      <c r="L225" s="71" t="s">
        <v>107</v>
      </c>
      <c r="M225" s="73">
        <v>15</v>
      </c>
      <c r="N225" s="71" t="s">
        <v>388</v>
      </c>
      <c r="O225" s="73">
        <v>0.092</v>
      </c>
      <c r="P225" s="71" t="s">
        <v>389</v>
      </c>
      <c r="Q225" s="73">
        <v>15.5</v>
      </c>
      <c r="R225" s="71" t="s">
        <v>388</v>
      </c>
      <c r="S225" s="73">
        <v>0</v>
      </c>
      <c r="T225" s="71" t="s">
        <v>390</v>
      </c>
      <c r="U225" s="74">
        <v>1</v>
      </c>
      <c r="V225" s="71" t="s">
        <v>391</v>
      </c>
      <c r="W225" s="130">
        <v>46054.361805555556</v>
      </c>
      <c r="X225" s="72">
        <v>46057.458333333336</v>
      </c>
      <c r="Y225" s="72">
        <v>46062.416666666664</v>
      </c>
      <c r="Z225" s="104" t="s">
        <v>382</v>
      </c>
      <c r="AA225" s="104" t="s">
        <v>422</v>
      </c>
      <c r="AB225" s="105">
        <v>46057.961111111108</v>
      </c>
      <c r="AC225" s="105">
        <v>46058.131944444445</v>
      </c>
    </row>
    <row r="226" s="70" customFormat="1" ht="11.25" customHeight="1">
      <c r="A226" s="87"/>
      <c r="C226" s="43" t="s">
        <v>769</v>
      </c>
      <c r="D226" s="71" t="s">
        <v>382</v>
      </c>
      <c r="E226" s="71" t="str">
        <f>MID(D226,1,2)</f>
        <v>IL</v>
      </c>
      <c r="F226" s="71" t="s">
        <v>468</v>
      </c>
      <c r="G226" s="71" t="str">
        <f>MID(F226,1,2)</f>
        <v>US</v>
      </c>
      <c r="H226" s="43" t="s">
        <v>613</v>
      </c>
      <c r="I226" s="71" t="s">
        <v>770</v>
      </c>
      <c r="J226" s="71" t="s">
        <v>386</v>
      </c>
      <c r="K226" s="43"/>
      <c r="L226" s="71" t="s">
        <v>107</v>
      </c>
      <c r="M226" s="73">
        <v>15</v>
      </c>
      <c r="N226" s="71" t="s">
        <v>388</v>
      </c>
      <c r="O226" s="73">
        <v>0.092</v>
      </c>
      <c r="P226" s="71" t="s">
        <v>389</v>
      </c>
      <c r="Q226" s="73">
        <v>15.5</v>
      </c>
      <c r="R226" s="71" t="s">
        <v>388</v>
      </c>
      <c r="S226" s="73">
        <v>0</v>
      </c>
      <c r="T226" s="71" t="s">
        <v>390</v>
      </c>
      <c r="U226" s="74">
        <v>1</v>
      </c>
      <c r="V226" s="71" t="s">
        <v>391</v>
      </c>
      <c r="W226" s="130">
        <v>46054.361805555556</v>
      </c>
      <c r="X226" s="72">
        <v>46057.458333333336</v>
      </c>
      <c r="Y226" s="72">
        <v>46062.416666666664</v>
      </c>
      <c r="Z226" s="104" t="s">
        <v>422</v>
      </c>
      <c r="AA226" s="104" t="s">
        <v>468</v>
      </c>
      <c r="AB226" s="105">
        <v>46058.906944444447</v>
      </c>
      <c r="AC226" s="105">
        <v>46060.544444444444</v>
      </c>
    </row>
    <row r="227" s="70" customFormat="1" ht="11.25" customHeight="1">
      <c r="A227" s="87"/>
      <c r="C227" s="43" t="s">
        <v>771</v>
      </c>
      <c r="D227" s="71" t="s">
        <v>382</v>
      </c>
      <c r="E227" s="71" t="str">
        <f>MID(D227,1,2)</f>
        <v>IL</v>
      </c>
      <c r="F227" s="71" t="s">
        <v>468</v>
      </c>
      <c r="G227" s="71" t="str">
        <f>MID(F227,1,2)</f>
        <v>US</v>
      </c>
      <c r="H227" s="43" t="s">
        <v>613</v>
      </c>
      <c r="I227" s="71" t="s">
        <v>772</v>
      </c>
      <c r="J227" s="71" t="s">
        <v>386</v>
      </c>
      <c r="K227" s="43"/>
      <c r="L227" s="71" t="s">
        <v>107</v>
      </c>
      <c r="M227" s="73">
        <v>9</v>
      </c>
      <c r="N227" s="71" t="s">
        <v>388</v>
      </c>
      <c r="O227" s="73">
        <v>0.042</v>
      </c>
      <c r="P227" s="71" t="s">
        <v>389</v>
      </c>
      <c r="Q227" s="73">
        <v>9</v>
      </c>
      <c r="R227" s="71" t="s">
        <v>388</v>
      </c>
      <c r="S227" s="73">
        <v>0</v>
      </c>
      <c r="T227" s="71" t="s">
        <v>390</v>
      </c>
      <c r="U227" s="74">
        <v>1</v>
      </c>
      <c r="V227" s="71" t="s">
        <v>391</v>
      </c>
      <c r="W227" s="130">
        <v>46054.36875</v>
      </c>
      <c r="X227" s="72">
        <v>46057.458333333336</v>
      </c>
      <c r="Y227" s="72">
        <v>46062.416666666664</v>
      </c>
      <c r="Z227" s="104" t="s">
        <v>382</v>
      </c>
      <c r="AA227" s="104" t="s">
        <v>422</v>
      </c>
      <c r="AB227" s="105">
        <v>46057.961111111108</v>
      </c>
      <c r="AC227" s="105">
        <v>46058.131944444445</v>
      </c>
    </row>
    <row r="228" s="70" customFormat="1" ht="11.25" customHeight="1">
      <c r="A228" s="87"/>
      <c r="C228" s="43" t="s">
        <v>771</v>
      </c>
      <c r="D228" s="71" t="s">
        <v>382</v>
      </c>
      <c r="E228" s="71" t="str">
        <f>MID(D228,1,2)</f>
        <v>IL</v>
      </c>
      <c r="F228" s="71" t="s">
        <v>468</v>
      </c>
      <c r="G228" s="71" t="str">
        <f>MID(F228,1,2)</f>
        <v>US</v>
      </c>
      <c r="H228" s="43" t="s">
        <v>613</v>
      </c>
      <c r="I228" s="71" t="s">
        <v>772</v>
      </c>
      <c r="J228" s="71" t="s">
        <v>386</v>
      </c>
      <c r="K228" s="43"/>
      <c r="L228" s="71" t="s">
        <v>107</v>
      </c>
      <c r="M228" s="73">
        <v>9</v>
      </c>
      <c r="N228" s="71" t="s">
        <v>388</v>
      </c>
      <c r="O228" s="73">
        <v>0.042</v>
      </c>
      <c r="P228" s="71" t="s">
        <v>389</v>
      </c>
      <c r="Q228" s="73">
        <v>9</v>
      </c>
      <c r="R228" s="71" t="s">
        <v>388</v>
      </c>
      <c r="S228" s="73">
        <v>0</v>
      </c>
      <c r="T228" s="71" t="s">
        <v>390</v>
      </c>
      <c r="U228" s="74">
        <v>1</v>
      </c>
      <c r="V228" s="71" t="s">
        <v>391</v>
      </c>
      <c r="W228" s="130">
        <v>46054.36875</v>
      </c>
      <c r="X228" s="72">
        <v>46057.458333333336</v>
      </c>
      <c r="Y228" s="72">
        <v>46062.416666666664</v>
      </c>
      <c r="Z228" s="104" t="s">
        <v>422</v>
      </c>
      <c r="AA228" s="104" t="s">
        <v>468</v>
      </c>
      <c r="AB228" s="105">
        <v>46058.906944444447</v>
      </c>
      <c r="AC228" s="105">
        <v>46060.544444444444</v>
      </c>
    </row>
    <row r="229" s="70" customFormat="1" ht="11.25" customHeight="1">
      <c r="A229" s="87"/>
      <c r="C229" s="43" t="s">
        <v>773</v>
      </c>
      <c r="D229" s="71" t="s">
        <v>382</v>
      </c>
      <c r="E229" s="71" t="str">
        <f>MID(D229,1,2)</f>
        <v>IL</v>
      </c>
      <c r="F229" s="71" t="s">
        <v>774</v>
      </c>
      <c r="G229" s="71" t="str">
        <f>MID(F229,1,2)</f>
        <v>CN</v>
      </c>
      <c r="H229" s="43" t="s">
        <v>775</v>
      </c>
      <c r="I229" s="71" t="s">
        <v>776</v>
      </c>
      <c r="J229" s="71" t="s">
        <v>755</v>
      </c>
      <c r="K229" s="43"/>
      <c r="L229" s="71" t="s">
        <v>105</v>
      </c>
      <c r="M229" s="73">
        <v>1</v>
      </c>
      <c r="N229" s="71" t="s">
        <v>388</v>
      </c>
      <c r="O229" s="73">
        <v>0.013</v>
      </c>
      <c r="P229" s="71" t="s">
        <v>389</v>
      </c>
      <c r="Q229" s="73">
        <v>2.5</v>
      </c>
      <c r="R229" s="71" t="s">
        <v>388</v>
      </c>
      <c r="S229" s="73">
        <v>0</v>
      </c>
      <c r="T229" s="71" t="s">
        <v>390</v>
      </c>
      <c r="U229" s="74">
        <v>1</v>
      </c>
      <c r="V229" s="71" t="s">
        <v>391</v>
      </c>
      <c r="W229" s="130">
        <v>46054.60665509259</v>
      </c>
      <c r="X229" s="72">
        <v>46055.690972222219</v>
      </c>
      <c r="Y229" s="72">
        <v>46057.475</v>
      </c>
      <c r="Z229" s="104" t="s">
        <v>382</v>
      </c>
      <c r="AA229" s="104" t="s">
        <v>383</v>
      </c>
      <c r="AB229" s="105">
        <v>46055.69375</v>
      </c>
      <c r="AC229" s="105">
        <v>46055.838194444441</v>
      </c>
    </row>
    <row r="230" s="70" customFormat="1" ht="11.25" customHeight="1">
      <c r="A230" s="87"/>
      <c r="C230" s="43" t="s">
        <v>773</v>
      </c>
      <c r="D230" s="71" t="s">
        <v>382</v>
      </c>
      <c r="E230" s="71" t="str">
        <f>MID(D230,1,2)</f>
        <v>IL</v>
      </c>
      <c r="F230" s="71" t="s">
        <v>774</v>
      </c>
      <c r="G230" s="71" t="str">
        <f>MID(F230,1,2)</f>
        <v>CN</v>
      </c>
      <c r="H230" s="43" t="s">
        <v>775</v>
      </c>
      <c r="I230" s="71" t="s">
        <v>776</v>
      </c>
      <c r="J230" s="71" t="s">
        <v>755</v>
      </c>
      <c r="K230" s="43"/>
      <c r="L230" s="71" t="s">
        <v>105</v>
      </c>
      <c r="M230" s="73">
        <v>1</v>
      </c>
      <c r="N230" s="71" t="s">
        <v>388</v>
      </c>
      <c r="O230" s="73">
        <v>0.013</v>
      </c>
      <c r="P230" s="71" t="s">
        <v>389</v>
      </c>
      <c r="Q230" s="73">
        <v>2.5</v>
      </c>
      <c r="R230" s="71" t="s">
        <v>388</v>
      </c>
      <c r="S230" s="73">
        <v>0</v>
      </c>
      <c r="T230" s="71" t="s">
        <v>390</v>
      </c>
      <c r="U230" s="74">
        <v>1</v>
      </c>
      <c r="V230" s="71" t="s">
        <v>391</v>
      </c>
      <c r="W230" s="130">
        <v>46054.60665509259</v>
      </c>
      <c r="X230" s="72">
        <v>46055.690972222219</v>
      </c>
      <c r="Y230" s="72">
        <v>46057.475</v>
      </c>
      <c r="Z230" s="104" t="s">
        <v>383</v>
      </c>
      <c r="AA230" s="104" t="s">
        <v>774</v>
      </c>
      <c r="AB230" s="105">
        <v>46056.582638888889</v>
      </c>
      <c r="AC230" s="105">
        <v>46057.469444444447</v>
      </c>
    </row>
    <row r="231" s="70" customFormat="1" ht="11.25" customHeight="1">
      <c r="A231" s="87"/>
      <c r="C231" s="43" t="s">
        <v>777</v>
      </c>
      <c r="D231" s="71" t="s">
        <v>382</v>
      </c>
      <c r="E231" s="71" t="str">
        <f>MID(D231,1,2)</f>
        <v>IL</v>
      </c>
      <c r="F231" s="71" t="s">
        <v>573</v>
      </c>
      <c r="G231" s="71" t="str">
        <f>MID(F231,1,2)</f>
        <v>CH</v>
      </c>
      <c r="H231" s="43" t="s">
        <v>778</v>
      </c>
      <c r="I231" s="71"/>
      <c r="J231" s="71" t="s">
        <v>400</v>
      </c>
      <c r="K231" s="43"/>
      <c r="L231" s="71" t="s">
        <v>105</v>
      </c>
      <c r="M231" s="73">
        <v>38</v>
      </c>
      <c r="N231" s="71" t="s">
        <v>388</v>
      </c>
      <c r="O231" s="73">
        <v>0.254</v>
      </c>
      <c r="P231" s="71" t="s">
        <v>389</v>
      </c>
      <c r="Q231" s="73">
        <v>100</v>
      </c>
      <c r="R231" s="71" t="s">
        <v>388</v>
      </c>
      <c r="S231" s="73">
        <v>0</v>
      </c>
      <c r="T231" s="71" t="s">
        <v>390</v>
      </c>
      <c r="U231" s="74">
        <v>1</v>
      </c>
      <c r="V231" s="71" t="s">
        <v>391</v>
      </c>
      <c r="W231" s="130"/>
      <c r="X231" s="72">
        <v>46055.364583333336</v>
      </c>
      <c r="Y231" s="72">
        <v>46056.90625</v>
      </c>
      <c r="Z231" s="104" t="s">
        <v>382</v>
      </c>
      <c r="AA231" s="104" t="s">
        <v>573</v>
      </c>
      <c r="AB231" s="105">
        <v>46056.772222222222</v>
      </c>
      <c r="AC231" s="105">
        <v>46056.90625</v>
      </c>
    </row>
    <row r="232" s="70" customFormat="1" ht="11.25" customHeight="1">
      <c r="A232" s="87"/>
      <c r="C232" s="43" t="s">
        <v>779</v>
      </c>
      <c r="D232" s="71" t="s">
        <v>382</v>
      </c>
      <c r="E232" s="71" t="str">
        <f>MID(D232,1,2)</f>
        <v>IL</v>
      </c>
      <c r="F232" s="71" t="s">
        <v>468</v>
      </c>
      <c r="G232" s="71" t="str">
        <f>MID(F232,1,2)</f>
        <v>US</v>
      </c>
      <c r="H232" s="43" t="s">
        <v>613</v>
      </c>
      <c r="I232" s="71" t="s">
        <v>780</v>
      </c>
      <c r="J232" s="71" t="s">
        <v>386</v>
      </c>
      <c r="K232" s="43"/>
      <c r="L232" s="71" t="s">
        <v>107</v>
      </c>
      <c r="M232" s="73">
        <v>18</v>
      </c>
      <c r="N232" s="71" t="s">
        <v>388</v>
      </c>
      <c r="O232" s="73">
        <v>0.32</v>
      </c>
      <c r="P232" s="71" t="s">
        <v>389</v>
      </c>
      <c r="Q232" s="73">
        <v>53.5</v>
      </c>
      <c r="R232" s="71" t="s">
        <v>388</v>
      </c>
      <c r="S232" s="73">
        <v>0</v>
      </c>
      <c r="T232" s="71" t="s">
        <v>390</v>
      </c>
      <c r="U232" s="74">
        <v>6</v>
      </c>
      <c r="V232" s="71" t="s">
        <v>427</v>
      </c>
      <c r="W232" s="130">
        <v>46054.375694444447</v>
      </c>
      <c r="X232" s="72">
        <v>46057.458333333336</v>
      </c>
      <c r="Y232" s="72">
        <v>46062.416666666664</v>
      </c>
      <c r="Z232" s="104" t="s">
        <v>382</v>
      </c>
      <c r="AA232" s="104" t="s">
        <v>422</v>
      </c>
      <c r="AB232" s="105">
        <v>46057.961111111108</v>
      </c>
      <c r="AC232" s="105">
        <v>46058.131944444445</v>
      </c>
    </row>
    <row r="233" s="70" customFormat="1" ht="11.25" customHeight="1">
      <c r="A233" s="87"/>
      <c r="C233" s="43" t="s">
        <v>779</v>
      </c>
      <c r="D233" s="71" t="s">
        <v>382</v>
      </c>
      <c r="E233" s="71" t="str">
        <f>MID(D233,1,2)</f>
        <v>IL</v>
      </c>
      <c r="F233" s="71" t="s">
        <v>468</v>
      </c>
      <c r="G233" s="71" t="str">
        <f>MID(F233,1,2)</f>
        <v>US</v>
      </c>
      <c r="H233" s="43" t="s">
        <v>613</v>
      </c>
      <c r="I233" s="71" t="s">
        <v>780</v>
      </c>
      <c r="J233" s="71" t="s">
        <v>386</v>
      </c>
      <c r="K233" s="43"/>
      <c r="L233" s="71" t="s">
        <v>107</v>
      </c>
      <c r="M233" s="73">
        <v>18</v>
      </c>
      <c r="N233" s="71" t="s">
        <v>388</v>
      </c>
      <c r="O233" s="73">
        <v>0.32</v>
      </c>
      <c r="P233" s="71" t="s">
        <v>389</v>
      </c>
      <c r="Q233" s="73">
        <v>53.5</v>
      </c>
      <c r="R233" s="71" t="s">
        <v>388</v>
      </c>
      <c r="S233" s="73">
        <v>0</v>
      </c>
      <c r="T233" s="71" t="s">
        <v>390</v>
      </c>
      <c r="U233" s="74">
        <v>6</v>
      </c>
      <c r="V233" s="71" t="s">
        <v>427</v>
      </c>
      <c r="W233" s="130">
        <v>46054.375694444447</v>
      </c>
      <c r="X233" s="72">
        <v>46057.458333333336</v>
      </c>
      <c r="Y233" s="72">
        <v>46062.416666666664</v>
      </c>
      <c r="Z233" s="104" t="s">
        <v>422</v>
      </c>
      <c r="AA233" s="104" t="s">
        <v>468</v>
      </c>
      <c r="AB233" s="105">
        <v>46058.906944444447</v>
      </c>
      <c r="AC233" s="105">
        <v>46060.544444444444</v>
      </c>
    </row>
    <row r="234" s="70" customFormat="1" ht="11.25" customHeight="1">
      <c r="A234" s="87"/>
      <c r="C234" s="43" t="s">
        <v>781</v>
      </c>
      <c r="D234" s="71" t="s">
        <v>382</v>
      </c>
      <c r="E234" s="71" t="str">
        <f>MID(D234,1,2)</f>
        <v>IL</v>
      </c>
      <c r="F234" s="71" t="s">
        <v>468</v>
      </c>
      <c r="G234" s="71" t="str">
        <f>MID(F234,1,2)</f>
        <v>US</v>
      </c>
      <c r="H234" s="43" t="s">
        <v>613</v>
      </c>
      <c r="I234" s="71" t="s">
        <v>782</v>
      </c>
      <c r="J234" s="71" t="s">
        <v>386</v>
      </c>
      <c r="K234" s="43"/>
      <c r="L234" s="71" t="s">
        <v>107</v>
      </c>
      <c r="M234" s="73">
        <v>5</v>
      </c>
      <c r="N234" s="71" t="s">
        <v>388</v>
      </c>
      <c r="O234" s="73">
        <v>0.034</v>
      </c>
      <c r="P234" s="71" t="s">
        <v>389</v>
      </c>
      <c r="Q234" s="73">
        <v>6</v>
      </c>
      <c r="R234" s="71" t="s">
        <v>388</v>
      </c>
      <c r="S234" s="73">
        <v>0</v>
      </c>
      <c r="T234" s="71" t="s">
        <v>390</v>
      </c>
      <c r="U234" s="74">
        <v>1</v>
      </c>
      <c r="V234" s="71" t="s">
        <v>391</v>
      </c>
      <c r="W234" s="130">
        <v>46054.375694444447</v>
      </c>
      <c r="X234" s="72">
        <v>46057.458333333336</v>
      </c>
      <c r="Y234" s="72">
        <v>46062.416666666664</v>
      </c>
      <c r="Z234" s="104" t="s">
        <v>382</v>
      </c>
      <c r="AA234" s="104" t="s">
        <v>422</v>
      </c>
      <c r="AB234" s="105">
        <v>46057.961111111108</v>
      </c>
      <c r="AC234" s="105">
        <v>46058.131944444445</v>
      </c>
    </row>
    <row r="235" s="70" customFormat="1" ht="11.25" customHeight="1">
      <c r="A235" s="87"/>
      <c r="C235" s="43" t="s">
        <v>781</v>
      </c>
      <c r="D235" s="71" t="s">
        <v>382</v>
      </c>
      <c r="E235" s="71" t="str">
        <f>MID(D235,1,2)</f>
        <v>IL</v>
      </c>
      <c r="F235" s="71" t="s">
        <v>468</v>
      </c>
      <c r="G235" s="71" t="str">
        <f>MID(F235,1,2)</f>
        <v>US</v>
      </c>
      <c r="H235" s="43" t="s">
        <v>613</v>
      </c>
      <c r="I235" s="71" t="s">
        <v>782</v>
      </c>
      <c r="J235" s="71" t="s">
        <v>386</v>
      </c>
      <c r="K235" s="43"/>
      <c r="L235" s="71" t="s">
        <v>107</v>
      </c>
      <c r="M235" s="73">
        <v>5</v>
      </c>
      <c r="N235" s="71" t="s">
        <v>388</v>
      </c>
      <c r="O235" s="73">
        <v>0.034</v>
      </c>
      <c r="P235" s="71" t="s">
        <v>389</v>
      </c>
      <c r="Q235" s="73">
        <v>6</v>
      </c>
      <c r="R235" s="71" t="s">
        <v>388</v>
      </c>
      <c r="S235" s="73">
        <v>0</v>
      </c>
      <c r="T235" s="71" t="s">
        <v>390</v>
      </c>
      <c r="U235" s="74">
        <v>1</v>
      </c>
      <c r="V235" s="71" t="s">
        <v>391</v>
      </c>
      <c r="W235" s="130">
        <v>46054.375694444447</v>
      </c>
      <c r="X235" s="72">
        <v>46057.458333333336</v>
      </c>
      <c r="Y235" s="72">
        <v>46062.416666666664</v>
      </c>
      <c r="Z235" s="104" t="s">
        <v>422</v>
      </c>
      <c r="AA235" s="104" t="s">
        <v>468</v>
      </c>
      <c r="AB235" s="105">
        <v>46058.906944444447</v>
      </c>
      <c r="AC235" s="105">
        <v>46060.544444444444</v>
      </c>
    </row>
    <row r="236" s="70" customFormat="1" ht="11.25" customHeight="1">
      <c r="A236" s="87"/>
      <c r="C236" s="43" t="s">
        <v>783</v>
      </c>
      <c r="D236" s="71" t="s">
        <v>382</v>
      </c>
      <c r="E236" s="71" t="str">
        <f>MID(D236,1,2)</f>
        <v>IL</v>
      </c>
      <c r="F236" s="71" t="s">
        <v>468</v>
      </c>
      <c r="G236" s="71" t="str">
        <f>MID(F236,1,2)</f>
        <v>US</v>
      </c>
      <c r="H236" s="43" t="s">
        <v>613</v>
      </c>
      <c r="I236" s="71" t="s">
        <v>784</v>
      </c>
      <c r="J236" s="71" t="s">
        <v>386</v>
      </c>
      <c r="K236" s="43"/>
      <c r="L236" s="71" t="s">
        <v>107</v>
      </c>
      <c r="M236" s="73">
        <v>10</v>
      </c>
      <c r="N236" s="71" t="s">
        <v>388</v>
      </c>
      <c r="O236" s="73">
        <v>0.096</v>
      </c>
      <c r="P236" s="71" t="s">
        <v>389</v>
      </c>
      <c r="Q236" s="73">
        <v>16</v>
      </c>
      <c r="R236" s="71" t="s">
        <v>388</v>
      </c>
      <c r="S236" s="73">
        <v>0</v>
      </c>
      <c r="T236" s="71" t="s">
        <v>390</v>
      </c>
      <c r="U236" s="74">
        <v>1</v>
      </c>
      <c r="V236" s="71" t="s">
        <v>391</v>
      </c>
      <c r="W236" s="130">
        <v>46054.382638888892</v>
      </c>
      <c r="X236" s="72">
        <v>46057.458333333336</v>
      </c>
      <c r="Y236" s="72">
        <v>46062.416666666664</v>
      </c>
      <c r="Z236" s="104" t="s">
        <v>382</v>
      </c>
      <c r="AA236" s="104" t="s">
        <v>422</v>
      </c>
      <c r="AB236" s="105">
        <v>46057.961111111108</v>
      </c>
      <c r="AC236" s="105">
        <v>46058.131944444445</v>
      </c>
    </row>
    <row r="237" s="70" customFormat="1" ht="11.25" customHeight="1">
      <c r="A237" s="87"/>
      <c r="C237" s="43" t="s">
        <v>783</v>
      </c>
      <c r="D237" s="71" t="s">
        <v>382</v>
      </c>
      <c r="E237" s="71" t="str">
        <f>MID(D237,1,2)</f>
        <v>IL</v>
      </c>
      <c r="F237" s="71" t="s">
        <v>468</v>
      </c>
      <c r="G237" s="71" t="str">
        <f>MID(F237,1,2)</f>
        <v>US</v>
      </c>
      <c r="H237" s="43" t="s">
        <v>613</v>
      </c>
      <c r="I237" s="71" t="s">
        <v>784</v>
      </c>
      <c r="J237" s="71" t="s">
        <v>386</v>
      </c>
      <c r="K237" s="43"/>
      <c r="L237" s="71" t="s">
        <v>107</v>
      </c>
      <c r="M237" s="73">
        <v>10</v>
      </c>
      <c r="N237" s="71" t="s">
        <v>388</v>
      </c>
      <c r="O237" s="73">
        <v>0.096</v>
      </c>
      <c r="P237" s="71" t="s">
        <v>389</v>
      </c>
      <c r="Q237" s="73">
        <v>16</v>
      </c>
      <c r="R237" s="71" t="s">
        <v>388</v>
      </c>
      <c r="S237" s="73">
        <v>0</v>
      </c>
      <c r="T237" s="71" t="s">
        <v>390</v>
      </c>
      <c r="U237" s="74">
        <v>1</v>
      </c>
      <c r="V237" s="71" t="s">
        <v>391</v>
      </c>
      <c r="W237" s="130">
        <v>46054.382638888892</v>
      </c>
      <c r="X237" s="72">
        <v>46057.458333333336</v>
      </c>
      <c r="Y237" s="72">
        <v>46062.416666666664</v>
      </c>
      <c r="Z237" s="104" t="s">
        <v>422</v>
      </c>
      <c r="AA237" s="104" t="s">
        <v>468</v>
      </c>
      <c r="AB237" s="105">
        <v>46058.906944444447</v>
      </c>
      <c r="AC237" s="105">
        <v>46060.544444444444</v>
      </c>
    </row>
    <row r="238" s="70" customFormat="1" ht="11.25" customHeight="1">
      <c r="A238" s="87"/>
      <c r="C238" s="43" t="s">
        <v>785</v>
      </c>
      <c r="D238" s="71" t="s">
        <v>382</v>
      </c>
      <c r="E238" s="71" t="str">
        <f>MID(D238,1,2)</f>
        <v>IL</v>
      </c>
      <c r="F238" s="71" t="s">
        <v>471</v>
      </c>
      <c r="G238" s="71" t="str">
        <f>MID(F238,1,2)</f>
        <v>US</v>
      </c>
      <c r="H238" s="43" t="s">
        <v>786</v>
      </c>
      <c r="I238" s="71" t="s">
        <v>787</v>
      </c>
      <c r="J238" s="71" t="s">
        <v>386</v>
      </c>
      <c r="K238" s="43"/>
      <c r="L238" s="71" t="s">
        <v>107</v>
      </c>
      <c r="M238" s="73">
        <v>328</v>
      </c>
      <c r="N238" s="71" t="s">
        <v>388</v>
      </c>
      <c r="O238" s="73">
        <v>0.966</v>
      </c>
      <c r="P238" s="71" t="s">
        <v>389</v>
      </c>
      <c r="Q238" s="73">
        <v>328</v>
      </c>
      <c r="R238" s="71" t="s">
        <v>388</v>
      </c>
      <c r="S238" s="73">
        <v>0</v>
      </c>
      <c r="T238" s="71" t="s">
        <v>390</v>
      </c>
      <c r="U238" s="74">
        <v>4</v>
      </c>
      <c r="V238" s="71" t="s">
        <v>391</v>
      </c>
      <c r="W238" s="130">
        <v>46054.388888888891</v>
      </c>
      <c r="X238" s="72">
        <v>46056.458333333336</v>
      </c>
      <c r="Y238" s="72">
        <v>46060.729166666664</v>
      </c>
      <c r="Z238" s="104" t="s">
        <v>382</v>
      </c>
      <c r="AA238" s="104" t="s">
        <v>422</v>
      </c>
      <c r="AB238" s="105">
        <v>46059.472222222219</v>
      </c>
      <c r="AC238" s="105">
        <v>46059.65</v>
      </c>
    </row>
    <row r="239" s="70" customFormat="1" ht="11.25" customHeight="1">
      <c r="A239" s="87"/>
      <c r="C239" s="43" t="s">
        <v>785</v>
      </c>
      <c r="D239" s="71" t="s">
        <v>382</v>
      </c>
      <c r="E239" s="71" t="str">
        <f>MID(D239,1,2)</f>
        <v>IL</v>
      </c>
      <c r="F239" s="71" t="s">
        <v>471</v>
      </c>
      <c r="G239" s="71" t="str">
        <f>MID(F239,1,2)</f>
        <v>US</v>
      </c>
      <c r="H239" s="43" t="s">
        <v>786</v>
      </c>
      <c r="I239" s="71" t="s">
        <v>787</v>
      </c>
      <c r="J239" s="71" t="s">
        <v>386</v>
      </c>
      <c r="K239" s="43"/>
      <c r="L239" s="71" t="s">
        <v>107</v>
      </c>
      <c r="M239" s="73">
        <v>328</v>
      </c>
      <c r="N239" s="71" t="s">
        <v>388</v>
      </c>
      <c r="O239" s="73">
        <v>0.966</v>
      </c>
      <c r="P239" s="71" t="s">
        <v>389</v>
      </c>
      <c r="Q239" s="73">
        <v>328</v>
      </c>
      <c r="R239" s="71" t="s">
        <v>388</v>
      </c>
      <c r="S239" s="73">
        <v>0</v>
      </c>
      <c r="T239" s="71" t="s">
        <v>390</v>
      </c>
      <c r="U239" s="74">
        <v>4</v>
      </c>
      <c r="V239" s="71" t="s">
        <v>391</v>
      </c>
      <c r="W239" s="130">
        <v>46054.388888888891</v>
      </c>
      <c r="X239" s="72">
        <v>46056.458333333336</v>
      </c>
      <c r="Y239" s="72">
        <v>46060.729166666664</v>
      </c>
      <c r="Z239" s="104" t="s">
        <v>422</v>
      </c>
      <c r="AA239" s="104" t="s">
        <v>471</v>
      </c>
      <c r="AB239" s="105">
        <v>46059.856944444444</v>
      </c>
      <c r="AC239" s="105">
        <v>46060.705555555556</v>
      </c>
    </row>
    <row r="240" s="70" customFormat="1" ht="11.25" customHeight="1">
      <c r="A240" s="87"/>
      <c r="C240" s="43" t="s">
        <v>788</v>
      </c>
      <c r="D240" s="71" t="s">
        <v>382</v>
      </c>
      <c r="E240" s="71" t="str">
        <f>MID(D240,1,2)</f>
        <v>IL</v>
      </c>
      <c r="F240" s="71" t="s">
        <v>468</v>
      </c>
      <c r="G240" s="71" t="str">
        <f>MID(F240,1,2)</f>
        <v>US</v>
      </c>
      <c r="H240" s="43" t="s">
        <v>613</v>
      </c>
      <c r="I240" s="71" t="s">
        <v>789</v>
      </c>
      <c r="J240" s="71" t="s">
        <v>386</v>
      </c>
      <c r="K240" s="43"/>
      <c r="L240" s="71" t="s">
        <v>107</v>
      </c>
      <c r="M240" s="73">
        <v>10</v>
      </c>
      <c r="N240" s="71" t="s">
        <v>388</v>
      </c>
      <c r="O240" s="73">
        <v>0.05</v>
      </c>
      <c r="P240" s="71" t="s">
        <v>389</v>
      </c>
      <c r="Q240" s="73">
        <v>10</v>
      </c>
      <c r="R240" s="71" t="s">
        <v>388</v>
      </c>
      <c r="S240" s="73">
        <v>0</v>
      </c>
      <c r="T240" s="71" t="s">
        <v>390</v>
      </c>
      <c r="U240" s="74">
        <v>1</v>
      </c>
      <c r="V240" s="71" t="s">
        <v>391</v>
      </c>
      <c r="W240" s="130">
        <v>46054.382638888892</v>
      </c>
      <c r="X240" s="72">
        <v>46057.458333333336</v>
      </c>
      <c r="Y240" s="72">
        <v>46062.416666666664</v>
      </c>
      <c r="Z240" s="104" t="s">
        <v>382</v>
      </c>
      <c r="AA240" s="104" t="s">
        <v>422</v>
      </c>
      <c r="AB240" s="105">
        <v>46057.961111111108</v>
      </c>
      <c r="AC240" s="105">
        <v>46058.131944444445</v>
      </c>
    </row>
    <row r="241" s="70" customFormat="1" ht="11.25" customHeight="1">
      <c r="A241" s="87"/>
      <c r="C241" s="43" t="s">
        <v>788</v>
      </c>
      <c r="D241" s="71" t="s">
        <v>382</v>
      </c>
      <c r="E241" s="71" t="str">
        <f>MID(D241,1,2)</f>
        <v>IL</v>
      </c>
      <c r="F241" s="71" t="s">
        <v>468</v>
      </c>
      <c r="G241" s="71" t="str">
        <f>MID(F241,1,2)</f>
        <v>US</v>
      </c>
      <c r="H241" s="43" t="s">
        <v>613</v>
      </c>
      <c r="I241" s="71" t="s">
        <v>789</v>
      </c>
      <c r="J241" s="71" t="s">
        <v>386</v>
      </c>
      <c r="K241" s="43"/>
      <c r="L241" s="71" t="s">
        <v>107</v>
      </c>
      <c r="M241" s="73">
        <v>10</v>
      </c>
      <c r="N241" s="71" t="s">
        <v>388</v>
      </c>
      <c r="O241" s="73">
        <v>0.05</v>
      </c>
      <c r="P241" s="71" t="s">
        <v>389</v>
      </c>
      <c r="Q241" s="73">
        <v>10</v>
      </c>
      <c r="R241" s="71" t="s">
        <v>388</v>
      </c>
      <c r="S241" s="73">
        <v>0</v>
      </c>
      <c r="T241" s="71" t="s">
        <v>390</v>
      </c>
      <c r="U241" s="74">
        <v>1</v>
      </c>
      <c r="V241" s="71" t="s">
        <v>391</v>
      </c>
      <c r="W241" s="130">
        <v>46054.382638888892</v>
      </c>
      <c r="X241" s="72">
        <v>46057.458333333336</v>
      </c>
      <c r="Y241" s="72">
        <v>46062.416666666664</v>
      </c>
      <c r="Z241" s="104" t="s">
        <v>422</v>
      </c>
      <c r="AA241" s="104" t="s">
        <v>468</v>
      </c>
      <c r="AB241" s="105">
        <v>46058.906944444447</v>
      </c>
      <c r="AC241" s="105">
        <v>46060.544444444444</v>
      </c>
    </row>
    <row r="242" s="70" customFormat="1" ht="11.25" customHeight="1">
      <c r="A242" s="87"/>
      <c r="C242" s="43" t="s">
        <v>790</v>
      </c>
      <c r="D242" s="71" t="s">
        <v>382</v>
      </c>
      <c r="E242" s="71" t="str">
        <f>MID(D242,1,2)</f>
        <v>IL</v>
      </c>
      <c r="F242" s="71" t="s">
        <v>468</v>
      </c>
      <c r="G242" s="71" t="str">
        <f>MID(F242,1,2)</f>
        <v>US</v>
      </c>
      <c r="H242" s="43" t="s">
        <v>613</v>
      </c>
      <c r="I242" s="71" t="s">
        <v>791</v>
      </c>
      <c r="J242" s="71" t="s">
        <v>386</v>
      </c>
      <c r="K242" s="43"/>
      <c r="L242" s="71" t="s">
        <v>107</v>
      </c>
      <c r="M242" s="73">
        <v>8</v>
      </c>
      <c r="N242" s="71" t="s">
        <v>388</v>
      </c>
      <c r="O242" s="73">
        <v>0.051</v>
      </c>
      <c r="P242" s="71" t="s">
        <v>389</v>
      </c>
      <c r="Q242" s="73">
        <v>8.5</v>
      </c>
      <c r="R242" s="71" t="s">
        <v>388</v>
      </c>
      <c r="S242" s="73">
        <v>0</v>
      </c>
      <c r="T242" s="71" t="s">
        <v>390</v>
      </c>
      <c r="U242" s="74">
        <v>1</v>
      </c>
      <c r="V242" s="71" t="s">
        <v>391</v>
      </c>
      <c r="W242" s="130">
        <v>46054.388888888891</v>
      </c>
      <c r="X242" s="72">
        <v>46057.458333333336</v>
      </c>
      <c r="Y242" s="72">
        <v>46062.416666666664</v>
      </c>
      <c r="Z242" s="104" t="s">
        <v>382</v>
      </c>
      <c r="AA242" s="104" t="s">
        <v>422</v>
      </c>
      <c r="AB242" s="105">
        <v>46057.961111111108</v>
      </c>
      <c r="AC242" s="105">
        <v>46058.131944444445</v>
      </c>
    </row>
    <row r="243" s="70" customFormat="1" ht="11.25" customHeight="1">
      <c r="A243" s="87"/>
      <c r="C243" s="43" t="s">
        <v>790</v>
      </c>
      <c r="D243" s="71" t="s">
        <v>382</v>
      </c>
      <c r="E243" s="71" t="str">
        <f>MID(D243,1,2)</f>
        <v>IL</v>
      </c>
      <c r="F243" s="71" t="s">
        <v>468</v>
      </c>
      <c r="G243" s="71" t="str">
        <f>MID(F243,1,2)</f>
        <v>US</v>
      </c>
      <c r="H243" s="43" t="s">
        <v>613</v>
      </c>
      <c r="I243" s="71" t="s">
        <v>791</v>
      </c>
      <c r="J243" s="71" t="s">
        <v>386</v>
      </c>
      <c r="K243" s="43"/>
      <c r="L243" s="71" t="s">
        <v>107</v>
      </c>
      <c r="M243" s="73">
        <v>8</v>
      </c>
      <c r="N243" s="71" t="s">
        <v>388</v>
      </c>
      <c r="O243" s="73">
        <v>0.051</v>
      </c>
      <c r="P243" s="71" t="s">
        <v>389</v>
      </c>
      <c r="Q243" s="73">
        <v>8.5</v>
      </c>
      <c r="R243" s="71" t="s">
        <v>388</v>
      </c>
      <c r="S243" s="73">
        <v>0</v>
      </c>
      <c r="T243" s="71" t="s">
        <v>390</v>
      </c>
      <c r="U243" s="74">
        <v>1</v>
      </c>
      <c r="V243" s="71" t="s">
        <v>391</v>
      </c>
      <c r="W243" s="130">
        <v>46054.388888888891</v>
      </c>
      <c r="X243" s="72">
        <v>46057.458333333336</v>
      </c>
      <c r="Y243" s="72">
        <v>46062.416666666664</v>
      </c>
      <c r="Z243" s="104" t="s">
        <v>422</v>
      </c>
      <c r="AA243" s="104" t="s">
        <v>468</v>
      </c>
      <c r="AB243" s="105">
        <v>46058.906944444447</v>
      </c>
      <c r="AC243" s="105">
        <v>46060.544444444444</v>
      </c>
    </row>
    <row r="244" s="70" customFormat="1" ht="11.25" customHeight="1">
      <c r="A244" s="87"/>
      <c r="C244" s="43" t="s">
        <v>792</v>
      </c>
      <c r="D244" s="71" t="s">
        <v>382</v>
      </c>
      <c r="E244" s="71" t="str">
        <f>MID(D244,1,2)</f>
        <v>IL</v>
      </c>
      <c r="F244" s="71" t="s">
        <v>414</v>
      </c>
      <c r="G244" s="71" t="str">
        <f>MID(F244,1,2)</f>
        <v>US</v>
      </c>
      <c r="H244" s="43" t="s">
        <v>757</v>
      </c>
      <c r="I244" s="71" t="s">
        <v>793</v>
      </c>
      <c r="J244" s="71" t="s">
        <v>426</v>
      </c>
      <c r="K244" s="43" t="s">
        <v>759</v>
      </c>
      <c r="L244" s="71" t="s">
        <v>105</v>
      </c>
      <c r="M244" s="73">
        <v>22</v>
      </c>
      <c r="N244" s="71" t="s">
        <v>388</v>
      </c>
      <c r="O244" s="73">
        <v>0.1</v>
      </c>
      <c r="P244" s="71" t="s">
        <v>389</v>
      </c>
      <c r="Q244" s="73">
        <v>22</v>
      </c>
      <c r="R244" s="71" t="s">
        <v>388</v>
      </c>
      <c r="S244" s="73">
        <v>0</v>
      </c>
      <c r="T244" s="71" t="s">
        <v>390</v>
      </c>
      <c r="U244" s="74">
        <v>1</v>
      </c>
      <c r="V244" s="71" t="s">
        <v>427</v>
      </c>
      <c r="W244" s="130">
        <v>46054.396527777775</v>
      </c>
      <c r="X244" s="72">
        <v>46057.03125</v>
      </c>
      <c r="Y244" s="72">
        <v>46057.25</v>
      </c>
      <c r="Z244" s="104" t="s">
        <v>382</v>
      </c>
      <c r="AA244" s="104" t="s">
        <v>414</v>
      </c>
      <c r="AB244" s="105">
        <v>46057.031944444447</v>
      </c>
      <c r="AC244" s="105">
        <v>46057.214583333334</v>
      </c>
    </row>
    <row r="245" s="70" customFormat="1" ht="11.25" customHeight="1">
      <c r="A245" s="87"/>
      <c r="C245" s="43" t="s">
        <v>794</v>
      </c>
      <c r="D245" s="71" t="s">
        <v>382</v>
      </c>
      <c r="E245" s="71" t="str">
        <f>MID(D245,1,2)</f>
        <v>IL</v>
      </c>
      <c r="F245" s="71" t="s">
        <v>468</v>
      </c>
      <c r="G245" s="71" t="str">
        <f>MID(F245,1,2)</f>
        <v>US</v>
      </c>
      <c r="H245" s="43" t="s">
        <v>613</v>
      </c>
      <c r="I245" s="71" t="s">
        <v>795</v>
      </c>
      <c r="J245" s="71" t="s">
        <v>386</v>
      </c>
      <c r="K245" s="43"/>
      <c r="L245" s="71" t="s">
        <v>107</v>
      </c>
      <c r="M245" s="73">
        <v>9</v>
      </c>
      <c r="N245" s="71" t="s">
        <v>388</v>
      </c>
      <c r="O245" s="73">
        <v>0.043</v>
      </c>
      <c r="P245" s="71" t="s">
        <v>389</v>
      </c>
      <c r="Q245" s="73">
        <v>9</v>
      </c>
      <c r="R245" s="71" t="s">
        <v>388</v>
      </c>
      <c r="S245" s="73">
        <v>0</v>
      </c>
      <c r="T245" s="71" t="s">
        <v>390</v>
      </c>
      <c r="U245" s="74">
        <v>1</v>
      </c>
      <c r="V245" s="71" t="s">
        <v>391</v>
      </c>
      <c r="W245" s="130">
        <v>46054.396527777775</v>
      </c>
      <c r="X245" s="72">
        <v>46057.458333333336</v>
      </c>
      <c r="Y245" s="72">
        <v>46062.416666666664</v>
      </c>
      <c r="Z245" s="104" t="s">
        <v>382</v>
      </c>
      <c r="AA245" s="104" t="s">
        <v>422</v>
      </c>
      <c r="AB245" s="105">
        <v>46057.961111111108</v>
      </c>
      <c r="AC245" s="105">
        <v>46058.131944444445</v>
      </c>
    </row>
    <row r="246" s="70" customFormat="1" ht="11.25" customHeight="1">
      <c r="A246" s="87"/>
      <c r="C246" s="43" t="s">
        <v>794</v>
      </c>
      <c r="D246" s="71" t="s">
        <v>382</v>
      </c>
      <c r="E246" s="71" t="str">
        <f>MID(D246,1,2)</f>
        <v>IL</v>
      </c>
      <c r="F246" s="71" t="s">
        <v>468</v>
      </c>
      <c r="G246" s="71" t="str">
        <f>MID(F246,1,2)</f>
        <v>US</v>
      </c>
      <c r="H246" s="43" t="s">
        <v>613</v>
      </c>
      <c r="I246" s="71" t="s">
        <v>795</v>
      </c>
      <c r="J246" s="71" t="s">
        <v>386</v>
      </c>
      <c r="K246" s="43"/>
      <c r="L246" s="71" t="s">
        <v>107</v>
      </c>
      <c r="M246" s="73">
        <v>9</v>
      </c>
      <c r="N246" s="71" t="s">
        <v>388</v>
      </c>
      <c r="O246" s="73">
        <v>0.043</v>
      </c>
      <c r="P246" s="71" t="s">
        <v>389</v>
      </c>
      <c r="Q246" s="73">
        <v>9</v>
      </c>
      <c r="R246" s="71" t="s">
        <v>388</v>
      </c>
      <c r="S246" s="73">
        <v>0</v>
      </c>
      <c r="T246" s="71" t="s">
        <v>390</v>
      </c>
      <c r="U246" s="74">
        <v>1</v>
      </c>
      <c r="V246" s="71" t="s">
        <v>391</v>
      </c>
      <c r="W246" s="130">
        <v>46054.396527777775</v>
      </c>
      <c r="X246" s="72">
        <v>46057.458333333336</v>
      </c>
      <c r="Y246" s="72">
        <v>46062.416666666664</v>
      </c>
      <c r="Z246" s="104" t="s">
        <v>422</v>
      </c>
      <c r="AA246" s="104" t="s">
        <v>468</v>
      </c>
      <c r="AB246" s="105">
        <v>46058.906944444447</v>
      </c>
      <c r="AC246" s="105">
        <v>46060.544444444444</v>
      </c>
    </row>
    <row r="247" s="70" customFormat="1" ht="11.25" customHeight="1">
      <c r="A247" s="87"/>
      <c r="C247" s="43" t="s">
        <v>796</v>
      </c>
      <c r="D247" s="71" t="s">
        <v>382</v>
      </c>
      <c r="E247" s="71" t="str">
        <f>MID(D247,1,2)</f>
        <v>IL</v>
      </c>
      <c r="F247" s="71" t="s">
        <v>496</v>
      </c>
      <c r="G247" s="71" t="str">
        <f>MID(F247,1,2)</f>
        <v>RO</v>
      </c>
      <c r="H247" s="43" t="s">
        <v>797</v>
      </c>
      <c r="I247" s="71" t="s">
        <v>798</v>
      </c>
      <c r="J247" s="71" t="s">
        <v>426</v>
      </c>
      <c r="K247" s="43"/>
      <c r="L247" s="71" t="s">
        <v>105</v>
      </c>
      <c r="M247" s="73">
        <v>7</v>
      </c>
      <c r="N247" s="71" t="s">
        <v>388</v>
      </c>
      <c r="O247" s="73">
        <v>0.025</v>
      </c>
      <c r="P247" s="71" t="s">
        <v>389</v>
      </c>
      <c r="Q247" s="73">
        <v>7</v>
      </c>
      <c r="R247" s="71" t="s">
        <v>388</v>
      </c>
      <c r="S247" s="73">
        <v>0</v>
      </c>
      <c r="T247" s="71" t="s">
        <v>390</v>
      </c>
      <c r="U247" s="74">
        <v>1</v>
      </c>
      <c r="V247" s="71" t="s">
        <v>391</v>
      </c>
      <c r="W247" s="130">
        <v>46054.402777777781</v>
      </c>
      <c r="X247" s="72">
        <v>46056.013888888891</v>
      </c>
      <c r="Y247" s="72">
        <v>46056.128472222219</v>
      </c>
      <c r="Z247" s="104" t="s">
        <v>382</v>
      </c>
      <c r="AA247" s="104" t="s">
        <v>496</v>
      </c>
      <c r="AB247" s="105">
        <v>46056.013888888891</v>
      </c>
      <c r="AC247" s="105">
        <v>46056.159722222219</v>
      </c>
    </row>
    <row r="248" s="70" customFormat="1" ht="11.25" customHeight="1">
      <c r="A248" s="87"/>
      <c r="C248" s="43" t="s">
        <v>799</v>
      </c>
      <c r="D248" s="71" t="s">
        <v>382</v>
      </c>
      <c r="E248" s="71" t="str">
        <f>MID(D248,1,2)</f>
        <v>IL</v>
      </c>
      <c r="F248" s="71" t="s">
        <v>414</v>
      </c>
      <c r="G248" s="71" t="str">
        <f>MID(F248,1,2)</f>
        <v>US</v>
      </c>
      <c r="H248" s="43" t="s">
        <v>757</v>
      </c>
      <c r="I248" s="71" t="s">
        <v>800</v>
      </c>
      <c r="J248" s="71" t="s">
        <v>483</v>
      </c>
      <c r="K248" s="43"/>
      <c r="L248" s="71" t="s">
        <v>105</v>
      </c>
      <c r="M248" s="73">
        <v>5</v>
      </c>
      <c r="N248" s="71" t="s">
        <v>388</v>
      </c>
      <c r="O248" s="73">
        <v>0.042</v>
      </c>
      <c r="P248" s="71" t="s">
        <v>389</v>
      </c>
      <c r="Q248" s="73">
        <v>7</v>
      </c>
      <c r="R248" s="71" t="s">
        <v>388</v>
      </c>
      <c r="S248" s="73">
        <v>0</v>
      </c>
      <c r="T248" s="71" t="s">
        <v>390</v>
      </c>
      <c r="U248" s="74">
        <v>1</v>
      </c>
      <c r="V248" s="71" t="s">
        <v>427</v>
      </c>
      <c r="W248" s="130">
        <v>46054.402777777781</v>
      </c>
      <c r="X248" s="72">
        <v>46057.03125</v>
      </c>
      <c r="Y248" s="72">
        <v>46057.25</v>
      </c>
      <c r="Z248" s="104" t="s">
        <v>382</v>
      </c>
      <c r="AA248" s="104" t="s">
        <v>414</v>
      </c>
      <c r="AB248" s="105">
        <v>46057.031944444447</v>
      </c>
      <c r="AC248" s="105">
        <v>46057.214583333334</v>
      </c>
    </row>
    <row r="249" s="70" customFormat="1" ht="11.25" customHeight="1">
      <c r="A249" s="87"/>
      <c r="C249" s="43" t="s">
        <v>801</v>
      </c>
      <c r="D249" s="71" t="s">
        <v>382</v>
      </c>
      <c r="E249" s="71" t="str">
        <f>MID(D249,1,2)</f>
        <v>IL</v>
      </c>
      <c r="F249" s="71" t="s">
        <v>468</v>
      </c>
      <c r="G249" s="71" t="str">
        <f>MID(F249,1,2)</f>
        <v>US</v>
      </c>
      <c r="H249" s="43" t="s">
        <v>613</v>
      </c>
      <c r="I249" s="71" t="s">
        <v>802</v>
      </c>
      <c r="J249" s="71" t="s">
        <v>386</v>
      </c>
      <c r="K249" s="43"/>
      <c r="L249" s="71" t="s">
        <v>107</v>
      </c>
      <c r="M249" s="73">
        <v>22</v>
      </c>
      <c r="N249" s="71" t="s">
        <v>388</v>
      </c>
      <c r="O249" s="73">
        <v>0.088</v>
      </c>
      <c r="P249" s="71" t="s">
        <v>389</v>
      </c>
      <c r="Q249" s="73">
        <v>22</v>
      </c>
      <c r="R249" s="71" t="s">
        <v>388</v>
      </c>
      <c r="S249" s="73">
        <v>0</v>
      </c>
      <c r="T249" s="71" t="s">
        <v>390</v>
      </c>
      <c r="U249" s="74">
        <v>1</v>
      </c>
      <c r="V249" s="71" t="s">
        <v>391</v>
      </c>
      <c r="W249" s="130">
        <v>46054.402777777781</v>
      </c>
      <c r="X249" s="72">
        <v>46057.458333333336</v>
      </c>
      <c r="Y249" s="72">
        <v>46062.416666666664</v>
      </c>
      <c r="Z249" s="104" t="s">
        <v>382</v>
      </c>
      <c r="AA249" s="104" t="s">
        <v>422</v>
      </c>
      <c r="AB249" s="105">
        <v>46057.961111111108</v>
      </c>
      <c r="AC249" s="105">
        <v>46058.131944444445</v>
      </c>
    </row>
    <row r="250" s="70" customFormat="1" ht="11.25" customHeight="1">
      <c r="A250" s="87"/>
      <c r="C250" s="43" t="s">
        <v>801</v>
      </c>
      <c r="D250" s="71" t="s">
        <v>382</v>
      </c>
      <c r="E250" s="71" t="str">
        <f>MID(D250,1,2)</f>
        <v>IL</v>
      </c>
      <c r="F250" s="71" t="s">
        <v>468</v>
      </c>
      <c r="G250" s="71" t="str">
        <f>MID(F250,1,2)</f>
        <v>US</v>
      </c>
      <c r="H250" s="43" t="s">
        <v>613</v>
      </c>
      <c r="I250" s="71" t="s">
        <v>802</v>
      </c>
      <c r="J250" s="71" t="s">
        <v>386</v>
      </c>
      <c r="K250" s="43"/>
      <c r="L250" s="71" t="s">
        <v>107</v>
      </c>
      <c r="M250" s="73">
        <v>22</v>
      </c>
      <c r="N250" s="71" t="s">
        <v>388</v>
      </c>
      <c r="O250" s="73">
        <v>0.088</v>
      </c>
      <c r="P250" s="71" t="s">
        <v>389</v>
      </c>
      <c r="Q250" s="73">
        <v>22</v>
      </c>
      <c r="R250" s="71" t="s">
        <v>388</v>
      </c>
      <c r="S250" s="73">
        <v>0</v>
      </c>
      <c r="T250" s="71" t="s">
        <v>390</v>
      </c>
      <c r="U250" s="74">
        <v>1</v>
      </c>
      <c r="V250" s="71" t="s">
        <v>391</v>
      </c>
      <c r="W250" s="130">
        <v>46054.402777777781</v>
      </c>
      <c r="X250" s="72">
        <v>46057.458333333336</v>
      </c>
      <c r="Y250" s="72">
        <v>46062.416666666664</v>
      </c>
      <c r="Z250" s="104" t="s">
        <v>422</v>
      </c>
      <c r="AA250" s="104" t="s">
        <v>468</v>
      </c>
      <c r="AB250" s="105">
        <v>46058.906944444447</v>
      </c>
      <c r="AC250" s="105">
        <v>46060.544444444444</v>
      </c>
    </row>
    <row r="251" s="70" customFormat="1" ht="11.25" customHeight="1">
      <c r="A251" s="87"/>
      <c r="C251" s="43" t="s">
        <v>803</v>
      </c>
      <c r="D251" s="71" t="s">
        <v>382</v>
      </c>
      <c r="E251" s="71" t="str">
        <f>MID(D251,1,2)</f>
        <v>IL</v>
      </c>
      <c r="F251" s="71" t="s">
        <v>651</v>
      </c>
      <c r="G251" s="71" t="str">
        <f>MID(F251,1,2)</f>
        <v>BR</v>
      </c>
      <c r="H251" s="43" t="s">
        <v>652</v>
      </c>
      <c r="I251" s="71" t="s">
        <v>804</v>
      </c>
      <c r="J251" s="71" t="s">
        <v>386</v>
      </c>
      <c r="K251" s="43"/>
      <c r="L251" s="71" t="s">
        <v>107</v>
      </c>
      <c r="M251" s="73">
        <v>11</v>
      </c>
      <c r="N251" s="71" t="s">
        <v>388</v>
      </c>
      <c r="O251" s="73">
        <v>0.027</v>
      </c>
      <c r="P251" s="71" t="s">
        <v>389</v>
      </c>
      <c r="Q251" s="73">
        <v>11</v>
      </c>
      <c r="R251" s="71" t="s">
        <v>388</v>
      </c>
      <c r="S251" s="73">
        <v>0</v>
      </c>
      <c r="T251" s="71" t="s">
        <v>390</v>
      </c>
      <c r="U251" s="74">
        <v>1</v>
      </c>
      <c r="V251" s="71" t="s">
        <v>391</v>
      </c>
      <c r="W251" s="130">
        <v>46054.409722222219</v>
      </c>
      <c r="X251" s="72">
        <v>46056.586805555555</v>
      </c>
      <c r="Y251" s="72">
        <v>46059.395833333336</v>
      </c>
      <c r="Z251" s="104" t="s">
        <v>382</v>
      </c>
      <c r="AA251" s="104" t="s">
        <v>590</v>
      </c>
      <c r="AB251" s="105">
        <v>46056.689583333333</v>
      </c>
      <c r="AC251" s="105">
        <v>46056.689583333333</v>
      </c>
    </row>
    <row r="252" s="70" customFormat="1" ht="11.25" customHeight="1">
      <c r="A252" s="87"/>
      <c r="C252" s="43" t="s">
        <v>803</v>
      </c>
      <c r="D252" s="71" t="s">
        <v>382</v>
      </c>
      <c r="E252" s="71" t="str">
        <f>MID(D252,1,2)</f>
        <v>IL</v>
      </c>
      <c r="F252" s="71" t="s">
        <v>651</v>
      </c>
      <c r="G252" s="71" t="str">
        <f>MID(F252,1,2)</f>
        <v>BR</v>
      </c>
      <c r="H252" s="43" t="s">
        <v>652</v>
      </c>
      <c r="I252" s="71" t="s">
        <v>804</v>
      </c>
      <c r="J252" s="71" t="s">
        <v>386</v>
      </c>
      <c r="K252" s="43"/>
      <c r="L252" s="71" t="s">
        <v>107</v>
      </c>
      <c r="M252" s="73">
        <v>11</v>
      </c>
      <c r="N252" s="71" t="s">
        <v>388</v>
      </c>
      <c r="O252" s="73">
        <v>0.027</v>
      </c>
      <c r="P252" s="71" t="s">
        <v>389</v>
      </c>
      <c r="Q252" s="73">
        <v>11</v>
      </c>
      <c r="R252" s="71" t="s">
        <v>388</v>
      </c>
      <c r="S252" s="73">
        <v>0</v>
      </c>
      <c r="T252" s="71" t="s">
        <v>390</v>
      </c>
      <c r="U252" s="74">
        <v>1</v>
      </c>
      <c r="V252" s="71" t="s">
        <v>391</v>
      </c>
      <c r="W252" s="130">
        <v>46054.409722222219</v>
      </c>
      <c r="X252" s="72">
        <v>46056.586805555555</v>
      </c>
      <c r="Y252" s="72">
        <v>46059.395833333336</v>
      </c>
      <c r="Z252" s="104" t="s">
        <v>590</v>
      </c>
      <c r="AA252" s="104" t="s">
        <v>651</v>
      </c>
      <c r="AB252" s="105">
        <v>46057.965277777781</v>
      </c>
      <c r="AC252" s="105">
        <v>46058.82708333333</v>
      </c>
    </row>
    <row r="253" s="70" customFormat="1" ht="11.25" customHeight="1">
      <c r="A253" s="87"/>
      <c r="C253" s="43" t="s">
        <v>805</v>
      </c>
      <c r="D253" s="71" t="s">
        <v>382</v>
      </c>
      <c r="E253" s="71" t="str">
        <f>MID(D253,1,2)</f>
        <v>IL</v>
      </c>
      <c r="F253" s="71" t="s">
        <v>468</v>
      </c>
      <c r="G253" s="71" t="str">
        <f>MID(F253,1,2)</f>
        <v>US</v>
      </c>
      <c r="H253" s="43" t="s">
        <v>613</v>
      </c>
      <c r="I253" s="71" t="s">
        <v>806</v>
      </c>
      <c r="J253" s="71" t="s">
        <v>386</v>
      </c>
      <c r="K253" s="43"/>
      <c r="L253" s="71" t="s">
        <v>107</v>
      </c>
      <c r="M253" s="73">
        <v>8</v>
      </c>
      <c r="N253" s="71" t="s">
        <v>388</v>
      </c>
      <c r="O253" s="73">
        <v>0.015</v>
      </c>
      <c r="P253" s="71" t="s">
        <v>389</v>
      </c>
      <c r="Q253" s="73">
        <v>8</v>
      </c>
      <c r="R253" s="71" t="s">
        <v>388</v>
      </c>
      <c r="S253" s="73">
        <v>0</v>
      </c>
      <c r="T253" s="71" t="s">
        <v>390</v>
      </c>
      <c r="U253" s="74">
        <v>1</v>
      </c>
      <c r="V253" s="71" t="s">
        <v>391</v>
      </c>
      <c r="W253" s="130">
        <v>46054.409722222219</v>
      </c>
      <c r="X253" s="72">
        <v>46057.458333333336</v>
      </c>
      <c r="Y253" s="72">
        <v>46062.416666666664</v>
      </c>
      <c r="Z253" s="104" t="s">
        <v>382</v>
      </c>
      <c r="AA253" s="104" t="s">
        <v>422</v>
      </c>
      <c r="AB253" s="105">
        <v>46057.961111111108</v>
      </c>
      <c r="AC253" s="105">
        <v>46058.131944444445</v>
      </c>
    </row>
    <row r="254" s="70" customFormat="1" ht="11.25" customHeight="1">
      <c r="A254" s="87"/>
      <c r="C254" s="43" t="s">
        <v>805</v>
      </c>
      <c r="D254" s="71" t="s">
        <v>382</v>
      </c>
      <c r="E254" s="71" t="str">
        <f>MID(D254,1,2)</f>
        <v>IL</v>
      </c>
      <c r="F254" s="71" t="s">
        <v>468</v>
      </c>
      <c r="G254" s="71" t="str">
        <f>MID(F254,1,2)</f>
        <v>US</v>
      </c>
      <c r="H254" s="43" t="s">
        <v>613</v>
      </c>
      <c r="I254" s="71" t="s">
        <v>806</v>
      </c>
      <c r="J254" s="71" t="s">
        <v>386</v>
      </c>
      <c r="K254" s="43"/>
      <c r="L254" s="71" t="s">
        <v>107</v>
      </c>
      <c r="M254" s="73">
        <v>8</v>
      </c>
      <c r="N254" s="71" t="s">
        <v>388</v>
      </c>
      <c r="O254" s="73">
        <v>0.015</v>
      </c>
      <c r="P254" s="71" t="s">
        <v>389</v>
      </c>
      <c r="Q254" s="73">
        <v>8</v>
      </c>
      <c r="R254" s="71" t="s">
        <v>388</v>
      </c>
      <c r="S254" s="73">
        <v>0</v>
      </c>
      <c r="T254" s="71" t="s">
        <v>390</v>
      </c>
      <c r="U254" s="74">
        <v>1</v>
      </c>
      <c r="V254" s="71" t="s">
        <v>391</v>
      </c>
      <c r="W254" s="130">
        <v>46054.409722222219</v>
      </c>
      <c r="X254" s="72">
        <v>46057.458333333336</v>
      </c>
      <c r="Y254" s="72">
        <v>46062.416666666664</v>
      </c>
      <c r="Z254" s="104" t="s">
        <v>422</v>
      </c>
      <c r="AA254" s="104" t="s">
        <v>468</v>
      </c>
      <c r="AB254" s="105">
        <v>46058.906944444447</v>
      </c>
      <c r="AC254" s="105">
        <v>46060.544444444444</v>
      </c>
    </row>
    <row r="255" s="70" customFormat="1" ht="11.25" customHeight="1">
      <c r="A255" s="87"/>
      <c r="C255" s="43" t="s">
        <v>807</v>
      </c>
      <c r="D255" s="71" t="s">
        <v>808</v>
      </c>
      <c r="E255" s="71" t="str">
        <f>MID(D255,1,2)</f>
        <v>IL</v>
      </c>
      <c r="F255" s="71" t="s">
        <v>809</v>
      </c>
      <c r="G255" s="71" t="str">
        <f>MID(F255,1,2)</f>
        <v>IN</v>
      </c>
      <c r="H255" s="43"/>
      <c r="I255" s="71" t="s">
        <v>810</v>
      </c>
      <c r="J255" s="71" t="s">
        <v>811</v>
      </c>
      <c r="K255" s="43"/>
      <c r="L255" s="71" t="s">
        <v>105</v>
      </c>
      <c r="M255" s="73">
        <v>0</v>
      </c>
      <c r="N255" s="71" t="s">
        <v>388</v>
      </c>
      <c r="O255" s="73">
        <v>0</v>
      </c>
      <c r="P255" s="71" t="s">
        <v>389</v>
      </c>
      <c r="Q255" s="73">
        <v>0</v>
      </c>
      <c r="R255" s="71" t="s">
        <v>388</v>
      </c>
      <c r="S255" s="73">
        <v>0</v>
      </c>
      <c r="T255" s="71" t="s">
        <v>390</v>
      </c>
      <c r="U255" s="74">
        <v>0</v>
      </c>
      <c r="V255" s="71" t="s">
        <v>391</v>
      </c>
      <c r="W255" s="130"/>
      <c r="X255" s="72">
        <v>46054.404166666667</v>
      </c>
      <c r="Y255" s="72">
        <v>46055.404166666667</v>
      </c>
      <c r="Z255" s="104"/>
      <c r="AA255" s="104"/>
      <c r="AB255" s="105"/>
      <c r="AC255" s="105"/>
    </row>
    <row r="256" s="70" customFormat="1" ht="11.25" customHeight="1">
      <c r="A256" s="87"/>
      <c r="C256" s="43" t="s">
        <v>812</v>
      </c>
      <c r="D256" s="71" t="s">
        <v>382</v>
      </c>
      <c r="E256" s="71" t="str">
        <f>MID(D256,1,2)</f>
        <v>IL</v>
      </c>
      <c r="F256" s="71" t="s">
        <v>651</v>
      </c>
      <c r="G256" s="71" t="str">
        <f>MID(F256,1,2)</f>
        <v>BR</v>
      </c>
      <c r="H256" s="43" t="s">
        <v>652</v>
      </c>
      <c r="I256" s="71" t="s">
        <v>813</v>
      </c>
      <c r="J256" s="71" t="s">
        <v>386</v>
      </c>
      <c r="K256" s="43"/>
      <c r="L256" s="71" t="s">
        <v>107</v>
      </c>
      <c r="M256" s="73">
        <v>0.5</v>
      </c>
      <c r="N256" s="71" t="s">
        <v>388</v>
      </c>
      <c r="O256" s="73">
        <v>0.009</v>
      </c>
      <c r="P256" s="71" t="s">
        <v>389</v>
      </c>
      <c r="Q256" s="73">
        <v>1.5</v>
      </c>
      <c r="R256" s="71" t="s">
        <v>388</v>
      </c>
      <c r="S256" s="73">
        <v>0</v>
      </c>
      <c r="T256" s="71" t="s">
        <v>390</v>
      </c>
      <c r="U256" s="74">
        <v>1</v>
      </c>
      <c r="V256" s="71" t="s">
        <v>391</v>
      </c>
      <c r="W256" s="130">
        <v>46054.417361111111</v>
      </c>
      <c r="X256" s="72">
        <v>46056.586805555555</v>
      </c>
      <c r="Y256" s="72">
        <v>46059.395833333336</v>
      </c>
      <c r="Z256" s="104" t="s">
        <v>382</v>
      </c>
      <c r="AA256" s="104" t="s">
        <v>590</v>
      </c>
      <c r="AB256" s="105">
        <v>46056.689583333333</v>
      </c>
      <c r="AC256" s="105">
        <v>46056.689583333333</v>
      </c>
    </row>
    <row r="257" s="70" customFormat="1" ht="11.25" customHeight="1">
      <c r="A257" s="87"/>
      <c r="C257" s="43" t="s">
        <v>812</v>
      </c>
      <c r="D257" s="71" t="s">
        <v>382</v>
      </c>
      <c r="E257" s="71" t="str">
        <f>MID(D257,1,2)</f>
        <v>IL</v>
      </c>
      <c r="F257" s="71" t="s">
        <v>651</v>
      </c>
      <c r="G257" s="71" t="str">
        <f>MID(F257,1,2)</f>
        <v>BR</v>
      </c>
      <c r="H257" s="43" t="s">
        <v>652</v>
      </c>
      <c r="I257" s="71" t="s">
        <v>813</v>
      </c>
      <c r="J257" s="71" t="s">
        <v>386</v>
      </c>
      <c r="K257" s="43"/>
      <c r="L257" s="71" t="s">
        <v>107</v>
      </c>
      <c r="M257" s="73">
        <v>0.5</v>
      </c>
      <c r="N257" s="71" t="s">
        <v>388</v>
      </c>
      <c r="O257" s="73">
        <v>0.009</v>
      </c>
      <c r="P257" s="71" t="s">
        <v>389</v>
      </c>
      <c r="Q257" s="73">
        <v>1.5</v>
      </c>
      <c r="R257" s="71" t="s">
        <v>388</v>
      </c>
      <c r="S257" s="73">
        <v>0</v>
      </c>
      <c r="T257" s="71" t="s">
        <v>390</v>
      </c>
      <c r="U257" s="74">
        <v>1</v>
      </c>
      <c r="V257" s="71" t="s">
        <v>391</v>
      </c>
      <c r="W257" s="130">
        <v>46054.417361111111</v>
      </c>
      <c r="X257" s="72">
        <v>46056.586805555555</v>
      </c>
      <c r="Y257" s="72">
        <v>46059.395833333336</v>
      </c>
      <c r="Z257" s="104" t="s">
        <v>590</v>
      </c>
      <c r="AA257" s="104" t="s">
        <v>651</v>
      </c>
      <c r="AB257" s="105">
        <v>46057.965277777781</v>
      </c>
      <c r="AC257" s="105">
        <v>46058.82708333333</v>
      </c>
    </row>
    <row r="258" s="70" customFormat="1" ht="11.25" customHeight="1">
      <c r="A258" s="87"/>
      <c r="C258" s="43" t="s">
        <v>814</v>
      </c>
      <c r="D258" s="71" t="s">
        <v>382</v>
      </c>
      <c r="E258" s="71" t="str">
        <f>MID(D258,1,2)</f>
        <v>IL</v>
      </c>
      <c r="F258" s="71" t="s">
        <v>496</v>
      </c>
      <c r="G258" s="71" t="str">
        <f>MID(F258,1,2)</f>
        <v>RO</v>
      </c>
      <c r="H258" s="43" t="s">
        <v>797</v>
      </c>
      <c r="I258" s="71" t="s">
        <v>815</v>
      </c>
      <c r="J258" s="71" t="s">
        <v>426</v>
      </c>
      <c r="K258" s="43"/>
      <c r="L258" s="71" t="s">
        <v>105</v>
      </c>
      <c r="M258" s="73">
        <v>33</v>
      </c>
      <c r="N258" s="71" t="s">
        <v>388</v>
      </c>
      <c r="O258" s="73">
        <v>0.182</v>
      </c>
      <c r="P258" s="71" t="s">
        <v>389</v>
      </c>
      <c r="Q258" s="73">
        <v>33</v>
      </c>
      <c r="R258" s="71" t="s">
        <v>388</v>
      </c>
      <c r="S258" s="73">
        <v>0</v>
      </c>
      <c r="T258" s="71" t="s">
        <v>390</v>
      </c>
      <c r="U258" s="74">
        <v>1</v>
      </c>
      <c r="V258" s="71" t="s">
        <v>391</v>
      </c>
      <c r="W258" s="130">
        <v>46054.417361111111</v>
      </c>
      <c r="X258" s="72">
        <v>46056.013888888891</v>
      </c>
      <c r="Y258" s="72">
        <v>46056.128472222219</v>
      </c>
      <c r="Z258" s="104" t="s">
        <v>382</v>
      </c>
      <c r="AA258" s="104" t="s">
        <v>496</v>
      </c>
      <c r="AB258" s="105">
        <v>46056.013888888891</v>
      </c>
      <c r="AC258" s="105">
        <v>46056.159722222219</v>
      </c>
    </row>
    <row r="259" s="70" customFormat="1" ht="11.25" customHeight="1">
      <c r="A259" s="87"/>
      <c r="C259" s="43" t="s">
        <v>816</v>
      </c>
      <c r="D259" s="71" t="s">
        <v>382</v>
      </c>
      <c r="E259" s="71" t="str">
        <f>MID(D259,1,2)</f>
        <v>IL</v>
      </c>
      <c r="F259" s="71" t="s">
        <v>817</v>
      </c>
      <c r="G259" s="71" t="str">
        <f>MID(F259,1,2)</f>
        <v>IN</v>
      </c>
      <c r="H259" s="43" t="s">
        <v>818</v>
      </c>
      <c r="I259" s="71" t="s">
        <v>819</v>
      </c>
      <c r="J259" s="71" t="s">
        <v>426</v>
      </c>
      <c r="K259" s="43"/>
      <c r="L259" s="71" t="s">
        <v>105</v>
      </c>
      <c r="M259" s="73">
        <v>12</v>
      </c>
      <c r="N259" s="71" t="s">
        <v>388</v>
      </c>
      <c r="O259" s="73">
        <v>0.065</v>
      </c>
      <c r="P259" s="71" t="s">
        <v>389</v>
      </c>
      <c r="Q259" s="73">
        <v>12</v>
      </c>
      <c r="R259" s="71" t="s">
        <v>388</v>
      </c>
      <c r="S259" s="73">
        <v>0</v>
      </c>
      <c r="T259" s="71" t="s">
        <v>390</v>
      </c>
      <c r="U259" s="74">
        <v>1</v>
      </c>
      <c r="V259" s="71" t="s">
        <v>391</v>
      </c>
      <c r="W259" s="130">
        <v>46054.65184027778</v>
      </c>
      <c r="X259" s="72">
        <v>46056.413194444445</v>
      </c>
      <c r="Y259" s="72">
        <v>46056.521527777775</v>
      </c>
      <c r="Z259" s="104" t="s">
        <v>382</v>
      </c>
      <c r="AA259" s="104" t="s">
        <v>817</v>
      </c>
      <c r="AB259" s="105">
        <v>46056.515972222223</v>
      </c>
      <c r="AC259" s="105">
        <v>46056.854861111111</v>
      </c>
    </row>
    <row r="260" s="70" customFormat="1" ht="11.25" customHeight="1">
      <c r="A260" s="87"/>
      <c r="C260" s="43" t="s">
        <v>820</v>
      </c>
      <c r="D260" s="71" t="s">
        <v>382</v>
      </c>
      <c r="E260" s="71" t="str">
        <f>MID(D260,1,2)</f>
        <v>IL</v>
      </c>
      <c r="F260" s="71" t="s">
        <v>485</v>
      </c>
      <c r="G260" s="71" t="str">
        <f>MID(F260,1,2)</f>
        <v>US</v>
      </c>
      <c r="H260" s="43" t="s">
        <v>821</v>
      </c>
      <c r="I260" s="71" t="s">
        <v>822</v>
      </c>
      <c r="J260" s="71" t="s">
        <v>386</v>
      </c>
      <c r="K260" s="43"/>
      <c r="L260" s="71" t="s">
        <v>107</v>
      </c>
      <c r="M260" s="73">
        <v>96</v>
      </c>
      <c r="N260" s="71" t="s">
        <v>388</v>
      </c>
      <c r="O260" s="73">
        <v>1.085</v>
      </c>
      <c r="P260" s="71" t="s">
        <v>389</v>
      </c>
      <c r="Q260" s="73">
        <v>181</v>
      </c>
      <c r="R260" s="71" t="s">
        <v>388</v>
      </c>
      <c r="S260" s="73">
        <v>0</v>
      </c>
      <c r="T260" s="71" t="s">
        <v>390</v>
      </c>
      <c r="U260" s="74">
        <v>1</v>
      </c>
      <c r="V260" s="71" t="s">
        <v>391</v>
      </c>
      <c r="W260" s="130">
        <v>46054.438194444447</v>
      </c>
      <c r="X260" s="72">
        <v>46056.458333333336</v>
      </c>
      <c r="Y260" s="72">
        <v>46058.375</v>
      </c>
      <c r="Z260" s="104" t="s">
        <v>382</v>
      </c>
      <c r="AA260" s="104" t="s">
        <v>422</v>
      </c>
      <c r="AB260" s="105">
        <v>46057.379166666666</v>
      </c>
      <c r="AC260" s="105">
        <v>46057.552083333336</v>
      </c>
    </row>
    <row r="261" s="70" customFormat="1" ht="11.25" customHeight="1">
      <c r="A261" s="87"/>
      <c r="C261" s="43" t="s">
        <v>820</v>
      </c>
      <c r="D261" s="71" t="s">
        <v>382</v>
      </c>
      <c r="E261" s="71" t="str">
        <f>MID(D261,1,2)</f>
        <v>IL</v>
      </c>
      <c r="F261" s="71" t="s">
        <v>485</v>
      </c>
      <c r="G261" s="71" t="str">
        <f>MID(F261,1,2)</f>
        <v>US</v>
      </c>
      <c r="H261" s="43" t="s">
        <v>821</v>
      </c>
      <c r="I261" s="71" t="s">
        <v>822</v>
      </c>
      <c r="J261" s="71" t="s">
        <v>386</v>
      </c>
      <c r="K261" s="43"/>
      <c r="L261" s="71" t="s">
        <v>107</v>
      </c>
      <c r="M261" s="73">
        <v>96</v>
      </c>
      <c r="N261" s="71" t="s">
        <v>388</v>
      </c>
      <c r="O261" s="73">
        <v>1.085</v>
      </c>
      <c r="P261" s="71" t="s">
        <v>389</v>
      </c>
      <c r="Q261" s="73">
        <v>181</v>
      </c>
      <c r="R261" s="71" t="s">
        <v>388</v>
      </c>
      <c r="S261" s="73">
        <v>0</v>
      </c>
      <c r="T261" s="71" t="s">
        <v>390</v>
      </c>
      <c r="U261" s="74">
        <v>1</v>
      </c>
      <c r="V261" s="71" t="s">
        <v>391</v>
      </c>
      <c r="W261" s="130">
        <v>46054.438194444447</v>
      </c>
      <c r="X261" s="72">
        <v>46056.458333333336</v>
      </c>
      <c r="Y261" s="72">
        <v>46058.375</v>
      </c>
      <c r="Z261" s="104" t="s">
        <v>422</v>
      </c>
      <c r="AA261" s="104" t="s">
        <v>485</v>
      </c>
      <c r="AB261" s="105">
        <v>46058.052083333336</v>
      </c>
      <c r="AC261" s="105">
        <v>46058.23125</v>
      </c>
    </row>
    <row r="262" s="70" customFormat="1" ht="11.25" customHeight="1">
      <c r="A262" s="87"/>
      <c r="C262" s="43" t="s">
        <v>823</v>
      </c>
      <c r="D262" s="71" t="s">
        <v>382</v>
      </c>
      <c r="E262" s="71" t="str">
        <f>MID(D262,1,2)</f>
        <v>IL</v>
      </c>
      <c r="F262" s="71" t="s">
        <v>383</v>
      </c>
      <c r="G262" s="71" t="str">
        <f>MID(F262,1,2)</f>
        <v>DE</v>
      </c>
      <c r="H262" s="43" t="s">
        <v>492</v>
      </c>
      <c r="I262" s="71" t="s">
        <v>824</v>
      </c>
      <c r="J262" s="71" t="s">
        <v>454</v>
      </c>
      <c r="K262" s="43"/>
      <c r="L262" s="71" t="s">
        <v>107</v>
      </c>
      <c r="M262" s="73">
        <v>2</v>
      </c>
      <c r="N262" s="71" t="s">
        <v>388</v>
      </c>
      <c r="O262" s="73">
        <v>0.031</v>
      </c>
      <c r="P262" s="71" t="s">
        <v>389</v>
      </c>
      <c r="Q262" s="73">
        <v>5.5</v>
      </c>
      <c r="R262" s="71" t="s">
        <v>388</v>
      </c>
      <c r="S262" s="73">
        <v>0</v>
      </c>
      <c r="T262" s="71" t="s">
        <v>390</v>
      </c>
      <c r="U262" s="74">
        <v>1</v>
      </c>
      <c r="V262" s="71" t="s">
        <v>391</v>
      </c>
      <c r="W262" s="130">
        <v>46054.43125</v>
      </c>
      <c r="X262" s="72">
        <v>46057.229166666664</v>
      </c>
      <c r="Y262" s="72">
        <v>46063.25</v>
      </c>
      <c r="Z262" s="104" t="s">
        <v>383</v>
      </c>
      <c r="AA262" s="104" t="s">
        <v>680</v>
      </c>
      <c r="AB262" s="105">
        <v>46063.092361111114</v>
      </c>
      <c r="AC262" s="105">
        <v>46063.270833333336</v>
      </c>
    </row>
    <row r="263" s="70" customFormat="1" ht="11.25" customHeight="1">
      <c r="A263" s="87"/>
      <c r="C263" s="43" t="s">
        <v>823</v>
      </c>
      <c r="D263" s="71" t="s">
        <v>382</v>
      </c>
      <c r="E263" s="71" t="str">
        <f>MID(D263,1,2)</f>
        <v>IL</v>
      </c>
      <c r="F263" s="71" t="s">
        <v>383</v>
      </c>
      <c r="G263" s="71" t="str">
        <f>MID(F263,1,2)</f>
        <v>DE</v>
      </c>
      <c r="H263" s="43" t="s">
        <v>492</v>
      </c>
      <c r="I263" s="71" t="s">
        <v>824</v>
      </c>
      <c r="J263" s="71" t="s">
        <v>454</v>
      </c>
      <c r="K263" s="43"/>
      <c r="L263" s="71" t="s">
        <v>107</v>
      </c>
      <c r="M263" s="73">
        <v>2</v>
      </c>
      <c r="N263" s="71" t="s">
        <v>388</v>
      </c>
      <c r="O263" s="73">
        <v>0.031</v>
      </c>
      <c r="P263" s="71" t="s">
        <v>389</v>
      </c>
      <c r="Q263" s="73">
        <v>5.5</v>
      </c>
      <c r="R263" s="71" t="s">
        <v>388</v>
      </c>
      <c r="S263" s="73">
        <v>0</v>
      </c>
      <c r="T263" s="71" t="s">
        <v>390</v>
      </c>
      <c r="U263" s="74">
        <v>1</v>
      </c>
      <c r="V263" s="71" t="s">
        <v>391</v>
      </c>
      <c r="W263" s="130">
        <v>46054.43125</v>
      </c>
      <c r="X263" s="72">
        <v>46057.229166666664</v>
      </c>
      <c r="Y263" s="72">
        <v>46063.25</v>
      </c>
      <c r="Z263" s="104" t="s">
        <v>382</v>
      </c>
      <c r="AA263" s="104" t="s">
        <v>466</v>
      </c>
      <c r="AB263" s="105">
        <v>46057.976388888892</v>
      </c>
      <c r="AC263" s="105"/>
    </row>
    <row r="264" s="70" customFormat="1" ht="11.25" customHeight="1">
      <c r="A264" s="87"/>
      <c r="C264" s="43" t="s">
        <v>823</v>
      </c>
      <c r="D264" s="71" t="s">
        <v>382</v>
      </c>
      <c r="E264" s="71" t="str">
        <f>MID(D264,1,2)</f>
        <v>IL</v>
      </c>
      <c r="F264" s="71" t="s">
        <v>383</v>
      </c>
      <c r="G264" s="71" t="str">
        <f>MID(F264,1,2)</f>
        <v>DE</v>
      </c>
      <c r="H264" s="43" t="s">
        <v>492</v>
      </c>
      <c r="I264" s="71" t="s">
        <v>824</v>
      </c>
      <c r="J264" s="71" t="s">
        <v>454</v>
      </c>
      <c r="K264" s="43"/>
      <c r="L264" s="71" t="s">
        <v>107</v>
      </c>
      <c r="M264" s="73">
        <v>2</v>
      </c>
      <c r="N264" s="71" t="s">
        <v>388</v>
      </c>
      <c r="O264" s="73">
        <v>0.031</v>
      </c>
      <c r="P264" s="71" t="s">
        <v>389</v>
      </c>
      <c r="Q264" s="73">
        <v>5.5</v>
      </c>
      <c r="R264" s="71" t="s">
        <v>388</v>
      </c>
      <c r="S264" s="73">
        <v>0</v>
      </c>
      <c r="T264" s="71" t="s">
        <v>390</v>
      </c>
      <c r="U264" s="74">
        <v>1</v>
      </c>
      <c r="V264" s="71" t="s">
        <v>391</v>
      </c>
      <c r="W264" s="130">
        <v>46054.43125</v>
      </c>
      <c r="X264" s="72">
        <v>46057.229166666664</v>
      </c>
      <c r="Y264" s="72">
        <v>46063.25</v>
      </c>
      <c r="Z264" s="104" t="s">
        <v>466</v>
      </c>
      <c r="AA264" s="104" t="s">
        <v>383</v>
      </c>
      <c r="AB264" s="105">
        <v>46058.986111111109</v>
      </c>
      <c r="AC264" s="105"/>
    </row>
    <row r="265" s="70" customFormat="1" ht="11.25" customHeight="1">
      <c r="A265" s="87"/>
      <c r="C265" s="43" t="s">
        <v>825</v>
      </c>
      <c r="D265" s="71" t="s">
        <v>382</v>
      </c>
      <c r="E265" s="71" t="str">
        <f>MID(D265,1,2)</f>
        <v>IL</v>
      </c>
      <c r="F265" s="71" t="s">
        <v>817</v>
      </c>
      <c r="G265" s="71" t="str">
        <f>MID(F265,1,2)</f>
        <v>IN</v>
      </c>
      <c r="H265" s="43" t="s">
        <v>818</v>
      </c>
      <c r="I265" s="71" t="s">
        <v>826</v>
      </c>
      <c r="J265" s="71" t="s">
        <v>400</v>
      </c>
      <c r="K265" s="43"/>
      <c r="L265" s="71" t="s">
        <v>105</v>
      </c>
      <c r="M265" s="73">
        <v>54</v>
      </c>
      <c r="N265" s="71" t="s">
        <v>388</v>
      </c>
      <c r="O265" s="73">
        <v>0.466</v>
      </c>
      <c r="P265" s="71" t="s">
        <v>389</v>
      </c>
      <c r="Q265" s="73">
        <v>78</v>
      </c>
      <c r="R265" s="71" t="s">
        <v>388</v>
      </c>
      <c r="S265" s="73">
        <v>0</v>
      </c>
      <c r="T265" s="71" t="s">
        <v>390</v>
      </c>
      <c r="U265" s="74">
        <v>1</v>
      </c>
      <c r="V265" s="71" t="s">
        <v>391</v>
      </c>
      <c r="W265" s="130">
        <v>46055.65420138889</v>
      </c>
      <c r="X265" s="72">
        <v>46056.421527777777</v>
      </c>
      <c r="Y265" s="72">
        <v>46056.521527777775</v>
      </c>
      <c r="Z265" s="104" t="s">
        <v>382</v>
      </c>
      <c r="AA265" s="104" t="s">
        <v>817</v>
      </c>
      <c r="AB265" s="105">
        <v>46056.515972222223</v>
      </c>
      <c r="AC265" s="105">
        <v>46056.854861111111</v>
      </c>
    </row>
    <row r="266" s="70" customFormat="1" ht="11.25" customHeight="1">
      <c r="A266" s="87"/>
      <c r="C266" s="43" t="s">
        <v>827</v>
      </c>
      <c r="D266" s="71" t="s">
        <v>382</v>
      </c>
      <c r="E266" s="71" t="str">
        <f>MID(D266,1,2)</f>
        <v>IL</v>
      </c>
      <c r="F266" s="71" t="s">
        <v>465</v>
      </c>
      <c r="G266" s="71" t="str">
        <f>MID(F266,1,2)</f>
        <v>AZ</v>
      </c>
      <c r="H266" s="43" t="s">
        <v>828</v>
      </c>
      <c r="I266" s="71"/>
      <c r="J266" s="71" t="s">
        <v>426</v>
      </c>
      <c r="K266" s="43"/>
      <c r="L266" s="71" t="s">
        <v>105</v>
      </c>
      <c r="M266" s="73">
        <v>2</v>
      </c>
      <c r="N266" s="71" t="s">
        <v>388</v>
      </c>
      <c r="O266" s="73">
        <v>0.014</v>
      </c>
      <c r="P266" s="71" t="s">
        <v>389</v>
      </c>
      <c r="Q266" s="73">
        <v>2.5</v>
      </c>
      <c r="R266" s="71" t="s">
        <v>388</v>
      </c>
      <c r="S266" s="73">
        <v>0</v>
      </c>
      <c r="T266" s="71" t="s">
        <v>390</v>
      </c>
      <c r="U266" s="74">
        <v>1</v>
      </c>
      <c r="V266" s="71" t="s">
        <v>391</v>
      </c>
      <c r="W266" s="130"/>
      <c r="X266" s="72">
        <v>46057.951388888891</v>
      </c>
      <c r="Y266" s="72">
        <v>46058.131944444445</v>
      </c>
      <c r="Z266" s="104" t="s">
        <v>382</v>
      </c>
      <c r="AA266" s="104" t="s">
        <v>465</v>
      </c>
      <c r="AB266" s="105">
        <v>46058.229861111111</v>
      </c>
      <c r="AC266" s="105">
        <v>46058.428472222222</v>
      </c>
    </row>
    <row r="267" s="70" customFormat="1" ht="11.25" customHeight="1">
      <c r="A267" s="87"/>
      <c r="C267" s="43" t="s">
        <v>829</v>
      </c>
      <c r="D267" s="71" t="s">
        <v>382</v>
      </c>
      <c r="E267" s="71" t="str">
        <f>MID(D267,1,2)</f>
        <v>IL</v>
      </c>
      <c r="F267" s="71" t="s">
        <v>667</v>
      </c>
      <c r="G267" s="71" t="str">
        <f>MID(F267,1,2)</f>
        <v>DE</v>
      </c>
      <c r="H267" s="43" t="s">
        <v>830</v>
      </c>
      <c r="I267" s="71" t="s">
        <v>831</v>
      </c>
      <c r="J267" s="71" t="s">
        <v>400</v>
      </c>
      <c r="K267" s="43"/>
      <c r="L267" s="71" t="s">
        <v>105</v>
      </c>
      <c r="M267" s="73">
        <v>1</v>
      </c>
      <c r="N267" s="71" t="s">
        <v>388</v>
      </c>
      <c r="O267" s="73">
        <v>0.011</v>
      </c>
      <c r="P267" s="71" t="s">
        <v>389</v>
      </c>
      <c r="Q267" s="73">
        <v>2</v>
      </c>
      <c r="R267" s="71" t="s">
        <v>388</v>
      </c>
      <c r="S267" s="73">
        <v>0</v>
      </c>
      <c r="T267" s="71" t="s">
        <v>390</v>
      </c>
      <c r="U267" s="74">
        <v>1</v>
      </c>
      <c r="V267" s="71" t="s">
        <v>391</v>
      </c>
      <c r="W267" s="130">
        <v>46054.65185185185</v>
      </c>
      <c r="X267" s="72">
        <v>46056.432638888888</v>
      </c>
      <c r="Y267" s="72">
        <v>46056.845138888886</v>
      </c>
      <c r="Z267" s="104" t="s">
        <v>382</v>
      </c>
      <c r="AA267" s="104" t="s">
        <v>667</v>
      </c>
      <c r="AB267" s="105">
        <v>46056.713194444441</v>
      </c>
      <c r="AC267" s="105">
        <v>46056.836805555555</v>
      </c>
    </row>
    <row r="268" s="70" customFormat="1" ht="11.25" customHeight="1">
      <c r="A268" s="87"/>
      <c r="C268" s="43" t="s">
        <v>832</v>
      </c>
      <c r="D268" s="71" t="s">
        <v>382</v>
      </c>
      <c r="E268" s="71" t="str">
        <f>MID(D268,1,2)</f>
        <v>IL</v>
      </c>
      <c r="F268" s="71" t="s">
        <v>833</v>
      </c>
      <c r="G268" s="71" t="str">
        <f>MID(F268,1,2)</f>
        <v>TH</v>
      </c>
      <c r="H268" s="43" t="s">
        <v>834</v>
      </c>
      <c r="I268" s="71" t="s">
        <v>835</v>
      </c>
      <c r="J268" s="71" t="s">
        <v>400</v>
      </c>
      <c r="K268" s="43"/>
      <c r="L268" s="71" t="s">
        <v>105</v>
      </c>
      <c r="M268" s="73">
        <v>27</v>
      </c>
      <c r="N268" s="71" t="s">
        <v>388</v>
      </c>
      <c r="O268" s="73">
        <v>0.133</v>
      </c>
      <c r="P268" s="71" t="s">
        <v>389</v>
      </c>
      <c r="Q268" s="73">
        <v>27</v>
      </c>
      <c r="R268" s="71" t="s">
        <v>388</v>
      </c>
      <c r="S268" s="73">
        <v>0</v>
      </c>
      <c r="T268" s="71" t="s">
        <v>390</v>
      </c>
      <c r="U268" s="74">
        <v>1</v>
      </c>
      <c r="V268" s="71" t="s">
        <v>391</v>
      </c>
      <c r="W268" s="130">
        <v>46054.891689814816</v>
      </c>
      <c r="X268" s="72">
        <v>46056.690972222219</v>
      </c>
      <c r="Y268" s="72">
        <v>46058.618055555555</v>
      </c>
      <c r="Z268" s="104" t="s">
        <v>382</v>
      </c>
      <c r="AA268" s="104" t="s">
        <v>667</v>
      </c>
      <c r="AB268" s="105">
        <v>46056.713194444441</v>
      </c>
      <c r="AC268" s="105">
        <v>46056.836805555555</v>
      </c>
    </row>
    <row r="269" s="70" customFormat="1" ht="11.25" customHeight="1">
      <c r="A269" s="87"/>
      <c r="C269" s="43" t="s">
        <v>832</v>
      </c>
      <c r="D269" s="71" t="s">
        <v>382</v>
      </c>
      <c r="E269" s="71" t="str">
        <f>MID(D269,1,2)</f>
        <v>IL</v>
      </c>
      <c r="F269" s="71" t="s">
        <v>833</v>
      </c>
      <c r="G269" s="71" t="str">
        <f>MID(F269,1,2)</f>
        <v>TH</v>
      </c>
      <c r="H269" s="43" t="s">
        <v>834</v>
      </c>
      <c r="I269" s="71" t="s">
        <v>835</v>
      </c>
      <c r="J269" s="71" t="s">
        <v>400</v>
      </c>
      <c r="K269" s="43"/>
      <c r="L269" s="71" t="s">
        <v>105</v>
      </c>
      <c r="M269" s="73">
        <v>27</v>
      </c>
      <c r="N269" s="71" t="s">
        <v>388</v>
      </c>
      <c r="O269" s="73">
        <v>0.133</v>
      </c>
      <c r="P269" s="71" t="s">
        <v>389</v>
      </c>
      <c r="Q269" s="73">
        <v>27</v>
      </c>
      <c r="R269" s="71" t="s">
        <v>388</v>
      </c>
      <c r="S269" s="73">
        <v>0</v>
      </c>
      <c r="T269" s="71" t="s">
        <v>390</v>
      </c>
      <c r="U269" s="74">
        <v>1</v>
      </c>
      <c r="V269" s="71" t="s">
        <v>391</v>
      </c>
      <c r="W269" s="130">
        <v>46054.891689814816</v>
      </c>
      <c r="X269" s="72">
        <v>46056.690972222219</v>
      </c>
      <c r="Y269" s="72">
        <v>46058.618055555555</v>
      </c>
      <c r="Z269" s="104" t="s">
        <v>667</v>
      </c>
      <c r="AA269" s="104" t="s">
        <v>833</v>
      </c>
      <c r="AB269" s="105">
        <v>46057.936805555553</v>
      </c>
      <c r="AC269" s="105">
        <v>46058.622916666667</v>
      </c>
    </row>
    <row r="270" s="70" customFormat="1" ht="11.25" customHeight="1">
      <c r="A270" s="87"/>
      <c r="C270" s="43" t="s">
        <v>836</v>
      </c>
      <c r="D270" s="71" t="s">
        <v>382</v>
      </c>
      <c r="E270" s="71" t="str">
        <f>MID(D270,1,2)</f>
        <v>IL</v>
      </c>
      <c r="F270" s="71" t="s">
        <v>837</v>
      </c>
      <c r="G270" s="71" t="str">
        <f>MID(F270,1,2)</f>
        <v>UA</v>
      </c>
      <c r="H270" s="43" t="s">
        <v>492</v>
      </c>
      <c r="I270" s="71" t="s">
        <v>551</v>
      </c>
      <c r="J270" s="71" t="s">
        <v>386</v>
      </c>
      <c r="K270" s="43"/>
      <c r="L270" s="71" t="s">
        <v>107</v>
      </c>
      <c r="M270" s="73">
        <v>39</v>
      </c>
      <c r="N270" s="71" t="s">
        <v>388</v>
      </c>
      <c r="O270" s="73">
        <v>0.394</v>
      </c>
      <c r="P270" s="71" t="s">
        <v>389</v>
      </c>
      <c r="Q270" s="73">
        <v>66</v>
      </c>
      <c r="R270" s="71" t="s">
        <v>388</v>
      </c>
      <c r="S270" s="73">
        <v>0</v>
      </c>
      <c r="T270" s="71" t="s">
        <v>390</v>
      </c>
      <c r="U270" s="74">
        <v>2</v>
      </c>
      <c r="V270" s="71" t="s">
        <v>391</v>
      </c>
      <c r="W270" s="130">
        <v>46054.683287037034</v>
      </c>
      <c r="X270" s="72">
        <v>46057.229166666664</v>
      </c>
      <c r="Y270" s="72">
        <v>46065.833333333336</v>
      </c>
      <c r="Z270" s="104" t="s">
        <v>383</v>
      </c>
      <c r="AA270" s="104" t="s">
        <v>552</v>
      </c>
      <c r="AB270" s="105">
        <v>46063.906944444447</v>
      </c>
      <c r="AC270" s="105">
        <v>46065.584027777775</v>
      </c>
    </row>
    <row r="271" s="70" customFormat="1" ht="11.25" customHeight="1">
      <c r="A271" s="87"/>
      <c r="C271" s="43" t="s">
        <v>836</v>
      </c>
      <c r="D271" s="71" t="s">
        <v>382</v>
      </c>
      <c r="E271" s="71" t="str">
        <f>MID(D271,1,2)</f>
        <v>IL</v>
      </c>
      <c r="F271" s="71" t="s">
        <v>837</v>
      </c>
      <c r="G271" s="71" t="str">
        <f>MID(F271,1,2)</f>
        <v>UA</v>
      </c>
      <c r="H271" s="43" t="s">
        <v>492</v>
      </c>
      <c r="I271" s="71" t="s">
        <v>551</v>
      </c>
      <c r="J271" s="71" t="s">
        <v>386</v>
      </c>
      <c r="K271" s="43"/>
      <c r="L271" s="71" t="s">
        <v>107</v>
      </c>
      <c r="M271" s="73">
        <v>39</v>
      </c>
      <c r="N271" s="71" t="s">
        <v>388</v>
      </c>
      <c r="O271" s="73">
        <v>0.394</v>
      </c>
      <c r="P271" s="71" t="s">
        <v>389</v>
      </c>
      <c r="Q271" s="73">
        <v>66</v>
      </c>
      <c r="R271" s="71" t="s">
        <v>388</v>
      </c>
      <c r="S271" s="73">
        <v>0</v>
      </c>
      <c r="T271" s="71" t="s">
        <v>390</v>
      </c>
      <c r="U271" s="74">
        <v>2</v>
      </c>
      <c r="V271" s="71" t="s">
        <v>391</v>
      </c>
      <c r="W271" s="130">
        <v>46054.683287037034</v>
      </c>
      <c r="X271" s="72">
        <v>46057.229166666664</v>
      </c>
      <c r="Y271" s="72">
        <v>46065.833333333336</v>
      </c>
      <c r="Z271" s="104" t="s">
        <v>382</v>
      </c>
      <c r="AA271" s="104" t="s">
        <v>466</v>
      </c>
      <c r="AB271" s="105">
        <v>46057.976388888892</v>
      </c>
      <c r="AC271" s="105"/>
    </row>
    <row r="272" s="70" customFormat="1" ht="11.25" customHeight="1">
      <c r="A272" s="87"/>
      <c r="C272" s="43" t="s">
        <v>836</v>
      </c>
      <c r="D272" s="71" t="s">
        <v>382</v>
      </c>
      <c r="E272" s="71" t="str">
        <f>MID(D272,1,2)</f>
        <v>IL</v>
      </c>
      <c r="F272" s="71" t="s">
        <v>837</v>
      </c>
      <c r="G272" s="71" t="str">
        <f>MID(F272,1,2)</f>
        <v>UA</v>
      </c>
      <c r="H272" s="43" t="s">
        <v>492</v>
      </c>
      <c r="I272" s="71" t="s">
        <v>551</v>
      </c>
      <c r="J272" s="71" t="s">
        <v>386</v>
      </c>
      <c r="K272" s="43"/>
      <c r="L272" s="71" t="s">
        <v>107</v>
      </c>
      <c r="M272" s="73">
        <v>39</v>
      </c>
      <c r="N272" s="71" t="s">
        <v>388</v>
      </c>
      <c r="O272" s="73">
        <v>0.394</v>
      </c>
      <c r="P272" s="71" t="s">
        <v>389</v>
      </c>
      <c r="Q272" s="73">
        <v>66</v>
      </c>
      <c r="R272" s="71" t="s">
        <v>388</v>
      </c>
      <c r="S272" s="73">
        <v>0</v>
      </c>
      <c r="T272" s="71" t="s">
        <v>390</v>
      </c>
      <c r="U272" s="74">
        <v>2</v>
      </c>
      <c r="V272" s="71" t="s">
        <v>391</v>
      </c>
      <c r="W272" s="130">
        <v>46054.683287037034</v>
      </c>
      <c r="X272" s="72">
        <v>46057.229166666664</v>
      </c>
      <c r="Y272" s="72">
        <v>46065.833333333336</v>
      </c>
      <c r="Z272" s="104" t="s">
        <v>466</v>
      </c>
      <c r="AA272" s="104" t="s">
        <v>383</v>
      </c>
      <c r="AB272" s="105">
        <v>46058.986111111109</v>
      </c>
      <c r="AC272" s="105"/>
    </row>
    <row r="273" s="70" customFormat="1" ht="11.25" customHeight="1">
      <c r="A273" s="87"/>
      <c r="C273" s="43" t="s">
        <v>838</v>
      </c>
      <c r="D273" s="71" t="s">
        <v>382</v>
      </c>
      <c r="E273" s="71" t="str">
        <f>MID(D273,1,2)</f>
        <v>IL</v>
      </c>
      <c r="F273" s="71" t="s">
        <v>837</v>
      </c>
      <c r="G273" s="71" t="str">
        <f>MID(F273,1,2)</f>
        <v>UA</v>
      </c>
      <c r="H273" s="43" t="s">
        <v>492</v>
      </c>
      <c r="I273" s="71" t="s">
        <v>551</v>
      </c>
      <c r="J273" s="71" t="s">
        <v>386</v>
      </c>
      <c r="K273" s="43"/>
      <c r="L273" s="71" t="s">
        <v>107</v>
      </c>
      <c r="M273" s="73">
        <v>58</v>
      </c>
      <c r="N273" s="71" t="s">
        <v>388</v>
      </c>
      <c r="O273" s="73">
        <v>0.237</v>
      </c>
      <c r="P273" s="71" t="s">
        <v>389</v>
      </c>
      <c r="Q273" s="73">
        <v>58</v>
      </c>
      <c r="R273" s="71" t="s">
        <v>388</v>
      </c>
      <c r="S273" s="73">
        <v>0</v>
      </c>
      <c r="T273" s="71" t="s">
        <v>390</v>
      </c>
      <c r="U273" s="74">
        <v>2</v>
      </c>
      <c r="V273" s="71" t="s">
        <v>391</v>
      </c>
      <c r="W273" s="130"/>
      <c r="X273" s="72">
        <v>46057.229166666664</v>
      </c>
      <c r="Y273" s="72">
        <v>46065.833333333336</v>
      </c>
      <c r="Z273" s="104" t="s">
        <v>383</v>
      </c>
      <c r="AA273" s="104" t="s">
        <v>552</v>
      </c>
      <c r="AB273" s="105">
        <v>46063.906944444447</v>
      </c>
      <c r="AC273" s="105">
        <v>46065.584027777775</v>
      </c>
    </row>
    <row r="274" s="70" customFormat="1" ht="11.25" customHeight="1">
      <c r="A274" s="87"/>
      <c r="C274" s="43" t="s">
        <v>838</v>
      </c>
      <c r="D274" s="71" t="s">
        <v>382</v>
      </c>
      <c r="E274" s="71" t="str">
        <f>MID(D274,1,2)</f>
        <v>IL</v>
      </c>
      <c r="F274" s="71" t="s">
        <v>837</v>
      </c>
      <c r="G274" s="71" t="str">
        <f>MID(F274,1,2)</f>
        <v>UA</v>
      </c>
      <c r="H274" s="43" t="s">
        <v>492</v>
      </c>
      <c r="I274" s="71" t="s">
        <v>551</v>
      </c>
      <c r="J274" s="71" t="s">
        <v>386</v>
      </c>
      <c r="K274" s="43"/>
      <c r="L274" s="71" t="s">
        <v>107</v>
      </c>
      <c r="M274" s="73">
        <v>58</v>
      </c>
      <c r="N274" s="71" t="s">
        <v>388</v>
      </c>
      <c r="O274" s="73">
        <v>0.237</v>
      </c>
      <c r="P274" s="71" t="s">
        <v>389</v>
      </c>
      <c r="Q274" s="73">
        <v>58</v>
      </c>
      <c r="R274" s="71" t="s">
        <v>388</v>
      </c>
      <c r="S274" s="73">
        <v>0</v>
      </c>
      <c r="T274" s="71" t="s">
        <v>390</v>
      </c>
      <c r="U274" s="74">
        <v>2</v>
      </c>
      <c r="V274" s="71" t="s">
        <v>391</v>
      </c>
      <c r="W274" s="130"/>
      <c r="X274" s="72">
        <v>46057.229166666664</v>
      </c>
      <c r="Y274" s="72">
        <v>46065.833333333336</v>
      </c>
      <c r="Z274" s="104" t="s">
        <v>382</v>
      </c>
      <c r="AA274" s="104" t="s">
        <v>466</v>
      </c>
      <c r="AB274" s="105">
        <v>46057.976388888892</v>
      </c>
      <c r="AC274" s="105"/>
    </row>
    <row r="275" s="70" customFormat="1" ht="11.25" customHeight="1">
      <c r="A275" s="87"/>
      <c r="C275" s="43" t="s">
        <v>838</v>
      </c>
      <c r="D275" s="71" t="s">
        <v>382</v>
      </c>
      <c r="E275" s="71" t="str">
        <f>MID(D275,1,2)</f>
        <v>IL</v>
      </c>
      <c r="F275" s="71" t="s">
        <v>837</v>
      </c>
      <c r="G275" s="71" t="str">
        <f>MID(F275,1,2)</f>
        <v>UA</v>
      </c>
      <c r="H275" s="43" t="s">
        <v>492</v>
      </c>
      <c r="I275" s="71" t="s">
        <v>551</v>
      </c>
      <c r="J275" s="71" t="s">
        <v>386</v>
      </c>
      <c r="K275" s="43"/>
      <c r="L275" s="71" t="s">
        <v>107</v>
      </c>
      <c r="M275" s="73">
        <v>58</v>
      </c>
      <c r="N275" s="71" t="s">
        <v>388</v>
      </c>
      <c r="O275" s="73">
        <v>0.237</v>
      </c>
      <c r="P275" s="71" t="s">
        <v>389</v>
      </c>
      <c r="Q275" s="73">
        <v>58</v>
      </c>
      <c r="R275" s="71" t="s">
        <v>388</v>
      </c>
      <c r="S275" s="73">
        <v>0</v>
      </c>
      <c r="T275" s="71" t="s">
        <v>390</v>
      </c>
      <c r="U275" s="74">
        <v>2</v>
      </c>
      <c r="V275" s="71" t="s">
        <v>391</v>
      </c>
      <c r="W275" s="130"/>
      <c r="X275" s="72">
        <v>46057.229166666664</v>
      </c>
      <c r="Y275" s="72">
        <v>46065.833333333336</v>
      </c>
      <c r="Z275" s="104" t="s">
        <v>466</v>
      </c>
      <c r="AA275" s="104" t="s">
        <v>383</v>
      </c>
      <c r="AB275" s="105">
        <v>46058.986111111109</v>
      </c>
      <c r="AC275" s="105"/>
    </row>
    <row r="276" s="70" customFormat="1" ht="11.25" customHeight="1">
      <c r="A276" s="87"/>
      <c r="C276" s="43" t="s">
        <v>839</v>
      </c>
      <c r="D276" s="71" t="s">
        <v>382</v>
      </c>
      <c r="E276" s="71" t="str">
        <f>MID(D276,1,2)</f>
        <v>IL</v>
      </c>
      <c r="F276" s="71" t="s">
        <v>414</v>
      </c>
      <c r="G276" s="71" t="str">
        <f>MID(F276,1,2)</f>
        <v>US</v>
      </c>
      <c r="H276" s="43" t="s">
        <v>757</v>
      </c>
      <c r="I276" s="71" t="s">
        <v>840</v>
      </c>
      <c r="J276" s="71" t="s">
        <v>386</v>
      </c>
      <c r="K276" s="43" t="s">
        <v>759</v>
      </c>
      <c r="L276" s="71" t="s">
        <v>107</v>
      </c>
      <c r="M276" s="73">
        <v>2</v>
      </c>
      <c r="N276" s="71" t="s">
        <v>388</v>
      </c>
      <c r="O276" s="73">
        <v>0.016</v>
      </c>
      <c r="P276" s="71" t="s">
        <v>389</v>
      </c>
      <c r="Q276" s="73">
        <v>3</v>
      </c>
      <c r="R276" s="71" t="s">
        <v>388</v>
      </c>
      <c r="S276" s="73">
        <v>0</v>
      </c>
      <c r="T276" s="71" t="s">
        <v>390</v>
      </c>
      <c r="U276" s="74">
        <v>1</v>
      </c>
      <c r="V276" s="71" t="s">
        <v>427</v>
      </c>
      <c r="W276" s="130">
        <v>46054.459027777775</v>
      </c>
      <c r="X276" s="72">
        <v>46057.03125</v>
      </c>
      <c r="Y276" s="72">
        <v>46057.25</v>
      </c>
      <c r="Z276" s="104" t="s">
        <v>382</v>
      </c>
      <c r="AA276" s="104" t="s">
        <v>414</v>
      </c>
      <c r="AB276" s="105">
        <v>46057.031944444447</v>
      </c>
      <c r="AC276" s="105">
        <v>46057.214583333334</v>
      </c>
    </row>
    <row r="277" s="70" customFormat="1" ht="11.25" customHeight="1">
      <c r="A277" s="87"/>
      <c r="C277" s="43" t="s">
        <v>841</v>
      </c>
      <c r="D277" s="71" t="s">
        <v>382</v>
      </c>
      <c r="E277" s="71" t="str">
        <f>MID(D277,1,2)</f>
        <v>IL</v>
      </c>
      <c r="F277" s="71" t="s">
        <v>522</v>
      </c>
      <c r="G277" s="71" t="str">
        <f>MID(F277,1,2)</f>
        <v>CZ</v>
      </c>
      <c r="H277" s="43" t="s">
        <v>842</v>
      </c>
      <c r="I277" s="71" t="s">
        <v>843</v>
      </c>
      <c r="J277" s="71" t="s">
        <v>435</v>
      </c>
      <c r="K277" s="43"/>
      <c r="L277" s="71" t="s">
        <v>105</v>
      </c>
      <c r="M277" s="73">
        <v>2</v>
      </c>
      <c r="N277" s="71" t="s">
        <v>388</v>
      </c>
      <c r="O277" s="73">
        <v>0.01</v>
      </c>
      <c r="P277" s="71" t="s">
        <v>389</v>
      </c>
      <c r="Q277" s="73">
        <v>2</v>
      </c>
      <c r="R277" s="71" t="s">
        <v>388</v>
      </c>
      <c r="S277" s="73">
        <v>0</v>
      </c>
      <c r="T277" s="71" t="s">
        <v>390</v>
      </c>
      <c r="U277" s="74">
        <v>1</v>
      </c>
      <c r="V277" s="71" t="s">
        <v>391</v>
      </c>
      <c r="W277" s="130">
        <v>46055.480752314812</v>
      </c>
      <c r="X277" s="72">
        <v>46057.013888888891</v>
      </c>
      <c r="Y277" s="72">
        <v>46057.496527777781</v>
      </c>
      <c r="Z277" s="104" t="s">
        <v>382</v>
      </c>
      <c r="AA277" s="104" t="s">
        <v>496</v>
      </c>
      <c r="AB277" s="105">
        <v>46057.013888888891</v>
      </c>
      <c r="AC277" s="105">
        <v>46057.142361111109</v>
      </c>
    </row>
    <row r="278" s="70" customFormat="1" ht="11.25" customHeight="1">
      <c r="A278" s="87"/>
      <c r="C278" s="43" t="s">
        <v>841</v>
      </c>
      <c r="D278" s="71" t="s">
        <v>382</v>
      </c>
      <c r="E278" s="71" t="str">
        <f>MID(D278,1,2)</f>
        <v>IL</v>
      </c>
      <c r="F278" s="71" t="s">
        <v>522</v>
      </c>
      <c r="G278" s="71" t="str">
        <f>MID(F278,1,2)</f>
        <v>CZ</v>
      </c>
      <c r="H278" s="43" t="s">
        <v>842</v>
      </c>
      <c r="I278" s="71" t="s">
        <v>843</v>
      </c>
      <c r="J278" s="71" t="s">
        <v>435</v>
      </c>
      <c r="K278" s="43"/>
      <c r="L278" s="71" t="s">
        <v>105</v>
      </c>
      <c r="M278" s="73">
        <v>2</v>
      </c>
      <c r="N278" s="71" t="s">
        <v>388</v>
      </c>
      <c r="O278" s="73">
        <v>0.01</v>
      </c>
      <c r="P278" s="71" t="s">
        <v>389</v>
      </c>
      <c r="Q278" s="73">
        <v>2</v>
      </c>
      <c r="R278" s="71" t="s">
        <v>388</v>
      </c>
      <c r="S278" s="73">
        <v>0</v>
      </c>
      <c r="T278" s="71" t="s">
        <v>390</v>
      </c>
      <c r="U278" s="74">
        <v>1</v>
      </c>
      <c r="V278" s="71" t="s">
        <v>391</v>
      </c>
      <c r="W278" s="130">
        <v>46055.480752314812</v>
      </c>
      <c r="X278" s="72">
        <v>46057.013888888891</v>
      </c>
      <c r="Y278" s="72">
        <v>46057.496527777781</v>
      </c>
      <c r="Z278" s="104" t="s">
        <v>496</v>
      </c>
      <c r="AA278" s="104" t="s">
        <v>522</v>
      </c>
      <c r="AB278" s="105">
        <v>46057.458333333336</v>
      </c>
      <c r="AC278" s="105">
        <v>46057.515972222223</v>
      </c>
    </row>
    <row r="279" s="70" customFormat="1" ht="11.25" customHeight="1">
      <c r="A279" s="87"/>
      <c r="C279" s="43" t="s">
        <v>844</v>
      </c>
      <c r="D279" s="71" t="s">
        <v>382</v>
      </c>
      <c r="E279" s="71" t="str">
        <f>MID(D279,1,2)</f>
        <v>IL</v>
      </c>
      <c r="F279" s="71" t="s">
        <v>667</v>
      </c>
      <c r="G279" s="71" t="str">
        <f>MID(F279,1,2)</f>
        <v>DE</v>
      </c>
      <c r="H279" s="43" t="s">
        <v>845</v>
      </c>
      <c r="I279" s="71" t="s">
        <v>846</v>
      </c>
      <c r="J279" s="71" t="s">
        <v>386</v>
      </c>
      <c r="K279" s="43"/>
      <c r="L279" s="71" t="s">
        <v>107</v>
      </c>
      <c r="M279" s="73">
        <v>63</v>
      </c>
      <c r="N279" s="71" t="s">
        <v>388</v>
      </c>
      <c r="O279" s="73">
        <v>0.6</v>
      </c>
      <c r="P279" s="71" t="s">
        <v>389</v>
      </c>
      <c r="Q279" s="73">
        <v>100</v>
      </c>
      <c r="R279" s="71" t="s">
        <v>388</v>
      </c>
      <c r="S279" s="73">
        <v>0</v>
      </c>
      <c r="T279" s="71" t="s">
        <v>390</v>
      </c>
      <c r="U279" s="74">
        <v>1</v>
      </c>
      <c r="V279" s="71" t="s">
        <v>391</v>
      </c>
      <c r="W279" s="130">
        <v>46057.410416666666</v>
      </c>
      <c r="X279" s="72">
        <v>46058.71875</v>
      </c>
      <c r="Y279" s="72">
        <v>46062.522916666669</v>
      </c>
      <c r="Z279" s="104" t="s">
        <v>667</v>
      </c>
      <c r="AA279" s="104" t="s">
        <v>677</v>
      </c>
      <c r="AB279" s="105">
        <v>46062.375</v>
      </c>
      <c r="AC279" s="105">
        <v>46062.522916666669</v>
      </c>
    </row>
    <row r="280" s="70" customFormat="1" ht="11.25" customHeight="1">
      <c r="A280" s="87"/>
      <c r="C280" s="43" t="s">
        <v>844</v>
      </c>
      <c r="D280" s="71" t="s">
        <v>382</v>
      </c>
      <c r="E280" s="71" t="str">
        <f>MID(D280,1,2)</f>
        <v>IL</v>
      </c>
      <c r="F280" s="71" t="s">
        <v>667</v>
      </c>
      <c r="G280" s="71" t="str">
        <f>MID(F280,1,2)</f>
        <v>DE</v>
      </c>
      <c r="H280" s="43" t="s">
        <v>845</v>
      </c>
      <c r="I280" s="71" t="s">
        <v>846</v>
      </c>
      <c r="J280" s="71" t="s">
        <v>386</v>
      </c>
      <c r="K280" s="43"/>
      <c r="L280" s="71" t="s">
        <v>107</v>
      </c>
      <c r="M280" s="73">
        <v>63</v>
      </c>
      <c r="N280" s="71" t="s">
        <v>388</v>
      </c>
      <c r="O280" s="73">
        <v>0.6</v>
      </c>
      <c r="P280" s="71" t="s">
        <v>389</v>
      </c>
      <c r="Q280" s="73">
        <v>100</v>
      </c>
      <c r="R280" s="71" t="s">
        <v>388</v>
      </c>
      <c r="S280" s="73">
        <v>0</v>
      </c>
      <c r="T280" s="71" t="s">
        <v>390</v>
      </c>
      <c r="U280" s="74">
        <v>1</v>
      </c>
      <c r="V280" s="71" t="s">
        <v>391</v>
      </c>
      <c r="W280" s="130">
        <v>46057.410416666666</v>
      </c>
      <c r="X280" s="72">
        <v>46058.71875</v>
      </c>
      <c r="Y280" s="72">
        <v>46062.522916666669</v>
      </c>
      <c r="Z280" s="104" t="s">
        <v>382</v>
      </c>
      <c r="AA280" s="104" t="s">
        <v>667</v>
      </c>
      <c r="AB280" s="105">
        <v>46058.726388888892</v>
      </c>
      <c r="AC280" s="105">
        <v>46058.86041666667</v>
      </c>
    </row>
    <row r="281" s="70" customFormat="1" ht="11.25" customHeight="1">
      <c r="A281" s="87"/>
      <c r="C281" s="43" t="s">
        <v>847</v>
      </c>
      <c r="D281" s="71" t="s">
        <v>382</v>
      </c>
      <c r="E281" s="71" t="str">
        <f>MID(D281,1,2)</f>
        <v>IL</v>
      </c>
      <c r="F281" s="71" t="s">
        <v>667</v>
      </c>
      <c r="G281" s="71" t="str">
        <f>MID(F281,1,2)</f>
        <v>DE</v>
      </c>
      <c r="H281" s="43" t="s">
        <v>848</v>
      </c>
      <c r="I281" s="71" t="s">
        <v>849</v>
      </c>
      <c r="J281" s="71" t="s">
        <v>386</v>
      </c>
      <c r="K281" s="43"/>
      <c r="L281" s="71" t="s">
        <v>107</v>
      </c>
      <c r="M281" s="73">
        <v>22</v>
      </c>
      <c r="N281" s="71" t="s">
        <v>388</v>
      </c>
      <c r="O281" s="73">
        <v>0.16</v>
      </c>
      <c r="P281" s="71" t="s">
        <v>389</v>
      </c>
      <c r="Q281" s="73">
        <v>27</v>
      </c>
      <c r="R281" s="71" t="s">
        <v>388</v>
      </c>
      <c r="S281" s="73">
        <v>0</v>
      </c>
      <c r="T281" s="71" t="s">
        <v>390</v>
      </c>
      <c r="U281" s="74">
        <v>2</v>
      </c>
      <c r="V281" s="71" t="s">
        <v>391</v>
      </c>
      <c r="W281" s="130">
        <v>46056.666666666664</v>
      </c>
      <c r="X281" s="72">
        <v>46058.71875</v>
      </c>
      <c r="Y281" s="72">
        <v>46058.861111111109</v>
      </c>
      <c r="Z281" s="104" t="s">
        <v>667</v>
      </c>
      <c r="AA281" s="104" t="s">
        <v>677</v>
      </c>
      <c r="AB281" s="105">
        <v>46071.375</v>
      </c>
      <c r="AC281" s="105">
        <v>46071.5</v>
      </c>
    </row>
    <row r="282" s="70" customFormat="1" ht="11.25" customHeight="1">
      <c r="A282" s="87"/>
      <c r="C282" s="43" t="s">
        <v>847</v>
      </c>
      <c r="D282" s="71" t="s">
        <v>382</v>
      </c>
      <c r="E282" s="71" t="str">
        <f>MID(D282,1,2)</f>
        <v>IL</v>
      </c>
      <c r="F282" s="71" t="s">
        <v>667</v>
      </c>
      <c r="G282" s="71" t="str">
        <f>MID(F282,1,2)</f>
        <v>DE</v>
      </c>
      <c r="H282" s="43" t="s">
        <v>848</v>
      </c>
      <c r="I282" s="71" t="s">
        <v>849</v>
      </c>
      <c r="J282" s="71" t="s">
        <v>386</v>
      </c>
      <c r="K282" s="43"/>
      <c r="L282" s="71" t="s">
        <v>107</v>
      </c>
      <c r="M282" s="73">
        <v>22</v>
      </c>
      <c r="N282" s="71" t="s">
        <v>388</v>
      </c>
      <c r="O282" s="73">
        <v>0.16</v>
      </c>
      <c r="P282" s="71" t="s">
        <v>389</v>
      </c>
      <c r="Q282" s="73">
        <v>27</v>
      </c>
      <c r="R282" s="71" t="s">
        <v>388</v>
      </c>
      <c r="S282" s="73">
        <v>0</v>
      </c>
      <c r="T282" s="71" t="s">
        <v>390</v>
      </c>
      <c r="U282" s="74">
        <v>2</v>
      </c>
      <c r="V282" s="71" t="s">
        <v>391</v>
      </c>
      <c r="W282" s="130">
        <v>46056.666666666664</v>
      </c>
      <c r="X282" s="72">
        <v>46058.71875</v>
      </c>
      <c r="Y282" s="72">
        <v>46058.861111111109</v>
      </c>
      <c r="Z282" s="104" t="s">
        <v>382</v>
      </c>
      <c r="AA282" s="104" t="s">
        <v>667</v>
      </c>
      <c r="AB282" s="105">
        <v>46058.726388888892</v>
      </c>
      <c r="AC282" s="105">
        <v>46058.86041666667</v>
      </c>
    </row>
    <row r="283" s="70" customFormat="1" ht="11.25" customHeight="1">
      <c r="A283" s="87"/>
      <c r="C283" s="43" t="s">
        <v>850</v>
      </c>
      <c r="D283" s="71" t="s">
        <v>382</v>
      </c>
      <c r="E283" s="71" t="str">
        <f>MID(D283,1,2)</f>
        <v>IL</v>
      </c>
      <c r="F283" s="71" t="s">
        <v>595</v>
      </c>
      <c r="G283" s="71" t="str">
        <f>MID(F283,1,2)</f>
        <v>AT</v>
      </c>
      <c r="H283" s="43" t="s">
        <v>851</v>
      </c>
      <c r="I283" s="71" t="s">
        <v>852</v>
      </c>
      <c r="J283" s="71" t="s">
        <v>426</v>
      </c>
      <c r="K283" s="43"/>
      <c r="L283" s="71" t="s">
        <v>105</v>
      </c>
      <c r="M283" s="73">
        <v>9</v>
      </c>
      <c r="N283" s="71" t="s">
        <v>388</v>
      </c>
      <c r="O283" s="73">
        <v>0.044</v>
      </c>
      <c r="P283" s="71" t="s">
        <v>389</v>
      </c>
      <c r="Q283" s="73">
        <v>9</v>
      </c>
      <c r="R283" s="71" t="s">
        <v>388</v>
      </c>
      <c r="S283" s="73">
        <v>0</v>
      </c>
      <c r="T283" s="71" t="s">
        <v>390</v>
      </c>
      <c r="U283" s="74">
        <v>1</v>
      </c>
      <c r="V283" s="71" t="s">
        <v>391</v>
      </c>
      <c r="W283" s="130">
        <v>46054.87090277778</v>
      </c>
      <c r="X283" s="72">
        <v>46055.463888888888</v>
      </c>
      <c r="Y283" s="72">
        <v>46055.802777777775</v>
      </c>
      <c r="Z283" s="104" t="s">
        <v>382</v>
      </c>
      <c r="AA283" s="104" t="s">
        <v>595</v>
      </c>
      <c r="AB283" s="105">
        <v>46055.68125</v>
      </c>
      <c r="AC283" s="105">
        <v>46055.791666666664</v>
      </c>
    </row>
    <row r="284" s="70" customFormat="1" ht="11.25" customHeight="1">
      <c r="A284" s="87"/>
      <c r="C284" s="43" t="s">
        <v>853</v>
      </c>
      <c r="D284" s="71" t="s">
        <v>382</v>
      </c>
      <c r="E284" s="71" t="str">
        <f>MID(D284,1,2)</f>
        <v>IL</v>
      </c>
      <c r="F284" s="71" t="s">
        <v>443</v>
      </c>
      <c r="G284" s="71" t="str">
        <f>MID(F284,1,2)</f>
        <v>US</v>
      </c>
      <c r="H284" s="43" t="s">
        <v>854</v>
      </c>
      <c r="I284" s="71" t="s">
        <v>855</v>
      </c>
      <c r="J284" s="71" t="s">
        <v>386</v>
      </c>
      <c r="K284" s="43"/>
      <c r="L284" s="71" t="s">
        <v>107</v>
      </c>
      <c r="M284" s="73">
        <v>45</v>
      </c>
      <c r="N284" s="71" t="s">
        <v>388</v>
      </c>
      <c r="O284" s="73">
        <v>0.194</v>
      </c>
      <c r="P284" s="71" t="s">
        <v>389</v>
      </c>
      <c r="Q284" s="73">
        <v>45</v>
      </c>
      <c r="R284" s="71" t="s">
        <v>388</v>
      </c>
      <c r="S284" s="73">
        <v>0</v>
      </c>
      <c r="T284" s="71" t="s">
        <v>390</v>
      </c>
      <c r="U284" s="74">
        <v>2</v>
      </c>
      <c r="V284" s="71" t="s">
        <v>391</v>
      </c>
      <c r="W284" s="130">
        <v>46055.556944444441</v>
      </c>
      <c r="X284" s="72">
        <v>46057.013888888891</v>
      </c>
      <c r="Y284" s="72">
        <v>46060.731944444444</v>
      </c>
      <c r="Z284" s="104" t="s">
        <v>382</v>
      </c>
      <c r="AA284" s="104" t="s">
        <v>422</v>
      </c>
      <c r="AB284" s="105">
        <v>46059.961805555555</v>
      </c>
      <c r="AC284" s="105">
        <v>46060.152083333334</v>
      </c>
    </row>
    <row r="285" s="70" customFormat="1" ht="11.25" customHeight="1">
      <c r="A285" s="87"/>
      <c r="C285" s="43" t="s">
        <v>853</v>
      </c>
      <c r="D285" s="71" t="s">
        <v>382</v>
      </c>
      <c r="E285" s="71" t="str">
        <f>MID(D285,1,2)</f>
        <v>IL</v>
      </c>
      <c r="F285" s="71" t="s">
        <v>443</v>
      </c>
      <c r="G285" s="71" t="str">
        <f>MID(F285,1,2)</f>
        <v>US</v>
      </c>
      <c r="H285" s="43" t="s">
        <v>854</v>
      </c>
      <c r="I285" s="71" t="s">
        <v>855</v>
      </c>
      <c r="J285" s="71" t="s">
        <v>386</v>
      </c>
      <c r="K285" s="43"/>
      <c r="L285" s="71" t="s">
        <v>107</v>
      </c>
      <c r="M285" s="73">
        <v>45</v>
      </c>
      <c r="N285" s="71" t="s">
        <v>388</v>
      </c>
      <c r="O285" s="73">
        <v>0.194</v>
      </c>
      <c r="P285" s="71" t="s">
        <v>389</v>
      </c>
      <c r="Q285" s="73">
        <v>45</v>
      </c>
      <c r="R285" s="71" t="s">
        <v>388</v>
      </c>
      <c r="S285" s="73">
        <v>0</v>
      </c>
      <c r="T285" s="71" t="s">
        <v>390</v>
      </c>
      <c r="U285" s="74">
        <v>2</v>
      </c>
      <c r="V285" s="71" t="s">
        <v>391</v>
      </c>
      <c r="W285" s="130">
        <v>46055.556944444441</v>
      </c>
      <c r="X285" s="72">
        <v>46057.013888888891</v>
      </c>
      <c r="Y285" s="72">
        <v>46060.731944444444</v>
      </c>
      <c r="Z285" s="104" t="s">
        <v>422</v>
      </c>
      <c r="AA285" s="104" t="s">
        <v>443</v>
      </c>
      <c r="AB285" s="105">
        <v>46060.588888888888</v>
      </c>
      <c r="AC285" s="105">
        <v>46060.71875</v>
      </c>
    </row>
    <row r="286" s="70" customFormat="1" ht="11.25" customHeight="1">
      <c r="A286" s="87"/>
      <c r="C286" s="43" t="s">
        <v>856</v>
      </c>
      <c r="D286" s="71" t="s">
        <v>382</v>
      </c>
      <c r="E286" s="71" t="str">
        <f>MID(D286,1,2)</f>
        <v>IL</v>
      </c>
      <c r="F286" s="71" t="s">
        <v>667</v>
      </c>
      <c r="G286" s="71" t="str">
        <f>MID(F286,1,2)</f>
        <v>DE</v>
      </c>
      <c r="H286" s="43" t="s">
        <v>857</v>
      </c>
      <c r="I286" s="71" t="s">
        <v>858</v>
      </c>
      <c r="J286" s="71" t="s">
        <v>386</v>
      </c>
      <c r="K286" s="43"/>
      <c r="L286" s="71" t="s">
        <v>107</v>
      </c>
      <c r="M286" s="73">
        <v>703</v>
      </c>
      <c r="N286" s="71" t="s">
        <v>388</v>
      </c>
      <c r="O286" s="73">
        <v>8.731</v>
      </c>
      <c r="P286" s="71" t="s">
        <v>389</v>
      </c>
      <c r="Q286" s="73">
        <v>1455.5</v>
      </c>
      <c r="R286" s="71" t="s">
        <v>388</v>
      </c>
      <c r="S286" s="73">
        <v>0</v>
      </c>
      <c r="T286" s="71" t="s">
        <v>390</v>
      </c>
      <c r="U286" s="74">
        <v>7</v>
      </c>
      <c r="V286" s="71" t="s">
        <v>391</v>
      </c>
      <c r="W286" s="130"/>
      <c r="X286" s="72">
        <v>46059.477083333331</v>
      </c>
      <c r="Y286" s="72">
        <v>46066.609722222223</v>
      </c>
      <c r="Z286" s="104" t="s">
        <v>667</v>
      </c>
      <c r="AA286" s="104" t="s">
        <v>677</v>
      </c>
      <c r="AB286" s="105">
        <v>46066.375</v>
      </c>
      <c r="AC286" s="105">
        <v>46066.5</v>
      </c>
    </row>
    <row r="287" s="70" customFormat="1" ht="11.25" customHeight="1">
      <c r="A287" s="87"/>
      <c r="C287" s="43" t="s">
        <v>856</v>
      </c>
      <c r="D287" s="71" t="s">
        <v>382</v>
      </c>
      <c r="E287" s="71" t="str">
        <f>MID(D287,1,2)</f>
        <v>IL</v>
      </c>
      <c r="F287" s="71" t="s">
        <v>667</v>
      </c>
      <c r="G287" s="71" t="str">
        <f>MID(F287,1,2)</f>
        <v>DE</v>
      </c>
      <c r="H287" s="43" t="s">
        <v>857</v>
      </c>
      <c r="I287" s="71" t="s">
        <v>858</v>
      </c>
      <c r="J287" s="71" t="s">
        <v>386</v>
      </c>
      <c r="K287" s="43"/>
      <c r="L287" s="71" t="s">
        <v>107</v>
      </c>
      <c r="M287" s="73">
        <v>703</v>
      </c>
      <c r="N287" s="71" t="s">
        <v>388</v>
      </c>
      <c r="O287" s="73">
        <v>8.731</v>
      </c>
      <c r="P287" s="71" t="s">
        <v>389</v>
      </c>
      <c r="Q287" s="73">
        <v>1455.5</v>
      </c>
      <c r="R287" s="71" t="s">
        <v>388</v>
      </c>
      <c r="S287" s="73">
        <v>0</v>
      </c>
      <c r="T287" s="71" t="s">
        <v>390</v>
      </c>
      <c r="U287" s="74">
        <v>7</v>
      </c>
      <c r="V287" s="71" t="s">
        <v>391</v>
      </c>
      <c r="W287" s="130"/>
      <c r="X287" s="72">
        <v>46059.477083333331</v>
      </c>
      <c r="Y287" s="72">
        <v>46066.609722222223</v>
      </c>
      <c r="Z287" s="104" t="s">
        <v>382</v>
      </c>
      <c r="AA287" s="104" t="s">
        <v>577</v>
      </c>
      <c r="AB287" s="105">
        <v>46059.655555555553</v>
      </c>
      <c r="AC287" s="105">
        <v>46059.80972222222</v>
      </c>
    </row>
    <row r="288" s="70" customFormat="1" ht="11.25" customHeight="1">
      <c r="A288" s="87"/>
      <c r="C288" s="43" t="s">
        <v>856</v>
      </c>
      <c r="D288" s="71" t="s">
        <v>382</v>
      </c>
      <c r="E288" s="71" t="str">
        <f>MID(D288,1,2)</f>
        <v>IL</v>
      </c>
      <c r="F288" s="71" t="s">
        <v>667</v>
      </c>
      <c r="G288" s="71" t="str">
        <f>MID(F288,1,2)</f>
        <v>DE</v>
      </c>
      <c r="H288" s="43" t="s">
        <v>857</v>
      </c>
      <c r="I288" s="71" t="s">
        <v>858</v>
      </c>
      <c r="J288" s="71" t="s">
        <v>386</v>
      </c>
      <c r="K288" s="43"/>
      <c r="L288" s="71" t="s">
        <v>107</v>
      </c>
      <c r="M288" s="73">
        <v>703</v>
      </c>
      <c r="N288" s="71" t="s">
        <v>388</v>
      </c>
      <c r="O288" s="73">
        <v>8.731</v>
      </c>
      <c r="P288" s="71" t="s">
        <v>389</v>
      </c>
      <c r="Q288" s="73">
        <v>1455.5</v>
      </c>
      <c r="R288" s="71" t="s">
        <v>388</v>
      </c>
      <c r="S288" s="73">
        <v>0</v>
      </c>
      <c r="T288" s="71" t="s">
        <v>390</v>
      </c>
      <c r="U288" s="74">
        <v>7</v>
      </c>
      <c r="V288" s="71" t="s">
        <v>391</v>
      </c>
      <c r="W288" s="130"/>
      <c r="X288" s="72">
        <v>46059.477083333331</v>
      </c>
      <c r="Y288" s="72">
        <v>46066.609722222223</v>
      </c>
      <c r="Z288" s="104" t="s">
        <v>577</v>
      </c>
      <c r="AA288" s="104" t="s">
        <v>667</v>
      </c>
      <c r="AB288" s="105">
        <v>46062.925694444442</v>
      </c>
      <c r="AC288" s="105">
        <v>46063.475</v>
      </c>
    </row>
    <row r="289" s="70" customFormat="1" ht="11.25" customHeight="1">
      <c r="A289" s="87"/>
      <c r="C289" s="43" t="s">
        <v>859</v>
      </c>
      <c r="D289" s="71" t="s">
        <v>382</v>
      </c>
      <c r="E289" s="71" t="str">
        <f>MID(D289,1,2)</f>
        <v>IL</v>
      </c>
      <c r="F289" s="71" t="s">
        <v>595</v>
      </c>
      <c r="G289" s="71" t="str">
        <f>MID(F289,1,2)</f>
        <v>AT</v>
      </c>
      <c r="H289" s="43" t="s">
        <v>860</v>
      </c>
      <c r="I289" s="71" t="s">
        <v>861</v>
      </c>
      <c r="J289" s="71" t="s">
        <v>426</v>
      </c>
      <c r="K289" s="43"/>
      <c r="L289" s="71" t="s">
        <v>105</v>
      </c>
      <c r="M289" s="73">
        <v>69</v>
      </c>
      <c r="N289" s="71" t="s">
        <v>388</v>
      </c>
      <c r="O289" s="73">
        <v>0.32</v>
      </c>
      <c r="P289" s="71" t="s">
        <v>389</v>
      </c>
      <c r="Q289" s="73">
        <v>69</v>
      </c>
      <c r="R289" s="71" t="s">
        <v>388</v>
      </c>
      <c r="S289" s="73">
        <v>0</v>
      </c>
      <c r="T289" s="71" t="s">
        <v>390</v>
      </c>
      <c r="U289" s="74">
        <v>2</v>
      </c>
      <c r="V289" s="71" t="s">
        <v>391</v>
      </c>
      <c r="W289" s="130">
        <v>46054.891701388886</v>
      </c>
      <c r="X289" s="72">
        <v>46056.576388888891</v>
      </c>
      <c r="Y289" s="72">
        <v>46057.34375</v>
      </c>
      <c r="Z289" s="104" t="s">
        <v>382</v>
      </c>
      <c r="AA289" s="104" t="s">
        <v>383</v>
      </c>
      <c r="AB289" s="105">
        <v>46056.557638888888</v>
      </c>
      <c r="AC289" s="105">
        <v>46056.726388888892</v>
      </c>
    </row>
    <row r="290" s="70" customFormat="1" ht="11.25" customHeight="1">
      <c r="A290" s="87"/>
      <c r="C290" s="43" t="s">
        <v>859</v>
      </c>
      <c r="D290" s="71" t="s">
        <v>382</v>
      </c>
      <c r="E290" s="71" t="str">
        <f>MID(D290,1,2)</f>
        <v>IL</v>
      </c>
      <c r="F290" s="71" t="s">
        <v>595</v>
      </c>
      <c r="G290" s="71" t="str">
        <f>MID(F290,1,2)</f>
        <v>AT</v>
      </c>
      <c r="H290" s="43" t="s">
        <v>860</v>
      </c>
      <c r="I290" s="71" t="s">
        <v>861</v>
      </c>
      <c r="J290" s="71" t="s">
        <v>426</v>
      </c>
      <c r="K290" s="43"/>
      <c r="L290" s="71" t="s">
        <v>105</v>
      </c>
      <c r="M290" s="73">
        <v>69</v>
      </c>
      <c r="N290" s="71" t="s">
        <v>388</v>
      </c>
      <c r="O290" s="73">
        <v>0.32</v>
      </c>
      <c r="P290" s="71" t="s">
        <v>389</v>
      </c>
      <c r="Q290" s="73">
        <v>69</v>
      </c>
      <c r="R290" s="71" t="s">
        <v>388</v>
      </c>
      <c r="S290" s="73">
        <v>0</v>
      </c>
      <c r="T290" s="71" t="s">
        <v>390</v>
      </c>
      <c r="U290" s="74">
        <v>2</v>
      </c>
      <c r="V290" s="71" t="s">
        <v>391</v>
      </c>
      <c r="W290" s="130">
        <v>46054.891701388886</v>
      </c>
      <c r="X290" s="72">
        <v>46056.576388888891</v>
      </c>
      <c r="Y290" s="72">
        <v>46057.34375</v>
      </c>
      <c r="Z290" s="104" t="s">
        <v>383</v>
      </c>
      <c r="AA290" s="104" t="s">
        <v>595</v>
      </c>
      <c r="AB290" s="105">
        <v>46057.282638888886</v>
      </c>
      <c r="AC290" s="105">
        <v>46057.336111111108</v>
      </c>
    </row>
    <row r="291" s="70" customFormat="1" ht="11.25" customHeight="1">
      <c r="A291" s="87"/>
      <c r="C291" s="43" t="s">
        <v>862</v>
      </c>
      <c r="D291" s="71" t="s">
        <v>382</v>
      </c>
      <c r="E291" s="71" t="str">
        <f>MID(D291,1,2)</f>
        <v>IL</v>
      </c>
      <c r="F291" s="71" t="s">
        <v>863</v>
      </c>
      <c r="G291" s="71" t="str">
        <f>MID(F291,1,2)</f>
        <v>DE</v>
      </c>
      <c r="H291" s="43"/>
      <c r="I291" s="71" t="s">
        <v>864</v>
      </c>
      <c r="J291" s="71" t="s">
        <v>386</v>
      </c>
      <c r="K291" s="43"/>
      <c r="L291" s="71" t="s">
        <v>107</v>
      </c>
      <c r="M291" s="73">
        <v>21</v>
      </c>
      <c r="N291" s="71" t="s">
        <v>388</v>
      </c>
      <c r="O291" s="73">
        <v>0.12</v>
      </c>
      <c r="P291" s="71" t="s">
        <v>389</v>
      </c>
      <c r="Q291" s="73">
        <v>21</v>
      </c>
      <c r="R291" s="71" t="s">
        <v>388</v>
      </c>
      <c r="S291" s="73">
        <v>0</v>
      </c>
      <c r="T291" s="71" t="s">
        <v>390</v>
      </c>
      <c r="U291" s="74">
        <v>1</v>
      </c>
      <c r="V291" s="71" t="s">
        <v>391</v>
      </c>
      <c r="W291" s="130">
        <v>46054.52847222222</v>
      </c>
      <c r="X291" s="72">
        <v>46057.229166666664</v>
      </c>
      <c r="Y291" s="72">
        <v>46058</v>
      </c>
      <c r="Z291" s="104"/>
      <c r="AA291" s="104"/>
      <c r="AB291" s="105"/>
      <c r="AC291" s="105"/>
    </row>
    <row r="292" s="70" customFormat="1" ht="11.25" customHeight="1">
      <c r="A292" s="87"/>
      <c r="C292" s="43" t="s">
        <v>865</v>
      </c>
      <c r="D292" s="71" t="s">
        <v>382</v>
      </c>
      <c r="E292" s="71" t="str">
        <f>MID(D292,1,2)</f>
        <v>IL</v>
      </c>
      <c r="F292" s="71" t="s">
        <v>414</v>
      </c>
      <c r="G292" s="71" t="str">
        <f>MID(F292,1,2)</f>
        <v>US</v>
      </c>
      <c r="H292" s="43" t="s">
        <v>757</v>
      </c>
      <c r="I292" s="71" t="s">
        <v>866</v>
      </c>
      <c r="J292" s="71" t="s">
        <v>454</v>
      </c>
      <c r="K292" s="43" t="s">
        <v>759</v>
      </c>
      <c r="L292" s="71" t="s">
        <v>107</v>
      </c>
      <c r="M292" s="73">
        <v>7</v>
      </c>
      <c r="N292" s="71" t="s">
        <v>388</v>
      </c>
      <c r="O292" s="73">
        <v>0.029</v>
      </c>
      <c r="P292" s="71" t="s">
        <v>389</v>
      </c>
      <c r="Q292" s="73">
        <v>7</v>
      </c>
      <c r="R292" s="71" t="s">
        <v>388</v>
      </c>
      <c r="S292" s="73">
        <v>0</v>
      </c>
      <c r="T292" s="71" t="s">
        <v>390</v>
      </c>
      <c r="U292" s="74">
        <v>1</v>
      </c>
      <c r="V292" s="71" t="s">
        <v>427</v>
      </c>
      <c r="W292" s="130">
        <v>46054.49375</v>
      </c>
      <c r="X292" s="72">
        <v>46057.03125</v>
      </c>
      <c r="Y292" s="72">
        <v>46057.25</v>
      </c>
      <c r="Z292" s="104" t="s">
        <v>382</v>
      </c>
      <c r="AA292" s="104" t="s">
        <v>414</v>
      </c>
      <c r="AB292" s="105">
        <v>46057.031944444447</v>
      </c>
      <c r="AC292" s="105">
        <v>46057.214583333334</v>
      </c>
    </row>
    <row r="293" s="70" customFormat="1" ht="11.25" customHeight="1">
      <c r="A293" s="87"/>
      <c r="C293" s="43" t="s">
        <v>867</v>
      </c>
      <c r="D293" s="71" t="s">
        <v>382</v>
      </c>
      <c r="E293" s="71" t="str">
        <f>MID(D293,1,2)</f>
        <v>IL</v>
      </c>
      <c r="F293" s="71" t="s">
        <v>471</v>
      </c>
      <c r="G293" s="71" t="str">
        <f>MID(F293,1,2)</f>
        <v>US</v>
      </c>
      <c r="H293" s="43" t="s">
        <v>868</v>
      </c>
      <c r="I293" s="71" t="s">
        <v>869</v>
      </c>
      <c r="J293" s="71" t="s">
        <v>386</v>
      </c>
      <c r="K293" s="43"/>
      <c r="L293" s="71" t="s">
        <v>107</v>
      </c>
      <c r="M293" s="73">
        <v>376</v>
      </c>
      <c r="N293" s="71" t="s">
        <v>388</v>
      </c>
      <c r="O293" s="73">
        <v>4.95</v>
      </c>
      <c r="P293" s="71" t="s">
        <v>389</v>
      </c>
      <c r="Q293" s="73">
        <v>825</v>
      </c>
      <c r="R293" s="71" t="s">
        <v>388</v>
      </c>
      <c r="S293" s="73">
        <v>0</v>
      </c>
      <c r="T293" s="71" t="s">
        <v>390</v>
      </c>
      <c r="U293" s="74">
        <v>4</v>
      </c>
      <c r="V293" s="71" t="s">
        <v>391</v>
      </c>
      <c r="W293" s="130"/>
      <c r="X293" s="72">
        <v>46062</v>
      </c>
      <c r="Y293" s="72">
        <v>46062.631944444445</v>
      </c>
      <c r="Z293" s="104" t="s">
        <v>382</v>
      </c>
      <c r="AA293" s="104" t="s">
        <v>577</v>
      </c>
      <c r="AB293" s="105">
        <v>46059.655555555553</v>
      </c>
      <c r="AC293" s="105">
        <v>46059.80972222222</v>
      </c>
    </row>
    <row r="294" s="70" customFormat="1" ht="11.25" customHeight="1">
      <c r="A294" s="87"/>
      <c r="C294" s="43" t="s">
        <v>867</v>
      </c>
      <c r="D294" s="71" t="s">
        <v>382</v>
      </c>
      <c r="E294" s="71" t="str">
        <f>MID(D294,1,2)</f>
        <v>IL</v>
      </c>
      <c r="F294" s="71" t="s">
        <v>471</v>
      </c>
      <c r="G294" s="71" t="str">
        <f>MID(F294,1,2)</f>
        <v>US</v>
      </c>
      <c r="H294" s="43" t="s">
        <v>868</v>
      </c>
      <c r="I294" s="71" t="s">
        <v>869</v>
      </c>
      <c r="J294" s="71" t="s">
        <v>386</v>
      </c>
      <c r="K294" s="43"/>
      <c r="L294" s="71" t="s">
        <v>107</v>
      </c>
      <c r="M294" s="73">
        <v>376</v>
      </c>
      <c r="N294" s="71" t="s">
        <v>388</v>
      </c>
      <c r="O294" s="73">
        <v>4.95</v>
      </c>
      <c r="P294" s="71" t="s">
        <v>389</v>
      </c>
      <c r="Q294" s="73">
        <v>825</v>
      </c>
      <c r="R294" s="71" t="s">
        <v>388</v>
      </c>
      <c r="S294" s="73">
        <v>0</v>
      </c>
      <c r="T294" s="71" t="s">
        <v>390</v>
      </c>
      <c r="U294" s="74">
        <v>4</v>
      </c>
      <c r="V294" s="71" t="s">
        <v>391</v>
      </c>
      <c r="W294" s="130"/>
      <c r="X294" s="72">
        <v>46062</v>
      </c>
      <c r="Y294" s="72">
        <v>46062.631944444445</v>
      </c>
      <c r="Z294" s="104" t="s">
        <v>577</v>
      </c>
      <c r="AA294" s="104" t="s">
        <v>471</v>
      </c>
      <c r="AB294" s="105">
        <v>46062.55</v>
      </c>
      <c r="AC294" s="105">
        <v>46062.609722222223</v>
      </c>
    </row>
    <row r="295" s="70" customFormat="1" ht="11.25" customHeight="1">
      <c r="A295" s="87"/>
      <c r="C295" s="43" t="s">
        <v>870</v>
      </c>
      <c r="D295" s="71" t="s">
        <v>382</v>
      </c>
      <c r="E295" s="71" t="str">
        <f>MID(D295,1,2)</f>
        <v>IL</v>
      </c>
      <c r="F295" s="71" t="s">
        <v>465</v>
      </c>
      <c r="G295" s="71" t="str">
        <f>MID(F295,1,2)</f>
        <v>AZ</v>
      </c>
      <c r="H295" s="43" t="s">
        <v>871</v>
      </c>
      <c r="I295" s="71"/>
      <c r="J295" s="71" t="s">
        <v>426</v>
      </c>
      <c r="K295" s="43"/>
      <c r="L295" s="71" t="s">
        <v>105</v>
      </c>
      <c r="M295" s="73">
        <v>15</v>
      </c>
      <c r="N295" s="71" t="s">
        <v>388</v>
      </c>
      <c r="O295" s="73">
        <v>0.145</v>
      </c>
      <c r="P295" s="71" t="s">
        <v>389</v>
      </c>
      <c r="Q295" s="73">
        <v>24.5</v>
      </c>
      <c r="R295" s="71" t="s">
        <v>388</v>
      </c>
      <c r="S295" s="73">
        <v>0</v>
      </c>
      <c r="T295" s="71" t="s">
        <v>390</v>
      </c>
      <c r="U295" s="74">
        <v>1</v>
      </c>
      <c r="V295" s="71" t="s">
        <v>391</v>
      </c>
      <c r="W295" s="130"/>
      <c r="X295" s="72">
        <v>46057.951388888891</v>
      </c>
      <c r="Y295" s="72">
        <v>46058.131944444445</v>
      </c>
      <c r="Z295" s="104" t="s">
        <v>382</v>
      </c>
      <c r="AA295" s="104" t="s">
        <v>465</v>
      </c>
      <c r="AB295" s="105">
        <v>46058.229861111111</v>
      </c>
      <c r="AC295" s="105">
        <v>46058.428472222222</v>
      </c>
    </row>
    <row r="296" s="70" customFormat="1" ht="11.25" customHeight="1">
      <c r="A296" s="87"/>
      <c r="C296" s="43" t="s">
        <v>872</v>
      </c>
      <c r="D296" s="71" t="s">
        <v>382</v>
      </c>
      <c r="E296" s="71" t="str">
        <f>MID(D296,1,2)</f>
        <v>IL</v>
      </c>
      <c r="F296" s="71" t="s">
        <v>702</v>
      </c>
      <c r="G296" s="71" t="str">
        <f>MID(F296,1,2)</f>
        <v>JP</v>
      </c>
      <c r="H296" s="43" t="s">
        <v>873</v>
      </c>
      <c r="I296" s="71" t="s">
        <v>874</v>
      </c>
      <c r="J296" s="71" t="s">
        <v>426</v>
      </c>
      <c r="K296" s="43"/>
      <c r="L296" s="71" t="s">
        <v>105</v>
      </c>
      <c r="M296" s="73">
        <v>91</v>
      </c>
      <c r="N296" s="71" t="s">
        <v>388</v>
      </c>
      <c r="O296" s="73">
        <v>0.535</v>
      </c>
      <c r="P296" s="71" t="s">
        <v>389</v>
      </c>
      <c r="Q296" s="73">
        <v>91</v>
      </c>
      <c r="R296" s="71" t="s">
        <v>388</v>
      </c>
      <c r="S296" s="73">
        <v>0</v>
      </c>
      <c r="T296" s="71" t="s">
        <v>390</v>
      </c>
      <c r="U296" s="74">
        <v>1</v>
      </c>
      <c r="V296" s="71" t="s">
        <v>391</v>
      </c>
      <c r="W296" s="130">
        <v>46054.655335648145</v>
      </c>
      <c r="X296" s="72">
        <v>46056.715277777781</v>
      </c>
      <c r="Y296" s="72">
        <v>46058.635416666664</v>
      </c>
      <c r="Z296" s="104" t="s">
        <v>382</v>
      </c>
      <c r="AA296" s="104" t="s">
        <v>667</v>
      </c>
      <c r="AB296" s="105">
        <v>46056.713194444441</v>
      </c>
      <c r="AC296" s="105">
        <v>46056.836805555555</v>
      </c>
    </row>
    <row r="297" s="70" customFormat="1" ht="11.25" customHeight="1">
      <c r="A297" s="87"/>
      <c r="C297" s="43" t="s">
        <v>872</v>
      </c>
      <c r="D297" s="71" t="s">
        <v>382</v>
      </c>
      <c r="E297" s="71" t="str">
        <f>MID(D297,1,2)</f>
        <v>IL</v>
      </c>
      <c r="F297" s="71" t="s">
        <v>702</v>
      </c>
      <c r="G297" s="71" t="str">
        <f>MID(F297,1,2)</f>
        <v>JP</v>
      </c>
      <c r="H297" s="43" t="s">
        <v>873</v>
      </c>
      <c r="I297" s="71" t="s">
        <v>874</v>
      </c>
      <c r="J297" s="71" t="s">
        <v>426</v>
      </c>
      <c r="K297" s="43"/>
      <c r="L297" s="71" t="s">
        <v>105</v>
      </c>
      <c r="M297" s="73">
        <v>91</v>
      </c>
      <c r="N297" s="71" t="s">
        <v>388</v>
      </c>
      <c r="O297" s="73">
        <v>0.535</v>
      </c>
      <c r="P297" s="71" t="s">
        <v>389</v>
      </c>
      <c r="Q297" s="73">
        <v>91</v>
      </c>
      <c r="R297" s="71" t="s">
        <v>388</v>
      </c>
      <c r="S297" s="73">
        <v>0</v>
      </c>
      <c r="T297" s="71" t="s">
        <v>390</v>
      </c>
      <c r="U297" s="74">
        <v>1</v>
      </c>
      <c r="V297" s="71" t="s">
        <v>391</v>
      </c>
      <c r="W297" s="130">
        <v>46054.655335648145</v>
      </c>
      <c r="X297" s="72">
        <v>46056.715277777781</v>
      </c>
      <c r="Y297" s="72">
        <v>46058.635416666664</v>
      </c>
      <c r="Z297" s="104" t="s">
        <v>667</v>
      </c>
      <c r="AA297" s="104" t="s">
        <v>875</v>
      </c>
      <c r="AB297" s="105">
        <v>46057.538888888892</v>
      </c>
      <c r="AC297" s="105">
        <v>46058.37222222222</v>
      </c>
    </row>
    <row r="298" s="70" customFormat="1" ht="11.25" customHeight="1">
      <c r="A298" s="87"/>
      <c r="C298" s="43" t="s">
        <v>872</v>
      </c>
      <c r="D298" s="71" t="s">
        <v>382</v>
      </c>
      <c r="E298" s="71" t="str">
        <f>MID(D298,1,2)</f>
        <v>IL</v>
      </c>
      <c r="F298" s="71" t="s">
        <v>702</v>
      </c>
      <c r="G298" s="71" t="str">
        <f>MID(F298,1,2)</f>
        <v>JP</v>
      </c>
      <c r="H298" s="43" t="s">
        <v>873</v>
      </c>
      <c r="I298" s="71" t="s">
        <v>874</v>
      </c>
      <c r="J298" s="71" t="s">
        <v>426</v>
      </c>
      <c r="K298" s="43"/>
      <c r="L298" s="71" t="s">
        <v>105</v>
      </c>
      <c r="M298" s="73">
        <v>91</v>
      </c>
      <c r="N298" s="71" t="s">
        <v>388</v>
      </c>
      <c r="O298" s="73">
        <v>0.535</v>
      </c>
      <c r="P298" s="71" t="s">
        <v>389</v>
      </c>
      <c r="Q298" s="73">
        <v>91</v>
      </c>
      <c r="R298" s="71" t="s">
        <v>388</v>
      </c>
      <c r="S298" s="73">
        <v>0</v>
      </c>
      <c r="T298" s="71" t="s">
        <v>390</v>
      </c>
      <c r="U298" s="74">
        <v>1</v>
      </c>
      <c r="V298" s="71" t="s">
        <v>391</v>
      </c>
      <c r="W298" s="130">
        <v>46054.655335648145</v>
      </c>
      <c r="X298" s="72">
        <v>46056.715277777781</v>
      </c>
      <c r="Y298" s="72">
        <v>46058.635416666664</v>
      </c>
      <c r="Z298" s="104" t="s">
        <v>875</v>
      </c>
      <c r="AA298" s="104" t="s">
        <v>702</v>
      </c>
      <c r="AB298" s="105">
        <v>46058.541666666664</v>
      </c>
      <c r="AC298" s="105">
        <v>46058.680555555555</v>
      </c>
    </row>
    <row r="299" s="70" customFormat="1" ht="11.25" customHeight="1">
      <c r="A299" s="87"/>
      <c r="C299" s="43" t="s">
        <v>876</v>
      </c>
      <c r="D299" s="71" t="s">
        <v>382</v>
      </c>
      <c r="E299" s="71" t="str">
        <f>MID(D299,1,2)</f>
        <v>IL</v>
      </c>
      <c r="F299" s="71" t="s">
        <v>471</v>
      </c>
      <c r="G299" s="71" t="str">
        <f>MID(F299,1,2)</f>
        <v>US</v>
      </c>
      <c r="H299" s="43" t="s">
        <v>877</v>
      </c>
      <c r="I299" s="71" t="s">
        <v>878</v>
      </c>
      <c r="J299" s="71" t="s">
        <v>386</v>
      </c>
      <c r="K299" s="43"/>
      <c r="L299" s="71" t="s">
        <v>107</v>
      </c>
      <c r="M299" s="73">
        <v>295</v>
      </c>
      <c r="N299" s="71" t="s">
        <v>388</v>
      </c>
      <c r="O299" s="73">
        <v>2.782</v>
      </c>
      <c r="P299" s="71" t="s">
        <v>389</v>
      </c>
      <c r="Q299" s="73">
        <v>464</v>
      </c>
      <c r="R299" s="71" t="s">
        <v>388</v>
      </c>
      <c r="S299" s="73">
        <v>0</v>
      </c>
      <c r="T299" s="71" t="s">
        <v>390</v>
      </c>
      <c r="U299" s="74">
        <v>5</v>
      </c>
      <c r="V299" s="71" t="s">
        <v>391</v>
      </c>
      <c r="W299" s="130"/>
      <c r="X299" s="72">
        <v>46059.663194444445</v>
      </c>
      <c r="Y299" s="72">
        <v>46062.631944444445</v>
      </c>
      <c r="Z299" s="104" t="s">
        <v>382</v>
      </c>
      <c r="AA299" s="104" t="s">
        <v>577</v>
      </c>
      <c r="AB299" s="105">
        <v>46059.655555555553</v>
      </c>
      <c r="AC299" s="105">
        <v>46059.80972222222</v>
      </c>
    </row>
    <row r="300" s="70" customFormat="1" ht="11.25" customHeight="1">
      <c r="A300" s="87"/>
      <c r="C300" s="43" t="s">
        <v>876</v>
      </c>
      <c r="D300" s="71" t="s">
        <v>382</v>
      </c>
      <c r="E300" s="71" t="str">
        <f>MID(D300,1,2)</f>
        <v>IL</v>
      </c>
      <c r="F300" s="71" t="s">
        <v>471</v>
      </c>
      <c r="G300" s="71" t="str">
        <f>MID(F300,1,2)</f>
        <v>US</v>
      </c>
      <c r="H300" s="43" t="s">
        <v>877</v>
      </c>
      <c r="I300" s="71" t="s">
        <v>878</v>
      </c>
      <c r="J300" s="71" t="s">
        <v>386</v>
      </c>
      <c r="K300" s="43"/>
      <c r="L300" s="71" t="s">
        <v>107</v>
      </c>
      <c r="M300" s="73">
        <v>295</v>
      </c>
      <c r="N300" s="71" t="s">
        <v>388</v>
      </c>
      <c r="O300" s="73">
        <v>2.782</v>
      </c>
      <c r="P300" s="71" t="s">
        <v>389</v>
      </c>
      <c r="Q300" s="73">
        <v>464</v>
      </c>
      <c r="R300" s="71" t="s">
        <v>388</v>
      </c>
      <c r="S300" s="73">
        <v>0</v>
      </c>
      <c r="T300" s="71" t="s">
        <v>390</v>
      </c>
      <c r="U300" s="74">
        <v>5</v>
      </c>
      <c r="V300" s="71" t="s">
        <v>391</v>
      </c>
      <c r="W300" s="130"/>
      <c r="X300" s="72">
        <v>46059.663194444445</v>
      </c>
      <c r="Y300" s="72">
        <v>46062.631944444445</v>
      </c>
      <c r="Z300" s="104" t="s">
        <v>577</v>
      </c>
      <c r="AA300" s="104" t="s">
        <v>471</v>
      </c>
      <c r="AB300" s="105">
        <v>46060.956944444442</v>
      </c>
      <c r="AC300" s="105">
        <v>46061.00625</v>
      </c>
    </row>
    <row r="301" s="70" customFormat="1" ht="11.25" customHeight="1">
      <c r="A301" s="87"/>
      <c r="C301" s="43" t="s">
        <v>879</v>
      </c>
      <c r="D301" s="71" t="s">
        <v>382</v>
      </c>
      <c r="E301" s="71" t="str">
        <f>MID(D301,1,2)</f>
        <v>IL</v>
      </c>
      <c r="F301" s="71" t="s">
        <v>414</v>
      </c>
      <c r="G301" s="71" t="str">
        <f>MID(F301,1,2)</f>
        <v>US</v>
      </c>
      <c r="H301" s="43" t="s">
        <v>757</v>
      </c>
      <c r="I301" s="71" t="s">
        <v>880</v>
      </c>
      <c r="J301" s="71" t="s">
        <v>483</v>
      </c>
      <c r="K301" s="43"/>
      <c r="L301" s="71" t="s">
        <v>105</v>
      </c>
      <c r="M301" s="73">
        <v>2</v>
      </c>
      <c r="N301" s="71" t="s">
        <v>388</v>
      </c>
      <c r="O301" s="73">
        <v>0.018</v>
      </c>
      <c r="P301" s="71" t="s">
        <v>389</v>
      </c>
      <c r="Q301" s="73">
        <v>3</v>
      </c>
      <c r="R301" s="71" t="s">
        <v>388</v>
      </c>
      <c r="S301" s="73">
        <v>0</v>
      </c>
      <c r="T301" s="71" t="s">
        <v>390</v>
      </c>
      <c r="U301" s="74">
        <v>1</v>
      </c>
      <c r="V301" s="71" t="s">
        <v>427</v>
      </c>
      <c r="W301" s="130">
        <v>46054.507638888892</v>
      </c>
      <c r="X301" s="72">
        <v>46057.03125</v>
      </c>
      <c r="Y301" s="72">
        <v>46057.25</v>
      </c>
      <c r="Z301" s="104" t="s">
        <v>382</v>
      </c>
      <c r="AA301" s="104" t="s">
        <v>414</v>
      </c>
      <c r="AB301" s="105">
        <v>46057.031944444447</v>
      </c>
      <c r="AC301" s="105">
        <v>46057.214583333334</v>
      </c>
    </row>
    <row r="302" s="70" customFormat="1" ht="11.25" customHeight="1">
      <c r="A302" s="87"/>
      <c r="C302" s="43" t="s">
        <v>881</v>
      </c>
      <c r="D302" s="71" t="s">
        <v>382</v>
      </c>
      <c r="E302" s="71" t="str">
        <f>MID(D302,1,2)</f>
        <v>IL</v>
      </c>
      <c r="F302" s="71" t="s">
        <v>414</v>
      </c>
      <c r="G302" s="71" t="str">
        <f>MID(F302,1,2)</f>
        <v>US</v>
      </c>
      <c r="H302" s="43" t="s">
        <v>757</v>
      </c>
      <c r="I302" s="71" t="s">
        <v>882</v>
      </c>
      <c r="J302" s="71" t="s">
        <v>426</v>
      </c>
      <c r="K302" s="43" t="s">
        <v>759</v>
      </c>
      <c r="L302" s="71" t="s">
        <v>105</v>
      </c>
      <c r="M302" s="73">
        <v>9</v>
      </c>
      <c r="N302" s="71" t="s">
        <v>388</v>
      </c>
      <c r="O302" s="73">
        <v>0.043</v>
      </c>
      <c r="P302" s="71" t="s">
        <v>389</v>
      </c>
      <c r="Q302" s="73">
        <v>9</v>
      </c>
      <c r="R302" s="71" t="s">
        <v>388</v>
      </c>
      <c r="S302" s="73">
        <v>0</v>
      </c>
      <c r="T302" s="71" t="s">
        <v>390</v>
      </c>
      <c r="U302" s="74">
        <v>1</v>
      </c>
      <c r="V302" s="71" t="s">
        <v>427</v>
      </c>
      <c r="W302" s="130">
        <v>46054.507638888892</v>
      </c>
      <c r="X302" s="72">
        <v>46057.03125</v>
      </c>
      <c r="Y302" s="72">
        <v>46057.25</v>
      </c>
      <c r="Z302" s="104" t="s">
        <v>382</v>
      </c>
      <c r="AA302" s="104" t="s">
        <v>414</v>
      </c>
      <c r="AB302" s="105">
        <v>46057.031944444447</v>
      </c>
      <c r="AC302" s="105">
        <v>46057.214583333334</v>
      </c>
    </row>
    <row r="303" s="70" customFormat="1" ht="11.25" customHeight="1">
      <c r="A303" s="87"/>
      <c r="C303" s="43" t="s">
        <v>883</v>
      </c>
      <c r="D303" s="71" t="s">
        <v>382</v>
      </c>
      <c r="E303" s="71" t="str">
        <f>MID(D303,1,2)</f>
        <v>IL</v>
      </c>
      <c r="F303" s="71" t="s">
        <v>774</v>
      </c>
      <c r="G303" s="71" t="str">
        <f>MID(F303,1,2)</f>
        <v>CN</v>
      </c>
      <c r="H303" s="43" t="s">
        <v>775</v>
      </c>
      <c r="I303" s="71" t="s">
        <v>884</v>
      </c>
      <c r="J303" s="71" t="s">
        <v>755</v>
      </c>
      <c r="K303" s="43"/>
      <c r="L303" s="71" t="s">
        <v>105</v>
      </c>
      <c r="M303" s="73">
        <v>1</v>
      </c>
      <c r="N303" s="71" t="s">
        <v>388</v>
      </c>
      <c r="O303" s="73">
        <v>0.012</v>
      </c>
      <c r="P303" s="71" t="s">
        <v>389</v>
      </c>
      <c r="Q303" s="73">
        <v>2</v>
      </c>
      <c r="R303" s="71" t="s">
        <v>388</v>
      </c>
      <c r="S303" s="73">
        <v>0</v>
      </c>
      <c r="T303" s="71" t="s">
        <v>390</v>
      </c>
      <c r="U303" s="74">
        <v>1</v>
      </c>
      <c r="V303" s="71" t="s">
        <v>391</v>
      </c>
      <c r="W303" s="130">
        <v>46054.60665509259</v>
      </c>
      <c r="X303" s="72">
        <v>46055.690972222219</v>
      </c>
      <c r="Y303" s="72">
        <v>46057.475</v>
      </c>
      <c r="Z303" s="104" t="s">
        <v>382</v>
      </c>
      <c r="AA303" s="104" t="s">
        <v>383</v>
      </c>
      <c r="AB303" s="105">
        <v>46055.69375</v>
      </c>
      <c r="AC303" s="105">
        <v>46055.838194444441</v>
      </c>
    </row>
    <row r="304" s="70" customFormat="1" ht="11.25" customHeight="1">
      <c r="A304" s="87"/>
      <c r="C304" s="43" t="s">
        <v>883</v>
      </c>
      <c r="D304" s="71" t="s">
        <v>382</v>
      </c>
      <c r="E304" s="71" t="str">
        <f>MID(D304,1,2)</f>
        <v>IL</v>
      </c>
      <c r="F304" s="71" t="s">
        <v>774</v>
      </c>
      <c r="G304" s="71" t="str">
        <f>MID(F304,1,2)</f>
        <v>CN</v>
      </c>
      <c r="H304" s="43" t="s">
        <v>775</v>
      </c>
      <c r="I304" s="71" t="s">
        <v>884</v>
      </c>
      <c r="J304" s="71" t="s">
        <v>755</v>
      </c>
      <c r="K304" s="43"/>
      <c r="L304" s="71" t="s">
        <v>105</v>
      </c>
      <c r="M304" s="73">
        <v>1</v>
      </c>
      <c r="N304" s="71" t="s">
        <v>388</v>
      </c>
      <c r="O304" s="73">
        <v>0.012</v>
      </c>
      <c r="P304" s="71" t="s">
        <v>389</v>
      </c>
      <c r="Q304" s="73">
        <v>2</v>
      </c>
      <c r="R304" s="71" t="s">
        <v>388</v>
      </c>
      <c r="S304" s="73">
        <v>0</v>
      </c>
      <c r="T304" s="71" t="s">
        <v>390</v>
      </c>
      <c r="U304" s="74">
        <v>1</v>
      </c>
      <c r="V304" s="71" t="s">
        <v>391</v>
      </c>
      <c r="W304" s="130">
        <v>46054.60665509259</v>
      </c>
      <c r="X304" s="72">
        <v>46055.690972222219</v>
      </c>
      <c r="Y304" s="72">
        <v>46057.475</v>
      </c>
      <c r="Z304" s="104" t="s">
        <v>383</v>
      </c>
      <c r="AA304" s="104" t="s">
        <v>774</v>
      </c>
      <c r="AB304" s="105">
        <v>46056.582638888889</v>
      </c>
      <c r="AC304" s="105">
        <v>46057.469444444447</v>
      </c>
    </row>
    <row r="305" s="70" customFormat="1" ht="11.25" customHeight="1">
      <c r="A305" s="87"/>
      <c r="C305" s="43" t="s">
        <v>885</v>
      </c>
      <c r="D305" s="71" t="s">
        <v>382</v>
      </c>
      <c r="E305" s="71" t="str">
        <f>MID(D305,1,2)</f>
        <v>IL</v>
      </c>
      <c r="F305" s="71" t="s">
        <v>684</v>
      </c>
      <c r="G305" s="71" t="str">
        <f>MID(F305,1,2)</f>
        <v>IT</v>
      </c>
      <c r="H305" s="43" t="s">
        <v>886</v>
      </c>
      <c r="I305" s="71" t="s">
        <v>887</v>
      </c>
      <c r="J305" s="71" t="s">
        <v>386</v>
      </c>
      <c r="K305" s="43"/>
      <c r="L305" s="71" t="s">
        <v>107</v>
      </c>
      <c r="M305" s="73">
        <v>97</v>
      </c>
      <c r="N305" s="71" t="s">
        <v>388</v>
      </c>
      <c r="O305" s="73">
        <v>0.691</v>
      </c>
      <c r="P305" s="71" t="s">
        <v>389</v>
      </c>
      <c r="Q305" s="73">
        <v>115.5</v>
      </c>
      <c r="R305" s="71" t="s">
        <v>388</v>
      </c>
      <c r="S305" s="73">
        <v>0</v>
      </c>
      <c r="T305" s="71" t="s">
        <v>390</v>
      </c>
      <c r="U305" s="74">
        <v>2</v>
      </c>
      <c r="V305" s="71" t="s">
        <v>391</v>
      </c>
      <c r="W305" s="130">
        <v>46055.560567129629</v>
      </c>
      <c r="X305" s="72">
        <v>46056.545138888891</v>
      </c>
      <c r="Y305" s="72">
        <v>46059.350694444445</v>
      </c>
      <c r="Z305" s="104" t="s">
        <v>382</v>
      </c>
      <c r="AA305" s="104" t="s">
        <v>684</v>
      </c>
      <c r="AB305" s="105">
        <v>46056.620138888888</v>
      </c>
      <c r="AC305" s="105">
        <v>46057.136111111111</v>
      </c>
    </row>
    <row r="306" s="70" customFormat="1" ht="11.25" customHeight="1">
      <c r="A306" s="87"/>
      <c r="C306" s="43" t="s">
        <v>885</v>
      </c>
      <c r="D306" s="71" t="s">
        <v>382</v>
      </c>
      <c r="E306" s="71" t="str">
        <f>MID(D306,1,2)</f>
        <v>IL</v>
      </c>
      <c r="F306" s="71" t="s">
        <v>684</v>
      </c>
      <c r="G306" s="71" t="str">
        <f>MID(F306,1,2)</f>
        <v>IT</v>
      </c>
      <c r="H306" s="43" t="s">
        <v>886</v>
      </c>
      <c r="I306" s="71" t="s">
        <v>887</v>
      </c>
      <c r="J306" s="71" t="s">
        <v>386</v>
      </c>
      <c r="K306" s="43"/>
      <c r="L306" s="71" t="s">
        <v>107</v>
      </c>
      <c r="M306" s="73">
        <v>97</v>
      </c>
      <c r="N306" s="71" t="s">
        <v>388</v>
      </c>
      <c r="O306" s="73">
        <v>0.691</v>
      </c>
      <c r="P306" s="71" t="s">
        <v>389</v>
      </c>
      <c r="Q306" s="73">
        <v>115.5</v>
      </c>
      <c r="R306" s="71" t="s">
        <v>388</v>
      </c>
      <c r="S306" s="73">
        <v>0</v>
      </c>
      <c r="T306" s="71" t="s">
        <v>390</v>
      </c>
      <c r="U306" s="74">
        <v>2</v>
      </c>
      <c r="V306" s="71" t="s">
        <v>391</v>
      </c>
      <c r="W306" s="130">
        <v>46055.560567129629</v>
      </c>
      <c r="X306" s="72">
        <v>46056.545138888891</v>
      </c>
      <c r="Y306" s="72">
        <v>46059.350694444445</v>
      </c>
      <c r="Z306" s="104" t="s">
        <v>684</v>
      </c>
      <c r="AA306" s="104" t="s">
        <v>888</v>
      </c>
      <c r="AB306" s="105"/>
      <c r="AC306" s="105"/>
    </row>
    <row r="307" s="70" customFormat="1" ht="11.25" customHeight="1">
      <c r="A307" s="87"/>
      <c r="C307" s="43" t="s">
        <v>889</v>
      </c>
      <c r="D307" s="71" t="s">
        <v>382</v>
      </c>
      <c r="E307" s="71" t="str">
        <f>MID(D307,1,2)</f>
        <v>IL</v>
      </c>
      <c r="F307" s="71" t="s">
        <v>403</v>
      </c>
      <c r="G307" s="71" t="str">
        <f>MID(F307,1,2)</f>
        <v>HK</v>
      </c>
      <c r="H307" s="43" t="s">
        <v>890</v>
      </c>
      <c r="I307" s="71" t="s">
        <v>891</v>
      </c>
      <c r="J307" s="71" t="s">
        <v>400</v>
      </c>
      <c r="K307" s="43"/>
      <c r="L307" s="71" t="s">
        <v>105</v>
      </c>
      <c r="M307" s="73">
        <v>667</v>
      </c>
      <c r="N307" s="71" t="s">
        <v>388</v>
      </c>
      <c r="O307" s="73">
        <v>4.707</v>
      </c>
      <c r="P307" s="71" t="s">
        <v>389</v>
      </c>
      <c r="Q307" s="73">
        <v>784.5</v>
      </c>
      <c r="R307" s="71" t="s">
        <v>388</v>
      </c>
      <c r="S307" s="73">
        <v>0</v>
      </c>
      <c r="T307" s="71" t="s">
        <v>390</v>
      </c>
      <c r="U307" s="74">
        <v>3</v>
      </c>
      <c r="V307" s="71" t="s">
        <v>391</v>
      </c>
      <c r="W307" s="130">
        <v>46056.355555555558</v>
      </c>
      <c r="X307" s="72">
        <v>46057.486111111109</v>
      </c>
      <c r="Y307" s="72">
        <v>46059.354166666664</v>
      </c>
      <c r="Z307" s="104" t="s">
        <v>382</v>
      </c>
      <c r="AA307" s="104" t="s">
        <v>441</v>
      </c>
      <c r="AB307" s="105">
        <v>46057.479166666664</v>
      </c>
      <c r="AC307" s="105">
        <v>46057.674305555556</v>
      </c>
    </row>
    <row r="308" s="70" customFormat="1" ht="11.25" customHeight="1">
      <c r="A308" s="87"/>
      <c r="C308" s="43" t="s">
        <v>889</v>
      </c>
      <c r="D308" s="71" t="s">
        <v>382</v>
      </c>
      <c r="E308" s="71" t="str">
        <f>MID(D308,1,2)</f>
        <v>IL</v>
      </c>
      <c r="F308" s="71" t="s">
        <v>403</v>
      </c>
      <c r="G308" s="71" t="str">
        <f>MID(F308,1,2)</f>
        <v>HK</v>
      </c>
      <c r="H308" s="43" t="s">
        <v>890</v>
      </c>
      <c r="I308" s="71" t="s">
        <v>891</v>
      </c>
      <c r="J308" s="71" t="s">
        <v>400</v>
      </c>
      <c r="K308" s="43"/>
      <c r="L308" s="71" t="s">
        <v>105</v>
      </c>
      <c r="M308" s="73">
        <v>667</v>
      </c>
      <c r="N308" s="71" t="s">
        <v>388</v>
      </c>
      <c r="O308" s="73">
        <v>4.707</v>
      </c>
      <c r="P308" s="71" t="s">
        <v>389</v>
      </c>
      <c r="Q308" s="73">
        <v>784.5</v>
      </c>
      <c r="R308" s="71" t="s">
        <v>388</v>
      </c>
      <c r="S308" s="73">
        <v>0</v>
      </c>
      <c r="T308" s="71" t="s">
        <v>390</v>
      </c>
      <c r="U308" s="74">
        <v>3</v>
      </c>
      <c r="V308" s="71" t="s">
        <v>391</v>
      </c>
      <c r="W308" s="130">
        <v>46056.355555555558</v>
      </c>
      <c r="X308" s="72">
        <v>46057.486111111109</v>
      </c>
      <c r="Y308" s="72">
        <v>46059.354166666664</v>
      </c>
      <c r="Z308" s="104" t="s">
        <v>441</v>
      </c>
      <c r="AA308" s="104" t="s">
        <v>403</v>
      </c>
      <c r="AB308" s="105">
        <v>46058.886805555558</v>
      </c>
      <c r="AC308" s="105">
        <v>46059.332638888889</v>
      </c>
    </row>
    <row r="309" s="70" customFormat="1" ht="11.25" customHeight="1">
      <c r="A309" s="87"/>
      <c r="C309" s="43" t="s">
        <v>892</v>
      </c>
      <c r="D309" s="71" t="s">
        <v>382</v>
      </c>
      <c r="E309" s="71" t="str">
        <f>MID(D309,1,2)</f>
        <v>IL</v>
      </c>
      <c r="F309" s="71" t="s">
        <v>414</v>
      </c>
      <c r="G309" s="71" t="str">
        <f>MID(F309,1,2)</f>
        <v>US</v>
      </c>
      <c r="H309" s="43" t="s">
        <v>757</v>
      </c>
      <c r="I309" s="71" t="s">
        <v>893</v>
      </c>
      <c r="J309" s="71" t="s">
        <v>386</v>
      </c>
      <c r="K309" s="43" t="s">
        <v>759</v>
      </c>
      <c r="L309" s="71" t="s">
        <v>107</v>
      </c>
      <c r="M309" s="73">
        <v>9</v>
      </c>
      <c r="N309" s="71" t="s">
        <v>388</v>
      </c>
      <c r="O309" s="73">
        <v>0.043</v>
      </c>
      <c r="P309" s="71" t="s">
        <v>389</v>
      </c>
      <c r="Q309" s="73">
        <v>9</v>
      </c>
      <c r="R309" s="71" t="s">
        <v>388</v>
      </c>
      <c r="S309" s="73">
        <v>0</v>
      </c>
      <c r="T309" s="71" t="s">
        <v>390</v>
      </c>
      <c r="U309" s="74">
        <v>1</v>
      </c>
      <c r="V309" s="71" t="s">
        <v>427</v>
      </c>
      <c r="W309" s="130">
        <v>46054.520833333336</v>
      </c>
      <c r="X309" s="72">
        <v>46057.03125</v>
      </c>
      <c r="Y309" s="72">
        <v>46057.25</v>
      </c>
      <c r="Z309" s="104" t="s">
        <v>382</v>
      </c>
      <c r="AA309" s="104" t="s">
        <v>414</v>
      </c>
      <c r="AB309" s="105">
        <v>46057.031944444447</v>
      </c>
      <c r="AC309" s="105">
        <v>46057.214583333334</v>
      </c>
    </row>
    <row r="310" s="70" customFormat="1" ht="11.25" customHeight="1">
      <c r="A310" s="87"/>
      <c r="C310" s="43" t="s">
        <v>894</v>
      </c>
      <c r="D310" s="71" t="s">
        <v>382</v>
      </c>
      <c r="E310" s="71" t="str">
        <f>MID(D310,1,2)</f>
        <v>IL</v>
      </c>
      <c r="F310" s="71" t="s">
        <v>414</v>
      </c>
      <c r="G310" s="71" t="str">
        <f>MID(F310,1,2)</f>
        <v>US</v>
      </c>
      <c r="H310" s="43" t="s">
        <v>757</v>
      </c>
      <c r="I310" s="71" t="s">
        <v>895</v>
      </c>
      <c r="J310" s="71" t="s">
        <v>426</v>
      </c>
      <c r="K310" s="43" t="s">
        <v>759</v>
      </c>
      <c r="L310" s="71" t="s">
        <v>105</v>
      </c>
      <c r="M310" s="73">
        <v>9</v>
      </c>
      <c r="N310" s="71" t="s">
        <v>388</v>
      </c>
      <c r="O310" s="73">
        <v>0.043</v>
      </c>
      <c r="P310" s="71" t="s">
        <v>389</v>
      </c>
      <c r="Q310" s="73">
        <v>9</v>
      </c>
      <c r="R310" s="71" t="s">
        <v>388</v>
      </c>
      <c r="S310" s="73">
        <v>0</v>
      </c>
      <c r="T310" s="71" t="s">
        <v>390</v>
      </c>
      <c r="U310" s="74">
        <v>1</v>
      </c>
      <c r="V310" s="71" t="s">
        <v>427</v>
      </c>
      <c r="W310" s="130">
        <v>46054.52847222222</v>
      </c>
      <c r="X310" s="72">
        <v>46057.03125</v>
      </c>
      <c r="Y310" s="72">
        <v>46057.25</v>
      </c>
      <c r="Z310" s="104" t="s">
        <v>382</v>
      </c>
      <c r="AA310" s="104" t="s">
        <v>414</v>
      </c>
      <c r="AB310" s="105">
        <v>46057.031944444447</v>
      </c>
      <c r="AC310" s="105">
        <v>46057.214583333334</v>
      </c>
    </row>
    <row r="311" s="70" customFormat="1" ht="11.25" customHeight="1">
      <c r="A311" s="87"/>
      <c r="C311" s="43" t="s">
        <v>896</v>
      </c>
      <c r="D311" s="71" t="s">
        <v>382</v>
      </c>
      <c r="E311" s="71" t="str">
        <f>MID(D311,1,2)</f>
        <v>IL</v>
      </c>
      <c r="F311" s="71" t="s">
        <v>414</v>
      </c>
      <c r="G311" s="71" t="str">
        <f>MID(F311,1,2)</f>
        <v>US</v>
      </c>
      <c r="H311" s="43" t="s">
        <v>757</v>
      </c>
      <c r="I311" s="71" t="s">
        <v>897</v>
      </c>
      <c r="J311" s="71" t="s">
        <v>426</v>
      </c>
      <c r="K311" s="43" t="s">
        <v>759</v>
      </c>
      <c r="L311" s="71" t="s">
        <v>105</v>
      </c>
      <c r="M311" s="73">
        <v>9</v>
      </c>
      <c r="N311" s="71" t="s">
        <v>388</v>
      </c>
      <c r="O311" s="73">
        <v>0.043</v>
      </c>
      <c r="P311" s="71" t="s">
        <v>389</v>
      </c>
      <c r="Q311" s="73">
        <v>9</v>
      </c>
      <c r="R311" s="71" t="s">
        <v>388</v>
      </c>
      <c r="S311" s="73">
        <v>0</v>
      </c>
      <c r="T311" s="71" t="s">
        <v>390</v>
      </c>
      <c r="U311" s="74">
        <v>1</v>
      </c>
      <c r="V311" s="71" t="s">
        <v>427</v>
      </c>
      <c r="W311" s="130">
        <v>46054.52847222222</v>
      </c>
      <c r="X311" s="72">
        <v>46057.03125</v>
      </c>
      <c r="Y311" s="72">
        <v>46057.25</v>
      </c>
      <c r="Z311" s="104" t="s">
        <v>382</v>
      </c>
      <c r="AA311" s="104" t="s">
        <v>414</v>
      </c>
      <c r="AB311" s="105">
        <v>46057.031944444447</v>
      </c>
      <c r="AC311" s="105">
        <v>46057.214583333334</v>
      </c>
    </row>
    <row r="312" s="70" customFormat="1" ht="11.25" customHeight="1">
      <c r="A312" s="87"/>
      <c r="C312" s="43" t="s">
        <v>898</v>
      </c>
      <c r="D312" s="71" t="s">
        <v>382</v>
      </c>
      <c r="E312" s="71" t="str">
        <f>MID(D312,1,2)</f>
        <v>IL</v>
      </c>
      <c r="F312" s="71" t="s">
        <v>414</v>
      </c>
      <c r="G312" s="71" t="str">
        <f>MID(F312,1,2)</f>
        <v>US</v>
      </c>
      <c r="H312" s="43" t="s">
        <v>757</v>
      </c>
      <c r="I312" s="71" t="s">
        <v>899</v>
      </c>
      <c r="J312" s="71" t="s">
        <v>426</v>
      </c>
      <c r="K312" s="43" t="s">
        <v>759</v>
      </c>
      <c r="L312" s="71" t="s">
        <v>105</v>
      </c>
      <c r="M312" s="73">
        <v>9</v>
      </c>
      <c r="N312" s="71" t="s">
        <v>388</v>
      </c>
      <c r="O312" s="73">
        <v>0.043</v>
      </c>
      <c r="P312" s="71" t="s">
        <v>389</v>
      </c>
      <c r="Q312" s="73">
        <v>9</v>
      </c>
      <c r="R312" s="71" t="s">
        <v>388</v>
      </c>
      <c r="S312" s="73">
        <v>0</v>
      </c>
      <c r="T312" s="71" t="s">
        <v>390</v>
      </c>
      <c r="U312" s="74">
        <v>1</v>
      </c>
      <c r="V312" s="71" t="s">
        <v>427</v>
      </c>
      <c r="W312" s="130">
        <v>46054.534722222219</v>
      </c>
      <c r="X312" s="72">
        <v>46057.03125</v>
      </c>
      <c r="Y312" s="72">
        <v>46057.25</v>
      </c>
      <c r="Z312" s="104" t="s">
        <v>382</v>
      </c>
      <c r="AA312" s="104" t="s">
        <v>414</v>
      </c>
      <c r="AB312" s="105">
        <v>46057.031944444447</v>
      </c>
      <c r="AC312" s="105">
        <v>46057.214583333334</v>
      </c>
    </row>
    <row r="313" s="70" customFormat="1" ht="11.25" customHeight="1">
      <c r="A313" s="87"/>
      <c r="C313" s="43" t="s">
        <v>900</v>
      </c>
      <c r="D313" s="71" t="s">
        <v>382</v>
      </c>
      <c r="E313" s="71" t="str">
        <f>MID(D313,1,2)</f>
        <v>IL</v>
      </c>
      <c r="F313" s="71" t="s">
        <v>414</v>
      </c>
      <c r="G313" s="71" t="str">
        <f>MID(F313,1,2)</f>
        <v>US</v>
      </c>
      <c r="H313" s="43" t="s">
        <v>757</v>
      </c>
      <c r="I313" s="71" t="s">
        <v>901</v>
      </c>
      <c r="J313" s="71" t="s">
        <v>426</v>
      </c>
      <c r="K313" s="43" t="s">
        <v>759</v>
      </c>
      <c r="L313" s="71" t="s">
        <v>105</v>
      </c>
      <c r="M313" s="73">
        <v>9</v>
      </c>
      <c r="N313" s="71" t="s">
        <v>388</v>
      </c>
      <c r="O313" s="73">
        <v>0.043</v>
      </c>
      <c r="P313" s="71" t="s">
        <v>389</v>
      </c>
      <c r="Q313" s="73">
        <v>9</v>
      </c>
      <c r="R313" s="71" t="s">
        <v>388</v>
      </c>
      <c r="S313" s="73">
        <v>0</v>
      </c>
      <c r="T313" s="71" t="s">
        <v>390</v>
      </c>
      <c r="U313" s="74">
        <v>1</v>
      </c>
      <c r="V313" s="71" t="s">
        <v>427</v>
      </c>
      <c r="W313" s="130">
        <v>46054.534722222219</v>
      </c>
      <c r="X313" s="72">
        <v>46057.03125</v>
      </c>
      <c r="Y313" s="72">
        <v>46057.25</v>
      </c>
      <c r="Z313" s="104" t="s">
        <v>382</v>
      </c>
      <c r="AA313" s="104" t="s">
        <v>414</v>
      </c>
      <c r="AB313" s="105">
        <v>46057.031944444447</v>
      </c>
      <c r="AC313" s="105">
        <v>46057.214583333334</v>
      </c>
    </row>
    <row r="314" s="70" customFormat="1" ht="11.25" customHeight="1">
      <c r="A314" s="87"/>
      <c r="C314" s="43" t="s">
        <v>902</v>
      </c>
      <c r="D314" s="71" t="s">
        <v>382</v>
      </c>
      <c r="E314" s="71" t="str">
        <f>MID(D314,1,2)</f>
        <v>IL</v>
      </c>
      <c r="F314" s="71" t="s">
        <v>414</v>
      </c>
      <c r="G314" s="71" t="str">
        <f>MID(F314,1,2)</f>
        <v>US</v>
      </c>
      <c r="H314" s="43" t="s">
        <v>903</v>
      </c>
      <c r="I314" s="71"/>
      <c r="J314" s="71" t="s">
        <v>426</v>
      </c>
      <c r="K314" s="43"/>
      <c r="L314" s="71" t="s">
        <v>105</v>
      </c>
      <c r="M314" s="73">
        <v>932</v>
      </c>
      <c r="N314" s="71" t="s">
        <v>388</v>
      </c>
      <c r="O314" s="73">
        <v>8.784</v>
      </c>
      <c r="P314" s="71" t="s">
        <v>389</v>
      </c>
      <c r="Q314" s="73">
        <v>1464</v>
      </c>
      <c r="R314" s="71" t="s">
        <v>388</v>
      </c>
      <c r="S314" s="73">
        <v>0</v>
      </c>
      <c r="T314" s="71" t="s">
        <v>390</v>
      </c>
      <c r="U314" s="74">
        <v>14</v>
      </c>
      <c r="V314" s="71" t="s">
        <v>391</v>
      </c>
      <c r="W314" s="130">
        <v>46054.666666666664</v>
      </c>
      <c r="X314" s="72">
        <v>46056.03125</v>
      </c>
      <c r="Y314" s="72">
        <v>46056.239583333336</v>
      </c>
      <c r="Z314" s="104" t="s">
        <v>382</v>
      </c>
      <c r="AA314" s="104" t="s">
        <v>414</v>
      </c>
      <c r="AB314" s="105">
        <v>46056.033333333333</v>
      </c>
      <c r="AC314" s="105">
        <v>46056.225</v>
      </c>
    </row>
    <row r="315" s="70" customFormat="1" ht="11.25" customHeight="1">
      <c r="A315" s="87"/>
      <c r="C315" s="43" t="s">
        <v>904</v>
      </c>
      <c r="D315" s="71" t="s">
        <v>382</v>
      </c>
      <c r="E315" s="71" t="str">
        <f>MID(D315,1,2)</f>
        <v>IL</v>
      </c>
      <c r="F315" s="71" t="s">
        <v>496</v>
      </c>
      <c r="G315" s="71" t="str">
        <f>MID(F315,1,2)</f>
        <v>RO</v>
      </c>
      <c r="H315" s="43" t="s">
        <v>905</v>
      </c>
      <c r="I315" s="71" t="s">
        <v>906</v>
      </c>
      <c r="J315" s="71" t="s">
        <v>426</v>
      </c>
      <c r="K315" s="43"/>
      <c r="L315" s="71" t="s">
        <v>105</v>
      </c>
      <c r="M315" s="73">
        <v>48</v>
      </c>
      <c r="N315" s="71" t="s">
        <v>388</v>
      </c>
      <c r="O315" s="73">
        <v>0.504</v>
      </c>
      <c r="P315" s="71" t="s">
        <v>389</v>
      </c>
      <c r="Q315" s="73">
        <v>84</v>
      </c>
      <c r="R315" s="71" t="s">
        <v>388</v>
      </c>
      <c r="S315" s="73">
        <v>0</v>
      </c>
      <c r="T315" s="71" t="s">
        <v>390</v>
      </c>
      <c r="U315" s="74">
        <v>2</v>
      </c>
      <c r="V315" s="71" t="s">
        <v>391</v>
      </c>
      <c r="W315" s="130">
        <v>46054.644918981481</v>
      </c>
      <c r="X315" s="72">
        <v>46059.045138888891</v>
      </c>
      <c r="Y315" s="72">
        <v>46058.583333333336</v>
      </c>
      <c r="Z315" s="104" t="s">
        <v>382</v>
      </c>
      <c r="AA315" s="104" t="s">
        <v>383</v>
      </c>
      <c r="AB315" s="105">
        <v>46057.704861111109</v>
      </c>
      <c r="AC315" s="105">
        <v>46057.839583333334</v>
      </c>
    </row>
    <row r="316" s="70" customFormat="1" ht="11.25" customHeight="1">
      <c r="A316" s="87"/>
      <c r="C316" s="43" t="s">
        <v>904</v>
      </c>
      <c r="D316" s="71" t="s">
        <v>382</v>
      </c>
      <c r="E316" s="71" t="str">
        <f>MID(D316,1,2)</f>
        <v>IL</v>
      </c>
      <c r="F316" s="71" t="s">
        <v>496</v>
      </c>
      <c r="G316" s="71" t="str">
        <f>MID(F316,1,2)</f>
        <v>RO</v>
      </c>
      <c r="H316" s="43" t="s">
        <v>905</v>
      </c>
      <c r="I316" s="71" t="s">
        <v>906</v>
      </c>
      <c r="J316" s="71" t="s">
        <v>426</v>
      </c>
      <c r="K316" s="43"/>
      <c r="L316" s="71" t="s">
        <v>105</v>
      </c>
      <c r="M316" s="73">
        <v>48</v>
      </c>
      <c r="N316" s="71" t="s">
        <v>388</v>
      </c>
      <c r="O316" s="73">
        <v>0.504</v>
      </c>
      <c r="P316" s="71" t="s">
        <v>389</v>
      </c>
      <c r="Q316" s="73">
        <v>84</v>
      </c>
      <c r="R316" s="71" t="s">
        <v>388</v>
      </c>
      <c r="S316" s="73">
        <v>0</v>
      </c>
      <c r="T316" s="71" t="s">
        <v>390</v>
      </c>
      <c r="U316" s="74">
        <v>2</v>
      </c>
      <c r="V316" s="71" t="s">
        <v>391</v>
      </c>
      <c r="W316" s="130">
        <v>46054.644918981481</v>
      </c>
      <c r="X316" s="72">
        <v>46059.045138888891</v>
      </c>
      <c r="Y316" s="72">
        <v>46058.583333333336</v>
      </c>
      <c r="Z316" s="104" t="s">
        <v>383</v>
      </c>
      <c r="AA316" s="104" t="s">
        <v>496</v>
      </c>
      <c r="AB316" s="105">
        <v>46058.445833333331</v>
      </c>
      <c r="AC316" s="105">
        <v>46058.577777777777</v>
      </c>
    </row>
    <row r="317" s="70" customFormat="1" ht="11.25" customHeight="1">
      <c r="A317" s="87"/>
      <c r="C317" s="43" t="s">
        <v>907</v>
      </c>
      <c r="D317" s="71" t="s">
        <v>382</v>
      </c>
      <c r="E317" s="71" t="str">
        <f>MID(D317,1,2)</f>
        <v>IL</v>
      </c>
      <c r="F317" s="71" t="s">
        <v>414</v>
      </c>
      <c r="G317" s="71" t="str">
        <f>MID(F317,1,2)</f>
        <v>US</v>
      </c>
      <c r="H317" s="43" t="s">
        <v>757</v>
      </c>
      <c r="I317" s="71" t="s">
        <v>908</v>
      </c>
      <c r="J317" s="71" t="s">
        <v>483</v>
      </c>
      <c r="K317" s="43"/>
      <c r="L317" s="71" t="s">
        <v>105</v>
      </c>
      <c r="M317" s="73">
        <v>1</v>
      </c>
      <c r="N317" s="71" t="s">
        <v>388</v>
      </c>
      <c r="O317" s="73">
        <v>0.022</v>
      </c>
      <c r="P317" s="71" t="s">
        <v>389</v>
      </c>
      <c r="Q317" s="73">
        <v>4</v>
      </c>
      <c r="R317" s="71" t="s">
        <v>388</v>
      </c>
      <c r="S317" s="73">
        <v>0</v>
      </c>
      <c r="T317" s="71" t="s">
        <v>390</v>
      </c>
      <c r="U317" s="74">
        <v>1</v>
      </c>
      <c r="V317" s="71" t="s">
        <v>427</v>
      </c>
      <c r="W317" s="130">
        <v>46054.584027777775</v>
      </c>
      <c r="X317" s="72">
        <v>46057.03125</v>
      </c>
      <c r="Y317" s="72">
        <v>46057.25</v>
      </c>
      <c r="Z317" s="104" t="s">
        <v>382</v>
      </c>
      <c r="AA317" s="104" t="s">
        <v>414</v>
      </c>
      <c r="AB317" s="105">
        <v>46057.031944444447</v>
      </c>
      <c r="AC317" s="105">
        <v>46057.214583333334</v>
      </c>
    </row>
    <row r="318" s="70" customFormat="1" ht="11.25" customHeight="1">
      <c r="A318" s="87"/>
      <c r="C318" s="43" t="s">
        <v>909</v>
      </c>
      <c r="D318" s="71" t="s">
        <v>382</v>
      </c>
      <c r="E318" s="71" t="str">
        <f>MID(D318,1,2)</f>
        <v>IL</v>
      </c>
      <c r="F318" s="71" t="s">
        <v>817</v>
      </c>
      <c r="G318" s="71" t="str">
        <f>MID(F318,1,2)</f>
        <v>IN</v>
      </c>
      <c r="H318" s="43" t="s">
        <v>818</v>
      </c>
      <c r="I318" s="71" t="s">
        <v>910</v>
      </c>
      <c r="J318" s="71" t="s">
        <v>400</v>
      </c>
      <c r="K318" s="43"/>
      <c r="L318" s="71" t="s">
        <v>105</v>
      </c>
      <c r="M318" s="73">
        <v>1</v>
      </c>
      <c r="N318" s="71" t="s">
        <v>388</v>
      </c>
      <c r="O318" s="73">
        <v>0.01</v>
      </c>
      <c r="P318" s="71" t="s">
        <v>389</v>
      </c>
      <c r="Q318" s="73">
        <v>2</v>
      </c>
      <c r="R318" s="71" t="s">
        <v>388</v>
      </c>
      <c r="S318" s="73">
        <v>0</v>
      </c>
      <c r="T318" s="71" t="s">
        <v>390</v>
      </c>
      <c r="U318" s="74">
        <v>1</v>
      </c>
      <c r="V318" s="71" t="s">
        <v>391</v>
      </c>
      <c r="W318" s="130">
        <v>46055.650879629633</v>
      </c>
      <c r="X318" s="72">
        <v>46056.486111111109</v>
      </c>
      <c r="Y318" s="72">
        <v>46056.521527777775</v>
      </c>
      <c r="Z318" s="104" t="s">
        <v>382</v>
      </c>
      <c r="AA318" s="104" t="s">
        <v>817</v>
      </c>
      <c r="AB318" s="105">
        <v>46056.515972222223</v>
      </c>
      <c r="AC318" s="105">
        <v>46056.854861111111</v>
      </c>
    </row>
    <row r="319" s="70" customFormat="1" ht="11.25" customHeight="1">
      <c r="A319" s="87"/>
      <c r="C319" s="43" t="s">
        <v>911</v>
      </c>
      <c r="D319" s="71" t="s">
        <v>382</v>
      </c>
      <c r="E319" s="71" t="str">
        <f>MID(D319,1,2)</f>
        <v>IL</v>
      </c>
      <c r="F319" s="71" t="s">
        <v>397</v>
      </c>
      <c r="G319" s="71" t="str">
        <f>MID(F319,1,2)</f>
        <v>IN</v>
      </c>
      <c r="H319" s="43" t="s">
        <v>912</v>
      </c>
      <c r="I319" s="71" t="s">
        <v>913</v>
      </c>
      <c r="J319" s="71" t="s">
        <v>426</v>
      </c>
      <c r="K319" s="43"/>
      <c r="L319" s="71" t="s">
        <v>105</v>
      </c>
      <c r="M319" s="73">
        <v>2</v>
      </c>
      <c r="N319" s="71" t="s">
        <v>388</v>
      </c>
      <c r="O319" s="73">
        <v>0.027</v>
      </c>
      <c r="P319" s="71" t="s">
        <v>389</v>
      </c>
      <c r="Q319" s="73">
        <v>4.5</v>
      </c>
      <c r="R319" s="71" t="s">
        <v>388</v>
      </c>
      <c r="S319" s="73">
        <v>0</v>
      </c>
      <c r="T319" s="71" t="s">
        <v>390</v>
      </c>
      <c r="U319" s="74">
        <v>1</v>
      </c>
      <c r="V319" s="71" t="s">
        <v>391</v>
      </c>
      <c r="W319" s="130">
        <v>46054.66574074074</v>
      </c>
      <c r="X319" s="72">
        <v>46056.690972222219</v>
      </c>
      <c r="Y319" s="72">
        <v>46058.009722222225</v>
      </c>
      <c r="Z319" s="104" t="s">
        <v>382</v>
      </c>
      <c r="AA319" s="104" t="s">
        <v>383</v>
      </c>
      <c r="AB319" s="105">
        <v>46056.695138888892</v>
      </c>
      <c r="AC319" s="105">
        <v>46056.838194444441</v>
      </c>
    </row>
    <row r="320" s="70" customFormat="1" ht="11.25" customHeight="1">
      <c r="A320" s="87"/>
      <c r="C320" s="43" t="s">
        <v>911</v>
      </c>
      <c r="D320" s="71" t="s">
        <v>382</v>
      </c>
      <c r="E320" s="71" t="str">
        <f>MID(D320,1,2)</f>
        <v>IL</v>
      </c>
      <c r="F320" s="71" t="s">
        <v>397</v>
      </c>
      <c r="G320" s="71" t="str">
        <f>MID(F320,1,2)</f>
        <v>IN</v>
      </c>
      <c r="H320" s="43" t="s">
        <v>912</v>
      </c>
      <c r="I320" s="71" t="s">
        <v>913</v>
      </c>
      <c r="J320" s="71" t="s">
        <v>426</v>
      </c>
      <c r="K320" s="43"/>
      <c r="L320" s="71" t="s">
        <v>105</v>
      </c>
      <c r="M320" s="73">
        <v>2</v>
      </c>
      <c r="N320" s="71" t="s">
        <v>388</v>
      </c>
      <c r="O320" s="73">
        <v>0.027</v>
      </c>
      <c r="P320" s="71" t="s">
        <v>389</v>
      </c>
      <c r="Q320" s="73">
        <v>4.5</v>
      </c>
      <c r="R320" s="71" t="s">
        <v>388</v>
      </c>
      <c r="S320" s="73">
        <v>0</v>
      </c>
      <c r="T320" s="71" t="s">
        <v>390</v>
      </c>
      <c r="U320" s="74">
        <v>1</v>
      </c>
      <c r="V320" s="71" t="s">
        <v>391</v>
      </c>
      <c r="W320" s="130">
        <v>46054.66574074074</v>
      </c>
      <c r="X320" s="72">
        <v>46056.690972222219</v>
      </c>
      <c r="Y320" s="72">
        <v>46058.009722222225</v>
      </c>
      <c r="Z320" s="104" t="s">
        <v>383</v>
      </c>
      <c r="AA320" s="104" t="s">
        <v>397</v>
      </c>
      <c r="AB320" s="105">
        <v>46057.428472222222</v>
      </c>
      <c r="AC320" s="105">
        <v>46058.004166666666</v>
      </c>
    </row>
    <row r="321" s="70" customFormat="1" ht="11.25" customHeight="1">
      <c r="A321" s="87"/>
      <c r="C321" s="43" t="s">
        <v>914</v>
      </c>
      <c r="D321" s="71" t="s">
        <v>382</v>
      </c>
      <c r="E321" s="71" t="str">
        <f>MID(D321,1,2)</f>
        <v>IL</v>
      </c>
      <c r="F321" s="71" t="s">
        <v>677</v>
      </c>
      <c r="G321" s="71" t="str">
        <f>MID(F321,1,2)</f>
        <v>DE</v>
      </c>
      <c r="H321" s="43" t="s">
        <v>915</v>
      </c>
      <c r="I321" s="71"/>
      <c r="J321" s="71" t="s">
        <v>435</v>
      </c>
      <c r="K321" s="43"/>
      <c r="L321" s="71" t="s">
        <v>105</v>
      </c>
      <c r="M321" s="73">
        <v>108</v>
      </c>
      <c r="N321" s="71" t="s">
        <v>388</v>
      </c>
      <c r="O321" s="73">
        <v>1.18</v>
      </c>
      <c r="P321" s="71" t="s">
        <v>389</v>
      </c>
      <c r="Q321" s="73">
        <v>197</v>
      </c>
      <c r="R321" s="71" t="s">
        <v>388</v>
      </c>
      <c r="S321" s="73">
        <v>0</v>
      </c>
      <c r="T321" s="71" t="s">
        <v>390</v>
      </c>
      <c r="U321" s="74">
        <v>1</v>
      </c>
      <c r="V321" s="71" t="s">
        <v>391</v>
      </c>
      <c r="W321" s="130"/>
      <c r="X321" s="72">
        <v>46056.576388888891</v>
      </c>
      <c r="Y321" s="72">
        <v>46057.305555555555</v>
      </c>
      <c r="Z321" s="104" t="s">
        <v>382</v>
      </c>
      <c r="AA321" s="104" t="s">
        <v>383</v>
      </c>
      <c r="AB321" s="105">
        <v>46056.557638888888</v>
      </c>
      <c r="AC321" s="105">
        <v>46056.726388888892</v>
      </c>
    </row>
    <row r="322" s="70" customFormat="1" ht="11.25" customHeight="1">
      <c r="A322" s="87"/>
      <c r="C322" s="43" t="s">
        <v>914</v>
      </c>
      <c r="D322" s="71" t="s">
        <v>382</v>
      </c>
      <c r="E322" s="71" t="str">
        <f>MID(D322,1,2)</f>
        <v>IL</v>
      </c>
      <c r="F322" s="71" t="s">
        <v>677</v>
      </c>
      <c r="G322" s="71" t="str">
        <f>MID(F322,1,2)</f>
        <v>DE</v>
      </c>
      <c r="H322" s="43" t="s">
        <v>915</v>
      </c>
      <c r="I322" s="71"/>
      <c r="J322" s="71" t="s">
        <v>435</v>
      </c>
      <c r="K322" s="43"/>
      <c r="L322" s="71" t="s">
        <v>105</v>
      </c>
      <c r="M322" s="73">
        <v>108</v>
      </c>
      <c r="N322" s="71" t="s">
        <v>388</v>
      </c>
      <c r="O322" s="73">
        <v>1.18</v>
      </c>
      <c r="P322" s="71" t="s">
        <v>389</v>
      </c>
      <c r="Q322" s="73">
        <v>197</v>
      </c>
      <c r="R322" s="71" t="s">
        <v>388</v>
      </c>
      <c r="S322" s="73">
        <v>0</v>
      </c>
      <c r="T322" s="71" t="s">
        <v>390</v>
      </c>
      <c r="U322" s="74">
        <v>1</v>
      </c>
      <c r="V322" s="71" t="s">
        <v>391</v>
      </c>
      <c r="W322" s="130"/>
      <c r="X322" s="72">
        <v>46056.576388888891</v>
      </c>
      <c r="Y322" s="72">
        <v>46057.305555555555</v>
      </c>
      <c r="Z322" s="104" t="s">
        <v>383</v>
      </c>
      <c r="AA322" s="104" t="s">
        <v>677</v>
      </c>
      <c r="AB322" s="105">
        <v>46057.135416666664</v>
      </c>
      <c r="AC322" s="105">
        <v>46057.284722222219</v>
      </c>
    </row>
    <row r="323" s="70" customFormat="1" ht="11.25" customHeight="1">
      <c r="A323" s="87"/>
      <c r="C323" s="43" t="s">
        <v>916</v>
      </c>
      <c r="D323" s="71" t="s">
        <v>382</v>
      </c>
      <c r="E323" s="71" t="str">
        <f>MID(D323,1,2)</f>
        <v>IL</v>
      </c>
      <c r="F323" s="71" t="s">
        <v>465</v>
      </c>
      <c r="G323" s="71" t="str">
        <f>MID(F323,1,2)</f>
        <v>AZ</v>
      </c>
      <c r="H323" s="43" t="s">
        <v>917</v>
      </c>
      <c r="I323" s="71"/>
      <c r="J323" s="71" t="s">
        <v>426</v>
      </c>
      <c r="K323" s="43"/>
      <c r="L323" s="71" t="s">
        <v>105</v>
      </c>
      <c r="M323" s="73">
        <v>22</v>
      </c>
      <c r="N323" s="71" t="s">
        <v>388</v>
      </c>
      <c r="O323" s="73">
        <v>0.389</v>
      </c>
      <c r="P323" s="71" t="s">
        <v>389</v>
      </c>
      <c r="Q323" s="73">
        <v>100</v>
      </c>
      <c r="R323" s="71" t="s">
        <v>388</v>
      </c>
      <c r="S323" s="73">
        <v>0</v>
      </c>
      <c r="T323" s="71" t="s">
        <v>390</v>
      </c>
      <c r="U323" s="74">
        <v>1</v>
      </c>
      <c r="V323" s="71" t="s">
        <v>391</v>
      </c>
      <c r="W323" s="130"/>
      <c r="X323" s="72">
        <v>46057.951388888891</v>
      </c>
      <c r="Y323" s="72">
        <v>46059.131944444445</v>
      </c>
      <c r="Z323" s="104" t="s">
        <v>382</v>
      </c>
      <c r="AA323" s="104" t="s">
        <v>465</v>
      </c>
      <c r="AB323" s="105">
        <v>46058.229861111111</v>
      </c>
      <c r="AC323" s="105">
        <v>46058.428472222222</v>
      </c>
    </row>
    <row r="324" s="70" customFormat="1" ht="11.25" customHeight="1">
      <c r="A324" s="87"/>
      <c r="C324" s="43" t="s">
        <v>918</v>
      </c>
      <c r="D324" s="71" t="s">
        <v>382</v>
      </c>
      <c r="E324" s="71" t="str">
        <f>MID(D324,1,2)</f>
        <v>IL</v>
      </c>
      <c r="F324" s="71" t="s">
        <v>919</v>
      </c>
      <c r="G324" s="71" t="str">
        <f>MID(F324,1,2)</f>
        <v>CN</v>
      </c>
      <c r="H324" s="43" t="s">
        <v>920</v>
      </c>
      <c r="I324" s="71" t="s">
        <v>921</v>
      </c>
      <c r="J324" s="71" t="s">
        <v>755</v>
      </c>
      <c r="K324" s="43"/>
      <c r="L324" s="71" t="s">
        <v>105</v>
      </c>
      <c r="M324" s="73">
        <v>1</v>
      </c>
      <c r="N324" s="71" t="s">
        <v>388</v>
      </c>
      <c r="O324" s="73">
        <v>0.013</v>
      </c>
      <c r="P324" s="71" t="s">
        <v>389</v>
      </c>
      <c r="Q324" s="73">
        <v>2.5</v>
      </c>
      <c r="R324" s="71" t="s">
        <v>388</v>
      </c>
      <c r="S324" s="73">
        <v>0</v>
      </c>
      <c r="T324" s="71" t="s">
        <v>390</v>
      </c>
      <c r="U324" s="74">
        <v>1</v>
      </c>
      <c r="V324" s="71" t="s">
        <v>391</v>
      </c>
      <c r="W324" s="130">
        <v>46055.588379629633</v>
      </c>
      <c r="X324" s="72">
        <v>46056.690972222219</v>
      </c>
      <c r="Y324" s="72">
        <v>46059.128472222219</v>
      </c>
      <c r="Z324" s="104" t="s">
        <v>382</v>
      </c>
      <c r="AA324" s="104" t="s">
        <v>383</v>
      </c>
      <c r="AB324" s="105">
        <v>46056.695138888892</v>
      </c>
      <c r="AC324" s="105">
        <v>46056.838194444441</v>
      </c>
    </row>
    <row r="325" s="70" customFormat="1" ht="11.25" customHeight="1">
      <c r="A325" s="87"/>
      <c r="C325" s="43" t="s">
        <v>918</v>
      </c>
      <c r="D325" s="71" t="s">
        <v>382</v>
      </c>
      <c r="E325" s="71" t="str">
        <f>MID(D325,1,2)</f>
        <v>IL</v>
      </c>
      <c r="F325" s="71" t="s">
        <v>919</v>
      </c>
      <c r="G325" s="71" t="str">
        <f>MID(F325,1,2)</f>
        <v>CN</v>
      </c>
      <c r="H325" s="43" t="s">
        <v>920</v>
      </c>
      <c r="I325" s="71" t="s">
        <v>921</v>
      </c>
      <c r="J325" s="71" t="s">
        <v>755</v>
      </c>
      <c r="K325" s="43"/>
      <c r="L325" s="71" t="s">
        <v>105</v>
      </c>
      <c r="M325" s="73">
        <v>1</v>
      </c>
      <c r="N325" s="71" t="s">
        <v>388</v>
      </c>
      <c r="O325" s="73">
        <v>0.013</v>
      </c>
      <c r="P325" s="71" t="s">
        <v>389</v>
      </c>
      <c r="Q325" s="73">
        <v>2.5</v>
      </c>
      <c r="R325" s="71" t="s">
        <v>388</v>
      </c>
      <c r="S325" s="73">
        <v>0</v>
      </c>
      <c r="T325" s="71" t="s">
        <v>390</v>
      </c>
      <c r="U325" s="74">
        <v>1</v>
      </c>
      <c r="V325" s="71" t="s">
        <v>391</v>
      </c>
      <c r="W325" s="130">
        <v>46055.588379629633</v>
      </c>
      <c r="X325" s="72">
        <v>46056.690972222219</v>
      </c>
      <c r="Y325" s="72">
        <v>46059.128472222219</v>
      </c>
      <c r="Z325" s="104" t="s">
        <v>383</v>
      </c>
      <c r="AA325" s="104" t="s">
        <v>919</v>
      </c>
      <c r="AB325" s="105">
        <v>46058.379166666666</v>
      </c>
      <c r="AC325" s="105">
        <v>46059.106944444444</v>
      </c>
    </row>
    <row r="326" s="70" customFormat="1" ht="11.25" customHeight="1">
      <c r="A326" s="87"/>
      <c r="C326" s="43" t="s">
        <v>922</v>
      </c>
      <c r="D326" s="71" t="s">
        <v>382</v>
      </c>
      <c r="E326" s="71" t="str">
        <f>MID(D326,1,2)</f>
        <v>IL</v>
      </c>
      <c r="F326" s="71" t="s">
        <v>443</v>
      </c>
      <c r="G326" s="71" t="str">
        <f>MID(F326,1,2)</f>
        <v>US</v>
      </c>
      <c r="H326" s="43" t="s">
        <v>923</v>
      </c>
      <c r="I326" s="71" t="s">
        <v>923</v>
      </c>
      <c r="J326" s="71" t="s">
        <v>400</v>
      </c>
      <c r="K326" s="43"/>
      <c r="L326" s="71" t="s">
        <v>105</v>
      </c>
      <c r="M326" s="73">
        <v>14</v>
      </c>
      <c r="N326" s="71" t="s">
        <v>388</v>
      </c>
      <c r="O326" s="73">
        <v>0.135</v>
      </c>
      <c r="P326" s="71" t="s">
        <v>389</v>
      </c>
      <c r="Q326" s="73">
        <v>22.5</v>
      </c>
      <c r="R326" s="71" t="s">
        <v>388</v>
      </c>
      <c r="S326" s="73">
        <v>0</v>
      </c>
      <c r="T326" s="71" t="s">
        <v>390</v>
      </c>
      <c r="U326" s="74">
        <v>1</v>
      </c>
      <c r="V326" s="71" t="s">
        <v>391</v>
      </c>
      <c r="W326" s="130"/>
      <c r="X326" s="72">
        <v>46056.614583333336</v>
      </c>
      <c r="Y326" s="72">
        <v>46059.614583333336</v>
      </c>
      <c r="Z326" s="104" t="s">
        <v>382</v>
      </c>
      <c r="AA326" s="104" t="s">
        <v>443</v>
      </c>
      <c r="AB326" s="105">
        <v>46056.728472222225</v>
      </c>
      <c r="AC326" s="105">
        <v>46058.00277777778</v>
      </c>
    </row>
    <row r="327" s="70" customFormat="1" ht="11.25" customHeight="1">
      <c r="A327" s="87"/>
      <c r="C327" s="43" t="s">
        <v>924</v>
      </c>
      <c r="D327" s="71" t="s">
        <v>382</v>
      </c>
      <c r="E327" s="71" t="str">
        <f>MID(D327,1,2)</f>
        <v>IL</v>
      </c>
      <c r="F327" s="71" t="s">
        <v>640</v>
      </c>
      <c r="G327" s="71" t="str">
        <f>MID(F327,1,2)</f>
        <v>VN</v>
      </c>
      <c r="H327" s="43" t="s">
        <v>925</v>
      </c>
      <c r="I327" s="71" t="s">
        <v>926</v>
      </c>
      <c r="J327" s="71" t="s">
        <v>454</v>
      </c>
      <c r="K327" s="43"/>
      <c r="L327" s="71" t="s">
        <v>107</v>
      </c>
      <c r="M327" s="73">
        <v>2716</v>
      </c>
      <c r="N327" s="71" t="s">
        <v>388</v>
      </c>
      <c r="O327" s="73">
        <v>21.197</v>
      </c>
      <c r="P327" s="71" t="s">
        <v>389</v>
      </c>
      <c r="Q327" s="73">
        <v>3533</v>
      </c>
      <c r="R327" s="71" t="s">
        <v>388</v>
      </c>
      <c r="S327" s="73">
        <v>0</v>
      </c>
      <c r="T327" s="71" t="s">
        <v>390</v>
      </c>
      <c r="U327" s="74">
        <v>3</v>
      </c>
      <c r="V327" s="71" t="s">
        <v>446</v>
      </c>
      <c r="W327" s="130">
        <v>46055.898796296293</v>
      </c>
      <c r="X327" s="72">
        <v>46056.626388888886</v>
      </c>
      <c r="Y327" s="72">
        <v>46056.626388888886</v>
      </c>
      <c r="Z327" s="104" t="s">
        <v>382</v>
      </c>
      <c r="AA327" s="104" t="s">
        <v>640</v>
      </c>
      <c r="AB327" s="105"/>
      <c r="AC327" s="105"/>
    </row>
    <row r="328" s="70" customFormat="1" ht="11.25" customHeight="1">
      <c r="A328" s="87"/>
      <c r="C328" s="43" t="s">
        <v>927</v>
      </c>
      <c r="D328" s="71" t="s">
        <v>382</v>
      </c>
      <c r="E328" s="71" t="str">
        <f>MID(D328,1,2)</f>
        <v>IL</v>
      </c>
      <c r="F328" s="71" t="s">
        <v>443</v>
      </c>
      <c r="G328" s="71" t="str">
        <f>MID(F328,1,2)</f>
        <v>US</v>
      </c>
      <c r="H328" s="43" t="s">
        <v>928</v>
      </c>
      <c r="I328" s="71" t="s">
        <v>929</v>
      </c>
      <c r="J328" s="71" t="s">
        <v>386</v>
      </c>
      <c r="K328" s="43"/>
      <c r="L328" s="71" t="s">
        <v>107</v>
      </c>
      <c r="M328" s="73">
        <v>183</v>
      </c>
      <c r="N328" s="71" t="s">
        <v>388</v>
      </c>
      <c r="O328" s="73">
        <v>1.792</v>
      </c>
      <c r="P328" s="71" t="s">
        <v>389</v>
      </c>
      <c r="Q328" s="73">
        <v>299</v>
      </c>
      <c r="R328" s="71" t="s">
        <v>388</v>
      </c>
      <c r="S328" s="73">
        <v>0</v>
      </c>
      <c r="T328" s="71" t="s">
        <v>390</v>
      </c>
      <c r="U328" s="74">
        <v>1</v>
      </c>
      <c r="V328" s="71" t="s">
        <v>446</v>
      </c>
      <c r="W328" s="130">
        <v>46055.423611111109</v>
      </c>
      <c r="X328" s="72">
        <v>46057.965277777781</v>
      </c>
      <c r="Y328" s="72">
        <v>46060.829861111109</v>
      </c>
      <c r="Z328" s="104" t="s">
        <v>382</v>
      </c>
      <c r="AA328" s="104" t="s">
        <v>422</v>
      </c>
      <c r="AB328" s="105">
        <v>46059.472222222219</v>
      </c>
      <c r="AC328" s="105">
        <v>46059.65</v>
      </c>
    </row>
    <row r="329" s="70" customFormat="1" ht="11.25" customHeight="1">
      <c r="A329" s="87"/>
      <c r="C329" s="43" t="s">
        <v>927</v>
      </c>
      <c r="D329" s="71" t="s">
        <v>382</v>
      </c>
      <c r="E329" s="71" t="str">
        <f>MID(D329,1,2)</f>
        <v>IL</v>
      </c>
      <c r="F329" s="71" t="s">
        <v>443</v>
      </c>
      <c r="G329" s="71" t="str">
        <f>MID(F329,1,2)</f>
        <v>US</v>
      </c>
      <c r="H329" s="43" t="s">
        <v>928</v>
      </c>
      <c r="I329" s="71" t="s">
        <v>929</v>
      </c>
      <c r="J329" s="71" t="s">
        <v>386</v>
      </c>
      <c r="K329" s="43"/>
      <c r="L329" s="71" t="s">
        <v>107</v>
      </c>
      <c r="M329" s="73">
        <v>183</v>
      </c>
      <c r="N329" s="71" t="s">
        <v>388</v>
      </c>
      <c r="O329" s="73">
        <v>1.792</v>
      </c>
      <c r="P329" s="71" t="s">
        <v>389</v>
      </c>
      <c r="Q329" s="73">
        <v>299</v>
      </c>
      <c r="R329" s="71" t="s">
        <v>388</v>
      </c>
      <c r="S329" s="73">
        <v>0</v>
      </c>
      <c r="T329" s="71" t="s">
        <v>390</v>
      </c>
      <c r="U329" s="74">
        <v>1</v>
      </c>
      <c r="V329" s="71" t="s">
        <v>446</v>
      </c>
      <c r="W329" s="130">
        <v>46055.423611111109</v>
      </c>
      <c r="X329" s="72">
        <v>46057.965277777781</v>
      </c>
      <c r="Y329" s="72">
        <v>46060.829861111109</v>
      </c>
      <c r="Z329" s="104" t="s">
        <v>422</v>
      </c>
      <c r="AA329" s="104" t="s">
        <v>443</v>
      </c>
      <c r="AB329" s="105">
        <v>46060.305555555555</v>
      </c>
      <c r="AC329" s="105">
        <v>46060.422222222223</v>
      </c>
    </row>
    <row r="330" s="70" customFormat="1" ht="11.25" customHeight="1">
      <c r="A330" s="87"/>
      <c r="C330" s="43" t="s">
        <v>930</v>
      </c>
      <c r="D330" s="71" t="s">
        <v>382</v>
      </c>
      <c r="E330" s="71" t="str">
        <f>MID(D330,1,2)</f>
        <v>IL</v>
      </c>
      <c r="F330" s="71" t="s">
        <v>443</v>
      </c>
      <c r="G330" s="71" t="str">
        <f>MID(F330,1,2)</f>
        <v>US</v>
      </c>
      <c r="H330" s="43" t="s">
        <v>928</v>
      </c>
      <c r="I330" s="71" t="s">
        <v>931</v>
      </c>
      <c r="J330" s="71" t="s">
        <v>386</v>
      </c>
      <c r="K330" s="43"/>
      <c r="L330" s="71" t="s">
        <v>107</v>
      </c>
      <c r="M330" s="73">
        <v>148</v>
      </c>
      <c r="N330" s="71" t="s">
        <v>388</v>
      </c>
      <c r="O330" s="73">
        <v>1.394</v>
      </c>
      <c r="P330" s="71" t="s">
        <v>389</v>
      </c>
      <c r="Q330" s="73">
        <v>232.5</v>
      </c>
      <c r="R330" s="71" t="s">
        <v>388</v>
      </c>
      <c r="S330" s="73">
        <v>0</v>
      </c>
      <c r="T330" s="71" t="s">
        <v>390</v>
      </c>
      <c r="U330" s="74">
        <v>1</v>
      </c>
      <c r="V330" s="71" t="s">
        <v>446</v>
      </c>
      <c r="W330" s="130">
        <v>46055.402777777781</v>
      </c>
      <c r="X330" s="72">
        <v>46057.965277777781</v>
      </c>
      <c r="Y330" s="72">
        <v>46060.829861111109</v>
      </c>
      <c r="Z330" s="104" t="s">
        <v>382</v>
      </c>
      <c r="AA330" s="104" t="s">
        <v>422</v>
      </c>
      <c r="AB330" s="105">
        <v>46059.472222222219</v>
      </c>
      <c r="AC330" s="105">
        <v>46059.65</v>
      </c>
    </row>
    <row r="331" s="70" customFormat="1" ht="11.25" customHeight="1">
      <c r="A331" s="87"/>
      <c r="C331" s="43" t="s">
        <v>930</v>
      </c>
      <c r="D331" s="71" t="s">
        <v>382</v>
      </c>
      <c r="E331" s="71" t="str">
        <f>MID(D331,1,2)</f>
        <v>IL</v>
      </c>
      <c r="F331" s="71" t="s">
        <v>443</v>
      </c>
      <c r="G331" s="71" t="str">
        <f>MID(F331,1,2)</f>
        <v>US</v>
      </c>
      <c r="H331" s="43" t="s">
        <v>928</v>
      </c>
      <c r="I331" s="71" t="s">
        <v>931</v>
      </c>
      <c r="J331" s="71" t="s">
        <v>386</v>
      </c>
      <c r="K331" s="43"/>
      <c r="L331" s="71" t="s">
        <v>107</v>
      </c>
      <c r="M331" s="73">
        <v>148</v>
      </c>
      <c r="N331" s="71" t="s">
        <v>388</v>
      </c>
      <c r="O331" s="73">
        <v>1.394</v>
      </c>
      <c r="P331" s="71" t="s">
        <v>389</v>
      </c>
      <c r="Q331" s="73">
        <v>232.5</v>
      </c>
      <c r="R331" s="71" t="s">
        <v>388</v>
      </c>
      <c r="S331" s="73">
        <v>0</v>
      </c>
      <c r="T331" s="71" t="s">
        <v>390</v>
      </c>
      <c r="U331" s="74">
        <v>1</v>
      </c>
      <c r="V331" s="71" t="s">
        <v>446</v>
      </c>
      <c r="W331" s="130">
        <v>46055.402777777781</v>
      </c>
      <c r="X331" s="72">
        <v>46057.965277777781</v>
      </c>
      <c r="Y331" s="72">
        <v>46060.829861111109</v>
      </c>
      <c r="Z331" s="104" t="s">
        <v>422</v>
      </c>
      <c r="AA331" s="104" t="s">
        <v>443</v>
      </c>
      <c r="AB331" s="105">
        <v>46060.305555555555</v>
      </c>
      <c r="AC331" s="105">
        <v>46060.422222222223</v>
      </c>
    </row>
    <row r="332" s="70" customFormat="1" ht="11.25" customHeight="1">
      <c r="A332" s="87"/>
      <c r="C332" s="43" t="s">
        <v>932</v>
      </c>
      <c r="D332" s="71" t="s">
        <v>382</v>
      </c>
      <c r="E332" s="71" t="str">
        <f>MID(D332,1,2)</f>
        <v>IL</v>
      </c>
      <c r="F332" s="71" t="s">
        <v>468</v>
      </c>
      <c r="G332" s="71" t="str">
        <f>MID(F332,1,2)</f>
        <v>US</v>
      </c>
      <c r="H332" s="43" t="s">
        <v>933</v>
      </c>
      <c r="I332" s="71" t="s">
        <v>934</v>
      </c>
      <c r="J332" s="71" t="s">
        <v>386</v>
      </c>
      <c r="K332" s="43"/>
      <c r="L332" s="71" t="s">
        <v>107</v>
      </c>
      <c r="M332" s="73">
        <v>5</v>
      </c>
      <c r="N332" s="71" t="s">
        <v>388</v>
      </c>
      <c r="O332" s="73">
        <v>0.085</v>
      </c>
      <c r="P332" s="71" t="s">
        <v>389</v>
      </c>
      <c r="Q332" s="73">
        <v>14.5</v>
      </c>
      <c r="R332" s="71" t="s">
        <v>388</v>
      </c>
      <c r="S332" s="73">
        <v>0</v>
      </c>
      <c r="T332" s="71" t="s">
        <v>390</v>
      </c>
      <c r="U332" s="74">
        <v>1</v>
      </c>
      <c r="V332" s="71" t="s">
        <v>391</v>
      </c>
      <c r="W332" s="130">
        <v>46057.709803240738</v>
      </c>
      <c r="X332" s="72">
        <v>46058.504166666666</v>
      </c>
      <c r="Y332" s="72">
        <v>46062.673611111109</v>
      </c>
      <c r="Z332" s="104" t="s">
        <v>382</v>
      </c>
      <c r="AA332" s="104" t="s">
        <v>422</v>
      </c>
      <c r="AB332" s="105">
        <v>46058.963888888888</v>
      </c>
      <c r="AC332" s="105">
        <v>46059.136805555558</v>
      </c>
    </row>
    <row r="333" s="70" customFormat="1" ht="11.25" customHeight="1">
      <c r="A333" s="87"/>
      <c r="C333" s="43" t="s">
        <v>932</v>
      </c>
      <c r="D333" s="71" t="s">
        <v>382</v>
      </c>
      <c r="E333" s="71" t="str">
        <f>MID(D333,1,2)</f>
        <v>IL</v>
      </c>
      <c r="F333" s="71" t="s">
        <v>468</v>
      </c>
      <c r="G333" s="71" t="str">
        <f>MID(F333,1,2)</f>
        <v>US</v>
      </c>
      <c r="H333" s="43" t="s">
        <v>933</v>
      </c>
      <c r="I333" s="71" t="s">
        <v>934</v>
      </c>
      <c r="J333" s="71" t="s">
        <v>386</v>
      </c>
      <c r="K333" s="43"/>
      <c r="L333" s="71" t="s">
        <v>107</v>
      </c>
      <c r="M333" s="73">
        <v>5</v>
      </c>
      <c r="N333" s="71" t="s">
        <v>388</v>
      </c>
      <c r="O333" s="73">
        <v>0.085</v>
      </c>
      <c r="P333" s="71" t="s">
        <v>389</v>
      </c>
      <c r="Q333" s="73">
        <v>14.5</v>
      </c>
      <c r="R333" s="71" t="s">
        <v>388</v>
      </c>
      <c r="S333" s="73">
        <v>0</v>
      </c>
      <c r="T333" s="71" t="s">
        <v>390</v>
      </c>
      <c r="U333" s="74">
        <v>1</v>
      </c>
      <c r="V333" s="71" t="s">
        <v>391</v>
      </c>
      <c r="W333" s="130">
        <v>46057.709803240738</v>
      </c>
      <c r="X333" s="72">
        <v>46058.504166666666</v>
      </c>
      <c r="Y333" s="72">
        <v>46062.673611111109</v>
      </c>
      <c r="Z333" s="104" t="s">
        <v>422</v>
      </c>
      <c r="AA333" s="104" t="s">
        <v>468</v>
      </c>
      <c r="AB333" s="105">
        <v>46062.542361111111</v>
      </c>
      <c r="AC333" s="105">
        <v>46062.644444444442</v>
      </c>
    </row>
    <row r="334" s="70" customFormat="1" ht="11.25" customHeight="1">
      <c r="A334" s="87"/>
      <c r="C334" s="43" t="s">
        <v>935</v>
      </c>
      <c r="D334" s="71" t="s">
        <v>382</v>
      </c>
      <c r="E334" s="71" t="str">
        <f>MID(D334,1,2)</f>
        <v>IL</v>
      </c>
      <c r="F334" s="71" t="s">
        <v>403</v>
      </c>
      <c r="G334" s="71" t="str">
        <f>MID(F334,1,2)</f>
        <v>HK</v>
      </c>
      <c r="H334" s="43" t="s">
        <v>936</v>
      </c>
      <c r="I334" s="71" t="s">
        <v>937</v>
      </c>
      <c r="J334" s="71" t="s">
        <v>454</v>
      </c>
      <c r="K334" s="43"/>
      <c r="L334" s="71" t="s">
        <v>107</v>
      </c>
      <c r="M334" s="73">
        <v>2878</v>
      </c>
      <c r="N334" s="71" t="s">
        <v>388</v>
      </c>
      <c r="O334" s="73">
        <v>23.254</v>
      </c>
      <c r="P334" s="71" t="s">
        <v>389</v>
      </c>
      <c r="Q334" s="73">
        <v>3876</v>
      </c>
      <c r="R334" s="71" t="s">
        <v>388</v>
      </c>
      <c r="S334" s="73">
        <v>0</v>
      </c>
      <c r="T334" s="71" t="s">
        <v>390</v>
      </c>
      <c r="U334" s="74">
        <v>4</v>
      </c>
      <c r="V334" s="71" t="s">
        <v>446</v>
      </c>
      <c r="W334" s="130">
        <v>46054.645833333336</v>
      </c>
      <c r="X334" s="72">
        <v>46056.638194444444</v>
      </c>
      <c r="Y334" s="72">
        <v>46056.638194444444</v>
      </c>
      <c r="Z334" s="104" t="s">
        <v>382</v>
      </c>
      <c r="AA334" s="104" t="s">
        <v>403</v>
      </c>
      <c r="AB334" s="105"/>
      <c r="AC334" s="105"/>
    </row>
    <row r="335" s="70" customFormat="1" ht="11.25" customHeight="1">
      <c r="A335" s="87"/>
      <c r="C335" s="43" t="s">
        <v>938</v>
      </c>
      <c r="D335" s="71" t="s">
        <v>382</v>
      </c>
      <c r="E335" s="71" t="str">
        <f>MID(D335,1,2)</f>
        <v>IL</v>
      </c>
      <c r="F335" s="71" t="s">
        <v>419</v>
      </c>
      <c r="G335" s="71" t="str">
        <f>MID(F335,1,2)</f>
        <v>US</v>
      </c>
      <c r="H335" s="43" t="s">
        <v>939</v>
      </c>
      <c r="I335" s="71" t="s">
        <v>940</v>
      </c>
      <c r="J335" s="71" t="s">
        <v>454</v>
      </c>
      <c r="K335" s="43"/>
      <c r="L335" s="71" t="s">
        <v>107</v>
      </c>
      <c r="M335" s="73">
        <v>78</v>
      </c>
      <c r="N335" s="71" t="s">
        <v>388</v>
      </c>
      <c r="O335" s="73">
        <v>0.614</v>
      </c>
      <c r="P335" s="71" t="s">
        <v>389</v>
      </c>
      <c r="Q335" s="73">
        <v>102.5</v>
      </c>
      <c r="R335" s="71" t="s">
        <v>388</v>
      </c>
      <c r="S335" s="73">
        <v>0</v>
      </c>
      <c r="T335" s="71" t="s">
        <v>390</v>
      </c>
      <c r="U335" s="74">
        <v>1</v>
      </c>
      <c r="V335" s="71" t="s">
        <v>446</v>
      </c>
      <c r="W335" s="130">
        <v>46062.527777777781</v>
      </c>
      <c r="X335" s="72">
        <v>46063.504861111112</v>
      </c>
      <c r="Y335" s="72">
        <v>46063.619444444441</v>
      </c>
      <c r="Z335" s="104" t="s">
        <v>382</v>
      </c>
      <c r="AA335" s="104" t="s">
        <v>422</v>
      </c>
      <c r="AB335" s="105">
        <v>46063.966666666667</v>
      </c>
      <c r="AC335" s="105">
        <v>46064.147222222222</v>
      </c>
    </row>
    <row r="336" s="70" customFormat="1" ht="11.25" customHeight="1">
      <c r="A336" s="87"/>
      <c r="C336" s="43" t="s">
        <v>938</v>
      </c>
      <c r="D336" s="71" t="s">
        <v>382</v>
      </c>
      <c r="E336" s="71" t="str">
        <f>MID(D336,1,2)</f>
        <v>IL</v>
      </c>
      <c r="F336" s="71" t="s">
        <v>419</v>
      </c>
      <c r="G336" s="71" t="str">
        <f>MID(F336,1,2)</f>
        <v>US</v>
      </c>
      <c r="H336" s="43" t="s">
        <v>939</v>
      </c>
      <c r="I336" s="71" t="s">
        <v>940</v>
      </c>
      <c r="J336" s="71" t="s">
        <v>454</v>
      </c>
      <c r="K336" s="43"/>
      <c r="L336" s="71" t="s">
        <v>107</v>
      </c>
      <c r="M336" s="73">
        <v>78</v>
      </c>
      <c r="N336" s="71" t="s">
        <v>388</v>
      </c>
      <c r="O336" s="73">
        <v>0.614</v>
      </c>
      <c r="P336" s="71" t="s">
        <v>389</v>
      </c>
      <c r="Q336" s="73">
        <v>102.5</v>
      </c>
      <c r="R336" s="71" t="s">
        <v>388</v>
      </c>
      <c r="S336" s="73">
        <v>0</v>
      </c>
      <c r="T336" s="71" t="s">
        <v>390</v>
      </c>
      <c r="U336" s="74">
        <v>1</v>
      </c>
      <c r="V336" s="71" t="s">
        <v>446</v>
      </c>
      <c r="W336" s="130">
        <v>46062.527777777781</v>
      </c>
      <c r="X336" s="72">
        <v>46063.504861111112</v>
      </c>
      <c r="Y336" s="72">
        <v>46063.619444444441</v>
      </c>
      <c r="Z336" s="104" t="s">
        <v>422</v>
      </c>
      <c r="AA336" s="104" t="s">
        <v>419</v>
      </c>
      <c r="AB336" s="105">
        <v>46064.509722222225</v>
      </c>
      <c r="AC336" s="105">
        <v>46064.599305555559</v>
      </c>
    </row>
    <row r="337" s="70" customFormat="1" ht="11.25" customHeight="1">
      <c r="A337" s="87"/>
      <c r="C337" s="43" t="s">
        <v>941</v>
      </c>
      <c r="D337" s="71" t="s">
        <v>382</v>
      </c>
      <c r="E337" s="71" t="str">
        <f>MID(D337,1,2)</f>
        <v>IL</v>
      </c>
      <c r="F337" s="71" t="s">
        <v>942</v>
      </c>
      <c r="G337" s="71" t="str">
        <f>MID(F337,1,2)</f>
        <v>CH</v>
      </c>
      <c r="H337" s="43" t="s">
        <v>943</v>
      </c>
      <c r="I337" s="71" t="s">
        <v>944</v>
      </c>
      <c r="J337" s="71" t="s">
        <v>400</v>
      </c>
      <c r="K337" s="43"/>
      <c r="L337" s="71" t="s">
        <v>105</v>
      </c>
      <c r="M337" s="73">
        <v>248</v>
      </c>
      <c r="N337" s="71" t="s">
        <v>388</v>
      </c>
      <c r="O337" s="73">
        <v>0.624</v>
      </c>
      <c r="P337" s="71" t="s">
        <v>389</v>
      </c>
      <c r="Q337" s="73">
        <v>248</v>
      </c>
      <c r="R337" s="71" t="s">
        <v>388</v>
      </c>
      <c r="S337" s="73">
        <v>0</v>
      </c>
      <c r="T337" s="71" t="s">
        <v>390</v>
      </c>
      <c r="U337" s="74">
        <v>1</v>
      </c>
      <c r="V337" s="71" t="s">
        <v>391</v>
      </c>
      <c r="W337" s="130">
        <v>46055.692430555559</v>
      </c>
      <c r="X337" s="72">
        <v>46056.663194444445</v>
      </c>
      <c r="Y337" s="72">
        <v>46059.291666666664</v>
      </c>
      <c r="Z337" s="104" t="s">
        <v>382</v>
      </c>
      <c r="AA337" s="104" t="s">
        <v>577</v>
      </c>
      <c r="AB337" s="105">
        <v>46056.660416666666</v>
      </c>
      <c r="AC337" s="105">
        <v>46056.825</v>
      </c>
    </row>
    <row r="338" s="70" customFormat="1" ht="11.25" customHeight="1">
      <c r="A338" s="87"/>
      <c r="C338" s="43" t="s">
        <v>941</v>
      </c>
      <c r="D338" s="71" t="s">
        <v>382</v>
      </c>
      <c r="E338" s="71" t="str">
        <f>MID(D338,1,2)</f>
        <v>IL</v>
      </c>
      <c r="F338" s="71" t="s">
        <v>942</v>
      </c>
      <c r="G338" s="71" t="str">
        <f>MID(F338,1,2)</f>
        <v>CH</v>
      </c>
      <c r="H338" s="43" t="s">
        <v>943</v>
      </c>
      <c r="I338" s="71" t="s">
        <v>944</v>
      </c>
      <c r="J338" s="71" t="s">
        <v>400</v>
      </c>
      <c r="K338" s="43"/>
      <c r="L338" s="71" t="s">
        <v>105</v>
      </c>
      <c r="M338" s="73">
        <v>248</v>
      </c>
      <c r="N338" s="71" t="s">
        <v>388</v>
      </c>
      <c r="O338" s="73">
        <v>0.624</v>
      </c>
      <c r="P338" s="71" t="s">
        <v>389</v>
      </c>
      <c r="Q338" s="73">
        <v>248</v>
      </c>
      <c r="R338" s="71" t="s">
        <v>388</v>
      </c>
      <c r="S338" s="73">
        <v>0</v>
      </c>
      <c r="T338" s="71" t="s">
        <v>390</v>
      </c>
      <c r="U338" s="74">
        <v>1</v>
      </c>
      <c r="V338" s="71" t="s">
        <v>391</v>
      </c>
      <c r="W338" s="130">
        <v>46055.692430555559</v>
      </c>
      <c r="X338" s="72">
        <v>46056.663194444445</v>
      </c>
      <c r="Y338" s="72">
        <v>46059.291666666664</v>
      </c>
      <c r="Z338" s="104" t="s">
        <v>577</v>
      </c>
      <c r="AA338" s="104" t="s">
        <v>942</v>
      </c>
      <c r="AB338" s="105">
        <v>46058.920138888891</v>
      </c>
      <c r="AC338" s="105">
        <v>46059.3125</v>
      </c>
    </row>
    <row r="339" s="70" customFormat="1" ht="11.25" customHeight="1">
      <c r="A339" s="87"/>
      <c r="C339" s="43" t="s">
        <v>945</v>
      </c>
      <c r="D339" s="71" t="s">
        <v>382</v>
      </c>
      <c r="E339" s="71" t="str">
        <f>MID(D339,1,2)</f>
        <v>IL</v>
      </c>
      <c r="F339" s="71" t="s">
        <v>468</v>
      </c>
      <c r="G339" s="71" t="str">
        <f>MID(F339,1,2)</f>
        <v>US</v>
      </c>
      <c r="H339" s="43" t="s">
        <v>613</v>
      </c>
      <c r="I339" s="71" t="s">
        <v>946</v>
      </c>
      <c r="J339" s="71" t="s">
        <v>386</v>
      </c>
      <c r="K339" s="43"/>
      <c r="L339" s="71" t="s">
        <v>107</v>
      </c>
      <c r="M339" s="73">
        <v>3</v>
      </c>
      <c r="N339" s="71" t="s">
        <v>388</v>
      </c>
      <c r="O339" s="73">
        <v>0.024</v>
      </c>
      <c r="P339" s="71" t="s">
        <v>389</v>
      </c>
      <c r="Q339" s="73">
        <v>4</v>
      </c>
      <c r="R339" s="71" t="s">
        <v>388</v>
      </c>
      <c r="S339" s="73">
        <v>0</v>
      </c>
      <c r="T339" s="71" t="s">
        <v>390</v>
      </c>
      <c r="U339" s="74">
        <v>1</v>
      </c>
      <c r="V339" s="71" t="s">
        <v>446</v>
      </c>
      <c r="W339" s="130">
        <v>46055.45208333333</v>
      </c>
      <c r="X339" s="72">
        <v>46057.458333333336</v>
      </c>
      <c r="Y339" s="72">
        <v>46062.416666666664</v>
      </c>
      <c r="Z339" s="104" t="s">
        <v>382</v>
      </c>
      <c r="AA339" s="104" t="s">
        <v>422</v>
      </c>
      <c r="AB339" s="105">
        <v>46057.961111111108</v>
      </c>
      <c r="AC339" s="105">
        <v>46058.131944444445</v>
      </c>
    </row>
    <row r="340" s="70" customFormat="1" ht="11.25" customHeight="1">
      <c r="A340" s="87"/>
      <c r="C340" s="43" t="s">
        <v>945</v>
      </c>
      <c r="D340" s="71" t="s">
        <v>382</v>
      </c>
      <c r="E340" s="71" t="str">
        <f>MID(D340,1,2)</f>
        <v>IL</v>
      </c>
      <c r="F340" s="71" t="s">
        <v>468</v>
      </c>
      <c r="G340" s="71" t="str">
        <f>MID(F340,1,2)</f>
        <v>US</v>
      </c>
      <c r="H340" s="43" t="s">
        <v>613</v>
      </c>
      <c r="I340" s="71" t="s">
        <v>946</v>
      </c>
      <c r="J340" s="71" t="s">
        <v>386</v>
      </c>
      <c r="K340" s="43"/>
      <c r="L340" s="71" t="s">
        <v>107</v>
      </c>
      <c r="M340" s="73">
        <v>3</v>
      </c>
      <c r="N340" s="71" t="s">
        <v>388</v>
      </c>
      <c r="O340" s="73">
        <v>0.024</v>
      </c>
      <c r="P340" s="71" t="s">
        <v>389</v>
      </c>
      <c r="Q340" s="73">
        <v>4</v>
      </c>
      <c r="R340" s="71" t="s">
        <v>388</v>
      </c>
      <c r="S340" s="73">
        <v>0</v>
      </c>
      <c r="T340" s="71" t="s">
        <v>390</v>
      </c>
      <c r="U340" s="74">
        <v>1</v>
      </c>
      <c r="V340" s="71" t="s">
        <v>446</v>
      </c>
      <c r="W340" s="130">
        <v>46055.45208333333</v>
      </c>
      <c r="X340" s="72">
        <v>46057.458333333336</v>
      </c>
      <c r="Y340" s="72">
        <v>46062.416666666664</v>
      </c>
      <c r="Z340" s="104" t="s">
        <v>422</v>
      </c>
      <c r="AA340" s="104" t="s">
        <v>468</v>
      </c>
      <c r="AB340" s="105">
        <v>46058.906944444447</v>
      </c>
      <c r="AC340" s="105">
        <v>46060.544444444444</v>
      </c>
    </row>
    <row r="341" s="70" customFormat="1" ht="11.25" customHeight="1">
      <c r="A341" s="87"/>
      <c r="C341" s="43" t="s">
        <v>947</v>
      </c>
      <c r="D341" s="71" t="s">
        <v>382</v>
      </c>
      <c r="E341" s="71" t="str">
        <f>MID(D341,1,2)</f>
        <v>IL</v>
      </c>
      <c r="F341" s="71" t="s">
        <v>443</v>
      </c>
      <c r="G341" s="71" t="str">
        <f>MID(F341,1,2)</f>
        <v>US</v>
      </c>
      <c r="H341" s="43" t="s">
        <v>928</v>
      </c>
      <c r="I341" s="71" t="s">
        <v>948</v>
      </c>
      <c r="J341" s="71" t="s">
        <v>386</v>
      </c>
      <c r="K341" s="43"/>
      <c r="L341" s="71" t="s">
        <v>107</v>
      </c>
      <c r="M341" s="73">
        <v>123</v>
      </c>
      <c r="N341" s="71" t="s">
        <v>388</v>
      </c>
      <c r="O341" s="73">
        <v>1.114</v>
      </c>
      <c r="P341" s="71" t="s">
        <v>389</v>
      </c>
      <c r="Q341" s="73">
        <v>186</v>
      </c>
      <c r="R341" s="71" t="s">
        <v>388</v>
      </c>
      <c r="S341" s="73">
        <v>0</v>
      </c>
      <c r="T341" s="71" t="s">
        <v>390</v>
      </c>
      <c r="U341" s="74">
        <v>1</v>
      </c>
      <c r="V341" s="71" t="s">
        <v>446</v>
      </c>
      <c r="W341" s="130">
        <v>46055.402777777781</v>
      </c>
      <c r="X341" s="72">
        <v>46057.965277777781</v>
      </c>
      <c r="Y341" s="72">
        <v>46060.829861111109</v>
      </c>
      <c r="Z341" s="104" t="s">
        <v>382</v>
      </c>
      <c r="AA341" s="104" t="s">
        <v>422</v>
      </c>
      <c r="AB341" s="105">
        <v>46059.472222222219</v>
      </c>
      <c r="AC341" s="105">
        <v>46059.65</v>
      </c>
    </row>
    <row r="342" s="70" customFormat="1" ht="11.25" customHeight="1">
      <c r="A342" s="87"/>
      <c r="C342" s="43" t="s">
        <v>947</v>
      </c>
      <c r="D342" s="71" t="s">
        <v>382</v>
      </c>
      <c r="E342" s="71" t="str">
        <f>MID(D342,1,2)</f>
        <v>IL</v>
      </c>
      <c r="F342" s="71" t="s">
        <v>443</v>
      </c>
      <c r="G342" s="71" t="str">
        <f>MID(F342,1,2)</f>
        <v>US</v>
      </c>
      <c r="H342" s="43" t="s">
        <v>928</v>
      </c>
      <c r="I342" s="71" t="s">
        <v>948</v>
      </c>
      <c r="J342" s="71" t="s">
        <v>386</v>
      </c>
      <c r="K342" s="43"/>
      <c r="L342" s="71" t="s">
        <v>107</v>
      </c>
      <c r="M342" s="73">
        <v>123</v>
      </c>
      <c r="N342" s="71" t="s">
        <v>388</v>
      </c>
      <c r="O342" s="73">
        <v>1.114</v>
      </c>
      <c r="P342" s="71" t="s">
        <v>389</v>
      </c>
      <c r="Q342" s="73">
        <v>186</v>
      </c>
      <c r="R342" s="71" t="s">
        <v>388</v>
      </c>
      <c r="S342" s="73">
        <v>0</v>
      </c>
      <c r="T342" s="71" t="s">
        <v>390</v>
      </c>
      <c r="U342" s="74">
        <v>1</v>
      </c>
      <c r="V342" s="71" t="s">
        <v>446</v>
      </c>
      <c r="W342" s="130">
        <v>46055.402777777781</v>
      </c>
      <c r="X342" s="72">
        <v>46057.965277777781</v>
      </c>
      <c r="Y342" s="72">
        <v>46060.829861111109</v>
      </c>
      <c r="Z342" s="104" t="s">
        <v>422</v>
      </c>
      <c r="AA342" s="104" t="s">
        <v>443</v>
      </c>
      <c r="AB342" s="105">
        <v>46060.305555555555</v>
      </c>
      <c r="AC342" s="105">
        <v>46060.422222222223</v>
      </c>
    </row>
    <row r="343" s="70" customFormat="1" ht="11.25" customHeight="1">
      <c r="A343" s="87"/>
      <c r="C343" s="43" t="s">
        <v>949</v>
      </c>
      <c r="D343" s="71" t="s">
        <v>382</v>
      </c>
      <c r="E343" s="71" t="str">
        <f>MID(D343,1,2)</f>
        <v>IL</v>
      </c>
      <c r="F343" s="71" t="s">
        <v>496</v>
      </c>
      <c r="G343" s="71" t="str">
        <f>MID(F343,1,2)</f>
        <v>RO</v>
      </c>
      <c r="H343" s="43" t="s">
        <v>950</v>
      </c>
      <c r="I343" s="71" t="s">
        <v>951</v>
      </c>
      <c r="J343" s="71" t="s">
        <v>426</v>
      </c>
      <c r="K343" s="43"/>
      <c r="L343" s="71" t="s">
        <v>105</v>
      </c>
      <c r="M343" s="73">
        <v>192</v>
      </c>
      <c r="N343" s="71" t="s">
        <v>388</v>
      </c>
      <c r="O343" s="73">
        <v>1.876</v>
      </c>
      <c r="P343" s="71" t="s">
        <v>389</v>
      </c>
      <c r="Q343" s="73">
        <v>313</v>
      </c>
      <c r="R343" s="71" t="s">
        <v>388</v>
      </c>
      <c r="S343" s="73">
        <v>0</v>
      </c>
      <c r="T343" s="71" t="s">
        <v>390</v>
      </c>
      <c r="U343" s="74">
        <v>3</v>
      </c>
      <c r="V343" s="71" t="s">
        <v>391</v>
      </c>
      <c r="W343" s="130">
        <v>46054.709027777775</v>
      </c>
      <c r="X343" s="72">
        <v>46057.013888888891</v>
      </c>
      <c r="Y343" s="72">
        <v>46059.128472222219</v>
      </c>
      <c r="Z343" s="104" t="s">
        <v>382</v>
      </c>
      <c r="AA343" s="104" t="s">
        <v>496</v>
      </c>
      <c r="AB343" s="105">
        <v>46059.013888888891</v>
      </c>
      <c r="AC343" s="105">
        <v>46059.128472222219</v>
      </c>
    </row>
    <row r="344" s="70" customFormat="1" ht="11.25" customHeight="1">
      <c r="A344" s="87"/>
      <c r="C344" s="43" t="s">
        <v>952</v>
      </c>
      <c r="D344" s="71" t="s">
        <v>382</v>
      </c>
      <c r="E344" s="71" t="str">
        <f>MID(D344,1,2)</f>
        <v>IL</v>
      </c>
      <c r="F344" s="71" t="s">
        <v>422</v>
      </c>
      <c r="G344" s="71" t="str">
        <f>MID(F344,1,2)</f>
        <v>US</v>
      </c>
      <c r="H344" s="43" t="s">
        <v>953</v>
      </c>
      <c r="I344" s="71"/>
      <c r="J344" s="71" t="s">
        <v>426</v>
      </c>
      <c r="K344" s="43"/>
      <c r="L344" s="71" t="s">
        <v>105</v>
      </c>
      <c r="M344" s="73">
        <v>5438</v>
      </c>
      <c r="N344" s="71" t="s">
        <v>388</v>
      </c>
      <c r="O344" s="73">
        <v>32.736</v>
      </c>
      <c r="P344" s="71" t="s">
        <v>389</v>
      </c>
      <c r="Q344" s="73">
        <v>5456</v>
      </c>
      <c r="R344" s="71" t="s">
        <v>388</v>
      </c>
      <c r="S344" s="73">
        <v>0</v>
      </c>
      <c r="T344" s="71" t="s">
        <v>390</v>
      </c>
      <c r="U344" s="74">
        <v>24</v>
      </c>
      <c r="V344" s="71" t="s">
        <v>391</v>
      </c>
      <c r="W344" s="130">
        <v>46055.368055555555</v>
      </c>
      <c r="X344" s="72">
        <v>46057.041666666664</v>
      </c>
      <c r="Y344" s="72">
        <v>46057.25</v>
      </c>
      <c r="Z344" s="104" t="s">
        <v>382</v>
      </c>
      <c r="AA344" s="104" t="s">
        <v>422</v>
      </c>
      <c r="AB344" s="105">
        <v>46057.0625</v>
      </c>
      <c r="AC344" s="105">
        <v>46057.234027777777</v>
      </c>
    </row>
    <row r="345" s="70" customFormat="1" ht="11.25" customHeight="1">
      <c r="A345" s="87"/>
      <c r="C345" s="43" t="s">
        <v>954</v>
      </c>
      <c r="D345" s="71" t="s">
        <v>382</v>
      </c>
      <c r="E345" s="71" t="str">
        <f>MID(D345,1,2)</f>
        <v>IL</v>
      </c>
      <c r="F345" s="71" t="s">
        <v>414</v>
      </c>
      <c r="G345" s="71" t="str">
        <f>MID(F345,1,2)</f>
        <v>US</v>
      </c>
      <c r="H345" s="43" t="s">
        <v>757</v>
      </c>
      <c r="I345" s="71" t="s">
        <v>955</v>
      </c>
      <c r="J345" s="71" t="s">
        <v>386</v>
      </c>
      <c r="K345" s="43" t="s">
        <v>759</v>
      </c>
      <c r="L345" s="71" t="s">
        <v>107</v>
      </c>
      <c r="M345" s="73">
        <v>1</v>
      </c>
      <c r="N345" s="71" t="s">
        <v>388</v>
      </c>
      <c r="O345" s="73">
        <v>0.015</v>
      </c>
      <c r="P345" s="71" t="s">
        <v>389</v>
      </c>
      <c r="Q345" s="73">
        <v>2.5</v>
      </c>
      <c r="R345" s="71" t="s">
        <v>388</v>
      </c>
      <c r="S345" s="73">
        <v>0</v>
      </c>
      <c r="T345" s="71" t="s">
        <v>390</v>
      </c>
      <c r="U345" s="74">
        <v>1</v>
      </c>
      <c r="V345" s="71" t="s">
        <v>427</v>
      </c>
      <c r="W345" s="130">
        <v>46055.354861111111</v>
      </c>
      <c r="X345" s="72">
        <v>46057.03125</v>
      </c>
      <c r="Y345" s="72">
        <v>46057.25</v>
      </c>
      <c r="Z345" s="104" t="s">
        <v>382</v>
      </c>
      <c r="AA345" s="104" t="s">
        <v>414</v>
      </c>
      <c r="AB345" s="105">
        <v>46057.031944444447</v>
      </c>
      <c r="AC345" s="105">
        <v>46057.214583333334</v>
      </c>
    </row>
    <row r="346" s="70" customFormat="1" ht="11.25" customHeight="1">
      <c r="A346" s="87"/>
      <c r="C346" s="43" t="s">
        <v>956</v>
      </c>
      <c r="D346" s="71" t="s">
        <v>382</v>
      </c>
      <c r="E346" s="71" t="str">
        <f>MID(D346,1,2)</f>
        <v>IL</v>
      </c>
      <c r="F346" s="71" t="s">
        <v>414</v>
      </c>
      <c r="G346" s="71" t="str">
        <f>MID(F346,1,2)</f>
        <v>US</v>
      </c>
      <c r="H346" s="43" t="s">
        <v>757</v>
      </c>
      <c r="I346" s="71" t="s">
        <v>957</v>
      </c>
      <c r="J346" s="71" t="s">
        <v>386</v>
      </c>
      <c r="K346" s="43" t="s">
        <v>759</v>
      </c>
      <c r="L346" s="71" t="s">
        <v>107</v>
      </c>
      <c r="M346" s="73">
        <v>27</v>
      </c>
      <c r="N346" s="71" t="s">
        <v>388</v>
      </c>
      <c r="O346" s="73">
        <v>0.209</v>
      </c>
      <c r="P346" s="71" t="s">
        <v>389</v>
      </c>
      <c r="Q346" s="73">
        <v>35</v>
      </c>
      <c r="R346" s="71" t="s">
        <v>388</v>
      </c>
      <c r="S346" s="73">
        <v>0</v>
      </c>
      <c r="T346" s="71" t="s">
        <v>390</v>
      </c>
      <c r="U346" s="74">
        <v>1</v>
      </c>
      <c r="V346" s="71" t="s">
        <v>427</v>
      </c>
      <c r="W346" s="130">
        <v>46055.381944444445</v>
      </c>
      <c r="X346" s="72">
        <v>46057.03125</v>
      </c>
      <c r="Y346" s="72">
        <v>46057.25</v>
      </c>
      <c r="Z346" s="104" t="s">
        <v>382</v>
      </c>
      <c r="AA346" s="104" t="s">
        <v>414</v>
      </c>
      <c r="AB346" s="105">
        <v>46057.031944444447</v>
      </c>
      <c r="AC346" s="105">
        <v>46057.214583333334</v>
      </c>
    </row>
    <row r="347" s="70" customFormat="1" ht="11.25" customHeight="1">
      <c r="A347" s="87"/>
      <c r="C347" s="43" t="s">
        <v>958</v>
      </c>
      <c r="D347" s="71" t="s">
        <v>382</v>
      </c>
      <c r="E347" s="71" t="str">
        <f>MID(D347,1,2)</f>
        <v>IL</v>
      </c>
      <c r="F347" s="71" t="s">
        <v>414</v>
      </c>
      <c r="G347" s="71" t="str">
        <f>MID(F347,1,2)</f>
        <v>US</v>
      </c>
      <c r="H347" s="43" t="s">
        <v>757</v>
      </c>
      <c r="I347" s="71" t="s">
        <v>959</v>
      </c>
      <c r="J347" s="71" t="s">
        <v>426</v>
      </c>
      <c r="K347" s="43" t="s">
        <v>759</v>
      </c>
      <c r="L347" s="71" t="s">
        <v>105</v>
      </c>
      <c r="M347" s="73">
        <v>22</v>
      </c>
      <c r="N347" s="71" t="s">
        <v>388</v>
      </c>
      <c r="O347" s="73">
        <v>0.1</v>
      </c>
      <c r="P347" s="71" t="s">
        <v>389</v>
      </c>
      <c r="Q347" s="73">
        <v>22</v>
      </c>
      <c r="R347" s="71" t="s">
        <v>388</v>
      </c>
      <c r="S347" s="73">
        <v>0</v>
      </c>
      <c r="T347" s="71" t="s">
        <v>390</v>
      </c>
      <c r="U347" s="74">
        <v>1</v>
      </c>
      <c r="V347" s="71" t="s">
        <v>391</v>
      </c>
      <c r="W347" s="130">
        <v>46055.381944444445</v>
      </c>
      <c r="X347" s="72">
        <v>46057.03125</v>
      </c>
      <c r="Y347" s="72">
        <v>46057.25</v>
      </c>
      <c r="Z347" s="104" t="s">
        <v>382</v>
      </c>
      <c r="AA347" s="104" t="s">
        <v>414</v>
      </c>
      <c r="AB347" s="105">
        <v>46057.031944444447</v>
      </c>
      <c r="AC347" s="105">
        <v>46057.214583333334</v>
      </c>
    </row>
    <row r="348" s="70" customFormat="1" ht="11.25" customHeight="1">
      <c r="A348" s="87"/>
      <c r="C348" s="43" t="s">
        <v>960</v>
      </c>
      <c r="D348" s="71" t="s">
        <v>382</v>
      </c>
      <c r="E348" s="71" t="str">
        <f>MID(D348,1,2)</f>
        <v>IL</v>
      </c>
      <c r="F348" s="71" t="s">
        <v>414</v>
      </c>
      <c r="G348" s="71" t="str">
        <f>MID(F348,1,2)</f>
        <v>US</v>
      </c>
      <c r="H348" s="43" t="s">
        <v>757</v>
      </c>
      <c r="I348" s="71" t="s">
        <v>961</v>
      </c>
      <c r="J348" s="71" t="s">
        <v>386</v>
      </c>
      <c r="K348" s="43" t="s">
        <v>759</v>
      </c>
      <c r="L348" s="71" t="s">
        <v>107</v>
      </c>
      <c r="M348" s="73">
        <v>51</v>
      </c>
      <c r="N348" s="71" t="s">
        <v>388</v>
      </c>
      <c r="O348" s="73">
        <v>0.506</v>
      </c>
      <c r="P348" s="71" t="s">
        <v>389</v>
      </c>
      <c r="Q348" s="73">
        <v>84.5</v>
      </c>
      <c r="R348" s="71" t="s">
        <v>388</v>
      </c>
      <c r="S348" s="73">
        <v>0</v>
      </c>
      <c r="T348" s="71" t="s">
        <v>390</v>
      </c>
      <c r="U348" s="74">
        <v>1</v>
      </c>
      <c r="V348" s="71" t="s">
        <v>391</v>
      </c>
      <c r="W348" s="130">
        <v>46055.381944444445</v>
      </c>
      <c r="X348" s="72">
        <v>46057.03125</v>
      </c>
      <c r="Y348" s="72">
        <v>46057.25</v>
      </c>
      <c r="Z348" s="104" t="s">
        <v>382</v>
      </c>
      <c r="AA348" s="104" t="s">
        <v>414</v>
      </c>
      <c r="AB348" s="105">
        <v>46057.031944444447</v>
      </c>
      <c r="AC348" s="105">
        <v>46057.214583333334</v>
      </c>
    </row>
    <row r="349" s="70" customFormat="1" ht="11.25" customHeight="1">
      <c r="A349" s="87"/>
      <c r="C349" s="43" t="s">
        <v>962</v>
      </c>
      <c r="D349" s="71" t="s">
        <v>382</v>
      </c>
      <c r="E349" s="71" t="str">
        <f>MID(D349,1,2)</f>
        <v>IL</v>
      </c>
      <c r="F349" s="71" t="s">
        <v>963</v>
      </c>
      <c r="G349" s="71" t="str">
        <f>MID(F349,1,2)</f>
        <v>IN</v>
      </c>
      <c r="H349" s="43" t="s">
        <v>964</v>
      </c>
      <c r="I349" s="71" t="s">
        <v>965</v>
      </c>
      <c r="J349" s="71" t="s">
        <v>426</v>
      </c>
      <c r="K349" s="43"/>
      <c r="L349" s="71" t="s">
        <v>105</v>
      </c>
      <c r="M349" s="73">
        <v>16</v>
      </c>
      <c r="N349" s="71" t="s">
        <v>388</v>
      </c>
      <c r="O349" s="73">
        <v>0.156</v>
      </c>
      <c r="P349" s="71" t="s">
        <v>389</v>
      </c>
      <c r="Q349" s="73">
        <v>26</v>
      </c>
      <c r="R349" s="71" t="s">
        <v>388</v>
      </c>
      <c r="S349" s="73">
        <v>0</v>
      </c>
      <c r="T349" s="71" t="s">
        <v>390</v>
      </c>
      <c r="U349" s="74">
        <v>1</v>
      </c>
      <c r="V349" s="71" t="s">
        <v>391</v>
      </c>
      <c r="W349" s="130">
        <v>46055.65079861111</v>
      </c>
      <c r="X349" s="72">
        <v>46058.690972222219</v>
      </c>
      <c r="Y349" s="72">
        <v>46060.14166666667</v>
      </c>
      <c r="Z349" s="104" t="s">
        <v>382</v>
      </c>
      <c r="AA349" s="104" t="s">
        <v>383</v>
      </c>
      <c r="AB349" s="105">
        <v>46058.693055555559</v>
      </c>
      <c r="AC349" s="105">
        <v>46058.836805555555</v>
      </c>
    </row>
    <row r="350" s="70" customFormat="1" ht="11.25" customHeight="1">
      <c r="A350" s="87"/>
      <c r="C350" s="43" t="s">
        <v>962</v>
      </c>
      <c r="D350" s="71" t="s">
        <v>382</v>
      </c>
      <c r="E350" s="71" t="str">
        <f>MID(D350,1,2)</f>
        <v>IL</v>
      </c>
      <c r="F350" s="71" t="s">
        <v>963</v>
      </c>
      <c r="G350" s="71" t="str">
        <f>MID(F350,1,2)</f>
        <v>IN</v>
      </c>
      <c r="H350" s="43" t="s">
        <v>964</v>
      </c>
      <c r="I350" s="71" t="s">
        <v>965</v>
      </c>
      <c r="J350" s="71" t="s">
        <v>426</v>
      </c>
      <c r="K350" s="43"/>
      <c r="L350" s="71" t="s">
        <v>105</v>
      </c>
      <c r="M350" s="73">
        <v>16</v>
      </c>
      <c r="N350" s="71" t="s">
        <v>388</v>
      </c>
      <c r="O350" s="73">
        <v>0.156</v>
      </c>
      <c r="P350" s="71" t="s">
        <v>389</v>
      </c>
      <c r="Q350" s="73">
        <v>26</v>
      </c>
      <c r="R350" s="71" t="s">
        <v>388</v>
      </c>
      <c r="S350" s="73">
        <v>0</v>
      </c>
      <c r="T350" s="71" t="s">
        <v>390</v>
      </c>
      <c r="U350" s="74">
        <v>1</v>
      </c>
      <c r="V350" s="71" t="s">
        <v>391</v>
      </c>
      <c r="W350" s="130">
        <v>46055.65079861111</v>
      </c>
      <c r="X350" s="72">
        <v>46058.690972222219</v>
      </c>
      <c r="Y350" s="72">
        <v>46060.14166666667</v>
      </c>
      <c r="Z350" s="104" t="s">
        <v>383</v>
      </c>
      <c r="AA350" s="104" t="s">
        <v>963</v>
      </c>
      <c r="AB350" s="105">
        <v>46059.533333333333</v>
      </c>
      <c r="AC350" s="105">
        <v>46060.133333333331</v>
      </c>
    </row>
    <row r="351" s="70" customFormat="1" ht="11.25" customHeight="1">
      <c r="A351" s="87"/>
      <c r="C351" s="43" t="s">
        <v>966</v>
      </c>
      <c r="D351" s="71" t="s">
        <v>382</v>
      </c>
      <c r="E351" s="71" t="str">
        <f>MID(D351,1,2)</f>
        <v>IL</v>
      </c>
      <c r="F351" s="71" t="s">
        <v>480</v>
      </c>
      <c r="G351" s="71" t="str">
        <f>MID(F351,1,2)</f>
        <v>CA</v>
      </c>
      <c r="H351" s="43" t="s">
        <v>967</v>
      </c>
      <c r="I351" s="71" t="s">
        <v>968</v>
      </c>
      <c r="J351" s="71" t="s">
        <v>386</v>
      </c>
      <c r="K351" s="43"/>
      <c r="L351" s="71" t="s">
        <v>107</v>
      </c>
      <c r="M351" s="73">
        <v>208</v>
      </c>
      <c r="N351" s="71" t="s">
        <v>388</v>
      </c>
      <c r="O351" s="73">
        <v>0.184</v>
      </c>
      <c r="P351" s="71" t="s">
        <v>389</v>
      </c>
      <c r="Q351" s="73">
        <v>208</v>
      </c>
      <c r="R351" s="71" t="s">
        <v>388</v>
      </c>
      <c r="S351" s="73">
        <v>0</v>
      </c>
      <c r="T351" s="71" t="s">
        <v>390</v>
      </c>
      <c r="U351" s="74">
        <v>2</v>
      </c>
      <c r="V351" s="71" t="s">
        <v>417</v>
      </c>
      <c r="W351" s="130">
        <v>46055.548611111109</v>
      </c>
      <c r="X351" s="72">
        <v>46056.496527777781</v>
      </c>
      <c r="Y351" s="72">
        <v>46058.765972222223</v>
      </c>
      <c r="Z351" s="104" t="s">
        <v>382</v>
      </c>
      <c r="AA351" s="104" t="s">
        <v>405</v>
      </c>
      <c r="AB351" s="105">
        <v>46056.495138888888</v>
      </c>
      <c r="AC351" s="105">
        <v>46056.689583333333</v>
      </c>
    </row>
    <row r="352" s="70" customFormat="1" ht="11.25" customHeight="1">
      <c r="A352" s="87"/>
      <c r="C352" s="43" t="s">
        <v>966</v>
      </c>
      <c r="D352" s="71" t="s">
        <v>382</v>
      </c>
      <c r="E352" s="71" t="str">
        <f>MID(D352,1,2)</f>
        <v>IL</v>
      </c>
      <c r="F352" s="71" t="s">
        <v>480</v>
      </c>
      <c r="G352" s="71" t="str">
        <f>MID(F352,1,2)</f>
        <v>CA</v>
      </c>
      <c r="H352" s="43" t="s">
        <v>967</v>
      </c>
      <c r="I352" s="71" t="s">
        <v>968</v>
      </c>
      <c r="J352" s="71" t="s">
        <v>386</v>
      </c>
      <c r="K352" s="43"/>
      <c r="L352" s="71" t="s">
        <v>107</v>
      </c>
      <c r="M352" s="73">
        <v>208</v>
      </c>
      <c r="N352" s="71" t="s">
        <v>388</v>
      </c>
      <c r="O352" s="73">
        <v>0.184</v>
      </c>
      <c r="P352" s="71" t="s">
        <v>389</v>
      </c>
      <c r="Q352" s="73">
        <v>208</v>
      </c>
      <c r="R352" s="71" t="s">
        <v>388</v>
      </c>
      <c r="S352" s="73">
        <v>0</v>
      </c>
      <c r="T352" s="71" t="s">
        <v>390</v>
      </c>
      <c r="U352" s="74">
        <v>2</v>
      </c>
      <c r="V352" s="71" t="s">
        <v>417</v>
      </c>
      <c r="W352" s="130">
        <v>46055.548611111109</v>
      </c>
      <c r="X352" s="72">
        <v>46056.496527777781</v>
      </c>
      <c r="Y352" s="72">
        <v>46058.765972222223</v>
      </c>
      <c r="Z352" s="104" t="s">
        <v>405</v>
      </c>
      <c r="AA352" s="104" t="s">
        <v>480</v>
      </c>
      <c r="AB352" s="105">
        <v>46058.706944444442</v>
      </c>
      <c r="AC352" s="105">
        <v>46058.756944444445</v>
      </c>
    </row>
    <row r="353" s="70" customFormat="1" ht="11.25" customHeight="1">
      <c r="A353" s="87"/>
      <c r="C353" s="43" t="s">
        <v>969</v>
      </c>
      <c r="D353" s="71" t="s">
        <v>382</v>
      </c>
      <c r="E353" s="71" t="str">
        <f>MID(D353,1,2)</f>
        <v>IL</v>
      </c>
      <c r="F353" s="71" t="s">
        <v>480</v>
      </c>
      <c r="G353" s="71" t="str">
        <f>MID(F353,1,2)</f>
        <v>CA</v>
      </c>
      <c r="H353" s="43" t="s">
        <v>967</v>
      </c>
      <c r="I353" s="71" t="s">
        <v>970</v>
      </c>
      <c r="J353" s="71" t="s">
        <v>386</v>
      </c>
      <c r="K353" s="43"/>
      <c r="L353" s="71" t="s">
        <v>107</v>
      </c>
      <c r="M353" s="73">
        <v>107</v>
      </c>
      <c r="N353" s="71" t="s">
        <v>388</v>
      </c>
      <c r="O353" s="73">
        <v>0.209</v>
      </c>
      <c r="P353" s="71" t="s">
        <v>389</v>
      </c>
      <c r="Q353" s="73">
        <v>107</v>
      </c>
      <c r="R353" s="71" t="s">
        <v>388</v>
      </c>
      <c r="S353" s="73">
        <v>0</v>
      </c>
      <c r="T353" s="71" t="s">
        <v>390</v>
      </c>
      <c r="U353" s="74">
        <v>1</v>
      </c>
      <c r="V353" s="71" t="s">
        <v>417</v>
      </c>
      <c r="W353" s="130">
        <v>46055.548611111109</v>
      </c>
      <c r="X353" s="72">
        <v>46056.496527777781</v>
      </c>
      <c r="Y353" s="72">
        <v>46058.765972222223</v>
      </c>
      <c r="Z353" s="104" t="s">
        <v>382</v>
      </c>
      <c r="AA353" s="104" t="s">
        <v>405</v>
      </c>
      <c r="AB353" s="105">
        <v>46056.495138888888</v>
      </c>
      <c r="AC353" s="105">
        <v>46056.689583333333</v>
      </c>
    </row>
    <row r="354" s="70" customFormat="1" ht="11.25" customHeight="1">
      <c r="A354" s="87"/>
      <c r="C354" s="43" t="s">
        <v>969</v>
      </c>
      <c r="D354" s="71" t="s">
        <v>382</v>
      </c>
      <c r="E354" s="71" t="str">
        <f>MID(D354,1,2)</f>
        <v>IL</v>
      </c>
      <c r="F354" s="71" t="s">
        <v>480</v>
      </c>
      <c r="G354" s="71" t="str">
        <f>MID(F354,1,2)</f>
        <v>CA</v>
      </c>
      <c r="H354" s="43" t="s">
        <v>967</v>
      </c>
      <c r="I354" s="71" t="s">
        <v>970</v>
      </c>
      <c r="J354" s="71" t="s">
        <v>386</v>
      </c>
      <c r="K354" s="43"/>
      <c r="L354" s="71" t="s">
        <v>107</v>
      </c>
      <c r="M354" s="73">
        <v>107</v>
      </c>
      <c r="N354" s="71" t="s">
        <v>388</v>
      </c>
      <c r="O354" s="73">
        <v>0.209</v>
      </c>
      <c r="P354" s="71" t="s">
        <v>389</v>
      </c>
      <c r="Q354" s="73">
        <v>107</v>
      </c>
      <c r="R354" s="71" t="s">
        <v>388</v>
      </c>
      <c r="S354" s="73">
        <v>0</v>
      </c>
      <c r="T354" s="71" t="s">
        <v>390</v>
      </c>
      <c r="U354" s="74">
        <v>1</v>
      </c>
      <c r="V354" s="71" t="s">
        <v>417</v>
      </c>
      <c r="W354" s="130">
        <v>46055.548611111109</v>
      </c>
      <c r="X354" s="72">
        <v>46056.496527777781</v>
      </c>
      <c r="Y354" s="72">
        <v>46058.765972222223</v>
      </c>
      <c r="Z354" s="104" t="s">
        <v>405</v>
      </c>
      <c r="AA354" s="104" t="s">
        <v>480</v>
      </c>
      <c r="AB354" s="105">
        <v>46058.706944444442</v>
      </c>
      <c r="AC354" s="105">
        <v>46058.756944444445</v>
      </c>
    </row>
    <row r="355" s="70" customFormat="1" ht="11.25" customHeight="1">
      <c r="A355" s="87"/>
      <c r="C355" s="43" t="s">
        <v>971</v>
      </c>
      <c r="D355" s="71" t="s">
        <v>382</v>
      </c>
      <c r="E355" s="71" t="str">
        <f>MID(D355,1,2)</f>
        <v>IL</v>
      </c>
      <c r="F355" s="71" t="s">
        <v>496</v>
      </c>
      <c r="G355" s="71" t="str">
        <f>MID(F355,1,2)</f>
        <v>RO</v>
      </c>
      <c r="H355" s="43" t="s">
        <v>972</v>
      </c>
      <c r="I355" s="71" t="s">
        <v>973</v>
      </c>
      <c r="J355" s="71" t="s">
        <v>426</v>
      </c>
      <c r="K355" s="43"/>
      <c r="L355" s="71" t="s">
        <v>105</v>
      </c>
      <c r="M355" s="73">
        <v>1125</v>
      </c>
      <c r="N355" s="71" t="s">
        <v>388</v>
      </c>
      <c r="O355" s="73">
        <v>9.064</v>
      </c>
      <c r="P355" s="71" t="s">
        <v>389</v>
      </c>
      <c r="Q355" s="73">
        <v>1511</v>
      </c>
      <c r="R355" s="71" t="s">
        <v>388</v>
      </c>
      <c r="S355" s="73">
        <v>0</v>
      </c>
      <c r="T355" s="71" t="s">
        <v>390</v>
      </c>
      <c r="U355" s="74">
        <v>3</v>
      </c>
      <c r="V355" s="71" t="s">
        <v>391</v>
      </c>
      <c r="W355" s="130">
        <v>46055.647326388891</v>
      </c>
      <c r="X355" s="72">
        <v>46056.576388888891</v>
      </c>
      <c r="Y355" s="72">
        <v>46062.395833333336</v>
      </c>
      <c r="Z355" s="104" t="s">
        <v>382</v>
      </c>
      <c r="AA355" s="104" t="s">
        <v>383</v>
      </c>
      <c r="AB355" s="105">
        <v>46056.557638888888</v>
      </c>
      <c r="AC355" s="105">
        <v>46056.726388888892</v>
      </c>
    </row>
    <row r="356" s="70" customFormat="1" ht="11.25" customHeight="1">
      <c r="A356" s="87"/>
      <c r="C356" s="43" t="s">
        <v>971</v>
      </c>
      <c r="D356" s="71" t="s">
        <v>382</v>
      </c>
      <c r="E356" s="71" t="str">
        <f>MID(D356,1,2)</f>
        <v>IL</v>
      </c>
      <c r="F356" s="71" t="s">
        <v>496</v>
      </c>
      <c r="G356" s="71" t="str">
        <f>MID(F356,1,2)</f>
        <v>RO</v>
      </c>
      <c r="H356" s="43" t="s">
        <v>972</v>
      </c>
      <c r="I356" s="71" t="s">
        <v>973</v>
      </c>
      <c r="J356" s="71" t="s">
        <v>426</v>
      </c>
      <c r="K356" s="43"/>
      <c r="L356" s="71" t="s">
        <v>105</v>
      </c>
      <c r="M356" s="73">
        <v>1125</v>
      </c>
      <c r="N356" s="71" t="s">
        <v>388</v>
      </c>
      <c r="O356" s="73">
        <v>9.064</v>
      </c>
      <c r="P356" s="71" t="s">
        <v>389</v>
      </c>
      <c r="Q356" s="73">
        <v>1511</v>
      </c>
      <c r="R356" s="71" t="s">
        <v>388</v>
      </c>
      <c r="S356" s="73">
        <v>0</v>
      </c>
      <c r="T356" s="71" t="s">
        <v>390</v>
      </c>
      <c r="U356" s="74">
        <v>3</v>
      </c>
      <c r="V356" s="71" t="s">
        <v>391</v>
      </c>
      <c r="W356" s="130">
        <v>46055.647326388891</v>
      </c>
      <c r="X356" s="72">
        <v>46056.576388888891</v>
      </c>
      <c r="Y356" s="72">
        <v>46062.395833333336</v>
      </c>
      <c r="Z356" s="104" t="s">
        <v>383</v>
      </c>
      <c r="AA356" s="104" t="s">
        <v>496</v>
      </c>
      <c r="AB356" s="105">
        <v>46060.539583333331</v>
      </c>
      <c r="AC356" s="105">
        <v>46062.416666666664</v>
      </c>
    </row>
    <row r="357" s="70" customFormat="1" ht="11.25" customHeight="1">
      <c r="A357" s="87"/>
      <c r="C357" s="43" t="s">
        <v>974</v>
      </c>
      <c r="D357" s="71" t="s">
        <v>382</v>
      </c>
      <c r="E357" s="71" t="str">
        <f>MID(D357,1,2)</f>
        <v>IL</v>
      </c>
      <c r="F357" s="71" t="s">
        <v>496</v>
      </c>
      <c r="G357" s="71" t="str">
        <f>MID(F357,1,2)</f>
        <v>RO</v>
      </c>
      <c r="H357" s="43" t="s">
        <v>975</v>
      </c>
      <c r="I357" s="71" t="s">
        <v>976</v>
      </c>
      <c r="J357" s="71" t="s">
        <v>426</v>
      </c>
      <c r="K357" s="43"/>
      <c r="L357" s="71" t="s">
        <v>105</v>
      </c>
      <c r="M357" s="73">
        <v>471</v>
      </c>
      <c r="N357" s="71" t="s">
        <v>388</v>
      </c>
      <c r="O357" s="73">
        <v>3.484</v>
      </c>
      <c r="P357" s="71" t="s">
        <v>389</v>
      </c>
      <c r="Q357" s="73">
        <v>581</v>
      </c>
      <c r="R357" s="71" t="s">
        <v>388</v>
      </c>
      <c r="S357" s="73">
        <v>0</v>
      </c>
      <c r="T357" s="71" t="s">
        <v>390</v>
      </c>
      <c r="U357" s="74">
        <v>5</v>
      </c>
      <c r="V357" s="71" t="s">
        <v>391</v>
      </c>
      <c r="W357" s="130">
        <v>46055.402777777781</v>
      </c>
      <c r="X357" s="72">
        <v>46056.743055555555</v>
      </c>
      <c r="Y357" s="72">
        <v>46056.867361111108</v>
      </c>
      <c r="Z357" s="104" t="s">
        <v>382</v>
      </c>
      <c r="AA357" s="104" t="s">
        <v>496</v>
      </c>
      <c r="AB357" s="105">
        <v>46056.738194444442</v>
      </c>
      <c r="AC357" s="105">
        <v>46056.861111111109</v>
      </c>
    </row>
    <row r="358" s="70" customFormat="1" ht="11.25" customHeight="1">
      <c r="A358" s="87"/>
      <c r="C358" s="43" t="s">
        <v>977</v>
      </c>
      <c r="D358" s="71" t="s">
        <v>382</v>
      </c>
      <c r="E358" s="71" t="str">
        <f>MID(D358,1,2)</f>
        <v>IL</v>
      </c>
      <c r="F358" s="71" t="s">
        <v>978</v>
      </c>
      <c r="G358" s="71" t="str">
        <f>MID(F358,1,2)</f>
        <v>PL</v>
      </c>
      <c r="H358" s="43" t="s">
        <v>979</v>
      </c>
      <c r="I358" s="71" t="s">
        <v>980</v>
      </c>
      <c r="J358" s="71" t="s">
        <v>811</v>
      </c>
      <c r="K358" s="43"/>
      <c r="L358" s="71" t="s">
        <v>105</v>
      </c>
      <c r="M358" s="73">
        <v>111</v>
      </c>
      <c r="N358" s="71" t="s">
        <v>388</v>
      </c>
      <c r="O358" s="73">
        <v>0.343</v>
      </c>
      <c r="P358" s="71" t="s">
        <v>389</v>
      </c>
      <c r="Q358" s="73">
        <v>111</v>
      </c>
      <c r="R358" s="71" t="s">
        <v>388</v>
      </c>
      <c r="S358" s="73">
        <v>0</v>
      </c>
      <c r="T358" s="71" t="s">
        <v>390</v>
      </c>
      <c r="U358" s="74">
        <v>6</v>
      </c>
      <c r="V358" s="71" t="s">
        <v>391</v>
      </c>
      <c r="W358" s="130">
        <v>46055.660416666666</v>
      </c>
      <c r="X358" s="72">
        <v>46056.393055555556</v>
      </c>
      <c r="Y358" s="72">
        <v>46056.583333333336</v>
      </c>
      <c r="Z358" s="104" t="s">
        <v>382</v>
      </c>
      <c r="AA358" s="104" t="s">
        <v>978</v>
      </c>
      <c r="AB358" s="105">
        <v>46057.274305555555</v>
      </c>
      <c r="AC358" s="105">
        <v>46056.583333333336</v>
      </c>
    </row>
    <row r="359" s="70" customFormat="1" ht="11.25" customHeight="1">
      <c r="A359" s="87"/>
      <c r="C359" s="43" t="s">
        <v>981</v>
      </c>
      <c r="D359" s="71" t="s">
        <v>382</v>
      </c>
      <c r="E359" s="71" t="str">
        <f>MID(D359,1,2)</f>
        <v>IL</v>
      </c>
      <c r="F359" s="71" t="s">
        <v>496</v>
      </c>
      <c r="G359" s="71" t="str">
        <f>MID(F359,1,2)</f>
        <v>RO</v>
      </c>
      <c r="H359" s="43" t="s">
        <v>982</v>
      </c>
      <c r="I359" s="71" t="s">
        <v>983</v>
      </c>
      <c r="J359" s="71" t="s">
        <v>400</v>
      </c>
      <c r="K359" s="43"/>
      <c r="L359" s="71" t="s">
        <v>105</v>
      </c>
      <c r="M359" s="73">
        <v>1</v>
      </c>
      <c r="N359" s="71" t="s">
        <v>388</v>
      </c>
      <c r="O359" s="73">
        <v>0.022</v>
      </c>
      <c r="P359" s="71" t="s">
        <v>389</v>
      </c>
      <c r="Q359" s="73">
        <v>4</v>
      </c>
      <c r="R359" s="71" t="s">
        <v>388</v>
      </c>
      <c r="S359" s="73">
        <v>0</v>
      </c>
      <c r="T359" s="71" t="s">
        <v>390</v>
      </c>
      <c r="U359" s="74">
        <v>1</v>
      </c>
      <c r="V359" s="71" t="s">
        <v>391</v>
      </c>
      <c r="W359" s="130">
        <v>46055.43125</v>
      </c>
      <c r="X359" s="72">
        <v>46057.013888888891</v>
      </c>
      <c r="Y359" s="72">
        <v>46057.125</v>
      </c>
      <c r="Z359" s="104" t="s">
        <v>382</v>
      </c>
      <c r="AA359" s="104" t="s">
        <v>496</v>
      </c>
      <c r="AB359" s="105">
        <v>46057.013888888891</v>
      </c>
      <c r="AC359" s="105">
        <v>46057.142361111109</v>
      </c>
    </row>
    <row r="360" s="70" customFormat="1" ht="11.25" customHeight="1">
      <c r="A360" s="87"/>
      <c r="C360" s="43" t="s">
        <v>984</v>
      </c>
      <c r="D360" s="71" t="s">
        <v>382</v>
      </c>
      <c r="E360" s="71" t="str">
        <f>MID(D360,1,2)</f>
        <v>IL</v>
      </c>
      <c r="F360" s="71" t="s">
        <v>465</v>
      </c>
      <c r="G360" s="71" t="str">
        <f>MID(F360,1,2)</f>
        <v>AZ</v>
      </c>
      <c r="H360" s="43" t="s">
        <v>985</v>
      </c>
      <c r="I360" s="71" t="s">
        <v>986</v>
      </c>
      <c r="J360" s="71" t="s">
        <v>400</v>
      </c>
      <c r="K360" s="43"/>
      <c r="L360" s="71" t="s">
        <v>105</v>
      </c>
      <c r="M360" s="73">
        <v>8</v>
      </c>
      <c r="N360" s="71" t="s">
        <v>388</v>
      </c>
      <c r="O360" s="73">
        <v>0.079</v>
      </c>
      <c r="P360" s="71" t="s">
        <v>389</v>
      </c>
      <c r="Q360" s="73">
        <v>13.5</v>
      </c>
      <c r="R360" s="71" t="s">
        <v>388</v>
      </c>
      <c r="S360" s="73">
        <v>0</v>
      </c>
      <c r="T360" s="71" t="s">
        <v>390</v>
      </c>
      <c r="U360" s="74">
        <v>1</v>
      </c>
      <c r="V360" s="71" t="s">
        <v>446</v>
      </c>
      <c r="W360" s="130"/>
      <c r="X360" s="72">
        <v>46057.951388888891</v>
      </c>
      <c r="Y360" s="72">
        <v>46058.131944444445</v>
      </c>
      <c r="Z360" s="104" t="s">
        <v>382</v>
      </c>
      <c r="AA360" s="104" t="s">
        <v>465</v>
      </c>
      <c r="AB360" s="105">
        <v>46058.229861111111</v>
      </c>
      <c r="AC360" s="105">
        <v>46058.428472222222</v>
      </c>
    </row>
    <row r="361" s="70" customFormat="1" ht="11.25" customHeight="1">
      <c r="A361" s="87"/>
      <c r="C361" s="43" t="s">
        <v>987</v>
      </c>
      <c r="D361" s="71" t="s">
        <v>382</v>
      </c>
      <c r="E361" s="71" t="str">
        <f>MID(D361,1,2)</f>
        <v>IL</v>
      </c>
      <c r="F361" s="71" t="s">
        <v>468</v>
      </c>
      <c r="G361" s="71" t="str">
        <f>MID(F361,1,2)</f>
        <v>US</v>
      </c>
      <c r="H361" s="43" t="s">
        <v>613</v>
      </c>
      <c r="I361" s="71" t="s">
        <v>988</v>
      </c>
      <c r="J361" s="71" t="s">
        <v>386</v>
      </c>
      <c r="K361" s="43"/>
      <c r="L361" s="71" t="s">
        <v>107</v>
      </c>
      <c r="M361" s="73">
        <v>41</v>
      </c>
      <c r="N361" s="71" t="s">
        <v>388</v>
      </c>
      <c r="O361" s="73">
        <v>0.449</v>
      </c>
      <c r="P361" s="71" t="s">
        <v>389</v>
      </c>
      <c r="Q361" s="73">
        <v>75</v>
      </c>
      <c r="R361" s="71" t="s">
        <v>388</v>
      </c>
      <c r="S361" s="73">
        <v>0</v>
      </c>
      <c r="T361" s="71" t="s">
        <v>390</v>
      </c>
      <c r="U361" s="74">
        <v>1</v>
      </c>
      <c r="V361" s="71" t="s">
        <v>391</v>
      </c>
      <c r="W361" s="130">
        <v>46055.43125</v>
      </c>
      <c r="X361" s="72">
        <v>46057.458333333336</v>
      </c>
      <c r="Y361" s="72">
        <v>46062.416666666664</v>
      </c>
      <c r="Z361" s="104" t="s">
        <v>382</v>
      </c>
      <c r="AA361" s="104" t="s">
        <v>422</v>
      </c>
      <c r="AB361" s="105">
        <v>46057.961111111108</v>
      </c>
      <c r="AC361" s="105">
        <v>46058.131944444445</v>
      </c>
    </row>
    <row r="362" s="70" customFormat="1" ht="11.25" customHeight="1">
      <c r="A362" s="87"/>
      <c r="C362" s="43" t="s">
        <v>987</v>
      </c>
      <c r="D362" s="71" t="s">
        <v>382</v>
      </c>
      <c r="E362" s="71" t="str">
        <f>MID(D362,1,2)</f>
        <v>IL</v>
      </c>
      <c r="F362" s="71" t="s">
        <v>468</v>
      </c>
      <c r="G362" s="71" t="str">
        <f>MID(F362,1,2)</f>
        <v>US</v>
      </c>
      <c r="H362" s="43" t="s">
        <v>613</v>
      </c>
      <c r="I362" s="71" t="s">
        <v>988</v>
      </c>
      <c r="J362" s="71" t="s">
        <v>386</v>
      </c>
      <c r="K362" s="43"/>
      <c r="L362" s="71" t="s">
        <v>107</v>
      </c>
      <c r="M362" s="73">
        <v>41</v>
      </c>
      <c r="N362" s="71" t="s">
        <v>388</v>
      </c>
      <c r="O362" s="73">
        <v>0.449</v>
      </c>
      <c r="P362" s="71" t="s">
        <v>389</v>
      </c>
      <c r="Q362" s="73">
        <v>75</v>
      </c>
      <c r="R362" s="71" t="s">
        <v>388</v>
      </c>
      <c r="S362" s="73">
        <v>0</v>
      </c>
      <c r="T362" s="71" t="s">
        <v>390</v>
      </c>
      <c r="U362" s="74">
        <v>1</v>
      </c>
      <c r="V362" s="71" t="s">
        <v>391</v>
      </c>
      <c r="W362" s="130">
        <v>46055.43125</v>
      </c>
      <c r="X362" s="72">
        <v>46057.458333333336</v>
      </c>
      <c r="Y362" s="72">
        <v>46062.416666666664</v>
      </c>
      <c r="Z362" s="104" t="s">
        <v>422</v>
      </c>
      <c r="AA362" s="104" t="s">
        <v>468</v>
      </c>
      <c r="AB362" s="105">
        <v>46058.906944444447</v>
      </c>
      <c r="AC362" s="105">
        <v>46060.544444444444</v>
      </c>
    </row>
    <row r="363" s="70" customFormat="1" ht="11.25" customHeight="1">
      <c r="A363" s="87"/>
      <c r="C363" s="43" t="s">
        <v>989</v>
      </c>
      <c r="D363" s="71" t="s">
        <v>382</v>
      </c>
      <c r="E363" s="71" t="str">
        <f>MID(D363,1,2)</f>
        <v>IL</v>
      </c>
      <c r="F363" s="71" t="s">
        <v>468</v>
      </c>
      <c r="G363" s="71" t="str">
        <f>MID(F363,1,2)</f>
        <v>US</v>
      </c>
      <c r="H363" s="43" t="s">
        <v>613</v>
      </c>
      <c r="I363" s="71" t="s">
        <v>990</v>
      </c>
      <c r="J363" s="71" t="s">
        <v>386</v>
      </c>
      <c r="K363" s="43"/>
      <c r="L363" s="71" t="s">
        <v>107</v>
      </c>
      <c r="M363" s="73">
        <v>6</v>
      </c>
      <c r="N363" s="71" t="s">
        <v>388</v>
      </c>
      <c r="O363" s="73">
        <v>0.085</v>
      </c>
      <c r="P363" s="71" t="s">
        <v>389</v>
      </c>
      <c r="Q363" s="73">
        <v>14.5</v>
      </c>
      <c r="R363" s="71" t="s">
        <v>388</v>
      </c>
      <c r="S363" s="73">
        <v>0</v>
      </c>
      <c r="T363" s="71" t="s">
        <v>390</v>
      </c>
      <c r="U363" s="74">
        <v>1</v>
      </c>
      <c r="V363" s="71" t="s">
        <v>391</v>
      </c>
      <c r="W363" s="130">
        <v>46055.445138888892</v>
      </c>
      <c r="X363" s="72">
        <v>46057.458333333336</v>
      </c>
      <c r="Y363" s="72">
        <v>46062.416666666664</v>
      </c>
      <c r="Z363" s="104" t="s">
        <v>382</v>
      </c>
      <c r="AA363" s="104" t="s">
        <v>422</v>
      </c>
      <c r="AB363" s="105">
        <v>46057.961111111108</v>
      </c>
      <c r="AC363" s="105">
        <v>46058.131944444445</v>
      </c>
    </row>
    <row r="364" s="70" customFormat="1" ht="11.25" customHeight="1">
      <c r="A364" s="87"/>
      <c r="C364" s="43" t="s">
        <v>989</v>
      </c>
      <c r="D364" s="71" t="s">
        <v>382</v>
      </c>
      <c r="E364" s="71" t="str">
        <f>MID(D364,1,2)</f>
        <v>IL</v>
      </c>
      <c r="F364" s="71" t="s">
        <v>468</v>
      </c>
      <c r="G364" s="71" t="str">
        <f>MID(F364,1,2)</f>
        <v>US</v>
      </c>
      <c r="H364" s="43" t="s">
        <v>613</v>
      </c>
      <c r="I364" s="71" t="s">
        <v>990</v>
      </c>
      <c r="J364" s="71" t="s">
        <v>386</v>
      </c>
      <c r="K364" s="43"/>
      <c r="L364" s="71" t="s">
        <v>107</v>
      </c>
      <c r="M364" s="73">
        <v>6</v>
      </c>
      <c r="N364" s="71" t="s">
        <v>388</v>
      </c>
      <c r="O364" s="73">
        <v>0.085</v>
      </c>
      <c r="P364" s="71" t="s">
        <v>389</v>
      </c>
      <c r="Q364" s="73">
        <v>14.5</v>
      </c>
      <c r="R364" s="71" t="s">
        <v>388</v>
      </c>
      <c r="S364" s="73">
        <v>0</v>
      </c>
      <c r="T364" s="71" t="s">
        <v>390</v>
      </c>
      <c r="U364" s="74">
        <v>1</v>
      </c>
      <c r="V364" s="71" t="s">
        <v>391</v>
      </c>
      <c r="W364" s="130">
        <v>46055.445138888892</v>
      </c>
      <c r="X364" s="72">
        <v>46057.458333333336</v>
      </c>
      <c r="Y364" s="72">
        <v>46062.416666666664</v>
      </c>
      <c r="Z364" s="104" t="s">
        <v>422</v>
      </c>
      <c r="AA364" s="104" t="s">
        <v>468</v>
      </c>
      <c r="AB364" s="105">
        <v>46058.906944444447</v>
      </c>
      <c r="AC364" s="105">
        <v>46060.544444444444</v>
      </c>
    </row>
    <row r="365" s="70" customFormat="1" ht="11.25" customHeight="1">
      <c r="A365" s="87"/>
      <c r="C365" s="43" t="s">
        <v>991</v>
      </c>
      <c r="D365" s="71" t="s">
        <v>382</v>
      </c>
      <c r="E365" s="71" t="str">
        <f>MID(D365,1,2)</f>
        <v>IL</v>
      </c>
      <c r="F365" s="71" t="s">
        <v>992</v>
      </c>
      <c r="G365" s="71" t="str">
        <f>MID(F365,1,2)</f>
        <v>SK</v>
      </c>
      <c r="H365" s="43" t="s">
        <v>993</v>
      </c>
      <c r="I365" s="71" t="s">
        <v>994</v>
      </c>
      <c r="J365" s="71" t="s">
        <v>426</v>
      </c>
      <c r="K365" s="43"/>
      <c r="L365" s="71" t="s">
        <v>105</v>
      </c>
      <c r="M365" s="73">
        <v>70</v>
      </c>
      <c r="N365" s="71" t="s">
        <v>388</v>
      </c>
      <c r="O365" s="73">
        <v>0.226</v>
      </c>
      <c r="P365" s="71" t="s">
        <v>389</v>
      </c>
      <c r="Q365" s="73">
        <v>100</v>
      </c>
      <c r="R365" s="71" t="s">
        <v>388</v>
      </c>
      <c r="S365" s="73">
        <v>0</v>
      </c>
      <c r="T365" s="71" t="s">
        <v>390</v>
      </c>
      <c r="U365" s="74">
        <v>1</v>
      </c>
      <c r="V365" s="71" t="s">
        <v>391</v>
      </c>
      <c r="W365" s="130">
        <v>46055.751585648148</v>
      </c>
      <c r="X365" s="72">
        <v>46056.541666666664</v>
      </c>
      <c r="Y365" s="72">
        <v>46058.215277777781</v>
      </c>
      <c r="Z365" s="104" t="s">
        <v>382</v>
      </c>
      <c r="AA365" s="104" t="s">
        <v>748</v>
      </c>
      <c r="AB365" s="105">
        <v>46056.836805555555</v>
      </c>
      <c r="AC365" s="105">
        <v>46056.98541666667</v>
      </c>
    </row>
    <row r="366" s="70" customFormat="1" ht="11.25" customHeight="1">
      <c r="A366" s="87"/>
      <c r="C366" s="43" t="s">
        <v>991</v>
      </c>
      <c r="D366" s="71" t="s">
        <v>382</v>
      </c>
      <c r="E366" s="71" t="str">
        <f>MID(D366,1,2)</f>
        <v>IL</v>
      </c>
      <c r="F366" s="71" t="s">
        <v>992</v>
      </c>
      <c r="G366" s="71" t="str">
        <f>MID(F366,1,2)</f>
        <v>SK</v>
      </c>
      <c r="H366" s="43" t="s">
        <v>993</v>
      </c>
      <c r="I366" s="71" t="s">
        <v>994</v>
      </c>
      <c r="J366" s="71" t="s">
        <v>426</v>
      </c>
      <c r="K366" s="43"/>
      <c r="L366" s="71" t="s">
        <v>105</v>
      </c>
      <c r="M366" s="73">
        <v>70</v>
      </c>
      <c r="N366" s="71" t="s">
        <v>388</v>
      </c>
      <c r="O366" s="73">
        <v>0.226</v>
      </c>
      <c r="P366" s="71" t="s">
        <v>389</v>
      </c>
      <c r="Q366" s="73">
        <v>100</v>
      </c>
      <c r="R366" s="71" t="s">
        <v>388</v>
      </c>
      <c r="S366" s="73">
        <v>0</v>
      </c>
      <c r="T366" s="71" t="s">
        <v>390</v>
      </c>
      <c r="U366" s="74">
        <v>1</v>
      </c>
      <c r="V366" s="71" t="s">
        <v>391</v>
      </c>
      <c r="W366" s="130">
        <v>46055.751585648148</v>
      </c>
      <c r="X366" s="72">
        <v>46056.541666666664</v>
      </c>
      <c r="Y366" s="72">
        <v>46058.215277777781</v>
      </c>
      <c r="Z366" s="104" t="s">
        <v>748</v>
      </c>
      <c r="AA366" s="104" t="s">
        <v>992</v>
      </c>
      <c r="AB366" s="105">
        <v>46058.225</v>
      </c>
      <c r="AC366" s="105">
        <v>46058.317361111112</v>
      </c>
    </row>
    <row r="367" s="70" customFormat="1" ht="11.25" customHeight="1">
      <c r="A367" s="87"/>
      <c r="C367" s="43" t="s">
        <v>995</v>
      </c>
      <c r="D367" s="71" t="s">
        <v>382</v>
      </c>
      <c r="E367" s="71" t="str">
        <f>MID(D367,1,2)</f>
        <v>IL</v>
      </c>
      <c r="F367" s="71" t="s">
        <v>476</v>
      </c>
      <c r="G367" s="71" t="str">
        <f>MID(F367,1,2)</f>
        <v>SG</v>
      </c>
      <c r="H367" s="43" t="s">
        <v>996</v>
      </c>
      <c r="I367" s="71" t="s">
        <v>997</v>
      </c>
      <c r="J367" s="71" t="s">
        <v>400</v>
      </c>
      <c r="K367" s="43"/>
      <c r="L367" s="71" t="s">
        <v>105</v>
      </c>
      <c r="M367" s="73">
        <v>76</v>
      </c>
      <c r="N367" s="71" t="s">
        <v>388</v>
      </c>
      <c r="O367" s="73">
        <v>0.486</v>
      </c>
      <c r="P367" s="71" t="s">
        <v>389</v>
      </c>
      <c r="Q367" s="73">
        <v>81</v>
      </c>
      <c r="R367" s="71" t="s">
        <v>388</v>
      </c>
      <c r="S367" s="73">
        <v>0</v>
      </c>
      <c r="T367" s="71" t="s">
        <v>390</v>
      </c>
      <c r="U367" s="74">
        <v>1</v>
      </c>
      <c r="V367" s="71" t="s">
        <v>391</v>
      </c>
      <c r="W367" s="130">
        <v>46055.46597222222</v>
      </c>
      <c r="X367" s="72">
        <v>46056.444444444445</v>
      </c>
      <c r="Y367" s="72">
        <v>46058.930555555555</v>
      </c>
      <c r="Z367" s="104" t="s">
        <v>382</v>
      </c>
      <c r="AA367" s="104" t="s">
        <v>833</v>
      </c>
      <c r="AB367" s="105">
        <v>46056.897916666669</v>
      </c>
      <c r="AC367" s="105">
        <v>46057.551388888889</v>
      </c>
    </row>
    <row r="368" s="70" customFormat="1" ht="11.25" customHeight="1">
      <c r="A368" s="87"/>
      <c r="C368" s="43" t="s">
        <v>995</v>
      </c>
      <c r="D368" s="71" t="s">
        <v>382</v>
      </c>
      <c r="E368" s="71" t="str">
        <f>MID(D368,1,2)</f>
        <v>IL</v>
      </c>
      <c r="F368" s="71" t="s">
        <v>476</v>
      </c>
      <c r="G368" s="71" t="str">
        <f>MID(F368,1,2)</f>
        <v>SG</v>
      </c>
      <c r="H368" s="43" t="s">
        <v>996</v>
      </c>
      <c r="I368" s="71" t="s">
        <v>997</v>
      </c>
      <c r="J368" s="71" t="s">
        <v>400</v>
      </c>
      <c r="K368" s="43"/>
      <c r="L368" s="71" t="s">
        <v>105</v>
      </c>
      <c r="M368" s="73">
        <v>76</v>
      </c>
      <c r="N368" s="71" t="s">
        <v>388</v>
      </c>
      <c r="O368" s="73">
        <v>0.486</v>
      </c>
      <c r="P368" s="71" t="s">
        <v>389</v>
      </c>
      <c r="Q368" s="73">
        <v>81</v>
      </c>
      <c r="R368" s="71" t="s">
        <v>388</v>
      </c>
      <c r="S368" s="73">
        <v>0</v>
      </c>
      <c r="T368" s="71" t="s">
        <v>390</v>
      </c>
      <c r="U368" s="74">
        <v>1</v>
      </c>
      <c r="V368" s="71" t="s">
        <v>391</v>
      </c>
      <c r="W368" s="130">
        <v>46055.46597222222</v>
      </c>
      <c r="X368" s="72">
        <v>46056.444444444445</v>
      </c>
      <c r="Y368" s="72">
        <v>46058.930555555555</v>
      </c>
      <c r="Z368" s="104" t="s">
        <v>833</v>
      </c>
      <c r="AA368" s="104" t="s">
        <v>476</v>
      </c>
      <c r="AB368" s="105">
        <v>46058.632638888892</v>
      </c>
      <c r="AC368" s="105">
        <v>46058.78125</v>
      </c>
    </row>
    <row r="369" s="70" customFormat="1" ht="11.25" customHeight="1">
      <c r="A369" s="87"/>
      <c r="C369" s="43" t="s">
        <v>998</v>
      </c>
      <c r="D369" s="71" t="s">
        <v>382</v>
      </c>
      <c r="E369" s="71" t="str">
        <f>MID(D369,1,2)</f>
        <v>IL</v>
      </c>
      <c r="F369" s="71" t="s">
        <v>414</v>
      </c>
      <c r="G369" s="71" t="str">
        <f>MID(F369,1,2)</f>
        <v>US</v>
      </c>
      <c r="H369" s="43" t="s">
        <v>757</v>
      </c>
      <c r="I369" s="71" t="s">
        <v>999</v>
      </c>
      <c r="J369" s="71" t="s">
        <v>386</v>
      </c>
      <c r="K369" s="43" t="s">
        <v>759</v>
      </c>
      <c r="L369" s="71" t="s">
        <v>107</v>
      </c>
      <c r="M369" s="73">
        <v>68</v>
      </c>
      <c r="N369" s="71" t="s">
        <v>388</v>
      </c>
      <c r="O369" s="73">
        <v>0.386</v>
      </c>
      <c r="P369" s="71" t="s">
        <v>389</v>
      </c>
      <c r="Q369" s="73">
        <v>68</v>
      </c>
      <c r="R369" s="71" t="s">
        <v>388</v>
      </c>
      <c r="S369" s="73">
        <v>0</v>
      </c>
      <c r="T369" s="71" t="s">
        <v>390</v>
      </c>
      <c r="U369" s="74">
        <v>1</v>
      </c>
      <c r="V369" s="71" t="s">
        <v>391</v>
      </c>
      <c r="W369" s="130">
        <v>46055.45208333333</v>
      </c>
      <c r="X369" s="72">
        <v>46057.03125</v>
      </c>
      <c r="Y369" s="72">
        <v>46057.25</v>
      </c>
      <c r="Z369" s="104" t="s">
        <v>382</v>
      </c>
      <c r="AA369" s="104" t="s">
        <v>414</v>
      </c>
      <c r="AB369" s="105">
        <v>46057.031944444447</v>
      </c>
      <c r="AC369" s="105">
        <v>46057.214583333334</v>
      </c>
    </row>
    <row r="370" s="70" customFormat="1" ht="11.25" customHeight="1">
      <c r="A370" s="87"/>
      <c r="C370" s="43" t="s">
        <v>1000</v>
      </c>
      <c r="D370" s="71" t="s">
        <v>382</v>
      </c>
      <c r="E370" s="71" t="str">
        <f>MID(D370,1,2)</f>
        <v>IL</v>
      </c>
      <c r="F370" s="71" t="s">
        <v>774</v>
      </c>
      <c r="G370" s="71" t="str">
        <f>MID(F370,1,2)</f>
        <v>CN</v>
      </c>
      <c r="H370" s="43" t="s">
        <v>1001</v>
      </c>
      <c r="I370" s="71" t="s">
        <v>1002</v>
      </c>
      <c r="J370" s="71" t="s">
        <v>755</v>
      </c>
      <c r="K370" s="43"/>
      <c r="L370" s="71" t="s">
        <v>105</v>
      </c>
      <c r="M370" s="73">
        <v>1.5</v>
      </c>
      <c r="N370" s="71" t="s">
        <v>388</v>
      </c>
      <c r="O370" s="73">
        <v>0.012</v>
      </c>
      <c r="P370" s="71" t="s">
        <v>389</v>
      </c>
      <c r="Q370" s="73">
        <v>2</v>
      </c>
      <c r="R370" s="71" t="s">
        <v>388</v>
      </c>
      <c r="S370" s="73">
        <v>0</v>
      </c>
      <c r="T370" s="71" t="s">
        <v>390</v>
      </c>
      <c r="U370" s="74">
        <v>1</v>
      </c>
      <c r="V370" s="71" t="s">
        <v>391</v>
      </c>
      <c r="W370" s="130">
        <v>46055.584918981483</v>
      </c>
      <c r="X370" s="72">
        <v>46056.690972222219</v>
      </c>
      <c r="Y370" s="72">
        <v>46058.086805555555</v>
      </c>
      <c r="Z370" s="104" t="s">
        <v>382</v>
      </c>
      <c r="AA370" s="104" t="s">
        <v>383</v>
      </c>
      <c r="AB370" s="105">
        <v>46056.695138888892</v>
      </c>
      <c r="AC370" s="105">
        <v>46056.838194444441</v>
      </c>
    </row>
    <row r="371" s="70" customFormat="1" ht="11.25" customHeight="1">
      <c r="A371" s="87"/>
      <c r="C371" s="43" t="s">
        <v>1000</v>
      </c>
      <c r="D371" s="71" t="s">
        <v>382</v>
      </c>
      <c r="E371" s="71" t="str">
        <f>MID(D371,1,2)</f>
        <v>IL</v>
      </c>
      <c r="F371" s="71" t="s">
        <v>774</v>
      </c>
      <c r="G371" s="71" t="str">
        <f>MID(F371,1,2)</f>
        <v>CN</v>
      </c>
      <c r="H371" s="43" t="s">
        <v>1001</v>
      </c>
      <c r="I371" s="71" t="s">
        <v>1002</v>
      </c>
      <c r="J371" s="71" t="s">
        <v>755</v>
      </c>
      <c r="K371" s="43"/>
      <c r="L371" s="71" t="s">
        <v>105</v>
      </c>
      <c r="M371" s="73">
        <v>1.5</v>
      </c>
      <c r="N371" s="71" t="s">
        <v>388</v>
      </c>
      <c r="O371" s="73">
        <v>0.012</v>
      </c>
      <c r="P371" s="71" t="s">
        <v>389</v>
      </c>
      <c r="Q371" s="73">
        <v>2</v>
      </c>
      <c r="R371" s="71" t="s">
        <v>388</v>
      </c>
      <c r="S371" s="73">
        <v>0</v>
      </c>
      <c r="T371" s="71" t="s">
        <v>390</v>
      </c>
      <c r="U371" s="74">
        <v>1</v>
      </c>
      <c r="V371" s="71" t="s">
        <v>391</v>
      </c>
      <c r="W371" s="130">
        <v>46055.584918981483</v>
      </c>
      <c r="X371" s="72">
        <v>46056.690972222219</v>
      </c>
      <c r="Y371" s="72">
        <v>46058.086805555555</v>
      </c>
      <c r="Z371" s="104" t="s">
        <v>383</v>
      </c>
      <c r="AA371" s="104" t="s">
        <v>774</v>
      </c>
      <c r="AB371" s="105">
        <v>46057.29791666667</v>
      </c>
      <c r="AC371" s="105">
        <v>46058.064583333333</v>
      </c>
    </row>
    <row r="372" s="70" customFormat="1" ht="11.25" customHeight="1">
      <c r="A372" s="87"/>
      <c r="C372" s="43" t="s">
        <v>1003</v>
      </c>
      <c r="D372" s="71" t="s">
        <v>382</v>
      </c>
      <c r="E372" s="71" t="str">
        <f>MID(D372,1,2)</f>
        <v>IL</v>
      </c>
      <c r="F372" s="71" t="s">
        <v>667</v>
      </c>
      <c r="G372" s="71" t="str">
        <f>MID(F372,1,2)</f>
        <v>DE</v>
      </c>
      <c r="H372" s="43" t="s">
        <v>1004</v>
      </c>
      <c r="I372" s="71" t="s">
        <v>1005</v>
      </c>
      <c r="J372" s="71" t="s">
        <v>559</v>
      </c>
      <c r="K372" s="43"/>
      <c r="L372" s="71" t="s">
        <v>107</v>
      </c>
      <c r="M372" s="73">
        <v>112</v>
      </c>
      <c r="N372" s="71" t="s">
        <v>388</v>
      </c>
      <c r="O372" s="73">
        <v>0.591</v>
      </c>
      <c r="P372" s="71" t="s">
        <v>389</v>
      </c>
      <c r="Q372" s="73">
        <v>112</v>
      </c>
      <c r="R372" s="71" t="s">
        <v>388</v>
      </c>
      <c r="S372" s="73">
        <v>0</v>
      </c>
      <c r="T372" s="71" t="s">
        <v>390</v>
      </c>
      <c r="U372" s="74">
        <v>1</v>
      </c>
      <c r="V372" s="71" t="s">
        <v>391</v>
      </c>
      <c r="W372" s="130">
        <v>46056.634722222225</v>
      </c>
      <c r="X372" s="72">
        <v>46057.715277777781</v>
      </c>
      <c r="Y372" s="72">
        <v>46062.541666666664</v>
      </c>
      <c r="Z372" s="104" t="s">
        <v>667</v>
      </c>
      <c r="AA372" s="104" t="s">
        <v>1006</v>
      </c>
      <c r="AB372" s="105"/>
      <c r="AC372" s="105"/>
    </row>
    <row r="373" s="70" customFormat="1" ht="11.25" customHeight="1">
      <c r="A373" s="87"/>
      <c r="C373" s="43" t="s">
        <v>1003</v>
      </c>
      <c r="D373" s="71" t="s">
        <v>382</v>
      </c>
      <c r="E373" s="71" t="str">
        <f>MID(D373,1,2)</f>
        <v>IL</v>
      </c>
      <c r="F373" s="71" t="s">
        <v>667</v>
      </c>
      <c r="G373" s="71" t="str">
        <f>MID(F373,1,2)</f>
        <v>DE</v>
      </c>
      <c r="H373" s="43" t="s">
        <v>1004</v>
      </c>
      <c r="I373" s="71" t="s">
        <v>1005</v>
      </c>
      <c r="J373" s="71" t="s">
        <v>559</v>
      </c>
      <c r="K373" s="43"/>
      <c r="L373" s="71" t="s">
        <v>107</v>
      </c>
      <c r="M373" s="73">
        <v>112</v>
      </c>
      <c r="N373" s="71" t="s">
        <v>388</v>
      </c>
      <c r="O373" s="73">
        <v>0.591</v>
      </c>
      <c r="P373" s="71" t="s">
        <v>389</v>
      </c>
      <c r="Q373" s="73">
        <v>112</v>
      </c>
      <c r="R373" s="71" t="s">
        <v>388</v>
      </c>
      <c r="S373" s="73">
        <v>0</v>
      </c>
      <c r="T373" s="71" t="s">
        <v>390</v>
      </c>
      <c r="U373" s="74">
        <v>1</v>
      </c>
      <c r="V373" s="71" t="s">
        <v>391</v>
      </c>
      <c r="W373" s="130">
        <v>46056.634722222225</v>
      </c>
      <c r="X373" s="72">
        <v>46057.715277777781</v>
      </c>
      <c r="Y373" s="72">
        <v>46062.541666666664</v>
      </c>
      <c r="Z373" s="104" t="s">
        <v>382</v>
      </c>
      <c r="AA373" s="104" t="s">
        <v>748</v>
      </c>
      <c r="AB373" s="105">
        <v>46057.901388888888</v>
      </c>
      <c r="AC373" s="105"/>
    </row>
    <row r="374" s="70" customFormat="1" ht="11.25" customHeight="1">
      <c r="A374" s="87"/>
      <c r="C374" s="43" t="s">
        <v>1003</v>
      </c>
      <c r="D374" s="71" t="s">
        <v>382</v>
      </c>
      <c r="E374" s="71" t="str">
        <f>MID(D374,1,2)</f>
        <v>IL</v>
      </c>
      <c r="F374" s="71" t="s">
        <v>667</v>
      </c>
      <c r="G374" s="71" t="str">
        <f>MID(F374,1,2)</f>
        <v>DE</v>
      </c>
      <c r="H374" s="43" t="s">
        <v>1004</v>
      </c>
      <c r="I374" s="71" t="s">
        <v>1005</v>
      </c>
      <c r="J374" s="71" t="s">
        <v>559</v>
      </c>
      <c r="K374" s="43"/>
      <c r="L374" s="71" t="s">
        <v>107</v>
      </c>
      <c r="M374" s="73">
        <v>112</v>
      </c>
      <c r="N374" s="71" t="s">
        <v>388</v>
      </c>
      <c r="O374" s="73">
        <v>0.591</v>
      </c>
      <c r="P374" s="71" t="s">
        <v>389</v>
      </c>
      <c r="Q374" s="73">
        <v>112</v>
      </c>
      <c r="R374" s="71" t="s">
        <v>388</v>
      </c>
      <c r="S374" s="73">
        <v>0</v>
      </c>
      <c r="T374" s="71" t="s">
        <v>390</v>
      </c>
      <c r="U374" s="74">
        <v>1</v>
      </c>
      <c r="V374" s="71" t="s">
        <v>391</v>
      </c>
      <c r="W374" s="130">
        <v>46056.634722222225</v>
      </c>
      <c r="X374" s="72">
        <v>46057.715277777781</v>
      </c>
      <c r="Y374" s="72">
        <v>46062.541666666664</v>
      </c>
      <c r="Z374" s="104" t="s">
        <v>748</v>
      </c>
      <c r="AA374" s="104" t="s">
        <v>667</v>
      </c>
      <c r="AB374" s="105">
        <v>46059.525</v>
      </c>
      <c r="AC374" s="105">
        <v>46060.084027777775</v>
      </c>
    </row>
    <row r="375" s="70" customFormat="1" ht="11.25" customHeight="1">
      <c r="A375" s="87"/>
      <c r="C375" s="43" t="s">
        <v>1007</v>
      </c>
      <c r="D375" s="71" t="s">
        <v>382</v>
      </c>
      <c r="E375" s="71" t="str">
        <f>MID(D375,1,2)</f>
        <v>IL</v>
      </c>
      <c r="F375" s="71" t="s">
        <v>496</v>
      </c>
      <c r="G375" s="71" t="str">
        <f>MID(F375,1,2)</f>
        <v>RO</v>
      </c>
      <c r="H375" s="43" t="s">
        <v>975</v>
      </c>
      <c r="I375" s="71" t="s">
        <v>1008</v>
      </c>
      <c r="J375" s="71" t="s">
        <v>426</v>
      </c>
      <c r="K375" s="43"/>
      <c r="L375" s="71" t="s">
        <v>105</v>
      </c>
      <c r="M375" s="73">
        <v>100</v>
      </c>
      <c r="N375" s="71" t="s">
        <v>388</v>
      </c>
      <c r="O375" s="73">
        <v>0.694</v>
      </c>
      <c r="P375" s="71" t="s">
        <v>389</v>
      </c>
      <c r="Q375" s="73">
        <v>116</v>
      </c>
      <c r="R375" s="71" t="s">
        <v>388</v>
      </c>
      <c r="S375" s="73">
        <v>0</v>
      </c>
      <c r="T375" s="71" t="s">
        <v>390</v>
      </c>
      <c r="U375" s="74">
        <v>1</v>
      </c>
      <c r="V375" s="71" t="s">
        <v>391</v>
      </c>
      <c r="W375" s="130">
        <v>46055.458333333336</v>
      </c>
      <c r="X375" s="72">
        <v>46056.743055555555</v>
      </c>
      <c r="Y375" s="72">
        <v>46056.867361111108</v>
      </c>
      <c r="Z375" s="104" t="s">
        <v>382</v>
      </c>
      <c r="AA375" s="104" t="s">
        <v>496</v>
      </c>
      <c r="AB375" s="105">
        <v>46056.738194444442</v>
      </c>
      <c r="AC375" s="105">
        <v>46056.861111111109</v>
      </c>
    </row>
    <row r="376" s="70" customFormat="1" ht="11.25" customHeight="1">
      <c r="A376" s="87"/>
      <c r="C376" s="43" t="s">
        <v>1009</v>
      </c>
      <c r="D376" s="71" t="s">
        <v>382</v>
      </c>
      <c r="E376" s="71" t="str">
        <f>MID(D376,1,2)</f>
        <v>IL</v>
      </c>
      <c r="F376" s="71" t="s">
        <v>774</v>
      </c>
      <c r="G376" s="71" t="str">
        <f>MID(F376,1,2)</f>
        <v>CN</v>
      </c>
      <c r="H376" s="43" t="s">
        <v>1001</v>
      </c>
      <c r="I376" s="71" t="s">
        <v>1010</v>
      </c>
      <c r="J376" s="71" t="s">
        <v>755</v>
      </c>
      <c r="K376" s="43"/>
      <c r="L376" s="71" t="s">
        <v>105</v>
      </c>
      <c r="M376" s="73">
        <v>1.5</v>
      </c>
      <c r="N376" s="71" t="s">
        <v>388</v>
      </c>
      <c r="O376" s="73">
        <v>0.012</v>
      </c>
      <c r="P376" s="71" t="s">
        <v>389</v>
      </c>
      <c r="Q376" s="73">
        <v>2</v>
      </c>
      <c r="R376" s="71" t="s">
        <v>388</v>
      </c>
      <c r="S376" s="73">
        <v>0</v>
      </c>
      <c r="T376" s="71" t="s">
        <v>390</v>
      </c>
      <c r="U376" s="74">
        <v>1</v>
      </c>
      <c r="V376" s="71" t="s">
        <v>391</v>
      </c>
      <c r="W376" s="130">
        <v>46055.58494212963</v>
      </c>
      <c r="X376" s="72">
        <v>46056.690972222219</v>
      </c>
      <c r="Y376" s="72">
        <v>46058.086805555555</v>
      </c>
      <c r="Z376" s="104" t="s">
        <v>382</v>
      </c>
      <c r="AA376" s="104" t="s">
        <v>383</v>
      </c>
      <c r="AB376" s="105">
        <v>46056.695138888892</v>
      </c>
      <c r="AC376" s="105">
        <v>46056.838194444441</v>
      </c>
    </row>
    <row r="377" s="70" customFormat="1" ht="11.25" customHeight="1">
      <c r="A377" s="87"/>
      <c r="C377" s="43" t="s">
        <v>1009</v>
      </c>
      <c r="D377" s="71" t="s">
        <v>382</v>
      </c>
      <c r="E377" s="71" t="str">
        <f>MID(D377,1,2)</f>
        <v>IL</v>
      </c>
      <c r="F377" s="71" t="s">
        <v>774</v>
      </c>
      <c r="G377" s="71" t="str">
        <f>MID(F377,1,2)</f>
        <v>CN</v>
      </c>
      <c r="H377" s="43" t="s">
        <v>1001</v>
      </c>
      <c r="I377" s="71" t="s">
        <v>1010</v>
      </c>
      <c r="J377" s="71" t="s">
        <v>755</v>
      </c>
      <c r="K377" s="43"/>
      <c r="L377" s="71" t="s">
        <v>105</v>
      </c>
      <c r="M377" s="73">
        <v>1.5</v>
      </c>
      <c r="N377" s="71" t="s">
        <v>388</v>
      </c>
      <c r="O377" s="73">
        <v>0.012</v>
      </c>
      <c r="P377" s="71" t="s">
        <v>389</v>
      </c>
      <c r="Q377" s="73">
        <v>2</v>
      </c>
      <c r="R377" s="71" t="s">
        <v>388</v>
      </c>
      <c r="S377" s="73">
        <v>0</v>
      </c>
      <c r="T377" s="71" t="s">
        <v>390</v>
      </c>
      <c r="U377" s="74">
        <v>1</v>
      </c>
      <c r="V377" s="71" t="s">
        <v>391</v>
      </c>
      <c r="W377" s="130">
        <v>46055.58494212963</v>
      </c>
      <c r="X377" s="72">
        <v>46056.690972222219</v>
      </c>
      <c r="Y377" s="72">
        <v>46058.086805555555</v>
      </c>
      <c r="Z377" s="104" t="s">
        <v>383</v>
      </c>
      <c r="AA377" s="104" t="s">
        <v>774</v>
      </c>
      <c r="AB377" s="105">
        <v>46057.29791666667</v>
      </c>
      <c r="AC377" s="105">
        <v>46058.064583333333</v>
      </c>
    </row>
    <row r="378" s="70" customFormat="1" ht="11.25" customHeight="1">
      <c r="A378" s="87"/>
      <c r="C378" s="43" t="s">
        <v>1011</v>
      </c>
      <c r="D378" s="71" t="s">
        <v>382</v>
      </c>
      <c r="E378" s="71" t="str">
        <f>MID(D378,1,2)</f>
        <v>IL</v>
      </c>
      <c r="F378" s="71" t="s">
        <v>476</v>
      </c>
      <c r="G378" s="71" t="str">
        <f>MID(F378,1,2)</f>
        <v>SG</v>
      </c>
      <c r="H378" s="43" t="s">
        <v>1012</v>
      </c>
      <c r="I378" s="71" t="s">
        <v>1013</v>
      </c>
      <c r="J378" s="71" t="s">
        <v>400</v>
      </c>
      <c r="K378" s="43"/>
      <c r="L378" s="71" t="s">
        <v>105</v>
      </c>
      <c r="M378" s="73">
        <v>156</v>
      </c>
      <c r="N378" s="71" t="s">
        <v>388</v>
      </c>
      <c r="O378" s="73">
        <v>2.134</v>
      </c>
      <c r="P378" s="71" t="s">
        <v>389</v>
      </c>
      <c r="Q378" s="73">
        <v>356</v>
      </c>
      <c r="R378" s="71" t="s">
        <v>388</v>
      </c>
      <c r="S378" s="73">
        <v>0</v>
      </c>
      <c r="T378" s="71" t="s">
        <v>390</v>
      </c>
      <c r="U378" s="74">
        <v>2</v>
      </c>
      <c r="V378" s="71" t="s">
        <v>391</v>
      </c>
      <c r="W378" s="130">
        <v>46055.827916666669</v>
      </c>
      <c r="X378" s="72">
        <v>46057.951388888891</v>
      </c>
      <c r="Y378" s="72">
        <v>46060.506944444445</v>
      </c>
      <c r="Z378" s="104" t="s">
        <v>382</v>
      </c>
      <c r="AA378" s="104" t="s">
        <v>465</v>
      </c>
      <c r="AB378" s="105">
        <v>46058.229861111111</v>
      </c>
      <c r="AC378" s="105">
        <v>46058.428472222222</v>
      </c>
    </row>
    <row r="379" s="70" customFormat="1" ht="11.25" customHeight="1">
      <c r="A379" s="87"/>
      <c r="C379" s="43" t="s">
        <v>1011</v>
      </c>
      <c r="D379" s="71" t="s">
        <v>382</v>
      </c>
      <c r="E379" s="71" t="str">
        <f>MID(D379,1,2)</f>
        <v>IL</v>
      </c>
      <c r="F379" s="71" t="s">
        <v>476</v>
      </c>
      <c r="G379" s="71" t="str">
        <f>MID(F379,1,2)</f>
        <v>SG</v>
      </c>
      <c r="H379" s="43" t="s">
        <v>1012</v>
      </c>
      <c r="I379" s="71" t="s">
        <v>1013</v>
      </c>
      <c r="J379" s="71" t="s">
        <v>400</v>
      </c>
      <c r="K379" s="43"/>
      <c r="L379" s="71" t="s">
        <v>105</v>
      </c>
      <c r="M379" s="73">
        <v>156</v>
      </c>
      <c r="N379" s="71" t="s">
        <v>388</v>
      </c>
      <c r="O379" s="73">
        <v>2.134</v>
      </c>
      <c r="P379" s="71" t="s">
        <v>389</v>
      </c>
      <c r="Q379" s="73">
        <v>356</v>
      </c>
      <c r="R379" s="71" t="s">
        <v>388</v>
      </c>
      <c r="S379" s="73">
        <v>0</v>
      </c>
      <c r="T379" s="71" t="s">
        <v>390</v>
      </c>
      <c r="U379" s="74">
        <v>2</v>
      </c>
      <c r="V379" s="71" t="s">
        <v>391</v>
      </c>
      <c r="W379" s="130">
        <v>46055.827916666669</v>
      </c>
      <c r="X379" s="72">
        <v>46057.951388888891</v>
      </c>
      <c r="Y379" s="72">
        <v>46060.506944444445</v>
      </c>
      <c r="Z379" s="104" t="s">
        <v>465</v>
      </c>
      <c r="AA379" s="104" t="s">
        <v>476</v>
      </c>
      <c r="AB379" s="105">
        <v>46059.090277777781</v>
      </c>
      <c r="AC379" s="105">
        <v>46060.60625</v>
      </c>
    </row>
    <row r="380" s="70" customFormat="1" ht="11.25" customHeight="1">
      <c r="A380" s="87"/>
      <c r="C380" s="43" t="s">
        <v>1014</v>
      </c>
      <c r="D380" s="71" t="s">
        <v>382</v>
      </c>
      <c r="E380" s="71" t="str">
        <f>MID(D380,1,2)</f>
        <v>IL</v>
      </c>
      <c r="F380" s="71" t="s">
        <v>496</v>
      </c>
      <c r="G380" s="71" t="str">
        <f>MID(F380,1,2)</f>
        <v>RO</v>
      </c>
      <c r="H380" s="43" t="s">
        <v>982</v>
      </c>
      <c r="I380" s="71" t="s">
        <v>1015</v>
      </c>
      <c r="J380" s="71" t="s">
        <v>400</v>
      </c>
      <c r="K380" s="43"/>
      <c r="L380" s="71" t="s">
        <v>105</v>
      </c>
      <c r="M380" s="73">
        <v>2</v>
      </c>
      <c r="N380" s="71" t="s">
        <v>388</v>
      </c>
      <c r="O380" s="73">
        <v>0.029</v>
      </c>
      <c r="P380" s="71" t="s">
        <v>389</v>
      </c>
      <c r="Q380" s="73">
        <v>5</v>
      </c>
      <c r="R380" s="71" t="s">
        <v>388</v>
      </c>
      <c r="S380" s="73">
        <v>0</v>
      </c>
      <c r="T380" s="71" t="s">
        <v>390</v>
      </c>
      <c r="U380" s="74">
        <v>1</v>
      </c>
      <c r="V380" s="71" t="s">
        <v>391</v>
      </c>
      <c r="W380" s="130">
        <v>46055.46597222222</v>
      </c>
      <c r="X380" s="72">
        <v>46057.013888888891</v>
      </c>
      <c r="Y380" s="72">
        <v>46057.128472222219</v>
      </c>
      <c r="Z380" s="104" t="s">
        <v>382</v>
      </c>
      <c r="AA380" s="104" t="s">
        <v>496</v>
      </c>
      <c r="AB380" s="105">
        <v>46057.013888888891</v>
      </c>
      <c r="AC380" s="105">
        <v>46057.142361111109</v>
      </c>
    </row>
    <row r="381" s="70" customFormat="1" ht="11.25" customHeight="1">
      <c r="A381" s="87"/>
      <c r="C381" s="43" t="s">
        <v>1016</v>
      </c>
      <c r="D381" s="71" t="s">
        <v>382</v>
      </c>
      <c r="E381" s="71" t="str">
        <f>MID(D381,1,2)</f>
        <v>IL</v>
      </c>
      <c r="F381" s="71" t="s">
        <v>978</v>
      </c>
      <c r="G381" s="71" t="str">
        <f>MID(F381,1,2)</f>
        <v>PL</v>
      </c>
      <c r="H381" s="43" t="s">
        <v>1017</v>
      </c>
      <c r="I381" s="71" t="s">
        <v>1018</v>
      </c>
      <c r="J381" s="71" t="s">
        <v>386</v>
      </c>
      <c r="K381" s="43" t="s">
        <v>1019</v>
      </c>
      <c r="L381" s="71" t="s">
        <v>107</v>
      </c>
      <c r="M381" s="73">
        <v>212</v>
      </c>
      <c r="N381" s="71" t="s">
        <v>388</v>
      </c>
      <c r="O381" s="73">
        <v>0.925</v>
      </c>
      <c r="P381" s="71" t="s">
        <v>389</v>
      </c>
      <c r="Q381" s="73">
        <v>212</v>
      </c>
      <c r="R381" s="71" t="s">
        <v>388</v>
      </c>
      <c r="S381" s="73">
        <v>0</v>
      </c>
      <c r="T381" s="71" t="s">
        <v>390</v>
      </c>
      <c r="U381" s="74">
        <v>1</v>
      </c>
      <c r="V381" s="71" t="s">
        <v>391</v>
      </c>
      <c r="W381" s="130">
        <v>46056.634722222225</v>
      </c>
      <c r="X381" s="72">
        <v>46057.854861111111</v>
      </c>
      <c r="Y381" s="72">
        <v>46061.236111111109</v>
      </c>
      <c r="Z381" s="104" t="s">
        <v>382</v>
      </c>
      <c r="AA381" s="104" t="s">
        <v>748</v>
      </c>
      <c r="AB381" s="105">
        <v>46058.48125</v>
      </c>
      <c r="AC381" s="105"/>
    </row>
    <row r="382" s="70" customFormat="1" ht="11.25" customHeight="1">
      <c r="A382" s="87"/>
      <c r="C382" s="43" t="s">
        <v>1016</v>
      </c>
      <c r="D382" s="71" t="s">
        <v>382</v>
      </c>
      <c r="E382" s="71" t="str">
        <f>MID(D382,1,2)</f>
        <v>IL</v>
      </c>
      <c r="F382" s="71" t="s">
        <v>978</v>
      </c>
      <c r="G382" s="71" t="str">
        <f>MID(F382,1,2)</f>
        <v>PL</v>
      </c>
      <c r="H382" s="43" t="s">
        <v>1017</v>
      </c>
      <c r="I382" s="71" t="s">
        <v>1018</v>
      </c>
      <c r="J382" s="71" t="s">
        <v>386</v>
      </c>
      <c r="K382" s="43" t="s">
        <v>1019</v>
      </c>
      <c r="L382" s="71" t="s">
        <v>107</v>
      </c>
      <c r="M382" s="73">
        <v>212</v>
      </c>
      <c r="N382" s="71" t="s">
        <v>388</v>
      </c>
      <c r="O382" s="73">
        <v>0.925</v>
      </c>
      <c r="P382" s="71" t="s">
        <v>389</v>
      </c>
      <c r="Q382" s="73">
        <v>212</v>
      </c>
      <c r="R382" s="71" t="s">
        <v>388</v>
      </c>
      <c r="S382" s="73">
        <v>0</v>
      </c>
      <c r="T382" s="71" t="s">
        <v>390</v>
      </c>
      <c r="U382" s="74">
        <v>1</v>
      </c>
      <c r="V382" s="71" t="s">
        <v>391</v>
      </c>
      <c r="W382" s="130">
        <v>46056.634722222225</v>
      </c>
      <c r="X382" s="72">
        <v>46057.854861111111</v>
      </c>
      <c r="Y382" s="72">
        <v>46061.236111111109</v>
      </c>
      <c r="Z382" s="104" t="s">
        <v>748</v>
      </c>
      <c r="AA382" s="104" t="s">
        <v>978</v>
      </c>
      <c r="AB382" s="105">
        <v>46062.202777777777</v>
      </c>
      <c r="AC382" s="105">
        <v>46062.344444444447</v>
      </c>
    </row>
    <row r="383" s="70" customFormat="1" ht="11.25" customHeight="1">
      <c r="A383" s="87"/>
      <c r="C383" s="43" t="s">
        <v>1016</v>
      </c>
      <c r="D383" s="71" t="s">
        <v>382</v>
      </c>
      <c r="E383" s="71" t="str">
        <f>MID(D383,1,2)</f>
        <v>IL</v>
      </c>
      <c r="F383" s="71" t="s">
        <v>978</v>
      </c>
      <c r="G383" s="71" t="str">
        <f>MID(F383,1,2)</f>
        <v>PL</v>
      </c>
      <c r="H383" s="43" t="s">
        <v>1017</v>
      </c>
      <c r="I383" s="71" t="s">
        <v>1018</v>
      </c>
      <c r="J383" s="71" t="s">
        <v>386</v>
      </c>
      <c r="K383" s="43" t="s">
        <v>1019</v>
      </c>
      <c r="L383" s="71" t="s">
        <v>107</v>
      </c>
      <c r="M383" s="73">
        <v>212</v>
      </c>
      <c r="N383" s="71" t="s">
        <v>388</v>
      </c>
      <c r="O383" s="73">
        <v>0.925</v>
      </c>
      <c r="P383" s="71" t="s">
        <v>389</v>
      </c>
      <c r="Q383" s="73">
        <v>212</v>
      </c>
      <c r="R383" s="71" t="s">
        <v>388</v>
      </c>
      <c r="S383" s="73">
        <v>0</v>
      </c>
      <c r="T383" s="71" t="s">
        <v>390</v>
      </c>
      <c r="U383" s="74">
        <v>1</v>
      </c>
      <c r="V383" s="71" t="s">
        <v>391</v>
      </c>
      <c r="W383" s="130">
        <v>46056.634722222225</v>
      </c>
      <c r="X383" s="72">
        <v>46057.854861111111</v>
      </c>
      <c r="Y383" s="72">
        <v>46061.236111111109</v>
      </c>
      <c r="Z383" s="104" t="s">
        <v>978</v>
      </c>
      <c r="AA383" s="104" t="s">
        <v>1020</v>
      </c>
      <c r="AB383" s="105">
        <v>46063.875</v>
      </c>
      <c r="AC383" s="105">
        <v>46064.375</v>
      </c>
    </row>
    <row r="384" s="70" customFormat="1" ht="11.25" customHeight="1">
      <c r="A384" s="87"/>
      <c r="C384" s="43" t="s">
        <v>1021</v>
      </c>
      <c r="D384" s="71" t="s">
        <v>382</v>
      </c>
      <c r="E384" s="71" t="str">
        <f>MID(D384,1,2)</f>
        <v>IL</v>
      </c>
      <c r="F384" s="71" t="s">
        <v>496</v>
      </c>
      <c r="G384" s="71" t="str">
        <f>MID(F384,1,2)</f>
        <v>RO</v>
      </c>
      <c r="H384" s="43" t="s">
        <v>982</v>
      </c>
      <c r="I384" s="71" t="s">
        <v>1022</v>
      </c>
      <c r="J384" s="71" t="s">
        <v>400</v>
      </c>
      <c r="K384" s="43"/>
      <c r="L384" s="71" t="s">
        <v>105</v>
      </c>
      <c r="M384" s="73">
        <v>2</v>
      </c>
      <c r="N384" s="71" t="s">
        <v>388</v>
      </c>
      <c r="O384" s="73">
        <v>0.029</v>
      </c>
      <c r="P384" s="71" t="s">
        <v>389</v>
      </c>
      <c r="Q384" s="73">
        <v>5</v>
      </c>
      <c r="R384" s="71" t="s">
        <v>388</v>
      </c>
      <c r="S384" s="73">
        <v>0</v>
      </c>
      <c r="T384" s="71" t="s">
        <v>390</v>
      </c>
      <c r="U384" s="74">
        <v>1</v>
      </c>
      <c r="V384" s="71" t="s">
        <v>391</v>
      </c>
      <c r="W384" s="130">
        <v>46055.473611111112</v>
      </c>
      <c r="X384" s="72">
        <v>46057.013888888891</v>
      </c>
      <c r="Y384" s="72">
        <v>46057.128472222219</v>
      </c>
      <c r="Z384" s="104" t="s">
        <v>382</v>
      </c>
      <c r="AA384" s="104" t="s">
        <v>496</v>
      </c>
      <c r="AB384" s="105">
        <v>46057.013888888891</v>
      </c>
      <c r="AC384" s="105">
        <v>46057.142361111109</v>
      </c>
    </row>
    <row r="385" s="70" customFormat="1" ht="11.25" customHeight="1">
      <c r="A385" s="87"/>
      <c r="C385" s="43" t="s">
        <v>1023</v>
      </c>
      <c r="D385" s="71" t="s">
        <v>382</v>
      </c>
      <c r="E385" s="71" t="str">
        <f>MID(D385,1,2)</f>
        <v>IL</v>
      </c>
      <c r="F385" s="71" t="s">
        <v>680</v>
      </c>
      <c r="G385" s="71" t="str">
        <f>MID(F385,1,2)</f>
        <v>DE</v>
      </c>
      <c r="H385" s="43" t="s">
        <v>1024</v>
      </c>
      <c r="I385" s="71"/>
      <c r="J385" s="71" t="s">
        <v>426</v>
      </c>
      <c r="K385" s="43"/>
      <c r="L385" s="71" t="s">
        <v>105</v>
      </c>
      <c r="M385" s="73">
        <v>94</v>
      </c>
      <c r="N385" s="71" t="s">
        <v>388</v>
      </c>
      <c r="O385" s="73">
        <v>0.312</v>
      </c>
      <c r="P385" s="71" t="s">
        <v>389</v>
      </c>
      <c r="Q385" s="73">
        <v>100</v>
      </c>
      <c r="R385" s="71" t="s">
        <v>388</v>
      </c>
      <c r="S385" s="73">
        <v>0</v>
      </c>
      <c r="T385" s="71" t="s">
        <v>390</v>
      </c>
      <c r="U385" s="74">
        <v>1</v>
      </c>
      <c r="V385" s="71" t="s">
        <v>391</v>
      </c>
      <c r="W385" s="130"/>
      <c r="X385" s="72">
        <v>46056.646527777775</v>
      </c>
      <c r="Y385" s="72">
        <v>46058.253472222219</v>
      </c>
      <c r="Z385" s="104" t="s">
        <v>382</v>
      </c>
      <c r="AA385" s="104" t="s">
        <v>748</v>
      </c>
      <c r="AB385" s="105">
        <v>46056.836805555555</v>
      </c>
      <c r="AC385" s="105">
        <v>46056.98541666667</v>
      </c>
    </row>
    <row r="386" s="70" customFormat="1" ht="11.25" customHeight="1">
      <c r="A386" s="87"/>
      <c r="C386" s="43" t="s">
        <v>1023</v>
      </c>
      <c r="D386" s="71" t="s">
        <v>382</v>
      </c>
      <c r="E386" s="71" t="str">
        <f>MID(D386,1,2)</f>
        <v>IL</v>
      </c>
      <c r="F386" s="71" t="s">
        <v>680</v>
      </c>
      <c r="G386" s="71" t="str">
        <f>MID(F386,1,2)</f>
        <v>DE</v>
      </c>
      <c r="H386" s="43" t="s">
        <v>1024</v>
      </c>
      <c r="I386" s="71"/>
      <c r="J386" s="71" t="s">
        <v>426</v>
      </c>
      <c r="K386" s="43"/>
      <c r="L386" s="71" t="s">
        <v>105</v>
      </c>
      <c r="M386" s="73">
        <v>94</v>
      </c>
      <c r="N386" s="71" t="s">
        <v>388</v>
      </c>
      <c r="O386" s="73">
        <v>0.312</v>
      </c>
      <c r="P386" s="71" t="s">
        <v>389</v>
      </c>
      <c r="Q386" s="73">
        <v>100</v>
      </c>
      <c r="R386" s="71" t="s">
        <v>388</v>
      </c>
      <c r="S386" s="73">
        <v>0</v>
      </c>
      <c r="T386" s="71" t="s">
        <v>390</v>
      </c>
      <c r="U386" s="74">
        <v>1</v>
      </c>
      <c r="V386" s="71" t="s">
        <v>391</v>
      </c>
      <c r="W386" s="130"/>
      <c r="X386" s="72">
        <v>46056.646527777775</v>
      </c>
      <c r="Y386" s="72">
        <v>46058.253472222219</v>
      </c>
      <c r="Z386" s="104" t="s">
        <v>748</v>
      </c>
      <c r="AA386" s="104" t="s">
        <v>680</v>
      </c>
      <c r="AB386" s="105">
        <v>46058.254166666666</v>
      </c>
      <c r="AC386" s="105">
        <v>46058.28402777778</v>
      </c>
    </row>
    <row r="387" s="70" customFormat="1" ht="11.25" customHeight="1">
      <c r="A387" s="87"/>
      <c r="C387" s="43" t="s">
        <v>1025</v>
      </c>
      <c r="D387" s="71" t="s">
        <v>382</v>
      </c>
      <c r="E387" s="71" t="str">
        <f>MID(D387,1,2)</f>
        <v>IL</v>
      </c>
      <c r="F387" s="71" t="s">
        <v>522</v>
      </c>
      <c r="G387" s="71" t="str">
        <f>MID(F387,1,2)</f>
        <v>CZ</v>
      </c>
      <c r="H387" s="43" t="s">
        <v>842</v>
      </c>
      <c r="I387" s="71" t="s">
        <v>1026</v>
      </c>
      <c r="J387" s="71" t="s">
        <v>386</v>
      </c>
      <c r="K387" s="43"/>
      <c r="L387" s="71" t="s">
        <v>107</v>
      </c>
      <c r="M387" s="73">
        <v>3</v>
      </c>
      <c r="N387" s="71" t="s">
        <v>388</v>
      </c>
      <c r="O387" s="73">
        <v>0.009</v>
      </c>
      <c r="P387" s="71" t="s">
        <v>389</v>
      </c>
      <c r="Q387" s="73">
        <v>3</v>
      </c>
      <c r="R387" s="71" t="s">
        <v>388</v>
      </c>
      <c r="S387" s="73">
        <v>0</v>
      </c>
      <c r="T387" s="71" t="s">
        <v>390</v>
      </c>
      <c r="U387" s="74">
        <v>1</v>
      </c>
      <c r="V387" s="71" t="s">
        <v>391</v>
      </c>
      <c r="W387" s="130">
        <v>46055.493055555555</v>
      </c>
      <c r="X387" s="72">
        <v>46057.013888888891</v>
      </c>
      <c r="Y387" s="72">
        <v>46057.496527777781</v>
      </c>
      <c r="Z387" s="104" t="s">
        <v>382</v>
      </c>
      <c r="AA387" s="104" t="s">
        <v>496</v>
      </c>
      <c r="AB387" s="105">
        <v>46057.013888888891</v>
      </c>
      <c r="AC387" s="105">
        <v>46057.142361111109</v>
      </c>
    </row>
    <row r="388" s="70" customFormat="1" ht="11.25" customHeight="1">
      <c r="A388" s="87"/>
      <c r="C388" s="43" t="s">
        <v>1025</v>
      </c>
      <c r="D388" s="71" t="s">
        <v>382</v>
      </c>
      <c r="E388" s="71" t="str">
        <f>MID(D388,1,2)</f>
        <v>IL</v>
      </c>
      <c r="F388" s="71" t="s">
        <v>522</v>
      </c>
      <c r="G388" s="71" t="str">
        <f>MID(F388,1,2)</f>
        <v>CZ</v>
      </c>
      <c r="H388" s="43" t="s">
        <v>842</v>
      </c>
      <c r="I388" s="71" t="s">
        <v>1026</v>
      </c>
      <c r="J388" s="71" t="s">
        <v>386</v>
      </c>
      <c r="K388" s="43"/>
      <c r="L388" s="71" t="s">
        <v>107</v>
      </c>
      <c r="M388" s="73">
        <v>3</v>
      </c>
      <c r="N388" s="71" t="s">
        <v>388</v>
      </c>
      <c r="O388" s="73">
        <v>0.009</v>
      </c>
      <c r="P388" s="71" t="s">
        <v>389</v>
      </c>
      <c r="Q388" s="73">
        <v>3</v>
      </c>
      <c r="R388" s="71" t="s">
        <v>388</v>
      </c>
      <c r="S388" s="73">
        <v>0</v>
      </c>
      <c r="T388" s="71" t="s">
        <v>390</v>
      </c>
      <c r="U388" s="74">
        <v>1</v>
      </c>
      <c r="V388" s="71" t="s">
        <v>391</v>
      </c>
      <c r="W388" s="130">
        <v>46055.493055555555</v>
      </c>
      <c r="X388" s="72">
        <v>46057.013888888891</v>
      </c>
      <c r="Y388" s="72">
        <v>46057.496527777781</v>
      </c>
      <c r="Z388" s="104" t="s">
        <v>496</v>
      </c>
      <c r="AA388" s="104" t="s">
        <v>522</v>
      </c>
      <c r="AB388" s="105">
        <v>46057.458333333336</v>
      </c>
      <c r="AC388" s="105">
        <v>46057.515972222223</v>
      </c>
    </row>
    <row r="389" s="70" customFormat="1" ht="11.25" customHeight="1">
      <c r="A389" s="87"/>
      <c r="C389" s="43" t="s">
        <v>1027</v>
      </c>
      <c r="D389" s="71" t="s">
        <v>382</v>
      </c>
      <c r="E389" s="71" t="str">
        <f>MID(D389,1,2)</f>
        <v>IL</v>
      </c>
      <c r="F389" s="71" t="s">
        <v>496</v>
      </c>
      <c r="G389" s="71" t="str">
        <f>MID(F389,1,2)</f>
        <v>RO</v>
      </c>
      <c r="H389" s="43" t="s">
        <v>982</v>
      </c>
      <c r="I389" s="71" t="s">
        <v>1028</v>
      </c>
      <c r="J389" s="71" t="s">
        <v>400</v>
      </c>
      <c r="K389" s="43"/>
      <c r="L389" s="71" t="s">
        <v>105</v>
      </c>
      <c r="M389" s="73">
        <v>19</v>
      </c>
      <c r="N389" s="71" t="s">
        <v>388</v>
      </c>
      <c r="O389" s="73">
        <v>0.273</v>
      </c>
      <c r="P389" s="71" t="s">
        <v>389</v>
      </c>
      <c r="Q389" s="73">
        <v>45.5</v>
      </c>
      <c r="R389" s="71" t="s">
        <v>388</v>
      </c>
      <c r="S389" s="73">
        <v>0</v>
      </c>
      <c r="T389" s="71" t="s">
        <v>390</v>
      </c>
      <c r="U389" s="74">
        <v>1</v>
      </c>
      <c r="V389" s="71" t="s">
        <v>391</v>
      </c>
      <c r="W389" s="130">
        <v>46055.597222222219</v>
      </c>
      <c r="X389" s="72">
        <v>46057.013888888891</v>
      </c>
      <c r="Y389" s="72">
        <v>46057.128472222219</v>
      </c>
      <c r="Z389" s="104" t="s">
        <v>382</v>
      </c>
      <c r="AA389" s="104" t="s">
        <v>496</v>
      </c>
      <c r="AB389" s="105">
        <v>46057.013888888891</v>
      </c>
      <c r="AC389" s="105">
        <v>46057.142361111109</v>
      </c>
    </row>
    <row r="390" s="70" customFormat="1" ht="11.25" customHeight="1">
      <c r="A390" s="87"/>
      <c r="C390" s="43" t="s">
        <v>1029</v>
      </c>
      <c r="D390" s="71" t="s">
        <v>382</v>
      </c>
      <c r="E390" s="71" t="str">
        <f>MID(D390,1,2)</f>
        <v>IL</v>
      </c>
      <c r="F390" s="71" t="s">
        <v>597</v>
      </c>
      <c r="G390" s="71" t="str">
        <f>MID(F390,1,2)</f>
        <v>NL</v>
      </c>
      <c r="H390" s="43" t="s">
        <v>1030</v>
      </c>
      <c r="I390" s="71" t="s">
        <v>1031</v>
      </c>
      <c r="J390" s="71" t="s">
        <v>400</v>
      </c>
      <c r="K390" s="43"/>
      <c r="L390" s="71" t="s">
        <v>105</v>
      </c>
      <c r="M390" s="73">
        <v>92</v>
      </c>
      <c r="N390" s="71" t="s">
        <v>388</v>
      </c>
      <c r="O390" s="73">
        <v>0.752</v>
      </c>
      <c r="P390" s="71" t="s">
        <v>389</v>
      </c>
      <c r="Q390" s="73">
        <v>125.5</v>
      </c>
      <c r="R390" s="71" t="s">
        <v>388</v>
      </c>
      <c r="S390" s="73">
        <v>0</v>
      </c>
      <c r="T390" s="71" t="s">
        <v>390</v>
      </c>
      <c r="U390" s="74">
        <v>1</v>
      </c>
      <c r="V390" s="71" t="s">
        <v>391</v>
      </c>
      <c r="W390" s="130">
        <v>46055.570138888892</v>
      </c>
      <c r="X390" s="72">
        <v>46057.586805555555</v>
      </c>
      <c r="Y390" s="72">
        <v>46059.361111111109</v>
      </c>
      <c r="Z390" s="104" t="s">
        <v>382</v>
      </c>
      <c r="AA390" s="104" t="s">
        <v>590</v>
      </c>
      <c r="AB390" s="105">
        <v>46057.688194444447</v>
      </c>
      <c r="AC390" s="105">
        <v>46057.969444444447</v>
      </c>
    </row>
    <row r="391" s="70" customFormat="1" ht="11.25" customHeight="1">
      <c r="A391" s="87"/>
      <c r="C391" s="43" t="s">
        <v>1029</v>
      </c>
      <c r="D391" s="71" t="s">
        <v>382</v>
      </c>
      <c r="E391" s="71" t="str">
        <f>MID(D391,1,2)</f>
        <v>IL</v>
      </c>
      <c r="F391" s="71" t="s">
        <v>597</v>
      </c>
      <c r="G391" s="71" t="str">
        <f>MID(F391,1,2)</f>
        <v>NL</v>
      </c>
      <c r="H391" s="43" t="s">
        <v>1030</v>
      </c>
      <c r="I391" s="71" t="s">
        <v>1031</v>
      </c>
      <c r="J391" s="71" t="s">
        <v>400</v>
      </c>
      <c r="K391" s="43"/>
      <c r="L391" s="71" t="s">
        <v>105</v>
      </c>
      <c r="M391" s="73">
        <v>92</v>
      </c>
      <c r="N391" s="71" t="s">
        <v>388</v>
      </c>
      <c r="O391" s="73">
        <v>0.752</v>
      </c>
      <c r="P391" s="71" t="s">
        <v>389</v>
      </c>
      <c r="Q391" s="73">
        <v>125.5</v>
      </c>
      <c r="R391" s="71" t="s">
        <v>388</v>
      </c>
      <c r="S391" s="73">
        <v>0</v>
      </c>
      <c r="T391" s="71" t="s">
        <v>390</v>
      </c>
      <c r="U391" s="74">
        <v>1</v>
      </c>
      <c r="V391" s="71" t="s">
        <v>391</v>
      </c>
      <c r="W391" s="130">
        <v>46055.570138888892</v>
      </c>
      <c r="X391" s="72">
        <v>46057.586805555555</v>
      </c>
      <c r="Y391" s="72">
        <v>46059.361111111109</v>
      </c>
      <c r="Z391" s="104" t="s">
        <v>590</v>
      </c>
      <c r="AA391" s="104" t="s">
        <v>597</v>
      </c>
      <c r="AB391" s="105">
        <v>46058.304166666669</v>
      </c>
      <c r="AC391" s="105">
        <v>46058.40347222222</v>
      </c>
    </row>
    <row r="392" s="70" customFormat="1" ht="11.25" customHeight="1">
      <c r="A392" s="87"/>
      <c r="C392" s="43" t="s">
        <v>1032</v>
      </c>
      <c r="D392" s="71" t="s">
        <v>382</v>
      </c>
      <c r="E392" s="71" t="str">
        <f>MID(D392,1,2)</f>
        <v>IL</v>
      </c>
      <c r="F392" s="71" t="s">
        <v>414</v>
      </c>
      <c r="G392" s="71" t="str">
        <f>MID(F392,1,2)</f>
        <v>US</v>
      </c>
      <c r="H392" s="43" t="s">
        <v>757</v>
      </c>
      <c r="I392" s="71" t="s">
        <v>1033</v>
      </c>
      <c r="J392" s="71" t="s">
        <v>426</v>
      </c>
      <c r="K392" s="43" t="s">
        <v>759</v>
      </c>
      <c r="L392" s="71" t="s">
        <v>105</v>
      </c>
      <c r="M392" s="73">
        <v>2</v>
      </c>
      <c r="N392" s="71" t="s">
        <v>388</v>
      </c>
      <c r="O392" s="73">
        <v>0.022</v>
      </c>
      <c r="P392" s="71" t="s">
        <v>389</v>
      </c>
      <c r="Q392" s="73">
        <v>4</v>
      </c>
      <c r="R392" s="71" t="s">
        <v>388</v>
      </c>
      <c r="S392" s="73">
        <v>0</v>
      </c>
      <c r="T392" s="71" t="s">
        <v>390</v>
      </c>
      <c r="U392" s="74">
        <v>1</v>
      </c>
      <c r="V392" s="71" t="s">
        <v>446</v>
      </c>
      <c r="W392" s="130">
        <v>46055.570138888892</v>
      </c>
      <c r="X392" s="72">
        <v>46057.03125</v>
      </c>
      <c r="Y392" s="72">
        <v>46057.25</v>
      </c>
      <c r="Z392" s="104" t="s">
        <v>382</v>
      </c>
      <c r="AA392" s="104" t="s">
        <v>414</v>
      </c>
      <c r="AB392" s="105">
        <v>46057.031944444447</v>
      </c>
      <c r="AC392" s="105">
        <v>46057.214583333334</v>
      </c>
    </row>
    <row r="393" s="70" customFormat="1" ht="11.25" customHeight="1">
      <c r="A393" s="87"/>
      <c r="C393" s="43" t="s">
        <v>1034</v>
      </c>
      <c r="D393" s="71" t="s">
        <v>382</v>
      </c>
      <c r="E393" s="71" t="str">
        <f>MID(D393,1,2)</f>
        <v>IL</v>
      </c>
      <c r="F393" s="71" t="s">
        <v>496</v>
      </c>
      <c r="G393" s="71" t="str">
        <f>MID(F393,1,2)</f>
        <v>RO</v>
      </c>
      <c r="H393" s="43" t="s">
        <v>982</v>
      </c>
      <c r="I393" s="71" t="s">
        <v>1035</v>
      </c>
      <c r="J393" s="71" t="s">
        <v>400</v>
      </c>
      <c r="K393" s="43"/>
      <c r="L393" s="71" t="s">
        <v>105</v>
      </c>
      <c r="M393" s="73">
        <v>3</v>
      </c>
      <c r="N393" s="71" t="s">
        <v>388</v>
      </c>
      <c r="O393" s="73">
        <v>0.022</v>
      </c>
      <c r="P393" s="71" t="s">
        <v>389</v>
      </c>
      <c r="Q393" s="73">
        <v>4</v>
      </c>
      <c r="R393" s="71" t="s">
        <v>388</v>
      </c>
      <c r="S393" s="73">
        <v>0</v>
      </c>
      <c r="T393" s="71" t="s">
        <v>390</v>
      </c>
      <c r="U393" s="74">
        <v>1</v>
      </c>
      <c r="V393" s="71" t="s">
        <v>391</v>
      </c>
      <c r="W393" s="130">
        <v>46055.570138888892</v>
      </c>
      <c r="X393" s="72">
        <v>46057.013888888891</v>
      </c>
      <c r="Y393" s="72">
        <v>46057.128472222219</v>
      </c>
      <c r="Z393" s="104" t="s">
        <v>382</v>
      </c>
      <c r="AA393" s="104" t="s">
        <v>496</v>
      </c>
      <c r="AB393" s="105">
        <v>46057.013888888891</v>
      </c>
      <c r="AC393" s="105">
        <v>46057.142361111109</v>
      </c>
    </row>
    <row r="394" s="70" customFormat="1" ht="11.25" customHeight="1">
      <c r="A394" s="87"/>
      <c r="C394" s="43" t="s">
        <v>1036</v>
      </c>
      <c r="D394" s="71" t="s">
        <v>382</v>
      </c>
      <c r="E394" s="71" t="str">
        <f>MID(D394,1,2)</f>
        <v>IL</v>
      </c>
      <c r="F394" s="71" t="s">
        <v>526</v>
      </c>
      <c r="G394" s="71" t="str">
        <f>MID(F394,1,2)</f>
        <v>US</v>
      </c>
      <c r="H394" s="43" t="s">
        <v>1037</v>
      </c>
      <c r="I394" s="71" t="s">
        <v>1038</v>
      </c>
      <c r="J394" s="71" t="s">
        <v>386</v>
      </c>
      <c r="K394" s="43"/>
      <c r="L394" s="71" t="s">
        <v>107</v>
      </c>
      <c r="M394" s="73">
        <v>186</v>
      </c>
      <c r="N394" s="71" t="s">
        <v>388</v>
      </c>
      <c r="O394" s="73">
        <v>1.512</v>
      </c>
      <c r="P394" s="71" t="s">
        <v>389</v>
      </c>
      <c r="Q394" s="73">
        <v>252</v>
      </c>
      <c r="R394" s="71" t="s">
        <v>388</v>
      </c>
      <c r="S394" s="73">
        <v>12</v>
      </c>
      <c r="T394" s="71" t="s">
        <v>390</v>
      </c>
      <c r="U394" s="74">
        <v>2</v>
      </c>
      <c r="V394" s="71" t="s">
        <v>391</v>
      </c>
      <c r="W394" s="130">
        <v>46055.61875</v>
      </c>
      <c r="X394" s="72">
        <v>46058.03125</v>
      </c>
      <c r="Y394" s="72">
        <v>46058.25</v>
      </c>
      <c r="Z394" s="104" t="s">
        <v>382</v>
      </c>
      <c r="AA394" s="104" t="s">
        <v>526</v>
      </c>
      <c r="AB394" s="105">
        <v>46058.02847222222</v>
      </c>
      <c r="AC394" s="105">
        <v>46058.206944444442</v>
      </c>
    </row>
    <row r="395" s="70" customFormat="1" ht="11.25" customHeight="1">
      <c r="A395" s="87"/>
      <c r="C395" s="43" t="s">
        <v>1039</v>
      </c>
      <c r="D395" s="71" t="s">
        <v>382</v>
      </c>
      <c r="E395" s="71" t="str">
        <f>MID(D395,1,2)</f>
        <v>IL</v>
      </c>
      <c r="F395" s="71" t="s">
        <v>496</v>
      </c>
      <c r="G395" s="71" t="str">
        <f>MID(F395,1,2)</f>
        <v>RO</v>
      </c>
      <c r="H395" s="43" t="s">
        <v>982</v>
      </c>
      <c r="I395" s="71" t="s">
        <v>1040</v>
      </c>
      <c r="J395" s="71" t="s">
        <v>400</v>
      </c>
      <c r="K395" s="43"/>
      <c r="L395" s="71" t="s">
        <v>105</v>
      </c>
      <c r="M395" s="73">
        <v>7</v>
      </c>
      <c r="N395" s="71" t="s">
        <v>388</v>
      </c>
      <c r="O395" s="73">
        <v>0.036</v>
      </c>
      <c r="P395" s="71" t="s">
        <v>389</v>
      </c>
      <c r="Q395" s="73">
        <v>7</v>
      </c>
      <c r="R395" s="71" t="s">
        <v>388</v>
      </c>
      <c r="S395" s="73">
        <v>0</v>
      </c>
      <c r="T395" s="71" t="s">
        <v>390</v>
      </c>
      <c r="U395" s="74">
        <v>1</v>
      </c>
      <c r="V395" s="71" t="s">
        <v>391</v>
      </c>
      <c r="W395" s="130">
        <v>46055.59097222222</v>
      </c>
      <c r="X395" s="72">
        <v>46057.013888888891</v>
      </c>
      <c r="Y395" s="72">
        <v>46057.128472222219</v>
      </c>
      <c r="Z395" s="104" t="s">
        <v>382</v>
      </c>
      <c r="AA395" s="104" t="s">
        <v>496</v>
      </c>
      <c r="AB395" s="105">
        <v>46057.013888888891</v>
      </c>
      <c r="AC395" s="105">
        <v>46057.142361111109</v>
      </c>
    </row>
    <row r="396" s="70" customFormat="1" ht="11.25" customHeight="1">
      <c r="A396" s="87"/>
      <c r="C396" s="43" t="s">
        <v>1041</v>
      </c>
      <c r="D396" s="71" t="s">
        <v>382</v>
      </c>
      <c r="E396" s="71" t="str">
        <f>MID(D396,1,2)</f>
        <v>IL</v>
      </c>
      <c r="F396" s="71" t="s">
        <v>397</v>
      </c>
      <c r="G396" s="71" t="str">
        <f>MID(F396,1,2)</f>
        <v>IN</v>
      </c>
      <c r="H396" s="43" t="s">
        <v>1042</v>
      </c>
      <c r="I396" s="71" t="s">
        <v>1043</v>
      </c>
      <c r="J396" s="71" t="s">
        <v>483</v>
      </c>
      <c r="K396" s="43"/>
      <c r="L396" s="71" t="s">
        <v>105</v>
      </c>
      <c r="M396" s="73">
        <v>10</v>
      </c>
      <c r="N396" s="71" t="s">
        <v>388</v>
      </c>
      <c r="O396" s="73">
        <v>0.073</v>
      </c>
      <c r="P396" s="71" t="s">
        <v>389</v>
      </c>
      <c r="Q396" s="73">
        <v>12.5</v>
      </c>
      <c r="R396" s="71" t="s">
        <v>388</v>
      </c>
      <c r="S396" s="73">
        <v>0</v>
      </c>
      <c r="T396" s="71" t="s">
        <v>390</v>
      </c>
      <c r="U396" s="74">
        <v>1</v>
      </c>
      <c r="V396" s="71" t="s">
        <v>391</v>
      </c>
      <c r="W396" s="130">
        <v>46069.882465277777</v>
      </c>
      <c r="X396" s="72">
        <v>46072.640972222223</v>
      </c>
      <c r="Y396" s="72">
        <v>46074.640972222223</v>
      </c>
      <c r="Z396" s="104" t="s">
        <v>382</v>
      </c>
      <c r="AA396" s="104" t="s">
        <v>383</v>
      </c>
      <c r="AB396" s="105">
        <v>46072.730555555558</v>
      </c>
      <c r="AC396" s="105">
        <v>46072.870833333334</v>
      </c>
    </row>
    <row r="397" s="70" customFormat="1" ht="11.25" customHeight="1">
      <c r="A397" s="87"/>
      <c r="C397" s="43" t="s">
        <v>1041</v>
      </c>
      <c r="D397" s="71" t="s">
        <v>382</v>
      </c>
      <c r="E397" s="71" t="str">
        <f>MID(D397,1,2)</f>
        <v>IL</v>
      </c>
      <c r="F397" s="71" t="s">
        <v>397</v>
      </c>
      <c r="G397" s="71" t="str">
        <f>MID(F397,1,2)</f>
        <v>IN</v>
      </c>
      <c r="H397" s="43" t="s">
        <v>1042</v>
      </c>
      <c r="I397" s="71" t="s">
        <v>1043</v>
      </c>
      <c r="J397" s="71" t="s">
        <v>483</v>
      </c>
      <c r="K397" s="43"/>
      <c r="L397" s="71" t="s">
        <v>105</v>
      </c>
      <c r="M397" s="73">
        <v>10</v>
      </c>
      <c r="N397" s="71" t="s">
        <v>388</v>
      </c>
      <c r="O397" s="73">
        <v>0.073</v>
      </c>
      <c r="P397" s="71" t="s">
        <v>389</v>
      </c>
      <c r="Q397" s="73">
        <v>12.5</v>
      </c>
      <c r="R397" s="71" t="s">
        <v>388</v>
      </c>
      <c r="S397" s="73">
        <v>0</v>
      </c>
      <c r="T397" s="71" t="s">
        <v>390</v>
      </c>
      <c r="U397" s="74">
        <v>1</v>
      </c>
      <c r="V397" s="71" t="s">
        <v>391</v>
      </c>
      <c r="W397" s="130">
        <v>46069.882465277777</v>
      </c>
      <c r="X397" s="72">
        <v>46072.640972222223</v>
      </c>
      <c r="Y397" s="72">
        <v>46074.640972222223</v>
      </c>
      <c r="Z397" s="104" t="s">
        <v>383</v>
      </c>
      <c r="AA397" s="104" t="s">
        <v>397</v>
      </c>
      <c r="AB397" s="105">
        <v>46073.446527777778</v>
      </c>
      <c r="AC397" s="105">
        <v>46074.040972222225</v>
      </c>
    </row>
    <row r="398" s="70" customFormat="1" ht="11.25" customHeight="1">
      <c r="A398" s="87"/>
      <c r="C398" s="43" t="s">
        <v>1044</v>
      </c>
      <c r="D398" s="71" t="s">
        <v>382</v>
      </c>
      <c r="E398" s="71" t="str">
        <f>MID(D398,1,2)</f>
        <v>IL</v>
      </c>
      <c r="F398" s="71" t="s">
        <v>471</v>
      </c>
      <c r="G398" s="71" t="str">
        <f>MID(F398,1,2)</f>
        <v>US</v>
      </c>
      <c r="H398" s="43" t="s">
        <v>1045</v>
      </c>
      <c r="I398" s="71" t="s">
        <v>1046</v>
      </c>
      <c r="J398" s="71" t="s">
        <v>386</v>
      </c>
      <c r="K398" s="43"/>
      <c r="L398" s="71" t="s">
        <v>107</v>
      </c>
      <c r="M398" s="73">
        <v>180</v>
      </c>
      <c r="N398" s="71" t="s">
        <v>388</v>
      </c>
      <c r="O398" s="73">
        <v>0.669</v>
      </c>
      <c r="P398" s="71" t="s">
        <v>389</v>
      </c>
      <c r="Q398" s="73">
        <v>180</v>
      </c>
      <c r="R398" s="71" t="s">
        <v>388</v>
      </c>
      <c r="S398" s="73">
        <v>0</v>
      </c>
      <c r="T398" s="71" t="s">
        <v>390</v>
      </c>
      <c r="U398" s="74">
        <v>1</v>
      </c>
      <c r="V398" s="71" t="s">
        <v>391</v>
      </c>
      <c r="W398" s="130">
        <v>46055.660416666666</v>
      </c>
      <c r="X398" s="72">
        <v>46058.599305555559</v>
      </c>
      <c r="Y398" s="72">
        <v>46062.25</v>
      </c>
      <c r="Z398" s="104" t="s">
        <v>382</v>
      </c>
      <c r="AA398" s="104" t="s">
        <v>422</v>
      </c>
      <c r="AB398" s="105">
        <v>46060.890277777777</v>
      </c>
      <c r="AC398" s="105">
        <v>46061.084027777775</v>
      </c>
    </row>
    <row r="399" s="70" customFormat="1" ht="11.25" customHeight="1">
      <c r="A399" s="87"/>
      <c r="C399" s="43" t="s">
        <v>1044</v>
      </c>
      <c r="D399" s="71" t="s">
        <v>382</v>
      </c>
      <c r="E399" s="71" t="str">
        <f>MID(D399,1,2)</f>
        <v>IL</v>
      </c>
      <c r="F399" s="71" t="s">
        <v>471</v>
      </c>
      <c r="G399" s="71" t="str">
        <f>MID(F399,1,2)</f>
        <v>US</v>
      </c>
      <c r="H399" s="43" t="s">
        <v>1045</v>
      </c>
      <c r="I399" s="71" t="s">
        <v>1046</v>
      </c>
      <c r="J399" s="71" t="s">
        <v>386</v>
      </c>
      <c r="K399" s="43"/>
      <c r="L399" s="71" t="s">
        <v>107</v>
      </c>
      <c r="M399" s="73">
        <v>180</v>
      </c>
      <c r="N399" s="71" t="s">
        <v>388</v>
      </c>
      <c r="O399" s="73">
        <v>0.669</v>
      </c>
      <c r="P399" s="71" t="s">
        <v>389</v>
      </c>
      <c r="Q399" s="73">
        <v>180</v>
      </c>
      <c r="R399" s="71" t="s">
        <v>388</v>
      </c>
      <c r="S399" s="73">
        <v>0</v>
      </c>
      <c r="T399" s="71" t="s">
        <v>390</v>
      </c>
      <c r="U399" s="74">
        <v>1</v>
      </c>
      <c r="V399" s="71" t="s">
        <v>391</v>
      </c>
      <c r="W399" s="130">
        <v>46055.660416666666</v>
      </c>
      <c r="X399" s="72">
        <v>46058.599305555559</v>
      </c>
      <c r="Y399" s="72">
        <v>46062.25</v>
      </c>
      <c r="Z399" s="104" t="s">
        <v>422</v>
      </c>
      <c r="AA399" s="104" t="s">
        <v>471</v>
      </c>
      <c r="AB399" s="105">
        <v>46061.682638888888</v>
      </c>
      <c r="AC399" s="105">
        <v>46061.7375</v>
      </c>
    </row>
    <row r="400" s="70" customFormat="1" ht="11.25" customHeight="1">
      <c r="A400" s="87"/>
      <c r="C400" s="43" t="s">
        <v>1047</v>
      </c>
      <c r="D400" s="71" t="s">
        <v>382</v>
      </c>
      <c r="E400" s="71" t="str">
        <f>MID(D400,1,2)</f>
        <v>IL</v>
      </c>
      <c r="F400" s="71" t="s">
        <v>496</v>
      </c>
      <c r="G400" s="71" t="str">
        <f>MID(F400,1,2)</f>
        <v>RO</v>
      </c>
      <c r="H400" s="43" t="s">
        <v>982</v>
      </c>
      <c r="I400" s="71" t="s">
        <v>1048</v>
      </c>
      <c r="J400" s="71" t="s">
        <v>400</v>
      </c>
      <c r="K400" s="43"/>
      <c r="L400" s="71" t="s">
        <v>105</v>
      </c>
      <c r="M400" s="73">
        <v>58</v>
      </c>
      <c r="N400" s="71" t="s">
        <v>388</v>
      </c>
      <c r="O400" s="73">
        <v>0.708</v>
      </c>
      <c r="P400" s="71" t="s">
        <v>389</v>
      </c>
      <c r="Q400" s="73">
        <v>118</v>
      </c>
      <c r="R400" s="71" t="s">
        <v>388</v>
      </c>
      <c r="S400" s="73">
        <v>0</v>
      </c>
      <c r="T400" s="71" t="s">
        <v>390</v>
      </c>
      <c r="U400" s="74">
        <v>1</v>
      </c>
      <c r="V400" s="71" t="s">
        <v>391</v>
      </c>
      <c r="W400" s="130">
        <v>46055.61875</v>
      </c>
      <c r="X400" s="72">
        <v>46057.013888888891</v>
      </c>
      <c r="Y400" s="72">
        <v>46057.128472222219</v>
      </c>
      <c r="Z400" s="104" t="s">
        <v>382</v>
      </c>
      <c r="AA400" s="104" t="s">
        <v>496</v>
      </c>
      <c r="AB400" s="105">
        <v>46057.013888888891</v>
      </c>
      <c r="AC400" s="105">
        <v>46057.142361111109</v>
      </c>
    </row>
    <row r="401" s="70" customFormat="1" ht="11.25" customHeight="1">
      <c r="A401" s="87"/>
      <c r="C401" s="43" t="s">
        <v>1049</v>
      </c>
      <c r="D401" s="71" t="s">
        <v>382</v>
      </c>
      <c r="E401" s="71" t="str">
        <f>MID(D401,1,2)</f>
        <v>IL</v>
      </c>
      <c r="F401" s="71" t="s">
        <v>595</v>
      </c>
      <c r="G401" s="71" t="str">
        <f>MID(F401,1,2)</f>
        <v>AT</v>
      </c>
      <c r="H401" s="43" t="s">
        <v>1050</v>
      </c>
      <c r="I401" s="71" t="s">
        <v>1051</v>
      </c>
      <c r="J401" s="71" t="s">
        <v>426</v>
      </c>
      <c r="K401" s="43"/>
      <c r="L401" s="71" t="s">
        <v>105</v>
      </c>
      <c r="M401" s="73">
        <v>12</v>
      </c>
      <c r="N401" s="71" t="s">
        <v>388</v>
      </c>
      <c r="O401" s="73">
        <v>0.065</v>
      </c>
      <c r="P401" s="71" t="s">
        <v>389</v>
      </c>
      <c r="Q401" s="73">
        <v>12</v>
      </c>
      <c r="R401" s="71" t="s">
        <v>388</v>
      </c>
      <c r="S401" s="73">
        <v>0</v>
      </c>
      <c r="T401" s="71" t="s">
        <v>390</v>
      </c>
      <c r="U401" s="74">
        <v>1</v>
      </c>
      <c r="V401" s="71" t="s">
        <v>391</v>
      </c>
      <c r="W401" s="130">
        <v>46056.70071759259</v>
      </c>
      <c r="X401" s="72">
        <v>46057.652777777781</v>
      </c>
      <c r="Y401" s="72">
        <v>46057.772222222222</v>
      </c>
      <c r="Z401" s="104" t="s">
        <v>382</v>
      </c>
      <c r="AA401" s="104" t="s">
        <v>595</v>
      </c>
      <c r="AB401" s="105">
        <v>46057.661111111112</v>
      </c>
      <c r="AC401" s="105">
        <v>46057.760416666664</v>
      </c>
    </row>
    <row r="402" s="70" customFormat="1" ht="11.25" customHeight="1">
      <c r="A402" s="87"/>
      <c r="C402" s="43" t="s">
        <v>1052</v>
      </c>
      <c r="D402" s="71" t="s">
        <v>382</v>
      </c>
      <c r="E402" s="71" t="str">
        <f>MID(D402,1,2)</f>
        <v>IL</v>
      </c>
      <c r="F402" s="71" t="s">
        <v>496</v>
      </c>
      <c r="G402" s="71" t="str">
        <f>MID(F402,1,2)</f>
        <v>RO</v>
      </c>
      <c r="H402" s="43" t="s">
        <v>1053</v>
      </c>
      <c r="I402" s="71" t="s">
        <v>1054</v>
      </c>
      <c r="J402" s="71" t="s">
        <v>386</v>
      </c>
      <c r="K402" s="43"/>
      <c r="L402" s="71" t="s">
        <v>107</v>
      </c>
      <c r="M402" s="73">
        <v>4.1</v>
      </c>
      <c r="N402" s="71" t="s">
        <v>388</v>
      </c>
      <c r="O402" s="73">
        <v>0.019</v>
      </c>
      <c r="P402" s="71" t="s">
        <v>389</v>
      </c>
      <c r="Q402" s="73">
        <v>4.5</v>
      </c>
      <c r="R402" s="71" t="s">
        <v>388</v>
      </c>
      <c r="S402" s="73">
        <v>0</v>
      </c>
      <c r="T402" s="71" t="s">
        <v>390</v>
      </c>
      <c r="U402" s="74">
        <v>1</v>
      </c>
      <c r="V402" s="71" t="s">
        <v>391</v>
      </c>
      <c r="W402" s="130">
        <v>46058.395833333336</v>
      </c>
      <c r="X402" s="72">
        <v>46061.013888888891</v>
      </c>
      <c r="Y402" s="72">
        <v>46061.128472222219</v>
      </c>
      <c r="Z402" s="104" t="s">
        <v>382</v>
      </c>
      <c r="AA402" s="104" t="s">
        <v>496</v>
      </c>
      <c r="AB402" s="105">
        <v>46061.013888888891</v>
      </c>
      <c r="AC402" s="105"/>
    </row>
    <row r="403" s="70" customFormat="1" ht="11.25" customHeight="1">
      <c r="A403" s="87"/>
      <c r="C403" s="43" t="s">
        <v>1055</v>
      </c>
      <c r="D403" s="71" t="s">
        <v>382</v>
      </c>
      <c r="E403" s="71" t="str">
        <f>MID(D403,1,2)</f>
        <v>IL</v>
      </c>
      <c r="F403" s="71" t="s">
        <v>414</v>
      </c>
      <c r="G403" s="71" t="str">
        <f>MID(F403,1,2)</f>
        <v>US</v>
      </c>
      <c r="H403" s="43" t="s">
        <v>757</v>
      </c>
      <c r="I403" s="71" t="s">
        <v>1056</v>
      </c>
      <c r="J403" s="71" t="s">
        <v>426</v>
      </c>
      <c r="K403" s="43" t="s">
        <v>759</v>
      </c>
      <c r="L403" s="71" t="s">
        <v>105</v>
      </c>
      <c r="M403" s="73">
        <v>1</v>
      </c>
      <c r="N403" s="71" t="s">
        <v>388</v>
      </c>
      <c r="O403" s="73">
        <v>0.012</v>
      </c>
      <c r="P403" s="71" t="s">
        <v>389</v>
      </c>
      <c r="Q403" s="73">
        <v>2</v>
      </c>
      <c r="R403" s="71" t="s">
        <v>388</v>
      </c>
      <c r="S403" s="73">
        <v>0</v>
      </c>
      <c r="T403" s="71" t="s">
        <v>390</v>
      </c>
      <c r="U403" s="74">
        <v>1</v>
      </c>
      <c r="V403" s="71" t="s">
        <v>427</v>
      </c>
      <c r="W403" s="130">
        <v>46055.61875</v>
      </c>
      <c r="X403" s="72">
        <v>46057.03125</v>
      </c>
      <c r="Y403" s="72">
        <v>46057.25</v>
      </c>
      <c r="Z403" s="104" t="s">
        <v>382</v>
      </c>
      <c r="AA403" s="104" t="s">
        <v>414</v>
      </c>
      <c r="AB403" s="105">
        <v>46057.031944444447</v>
      </c>
      <c r="AC403" s="105">
        <v>46057.214583333334</v>
      </c>
    </row>
    <row r="404" s="70" customFormat="1" ht="11.25" customHeight="1">
      <c r="A404" s="87"/>
      <c r="C404" s="43" t="s">
        <v>1057</v>
      </c>
      <c r="D404" s="71" t="s">
        <v>382</v>
      </c>
      <c r="E404" s="71" t="str">
        <f>MID(D404,1,2)</f>
        <v>IL</v>
      </c>
      <c r="F404" s="71" t="s">
        <v>414</v>
      </c>
      <c r="G404" s="71" t="str">
        <f>MID(F404,1,2)</f>
        <v>US</v>
      </c>
      <c r="H404" s="43" t="s">
        <v>757</v>
      </c>
      <c r="I404" s="71" t="s">
        <v>1058</v>
      </c>
      <c r="J404" s="71" t="s">
        <v>386</v>
      </c>
      <c r="K404" s="43" t="s">
        <v>759</v>
      </c>
      <c r="L404" s="71" t="s">
        <v>107</v>
      </c>
      <c r="M404" s="73">
        <v>1</v>
      </c>
      <c r="N404" s="71" t="s">
        <v>388</v>
      </c>
      <c r="O404" s="73">
        <v>0.012</v>
      </c>
      <c r="P404" s="71" t="s">
        <v>389</v>
      </c>
      <c r="Q404" s="73">
        <v>2</v>
      </c>
      <c r="R404" s="71" t="s">
        <v>388</v>
      </c>
      <c r="S404" s="73">
        <v>0</v>
      </c>
      <c r="T404" s="71" t="s">
        <v>390</v>
      </c>
      <c r="U404" s="74">
        <v>1</v>
      </c>
      <c r="V404" s="71" t="s">
        <v>427</v>
      </c>
      <c r="W404" s="130">
        <v>46055.61875</v>
      </c>
      <c r="X404" s="72">
        <v>46057.03125</v>
      </c>
      <c r="Y404" s="72">
        <v>46057.25</v>
      </c>
      <c r="Z404" s="104" t="s">
        <v>382</v>
      </c>
      <c r="AA404" s="104" t="s">
        <v>414</v>
      </c>
      <c r="AB404" s="105">
        <v>46057.031944444447</v>
      </c>
      <c r="AC404" s="105">
        <v>46057.214583333334</v>
      </c>
    </row>
    <row r="405" s="70" customFormat="1" ht="11.25" customHeight="1">
      <c r="A405" s="87"/>
      <c r="C405" s="43" t="s">
        <v>1059</v>
      </c>
      <c r="D405" s="71" t="s">
        <v>382</v>
      </c>
      <c r="E405" s="71" t="str">
        <f>MID(D405,1,2)</f>
        <v>IL</v>
      </c>
      <c r="F405" s="71" t="s">
        <v>496</v>
      </c>
      <c r="G405" s="71" t="str">
        <f>MID(F405,1,2)</f>
        <v>RO</v>
      </c>
      <c r="H405" s="43" t="s">
        <v>982</v>
      </c>
      <c r="I405" s="71" t="s">
        <v>1060</v>
      </c>
      <c r="J405" s="71" t="s">
        <v>400</v>
      </c>
      <c r="K405" s="43"/>
      <c r="L405" s="71" t="s">
        <v>105</v>
      </c>
      <c r="M405" s="73">
        <v>71</v>
      </c>
      <c r="N405" s="71" t="s">
        <v>388</v>
      </c>
      <c r="O405" s="73">
        <v>0.174</v>
      </c>
      <c r="P405" s="71" t="s">
        <v>389</v>
      </c>
      <c r="Q405" s="73">
        <v>71</v>
      </c>
      <c r="R405" s="71" t="s">
        <v>388</v>
      </c>
      <c r="S405" s="73">
        <v>0</v>
      </c>
      <c r="T405" s="71" t="s">
        <v>390</v>
      </c>
      <c r="U405" s="74">
        <v>1</v>
      </c>
      <c r="V405" s="71" t="s">
        <v>391</v>
      </c>
      <c r="W405" s="130">
        <v>46055.674305555556</v>
      </c>
      <c r="X405" s="72">
        <v>46057.013888888891</v>
      </c>
      <c r="Y405" s="72">
        <v>46057.128472222219</v>
      </c>
      <c r="Z405" s="104" t="s">
        <v>382</v>
      </c>
      <c r="AA405" s="104" t="s">
        <v>496</v>
      </c>
      <c r="AB405" s="105">
        <v>46057.013888888891</v>
      </c>
      <c r="AC405" s="105">
        <v>46057.142361111109</v>
      </c>
    </row>
    <row r="406" s="70" customFormat="1" ht="11.25" customHeight="1">
      <c r="A406" s="87"/>
      <c r="C406" s="43" t="s">
        <v>1061</v>
      </c>
      <c r="D406" s="71" t="s">
        <v>382</v>
      </c>
      <c r="E406" s="71" t="str">
        <f>MID(D406,1,2)</f>
        <v>IL</v>
      </c>
      <c r="F406" s="71" t="s">
        <v>651</v>
      </c>
      <c r="G406" s="71" t="str">
        <f>MID(F406,1,2)</f>
        <v>BR</v>
      </c>
      <c r="H406" s="43" t="s">
        <v>1062</v>
      </c>
      <c r="I406" s="71" t="s">
        <v>1063</v>
      </c>
      <c r="J406" s="71" t="s">
        <v>386</v>
      </c>
      <c r="K406" s="43"/>
      <c r="L406" s="71" t="s">
        <v>107</v>
      </c>
      <c r="M406" s="73">
        <v>12</v>
      </c>
      <c r="N406" s="71" t="s">
        <v>388</v>
      </c>
      <c r="O406" s="73">
        <v>0.282</v>
      </c>
      <c r="P406" s="71" t="s">
        <v>389</v>
      </c>
      <c r="Q406" s="73">
        <v>47</v>
      </c>
      <c r="R406" s="71" t="s">
        <v>388</v>
      </c>
      <c r="S406" s="73">
        <v>0</v>
      </c>
      <c r="T406" s="71" t="s">
        <v>390</v>
      </c>
      <c r="U406" s="74">
        <v>1</v>
      </c>
      <c r="V406" s="71" t="s">
        <v>391</v>
      </c>
      <c r="W406" s="130">
        <v>46055.631944444445</v>
      </c>
      <c r="X406" s="72">
        <v>46059.586805555555</v>
      </c>
      <c r="Y406" s="72">
        <v>46061.395833333336</v>
      </c>
      <c r="Z406" s="104" t="s">
        <v>382</v>
      </c>
      <c r="AA406" s="104" t="s">
        <v>590</v>
      </c>
      <c r="AB406" s="105">
        <v>46059.48125</v>
      </c>
      <c r="AC406" s="105">
        <v>46060.01666666667</v>
      </c>
    </row>
    <row r="407" s="70" customFormat="1" ht="11.25" customHeight="1">
      <c r="A407" s="87"/>
      <c r="C407" s="43" t="s">
        <v>1061</v>
      </c>
      <c r="D407" s="71" t="s">
        <v>382</v>
      </c>
      <c r="E407" s="71" t="str">
        <f>MID(D407,1,2)</f>
        <v>IL</v>
      </c>
      <c r="F407" s="71" t="s">
        <v>651</v>
      </c>
      <c r="G407" s="71" t="str">
        <f>MID(F407,1,2)</f>
        <v>BR</v>
      </c>
      <c r="H407" s="43" t="s">
        <v>1062</v>
      </c>
      <c r="I407" s="71" t="s">
        <v>1063</v>
      </c>
      <c r="J407" s="71" t="s">
        <v>386</v>
      </c>
      <c r="K407" s="43"/>
      <c r="L407" s="71" t="s">
        <v>107</v>
      </c>
      <c r="M407" s="73">
        <v>12</v>
      </c>
      <c r="N407" s="71" t="s">
        <v>388</v>
      </c>
      <c r="O407" s="73">
        <v>0.282</v>
      </c>
      <c r="P407" s="71" t="s">
        <v>389</v>
      </c>
      <c r="Q407" s="73">
        <v>47</v>
      </c>
      <c r="R407" s="71" t="s">
        <v>388</v>
      </c>
      <c r="S407" s="73">
        <v>0</v>
      </c>
      <c r="T407" s="71" t="s">
        <v>390</v>
      </c>
      <c r="U407" s="74">
        <v>1</v>
      </c>
      <c r="V407" s="71" t="s">
        <v>391</v>
      </c>
      <c r="W407" s="130">
        <v>46055.631944444445</v>
      </c>
      <c r="X407" s="72">
        <v>46059.586805555555</v>
      </c>
      <c r="Y407" s="72">
        <v>46061.395833333336</v>
      </c>
      <c r="Z407" s="104" t="s">
        <v>590</v>
      </c>
      <c r="AA407" s="104" t="s">
        <v>651</v>
      </c>
      <c r="AB407" s="105">
        <v>46061.029861111114</v>
      </c>
      <c r="AC407" s="105">
        <v>46061.82708333333</v>
      </c>
    </row>
    <row r="408" s="70" customFormat="1" ht="11.25" customHeight="1">
      <c r="A408" s="87"/>
      <c r="C408" s="43" t="s">
        <v>1064</v>
      </c>
      <c r="D408" s="71" t="s">
        <v>382</v>
      </c>
      <c r="E408" s="71" t="str">
        <f>MID(D408,1,2)</f>
        <v>IL</v>
      </c>
      <c r="F408" s="71" t="s">
        <v>1065</v>
      </c>
      <c r="G408" s="71" t="str">
        <f>MID(F408,1,2)</f>
        <v>DE</v>
      </c>
      <c r="H408" s="43" t="s">
        <v>1066</v>
      </c>
      <c r="I408" s="71" t="s">
        <v>1067</v>
      </c>
      <c r="J408" s="71" t="s">
        <v>386</v>
      </c>
      <c r="K408" s="43"/>
      <c r="L408" s="71" t="s">
        <v>107</v>
      </c>
      <c r="M408" s="73">
        <v>316</v>
      </c>
      <c r="N408" s="71" t="s">
        <v>388</v>
      </c>
      <c r="O408" s="73">
        <v>1.296</v>
      </c>
      <c r="P408" s="71" t="s">
        <v>389</v>
      </c>
      <c r="Q408" s="73">
        <v>316</v>
      </c>
      <c r="R408" s="71" t="s">
        <v>388</v>
      </c>
      <c r="S408" s="73">
        <v>0</v>
      </c>
      <c r="T408" s="71" t="s">
        <v>390</v>
      </c>
      <c r="U408" s="74">
        <v>1</v>
      </c>
      <c r="V408" s="71" t="s">
        <v>391</v>
      </c>
      <c r="W408" s="130">
        <v>46055.646527777775</v>
      </c>
      <c r="X408" s="72">
        <v>46058.784722222219</v>
      </c>
      <c r="Y408" s="72">
        <v>46062.215277777781</v>
      </c>
      <c r="Z408" s="104" t="s">
        <v>383</v>
      </c>
      <c r="AA408" s="104" t="s">
        <v>1065</v>
      </c>
      <c r="AB408" s="105">
        <v>46064.913194444445</v>
      </c>
      <c r="AC408" s="105">
        <v>46064.913194444445</v>
      </c>
    </row>
    <row r="409" s="70" customFormat="1" ht="11.25" customHeight="1">
      <c r="A409" s="87"/>
      <c r="C409" s="43" t="s">
        <v>1064</v>
      </c>
      <c r="D409" s="71" t="s">
        <v>382</v>
      </c>
      <c r="E409" s="71" t="str">
        <f>MID(D409,1,2)</f>
        <v>IL</v>
      </c>
      <c r="F409" s="71" t="s">
        <v>1065</v>
      </c>
      <c r="G409" s="71" t="str">
        <f>MID(F409,1,2)</f>
        <v>DE</v>
      </c>
      <c r="H409" s="43" t="s">
        <v>1066</v>
      </c>
      <c r="I409" s="71" t="s">
        <v>1067</v>
      </c>
      <c r="J409" s="71" t="s">
        <v>386</v>
      </c>
      <c r="K409" s="43"/>
      <c r="L409" s="71" t="s">
        <v>107</v>
      </c>
      <c r="M409" s="73">
        <v>316</v>
      </c>
      <c r="N409" s="71" t="s">
        <v>388</v>
      </c>
      <c r="O409" s="73">
        <v>1.296</v>
      </c>
      <c r="P409" s="71" t="s">
        <v>389</v>
      </c>
      <c r="Q409" s="73">
        <v>316</v>
      </c>
      <c r="R409" s="71" t="s">
        <v>388</v>
      </c>
      <c r="S409" s="73">
        <v>0</v>
      </c>
      <c r="T409" s="71" t="s">
        <v>390</v>
      </c>
      <c r="U409" s="74">
        <v>1</v>
      </c>
      <c r="V409" s="71" t="s">
        <v>391</v>
      </c>
      <c r="W409" s="130">
        <v>46055.646527777775</v>
      </c>
      <c r="X409" s="72">
        <v>46058.784722222219</v>
      </c>
      <c r="Y409" s="72">
        <v>46062.215277777781</v>
      </c>
      <c r="Z409" s="104" t="s">
        <v>383</v>
      </c>
      <c r="AA409" s="104" t="s">
        <v>1065</v>
      </c>
      <c r="AB409" s="105">
        <v>46064.913194444445</v>
      </c>
      <c r="AC409" s="105">
        <v>46064.913194444445</v>
      </c>
    </row>
    <row r="410" s="70" customFormat="1" ht="11.25" customHeight="1">
      <c r="A410" s="87"/>
      <c r="C410" s="43" t="s">
        <v>1064</v>
      </c>
      <c r="D410" s="71" t="s">
        <v>382</v>
      </c>
      <c r="E410" s="71" t="str">
        <f>MID(D410,1,2)</f>
        <v>IL</v>
      </c>
      <c r="F410" s="71" t="s">
        <v>1065</v>
      </c>
      <c r="G410" s="71" t="str">
        <f>MID(F410,1,2)</f>
        <v>DE</v>
      </c>
      <c r="H410" s="43" t="s">
        <v>1066</v>
      </c>
      <c r="I410" s="71" t="s">
        <v>1067</v>
      </c>
      <c r="J410" s="71" t="s">
        <v>386</v>
      </c>
      <c r="K410" s="43"/>
      <c r="L410" s="71" t="s">
        <v>107</v>
      </c>
      <c r="M410" s="73">
        <v>316</v>
      </c>
      <c r="N410" s="71" t="s">
        <v>388</v>
      </c>
      <c r="O410" s="73">
        <v>1.296</v>
      </c>
      <c r="P410" s="71" t="s">
        <v>389</v>
      </c>
      <c r="Q410" s="73">
        <v>316</v>
      </c>
      <c r="R410" s="71" t="s">
        <v>388</v>
      </c>
      <c r="S410" s="73">
        <v>0</v>
      </c>
      <c r="T410" s="71" t="s">
        <v>390</v>
      </c>
      <c r="U410" s="74">
        <v>1</v>
      </c>
      <c r="V410" s="71" t="s">
        <v>391</v>
      </c>
      <c r="W410" s="130">
        <v>46055.646527777775</v>
      </c>
      <c r="X410" s="72">
        <v>46058.784722222219</v>
      </c>
      <c r="Y410" s="72">
        <v>46062.215277777781</v>
      </c>
      <c r="Z410" s="104" t="s">
        <v>382</v>
      </c>
      <c r="AA410" s="104" t="s">
        <v>748</v>
      </c>
      <c r="AB410" s="105">
        <v>46060.961805555555</v>
      </c>
      <c r="AC410" s="105"/>
    </row>
    <row r="411" s="70" customFormat="1" ht="11.25" customHeight="1">
      <c r="A411" s="87"/>
      <c r="C411" s="43" t="s">
        <v>1064</v>
      </c>
      <c r="D411" s="71" t="s">
        <v>382</v>
      </c>
      <c r="E411" s="71" t="str">
        <f>MID(D411,1,2)</f>
        <v>IL</v>
      </c>
      <c r="F411" s="71" t="s">
        <v>1065</v>
      </c>
      <c r="G411" s="71" t="str">
        <f>MID(F411,1,2)</f>
        <v>DE</v>
      </c>
      <c r="H411" s="43" t="s">
        <v>1066</v>
      </c>
      <c r="I411" s="71" t="s">
        <v>1067</v>
      </c>
      <c r="J411" s="71" t="s">
        <v>386</v>
      </c>
      <c r="K411" s="43"/>
      <c r="L411" s="71" t="s">
        <v>107</v>
      </c>
      <c r="M411" s="73">
        <v>316</v>
      </c>
      <c r="N411" s="71" t="s">
        <v>388</v>
      </c>
      <c r="O411" s="73">
        <v>1.296</v>
      </c>
      <c r="P411" s="71" t="s">
        <v>389</v>
      </c>
      <c r="Q411" s="73">
        <v>316</v>
      </c>
      <c r="R411" s="71" t="s">
        <v>388</v>
      </c>
      <c r="S411" s="73">
        <v>0</v>
      </c>
      <c r="T411" s="71" t="s">
        <v>390</v>
      </c>
      <c r="U411" s="74">
        <v>1</v>
      </c>
      <c r="V411" s="71" t="s">
        <v>391</v>
      </c>
      <c r="W411" s="130">
        <v>46055.646527777775</v>
      </c>
      <c r="X411" s="72">
        <v>46058.784722222219</v>
      </c>
      <c r="Y411" s="72">
        <v>46062.215277777781</v>
      </c>
      <c r="Z411" s="104" t="s">
        <v>748</v>
      </c>
      <c r="AA411" s="104" t="s">
        <v>383</v>
      </c>
      <c r="AB411" s="105">
        <v>46062.244444444441</v>
      </c>
      <c r="AC411" s="105">
        <v>46062.225</v>
      </c>
    </row>
    <row r="412" s="70" customFormat="1" ht="11.25" customHeight="1">
      <c r="A412" s="87"/>
      <c r="C412" s="43" t="s">
        <v>1068</v>
      </c>
      <c r="D412" s="71" t="s">
        <v>382</v>
      </c>
      <c r="E412" s="71" t="str">
        <f>MID(D412,1,2)</f>
        <v>IL</v>
      </c>
      <c r="F412" s="71" t="s">
        <v>1069</v>
      </c>
      <c r="G412" s="71" t="str">
        <f>MID(F412,1,2)</f>
        <v>AU</v>
      </c>
      <c r="H412" s="43" t="s">
        <v>1070</v>
      </c>
      <c r="I412" s="71" t="s">
        <v>1071</v>
      </c>
      <c r="J412" s="71" t="s">
        <v>426</v>
      </c>
      <c r="K412" s="43"/>
      <c r="L412" s="71" t="s">
        <v>105</v>
      </c>
      <c r="M412" s="73">
        <v>4</v>
      </c>
      <c r="N412" s="71" t="s">
        <v>388</v>
      </c>
      <c r="O412" s="73">
        <v>0.02</v>
      </c>
      <c r="P412" s="71" t="s">
        <v>389</v>
      </c>
      <c r="Q412" s="73">
        <v>4</v>
      </c>
      <c r="R412" s="71" t="s">
        <v>388</v>
      </c>
      <c r="S412" s="73">
        <v>0</v>
      </c>
      <c r="T412" s="71" t="s">
        <v>390</v>
      </c>
      <c r="U412" s="74">
        <v>1</v>
      </c>
      <c r="V412" s="71" t="s">
        <v>391</v>
      </c>
      <c r="W412" s="130">
        <v>46055.640277777777</v>
      </c>
      <c r="X412" s="72">
        <v>46056.630555555559</v>
      </c>
      <c r="Y412" s="72">
        <v>46056.630555555559</v>
      </c>
      <c r="Z412" s="104" t="s">
        <v>382</v>
      </c>
      <c r="AA412" s="104" t="s">
        <v>833</v>
      </c>
      <c r="AB412" s="105">
        <v>46056.897916666669</v>
      </c>
      <c r="AC412" s="105">
        <v>46057.551388888889</v>
      </c>
    </row>
    <row r="413" s="70" customFormat="1" ht="11.25" customHeight="1">
      <c r="A413" s="87"/>
      <c r="C413" s="43" t="s">
        <v>1068</v>
      </c>
      <c r="D413" s="71" t="s">
        <v>382</v>
      </c>
      <c r="E413" s="71" t="str">
        <f>MID(D413,1,2)</f>
        <v>IL</v>
      </c>
      <c r="F413" s="71" t="s">
        <v>1069</v>
      </c>
      <c r="G413" s="71" t="str">
        <f>MID(F413,1,2)</f>
        <v>AU</v>
      </c>
      <c r="H413" s="43" t="s">
        <v>1070</v>
      </c>
      <c r="I413" s="71" t="s">
        <v>1071</v>
      </c>
      <c r="J413" s="71" t="s">
        <v>426</v>
      </c>
      <c r="K413" s="43"/>
      <c r="L413" s="71" t="s">
        <v>105</v>
      </c>
      <c r="M413" s="73">
        <v>4</v>
      </c>
      <c r="N413" s="71" t="s">
        <v>388</v>
      </c>
      <c r="O413" s="73">
        <v>0.02</v>
      </c>
      <c r="P413" s="71" t="s">
        <v>389</v>
      </c>
      <c r="Q413" s="73">
        <v>4</v>
      </c>
      <c r="R413" s="71" t="s">
        <v>388</v>
      </c>
      <c r="S413" s="73">
        <v>0</v>
      </c>
      <c r="T413" s="71" t="s">
        <v>390</v>
      </c>
      <c r="U413" s="74">
        <v>1</v>
      </c>
      <c r="V413" s="71" t="s">
        <v>391</v>
      </c>
      <c r="W413" s="130">
        <v>46055.640277777777</v>
      </c>
      <c r="X413" s="72">
        <v>46056.630555555559</v>
      </c>
      <c r="Y413" s="72">
        <v>46056.630555555559</v>
      </c>
      <c r="Z413" s="104" t="s">
        <v>833</v>
      </c>
      <c r="AA413" s="104" t="s">
        <v>1069</v>
      </c>
      <c r="AB413" s="105">
        <v>46058.36041666667</v>
      </c>
      <c r="AC413" s="105">
        <v>46058.888888888891</v>
      </c>
    </row>
    <row r="414" s="70" customFormat="1" ht="11.25" customHeight="1">
      <c r="A414" s="87"/>
      <c r="C414" s="43" t="s">
        <v>1072</v>
      </c>
      <c r="D414" s="71" t="s">
        <v>382</v>
      </c>
      <c r="E414" s="71" t="str">
        <f>MID(D414,1,2)</f>
        <v>IL</v>
      </c>
      <c r="F414" s="71" t="s">
        <v>468</v>
      </c>
      <c r="G414" s="71" t="str">
        <f>MID(F414,1,2)</f>
        <v>US</v>
      </c>
      <c r="H414" s="43" t="s">
        <v>706</v>
      </c>
      <c r="I414" s="71" t="s">
        <v>1073</v>
      </c>
      <c r="J414" s="71" t="s">
        <v>386</v>
      </c>
      <c r="K414" s="43"/>
      <c r="L414" s="71" t="s">
        <v>107</v>
      </c>
      <c r="M414" s="73">
        <v>36</v>
      </c>
      <c r="N414" s="71" t="s">
        <v>388</v>
      </c>
      <c r="O414" s="73">
        <v>0.282</v>
      </c>
      <c r="P414" s="71" t="s">
        <v>389</v>
      </c>
      <c r="Q414" s="73">
        <v>47</v>
      </c>
      <c r="R414" s="71" t="s">
        <v>388</v>
      </c>
      <c r="S414" s="73">
        <v>0</v>
      </c>
      <c r="T414" s="71" t="s">
        <v>390</v>
      </c>
      <c r="U414" s="74">
        <v>1</v>
      </c>
      <c r="V414" s="71" t="s">
        <v>446</v>
      </c>
      <c r="W414" s="130">
        <v>46057.479166666664</v>
      </c>
      <c r="X414" s="72">
        <v>46060.958333333336</v>
      </c>
      <c r="Y414" s="72">
        <v>46063.673611111109</v>
      </c>
      <c r="Z414" s="104" t="s">
        <v>382</v>
      </c>
      <c r="AA414" s="104" t="s">
        <v>422</v>
      </c>
      <c r="AB414" s="105">
        <v>46060.963194444441</v>
      </c>
      <c r="AC414" s="105">
        <v>46061.144444444442</v>
      </c>
    </row>
    <row r="415" s="70" customFormat="1" ht="11.25" customHeight="1">
      <c r="A415" s="87"/>
      <c r="C415" s="43" t="s">
        <v>1072</v>
      </c>
      <c r="D415" s="71" t="s">
        <v>382</v>
      </c>
      <c r="E415" s="71" t="str">
        <f>MID(D415,1,2)</f>
        <v>IL</v>
      </c>
      <c r="F415" s="71" t="s">
        <v>468</v>
      </c>
      <c r="G415" s="71" t="str">
        <f>MID(F415,1,2)</f>
        <v>US</v>
      </c>
      <c r="H415" s="43" t="s">
        <v>706</v>
      </c>
      <c r="I415" s="71" t="s">
        <v>1073</v>
      </c>
      <c r="J415" s="71" t="s">
        <v>386</v>
      </c>
      <c r="K415" s="43"/>
      <c r="L415" s="71" t="s">
        <v>107</v>
      </c>
      <c r="M415" s="73">
        <v>36</v>
      </c>
      <c r="N415" s="71" t="s">
        <v>388</v>
      </c>
      <c r="O415" s="73">
        <v>0.282</v>
      </c>
      <c r="P415" s="71" t="s">
        <v>389</v>
      </c>
      <c r="Q415" s="73">
        <v>47</v>
      </c>
      <c r="R415" s="71" t="s">
        <v>388</v>
      </c>
      <c r="S415" s="73">
        <v>0</v>
      </c>
      <c r="T415" s="71" t="s">
        <v>390</v>
      </c>
      <c r="U415" s="74">
        <v>1</v>
      </c>
      <c r="V415" s="71" t="s">
        <v>446</v>
      </c>
      <c r="W415" s="130">
        <v>46057.479166666664</v>
      </c>
      <c r="X415" s="72">
        <v>46060.958333333336</v>
      </c>
      <c r="Y415" s="72">
        <v>46063.673611111109</v>
      </c>
      <c r="Z415" s="104" t="s">
        <v>422</v>
      </c>
      <c r="AA415" s="104" t="s">
        <v>468</v>
      </c>
      <c r="AB415" s="105">
        <v>46063.543055555558</v>
      </c>
      <c r="AC415" s="105">
        <v>46063.658333333333</v>
      </c>
    </row>
    <row r="416" s="70" customFormat="1" ht="11.25" customHeight="1">
      <c r="A416" s="87"/>
      <c r="C416" s="43" t="s">
        <v>1074</v>
      </c>
      <c r="D416" s="71" t="s">
        <v>382</v>
      </c>
      <c r="E416" s="71" t="str">
        <f>MID(D416,1,2)</f>
        <v>IL</v>
      </c>
      <c r="F416" s="71" t="s">
        <v>702</v>
      </c>
      <c r="G416" s="71" t="str">
        <f>MID(F416,1,2)</f>
        <v>JP</v>
      </c>
      <c r="H416" s="43" t="s">
        <v>1075</v>
      </c>
      <c r="I416" s="71" t="s">
        <v>1076</v>
      </c>
      <c r="J416" s="71" t="s">
        <v>755</v>
      </c>
      <c r="K416" s="43"/>
      <c r="L416" s="71" t="s">
        <v>105</v>
      </c>
      <c r="M416" s="73">
        <v>292</v>
      </c>
      <c r="N416" s="71" t="s">
        <v>388</v>
      </c>
      <c r="O416" s="73">
        <v>3.395</v>
      </c>
      <c r="P416" s="71" t="s">
        <v>389</v>
      </c>
      <c r="Q416" s="73">
        <v>566</v>
      </c>
      <c r="R416" s="71" t="s">
        <v>388</v>
      </c>
      <c r="S416" s="73">
        <v>0</v>
      </c>
      <c r="T416" s="71" t="s">
        <v>390</v>
      </c>
      <c r="U416" s="74">
        <v>3</v>
      </c>
      <c r="V416" s="71" t="s">
        <v>391</v>
      </c>
      <c r="W416" s="130">
        <v>46056.43125</v>
      </c>
      <c r="X416" s="72">
        <v>46057.486111111109</v>
      </c>
      <c r="Y416" s="72">
        <v>46062.364583333336</v>
      </c>
      <c r="Z416" s="104" t="s">
        <v>382</v>
      </c>
      <c r="AA416" s="104" t="s">
        <v>441</v>
      </c>
      <c r="AB416" s="105">
        <v>46057.479166666664</v>
      </c>
      <c r="AC416" s="105">
        <v>46057.993055555555</v>
      </c>
    </row>
    <row r="417" s="70" customFormat="1" ht="11.25" customHeight="1">
      <c r="A417" s="87"/>
      <c r="C417" s="43" t="s">
        <v>1074</v>
      </c>
      <c r="D417" s="71" t="s">
        <v>382</v>
      </c>
      <c r="E417" s="71" t="str">
        <f>MID(D417,1,2)</f>
        <v>IL</v>
      </c>
      <c r="F417" s="71" t="s">
        <v>702</v>
      </c>
      <c r="G417" s="71" t="str">
        <f>MID(F417,1,2)</f>
        <v>JP</v>
      </c>
      <c r="H417" s="43" t="s">
        <v>1075</v>
      </c>
      <c r="I417" s="71" t="s">
        <v>1076</v>
      </c>
      <c r="J417" s="71" t="s">
        <v>755</v>
      </c>
      <c r="K417" s="43"/>
      <c r="L417" s="71" t="s">
        <v>105</v>
      </c>
      <c r="M417" s="73">
        <v>292</v>
      </c>
      <c r="N417" s="71" t="s">
        <v>388</v>
      </c>
      <c r="O417" s="73">
        <v>3.395</v>
      </c>
      <c r="P417" s="71" t="s">
        <v>389</v>
      </c>
      <c r="Q417" s="73">
        <v>566</v>
      </c>
      <c r="R417" s="71" t="s">
        <v>388</v>
      </c>
      <c r="S417" s="73">
        <v>0</v>
      </c>
      <c r="T417" s="71" t="s">
        <v>390</v>
      </c>
      <c r="U417" s="74">
        <v>3</v>
      </c>
      <c r="V417" s="71" t="s">
        <v>391</v>
      </c>
      <c r="W417" s="130">
        <v>46056.43125</v>
      </c>
      <c r="X417" s="72">
        <v>46057.486111111109</v>
      </c>
      <c r="Y417" s="72">
        <v>46062.364583333336</v>
      </c>
      <c r="Z417" s="104" t="s">
        <v>441</v>
      </c>
      <c r="AA417" s="104" t="s">
        <v>702</v>
      </c>
      <c r="AB417" s="105">
        <v>46058.876388888886</v>
      </c>
      <c r="AC417" s="105">
        <v>46059.464583333334</v>
      </c>
    </row>
    <row r="418" s="70" customFormat="1" ht="11.25" customHeight="1">
      <c r="A418" s="87"/>
      <c r="C418" s="43" t="s">
        <v>1077</v>
      </c>
      <c r="D418" s="71" t="s">
        <v>382</v>
      </c>
      <c r="E418" s="71" t="str">
        <f>MID(D418,1,2)</f>
        <v>IL</v>
      </c>
      <c r="F418" s="71" t="s">
        <v>476</v>
      </c>
      <c r="G418" s="71" t="str">
        <f>MID(F418,1,2)</f>
        <v>SG</v>
      </c>
      <c r="H418" s="43" t="s">
        <v>1078</v>
      </c>
      <c r="I418" s="71" t="s">
        <v>1079</v>
      </c>
      <c r="J418" s="71" t="s">
        <v>400</v>
      </c>
      <c r="K418" s="43"/>
      <c r="L418" s="71" t="s">
        <v>105</v>
      </c>
      <c r="M418" s="73">
        <v>96</v>
      </c>
      <c r="N418" s="71" t="s">
        <v>388</v>
      </c>
      <c r="O418" s="73">
        <v>1.085</v>
      </c>
      <c r="P418" s="71" t="s">
        <v>389</v>
      </c>
      <c r="Q418" s="73">
        <v>181</v>
      </c>
      <c r="R418" s="71" t="s">
        <v>388</v>
      </c>
      <c r="S418" s="73">
        <v>0</v>
      </c>
      <c r="T418" s="71" t="s">
        <v>390</v>
      </c>
      <c r="U418" s="74">
        <v>1</v>
      </c>
      <c r="V418" s="71" t="s">
        <v>391</v>
      </c>
      <c r="W418" s="130">
        <v>46055.674305555556</v>
      </c>
      <c r="X418" s="72">
        <v>46057.44027777778</v>
      </c>
      <c r="Y418" s="72">
        <v>46059.930555555555</v>
      </c>
      <c r="Z418" s="104" t="s">
        <v>382</v>
      </c>
      <c r="AA418" s="104" t="s">
        <v>833</v>
      </c>
      <c r="AB418" s="105">
        <v>46057.895833333336</v>
      </c>
      <c r="AC418" s="105">
        <v>46058.538194444445</v>
      </c>
    </row>
    <row r="419" s="70" customFormat="1" ht="11.25" customHeight="1">
      <c r="A419" s="87"/>
      <c r="C419" s="43" t="s">
        <v>1077</v>
      </c>
      <c r="D419" s="71" t="s">
        <v>382</v>
      </c>
      <c r="E419" s="71" t="str">
        <f>MID(D419,1,2)</f>
        <v>IL</v>
      </c>
      <c r="F419" s="71" t="s">
        <v>476</v>
      </c>
      <c r="G419" s="71" t="str">
        <f>MID(F419,1,2)</f>
        <v>SG</v>
      </c>
      <c r="H419" s="43" t="s">
        <v>1078</v>
      </c>
      <c r="I419" s="71" t="s">
        <v>1079</v>
      </c>
      <c r="J419" s="71" t="s">
        <v>400</v>
      </c>
      <c r="K419" s="43"/>
      <c r="L419" s="71" t="s">
        <v>105</v>
      </c>
      <c r="M419" s="73">
        <v>96</v>
      </c>
      <c r="N419" s="71" t="s">
        <v>388</v>
      </c>
      <c r="O419" s="73">
        <v>1.085</v>
      </c>
      <c r="P419" s="71" t="s">
        <v>389</v>
      </c>
      <c r="Q419" s="73">
        <v>181</v>
      </c>
      <c r="R419" s="71" t="s">
        <v>388</v>
      </c>
      <c r="S419" s="73">
        <v>0</v>
      </c>
      <c r="T419" s="71" t="s">
        <v>390</v>
      </c>
      <c r="U419" s="74">
        <v>1</v>
      </c>
      <c r="V419" s="71" t="s">
        <v>391</v>
      </c>
      <c r="W419" s="130">
        <v>46055.674305555556</v>
      </c>
      <c r="X419" s="72">
        <v>46057.44027777778</v>
      </c>
      <c r="Y419" s="72">
        <v>46059.930555555555</v>
      </c>
      <c r="Z419" s="104" t="s">
        <v>833</v>
      </c>
      <c r="AA419" s="104" t="s">
        <v>476</v>
      </c>
      <c r="AB419" s="105">
        <v>46059.694444444445</v>
      </c>
      <c r="AC419" s="105">
        <v>46059.84097222222</v>
      </c>
    </row>
    <row r="420" s="70" customFormat="1" ht="11.25" customHeight="1">
      <c r="A420" s="87"/>
      <c r="C420" s="43" t="s">
        <v>1080</v>
      </c>
      <c r="D420" s="71" t="s">
        <v>382</v>
      </c>
      <c r="E420" s="71" t="str">
        <f>MID(D420,1,2)</f>
        <v>IL</v>
      </c>
      <c r="F420" s="71" t="s">
        <v>383</v>
      </c>
      <c r="G420" s="71" t="str">
        <f>MID(F420,1,2)</f>
        <v>DE</v>
      </c>
      <c r="H420" s="43" t="s">
        <v>1081</v>
      </c>
      <c r="I420" s="71" t="s">
        <v>1082</v>
      </c>
      <c r="J420" s="71" t="s">
        <v>426</v>
      </c>
      <c r="K420" s="43"/>
      <c r="L420" s="71" t="s">
        <v>105</v>
      </c>
      <c r="M420" s="73">
        <v>178</v>
      </c>
      <c r="N420" s="71" t="s">
        <v>388</v>
      </c>
      <c r="O420" s="73">
        <v>0.605</v>
      </c>
      <c r="P420" s="71" t="s">
        <v>389</v>
      </c>
      <c r="Q420" s="73">
        <v>178</v>
      </c>
      <c r="R420" s="71" t="s">
        <v>388</v>
      </c>
      <c r="S420" s="73">
        <v>0</v>
      </c>
      <c r="T420" s="71" t="s">
        <v>390</v>
      </c>
      <c r="U420" s="74">
        <v>1</v>
      </c>
      <c r="V420" s="71" t="s">
        <v>391</v>
      </c>
      <c r="W420" s="130">
        <v>46058.910960648151</v>
      </c>
      <c r="X420" s="72">
        <v>46060.690972222219</v>
      </c>
      <c r="Y420" s="72">
        <v>46060.84097222222</v>
      </c>
      <c r="Z420" s="104" t="s">
        <v>382</v>
      </c>
      <c r="AA420" s="104" t="s">
        <v>383</v>
      </c>
      <c r="AB420" s="105">
        <v>46060.683333333334</v>
      </c>
      <c r="AC420" s="105">
        <v>46060.829861111109</v>
      </c>
    </row>
    <row r="421" s="70" customFormat="1" ht="11.25" customHeight="1">
      <c r="A421" s="87"/>
      <c r="C421" s="43" t="s">
        <v>1083</v>
      </c>
      <c r="D421" s="71" t="s">
        <v>382</v>
      </c>
      <c r="E421" s="71" t="str">
        <f>MID(D421,1,2)</f>
        <v>IL</v>
      </c>
      <c r="F421" s="71" t="s">
        <v>471</v>
      </c>
      <c r="G421" s="71" t="str">
        <f>MID(F421,1,2)</f>
        <v>US</v>
      </c>
      <c r="H421" s="43" t="s">
        <v>1084</v>
      </c>
      <c r="I421" s="71"/>
      <c r="J421" s="71" t="s">
        <v>426</v>
      </c>
      <c r="K421" s="43"/>
      <c r="L421" s="71" t="s">
        <v>105</v>
      </c>
      <c r="M421" s="73">
        <v>1799</v>
      </c>
      <c r="N421" s="71" t="s">
        <v>388</v>
      </c>
      <c r="O421" s="73">
        <v>9.9</v>
      </c>
      <c r="P421" s="71" t="s">
        <v>389</v>
      </c>
      <c r="Q421" s="73">
        <v>1799</v>
      </c>
      <c r="R421" s="71" t="s">
        <v>388</v>
      </c>
      <c r="S421" s="73">
        <v>0</v>
      </c>
      <c r="T421" s="71" t="s">
        <v>390</v>
      </c>
      <c r="U421" s="74">
        <v>9</v>
      </c>
      <c r="V421" s="71" t="s">
        <v>391</v>
      </c>
      <c r="W421" s="130">
        <v>46057.674305555556</v>
      </c>
      <c r="X421" s="72">
        <v>46062.013888888891</v>
      </c>
      <c r="Y421" s="72">
        <v>46062.215277777781</v>
      </c>
      <c r="Z421" s="104" t="s">
        <v>382</v>
      </c>
      <c r="AA421" s="104" t="s">
        <v>471</v>
      </c>
      <c r="AB421" s="105">
        <v>46062.009722222225</v>
      </c>
      <c r="AC421" s="105">
        <v>46062.188194444447</v>
      </c>
    </row>
    <row r="422" s="70" customFormat="1" ht="11.25" customHeight="1">
      <c r="A422" s="87"/>
      <c r="C422" s="43" t="s">
        <v>1085</v>
      </c>
      <c r="D422" s="71" t="s">
        <v>382</v>
      </c>
      <c r="E422" s="71" t="str">
        <f>MID(D422,1,2)</f>
        <v>IL</v>
      </c>
      <c r="F422" s="71" t="s">
        <v>383</v>
      </c>
      <c r="G422" s="71" t="str">
        <f>MID(F422,1,2)</f>
        <v>DE</v>
      </c>
      <c r="H422" s="43" t="s">
        <v>1081</v>
      </c>
      <c r="I422" s="71" t="s">
        <v>1086</v>
      </c>
      <c r="J422" s="71" t="s">
        <v>426</v>
      </c>
      <c r="K422" s="43"/>
      <c r="L422" s="71" t="s">
        <v>105</v>
      </c>
      <c r="M422" s="73">
        <v>234</v>
      </c>
      <c r="N422" s="71" t="s">
        <v>388</v>
      </c>
      <c r="O422" s="73">
        <v>1.101</v>
      </c>
      <c r="P422" s="71" t="s">
        <v>389</v>
      </c>
      <c r="Q422" s="73">
        <v>234</v>
      </c>
      <c r="R422" s="71" t="s">
        <v>388</v>
      </c>
      <c r="S422" s="73">
        <v>0</v>
      </c>
      <c r="T422" s="71" t="s">
        <v>390</v>
      </c>
      <c r="U422" s="74">
        <v>2</v>
      </c>
      <c r="V422" s="71" t="s">
        <v>391</v>
      </c>
      <c r="W422" s="130">
        <v>46058.9109837963</v>
      </c>
      <c r="X422" s="72">
        <v>46060.690972222219</v>
      </c>
      <c r="Y422" s="72">
        <v>46060.84375</v>
      </c>
      <c r="Z422" s="104" t="s">
        <v>382</v>
      </c>
      <c r="AA422" s="104" t="s">
        <v>383</v>
      </c>
      <c r="AB422" s="105">
        <v>46060.683333333334</v>
      </c>
      <c r="AC422" s="105">
        <v>46060.829861111109</v>
      </c>
    </row>
    <row r="423" s="70" customFormat="1" ht="11.25" customHeight="1">
      <c r="A423" s="87"/>
      <c r="C423" s="43" t="s">
        <v>1087</v>
      </c>
      <c r="D423" s="71" t="s">
        <v>382</v>
      </c>
      <c r="E423" s="71" t="str">
        <f>MID(D423,1,2)</f>
        <v>IL</v>
      </c>
      <c r="F423" s="71" t="s">
        <v>468</v>
      </c>
      <c r="G423" s="71" t="str">
        <f>MID(F423,1,2)</f>
        <v>US</v>
      </c>
      <c r="H423" s="43" t="s">
        <v>1088</v>
      </c>
      <c r="I423" s="71" t="s">
        <v>1089</v>
      </c>
      <c r="J423" s="71" t="s">
        <v>400</v>
      </c>
      <c r="K423" s="43"/>
      <c r="L423" s="71" t="s">
        <v>105</v>
      </c>
      <c r="M423" s="73">
        <v>6</v>
      </c>
      <c r="N423" s="71" t="s">
        <v>388</v>
      </c>
      <c r="O423" s="73">
        <v>0.053</v>
      </c>
      <c r="P423" s="71" t="s">
        <v>389</v>
      </c>
      <c r="Q423" s="73">
        <v>9</v>
      </c>
      <c r="R423" s="71" t="s">
        <v>388</v>
      </c>
      <c r="S423" s="73">
        <v>0</v>
      </c>
      <c r="T423" s="71" t="s">
        <v>390</v>
      </c>
      <c r="U423" s="74">
        <v>1</v>
      </c>
      <c r="V423" s="71" t="s">
        <v>446</v>
      </c>
      <c r="W423" s="130">
        <v>46056.410416666666</v>
      </c>
      <c r="X423" s="72">
        <v>46056.965277777781</v>
      </c>
      <c r="Y423" s="72">
        <v>46057.67083333333</v>
      </c>
      <c r="Z423" s="104" t="s">
        <v>382</v>
      </c>
      <c r="AA423" s="104" t="s">
        <v>422</v>
      </c>
      <c r="AB423" s="105">
        <v>46056.959722222222</v>
      </c>
      <c r="AC423" s="105">
        <v>46057.132638888892</v>
      </c>
    </row>
    <row r="424" s="70" customFormat="1" ht="11.25" customHeight="1">
      <c r="A424" s="87"/>
      <c r="C424" s="43" t="s">
        <v>1087</v>
      </c>
      <c r="D424" s="71" t="s">
        <v>382</v>
      </c>
      <c r="E424" s="71" t="str">
        <f>MID(D424,1,2)</f>
        <v>IL</v>
      </c>
      <c r="F424" s="71" t="s">
        <v>468</v>
      </c>
      <c r="G424" s="71" t="str">
        <f>MID(F424,1,2)</f>
        <v>US</v>
      </c>
      <c r="H424" s="43" t="s">
        <v>1088</v>
      </c>
      <c r="I424" s="71" t="s">
        <v>1089</v>
      </c>
      <c r="J424" s="71" t="s">
        <v>400</v>
      </c>
      <c r="K424" s="43"/>
      <c r="L424" s="71" t="s">
        <v>105</v>
      </c>
      <c r="M424" s="73">
        <v>6</v>
      </c>
      <c r="N424" s="71" t="s">
        <v>388</v>
      </c>
      <c r="O424" s="73">
        <v>0.053</v>
      </c>
      <c r="P424" s="71" t="s">
        <v>389</v>
      </c>
      <c r="Q424" s="73">
        <v>9</v>
      </c>
      <c r="R424" s="71" t="s">
        <v>388</v>
      </c>
      <c r="S424" s="73">
        <v>0</v>
      </c>
      <c r="T424" s="71" t="s">
        <v>390</v>
      </c>
      <c r="U424" s="74">
        <v>1</v>
      </c>
      <c r="V424" s="71" t="s">
        <v>446</v>
      </c>
      <c r="W424" s="130">
        <v>46056.410416666666</v>
      </c>
      <c r="X424" s="72">
        <v>46056.965277777781</v>
      </c>
      <c r="Y424" s="72">
        <v>46057.67083333333</v>
      </c>
      <c r="Z424" s="104" t="s">
        <v>422</v>
      </c>
      <c r="AA424" s="104" t="s">
        <v>468</v>
      </c>
      <c r="AB424" s="105">
        <v>46057.533333333333</v>
      </c>
      <c r="AC424" s="105">
        <v>46057.640277777777</v>
      </c>
    </row>
    <row r="425" s="70" customFormat="1" ht="11.25" customHeight="1">
      <c r="A425" s="87"/>
      <c r="C425" s="43" t="s">
        <v>1090</v>
      </c>
      <c r="D425" s="71" t="s">
        <v>382</v>
      </c>
      <c r="E425" s="71" t="str">
        <f>MID(D425,1,2)</f>
        <v>IL</v>
      </c>
      <c r="F425" s="71" t="s">
        <v>522</v>
      </c>
      <c r="G425" s="71" t="str">
        <f>MID(F425,1,2)</f>
        <v>CZ</v>
      </c>
      <c r="H425" s="43" t="s">
        <v>1091</v>
      </c>
      <c r="I425" s="71" t="s">
        <v>1092</v>
      </c>
      <c r="J425" s="71" t="s">
        <v>386</v>
      </c>
      <c r="K425" s="43"/>
      <c r="L425" s="71" t="s">
        <v>107</v>
      </c>
      <c r="M425" s="73">
        <v>39</v>
      </c>
      <c r="N425" s="71" t="s">
        <v>388</v>
      </c>
      <c r="O425" s="73">
        <v>0.062</v>
      </c>
      <c r="P425" s="71" t="s">
        <v>389</v>
      </c>
      <c r="Q425" s="73">
        <v>39</v>
      </c>
      <c r="R425" s="71" t="s">
        <v>388</v>
      </c>
      <c r="S425" s="73">
        <v>0</v>
      </c>
      <c r="T425" s="71" t="s">
        <v>390</v>
      </c>
      <c r="U425" s="74">
        <v>1</v>
      </c>
      <c r="V425" s="71" t="s">
        <v>391</v>
      </c>
      <c r="W425" s="130">
        <v>46056.361111111109</v>
      </c>
      <c r="X425" s="72">
        <v>46058.013888888891</v>
      </c>
      <c r="Y425" s="72">
        <v>46059.5</v>
      </c>
      <c r="Z425" s="104" t="s">
        <v>382</v>
      </c>
      <c r="AA425" s="104" t="s">
        <v>496</v>
      </c>
      <c r="AB425" s="105">
        <v>46058.013888888891</v>
      </c>
      <c r="AC425" s="105"/>
    </row>
    <row r="426" s="70" customFormat="1" ht="11.25" customHeight="1">
      <c r="A426" s="87"/>
      <c r="C426" s="43" t="s">
        <v>1090</v>
      </c>
      <c r="D426" s="71" t="s">
        <v>382</v>
      </c>
      <c r="E426" s="71" t="str">
        <f>MID(D426,1,2)</f>
        <v>IL</v>
      </c>
      <c r="F426" s="71" t="s">
        <v>522</v>
      </c>
      <c r="G426" s="71" t="str">
        <f>MID(F426,1,2)</f>
        <v>CZ</v>
      </c>
      <c r="H426" s="43" t="s">
        <v>1091</v>
      </c>
      <c r="I426" s="71" t="s">
        <v>1092</v>
      </c>
      <c r="J426" s="71" t="s">
        <v>386</v>
      </c>
      <c r="K426" s="43"/>
      <c r="L426" s="71" t="s">
        <v>107</v>
      </c>
      <c r="M426" s="73">
        <v>39</v>
      </c>
      <c r="N426" s="71" t="s">
        <v>388</v>
      </c>
      <c r="O426" s="73">
        <v>0.062</v>
      </c>
      <c r="P426" s="71" t="s">
        <v>389</v>
      </c>
      <c r="Q426" s="73">
        <v>39</v>
      </c>
      <c r="R426" s="71" t="s">
        <v>388</v>
      </c>
      <c r="S426" s="73">
        <v>0</v>
      </c>
      <c r="T426" s="71" t="s">
        <v>390</v>
      </c>
      <c r="U426" s="74">
        <v>1</v>
      </c>
      <c r="V426" s="71" t="s">
        <v>391</v>
      </c>
      <c r="W426" s="130">
        <v>46056.361111111109</v>
      </c>
      <c r="X426" s="72">
        <v>46058.013888888891</v>
      </c>
      <c r="Y426" s="72">
        <v>46059.5</v>
      </c>
      <c r="Z426" s="104" t="s">
        <v>496</v>
      </c>
      <c r="AA426" s="104" t="s">
        <v>522</v>
      </c>
      <c r="AB426" s="105">
        <v>46059.326388888891</v>
      </c>
      <c r="AC426" s="105">
        <v>46059.384722222225</v>
      </c>
    </row>
    <row r="427" s="70" customFormat="1" ht="11.25" customHeight="1">
      <c r="A427" s="87"/>
      <c r="C427" s="43" t="s">
        <v>1093</v>
      </c>
      <c r="D427" s="71" t="s">
        <v>382</v>
      </c>
      <c r="E427" s="71" t="str">
        <f>MID(D427,1,2)</f>
        <v>IL</v>
      </c>
      <c r="F427" s="71" t="s">
        <v>573</v>
      </c>
      <c r="G427" s="71" t="str">
        <f>MID(F427,1,2)</f>
        <v>CH</v>
      </c>
      <c r="H427" s="43" t="s">
        <v>1094</v>
      </c>
      <c r="I427" s="71" t="s">
        <v>1095</v>
      </c>
      <c r="J427" s="71" t="s">
        <v>426</v>
      </c>
      <c r="K427" s="43"/>
      <c r="L427" s="71" t="s">
        <v>105</v>
      </c>
      <c r="M427" s="73">
        <v>691</v>
      </c>
      <c r="N427" s="71" t="s">
        <v>388</v>
      </c>
      <c r="O427" s="73">
        <v>4.291</v>
      </c>
      <c r="P427" s="71" t="s">
        <v>389</v>
      </c>
      <c r="Q427" s="73">
        <v>715.5</v>
      </c>
      <c r="R427" s="71" t="s">
        <v>388</v>
      </c>
      <c r="S427" s="73">
        <v>0</v>
      </c>
      <c r="T427" s="71" t="s">
        <v>390</v>
      </c>
      <c r="U427" s="74">
        <v>5</v>
      </c>
      <c r="V427" s="71" t="s">
        <v>391</v>
      </c>
      <c r="W427" s="130"/>
      <c r="X427" s="72">
        <v>46059.572916666664</v>
      </c>
      <c r="Y427" s="72">
        <v>46062.3125</v>
      </c>
      <c r="Z427" s="104" t="s">
        <v>382</v>
      </c>
      <c r="AA427" s="104" t="s">
        <v>383</v>
      </c>
      <c r="AB427" s="105">
        <v>46059.810416666667</v>
      </c>
      <c r="AC427" s="105">
        <v>46059.956944444442</v>
      </c>
    </row>
    <row r="428" s="70" customFormat="1" ht="11.25" customHeight="1">
      <c r="A428" s="87"/>
      <c r="C428" s="43" t="s">
        <v>1093</v>
      </c>
      <c r="D428" s="71" t="s">
        <v>382</v>
      </c>
      <c r="E428" s="71" t="str">
        <f>MID(D428,1,2)</f>
        <v>IL</v>
      </c>
      <c r="F428" s="71" t="s">
        <v>573</v>
      </c>
      <c r="G428" s="71" t="str">
        <f>MID(F428,1,2)</f>
        <v>CH</v>
      </c>
      <c r="H428" s="43" t="s">
        <v>1094</v>
      </c>
      <c r="I428" s="71" t="s">
        <v>1095</v>
      </c>
      <c r="J428" s="71" t="s">
        <v>426</v>
      </c>
      <c r="K428" s="43"/>
      <c r="L428" s="71" t="s">
        <v>105</v>
      </c>
      <c r="M428" s="73">
        <v>691</v>
      </c>
      <c r="N428" s="71" t="s">
        <v>388</v>
      </c>
      <c r="O428" s="73">
        <v>4.291</v>
      </c>
      <c r="P428" s="71" t="s">
        <v>389</v>
      </c>
      <c r="Q428" s="73">
        <v>715.5</v>
      </c>
      <c r="R428" s="71" t="s">
        <v>388</v>
      </c>
      <c r="S428" s="73">
        <v>0</v>
      </c>
      <c r="T428" s="71" t="s">
        <v>390</v>
      </c>
      <c r="U428" s="74">
        <v>5</v>
      </c>
      <c r="V428" s="71" t="s">
        <v>391</v>
      </c>
      <c r="W428" s="130"/>
      <c r="X428" s="72">
        <v>46059.572916666664</v>
      </c>
      <c r="Y428" s="72">
        <v>46062.3125</v>
      </c>
      <c r="Z428" s="104" t="s">
        <v>383</v>
      </c>
      <c r="AA428" s="104" t="s">
        <v>573</v>
      </c>
      <c r="AB428" s="105">
        <v>46061.9375</v>
      </c>
      <c r="AC428" s="105">
        <v>46062.270833333336</v>
      </c>
    </row>
    <row r="429" s="70" customFormat="1" ht="11.25" customHeight="1">
      <c r="A429" s="87"/>
      <c r="C429" s="43" t="s">
        <v>1096</v>
      </c>
      <c r="D429" s="71" t="s">
        <v>382</v>
      </c>
      <c r="E429" s="71" t="str">
        <f>MID(D429,1,2)</f>
        <v>IL</v>
      </c>
      <c r="F429" s="71" t="s">
        <v>414</v>
      </c>
      <c r="G429" s="71" t="str">
        <f>MID(F429,1,2)</f>
        <v>US</v>
      </c>
      <c r="H429" s="43" t="s">
        <v>1097</v>
      </c>
      <c r="I429" s="71" t="s">
        <v>1098</v>
      </c>
      <c r="J429" s="71" t="s">
        <v>400</v>
      </c>
      <c r="K429" s="43"/>
      <c r="L429" s="71" t="s">
        <v>105</v>
      </c>
      <c r="M429" s="73">
        <v>64</v>
      </c>
      <c r="N429" s="71" t="s">
        <v>388</v>
      </c>
      <c r="O429" s="73">
        <v>1.373</v>
      </c>
      <c r="P429" s="71" t="s">
        <v>389</v>
      </c>
      <c r="Q429" s="73">
        <v>229</v>
      </c>
      <c r="R429" s="71" t="s">
        <v>388</v>
      </c>
      <c r="S429" s="73">
        <v>0</v>
      </c>
      <c r="T429" s="71" t="s">
        <v>390</v>
      </c>
      <c r="U429" s="74">
        <v>1</v>
      </c>
      <c r="V429" s="71" t="s">
        <v>391</v>
      </c>
      <c r="W429" s="130">
        <v>46058.659722222219</v>
      </c>
      <c r="X429" s="72">
        <v>46060.979166666664</v>
      </c>
      <c r="Y429" s="72">
        <v>46061.444444444445</v>
      </c>
      <c r="Z429" s="104" t="s">
        <v>382</v>
      </c>
      <c r="AA429" s="104" t="s">
        <v>414</v>
      </c>
      <c r="AB429" s="105">
        <v>46061.003472222219</v>
      </c>
      <c r="AC429" s="105">
        <v>46061.214583333334</v>
      </c>
    </row>
    <row r="430" s="70" customFormat="1" ht="11.25" customHeight="1">
      <c r="A430" s="87"/>
      <c r="C430" s="43" t="s">
        <v>1099</v>
      </c>
      <c r="D430" s="71" t="s">
        <v>382</v>
      </c>
      <c r="E430" s="71" t="str">
        <f>MID(D430,1,2)</f>
        <v>IL</v>
      </c>
      <c r="F430" s="71" t="s">
        <v>480</v>
      </c>
      <c r="G430" s="71" t="str">
        <f>MID(F430,1,2)</f>
        <v>CA</v>
      </c>
      <c r="H430" s="43" t="s">
        <v>1100</v>
      </c>
      <c r="I430" s="71" t="s">
        <v>1101</v>
      </c>
      <c r="J430" s="71" t="s">
        <v>386</v>
      </c>
      <c r="K430" s="43"/>
      <c r="L430" s="71" t="s">
        <v>107</v>
      </c>
      <c r="M430" s="73">
        <v>157</v>
      </c>
      <c r="N430" s="71" t="s">
        <v>388</v>
      </c>
      <c r="O430" s="73">
        <v>1.615</v>
      </c>
      <c r="P430" s="71" t="s">
        <v>389</v>
      </c>
      <c r="Q430" s="73">
        <v>269.5</v>
      </c>
      <c r="R430" s="71" t="s">
        <v>388</v>
      </c>
      <c r="S430" s="73">
        <v>0</v>
      </c>
      <c r="T430" s="71" t="s">
        <v>390</v>
      </c>
      <c r="U430" s="74">
        <v>2</v>
      </c>
      <c r="V430" s="71" t="s">
        <v>417</v>
      </c>
      <c r="W430" s="130">
        <v>46056.46597222222</v>
      </c>
      <c r="X430" s="72">
        <v>46057.458333333336</v>
      </c>
      <c r="Y430" s="72">
        <v>46058.833333333336</v>
      </c>
      <c r="Z430" s="104" t="s">
        <v>1102</v>
      </c>
      <c r="AA430" s="104" t="s">
        <v>1103</v>
      </c>
      <c r="AB430" s="105"/>
      <c r="AC430" s="105"/>
    </row>
    <row r="431" s="70" customFormat="1" ht="11.25" customHeight="1">
      <c r="A431" s="87"/>
      <c r="C431" s="43" t="s">
        <v>1099</v>
      </c>
      <c r="D431" s="71" t="s">
        <v>382</v>
      </c>
      <c r="E431" s="71" t="str">
        <f>MID(D431,1,2)</f>
        <v>IL</v>
      </c>
      <c r="F431" s="71" t="s">
        <v>480</v>
      </c>
      <c r="G431" s="71" t="str">
        <f>MID(F431,1,2)</f>
        <v>CA</v>
      </c>
      <c r="H431" s="43" t="s">
        <v>1100</v>
      </c>
      <c r="I431" s="71" t="s">
        <v>1101</v>
      </c>
      <c r="J431" s="71" t="s">
        <v>386</v>
      </c>
      <c r="K431" s="43"/>
      <c r="L431" s="71" t="s">
        <v>107</v>
      </c>
      <c r="M431" s="73">
        <v>157</v>
      </c>
      <c r="N431" s="71" t="s">
        <v>388</v>
      </c>
      <c r="O431" s="73">
        <v>1.615</v>
      </c>
      <c r="P431" s="71" t="s">
        <v>389</v>
      </c>
      <c r="Q431" s="73">
        <v>269.5</v>
      </c>
      <c r="R431" s="71" t="s">
        <v>388</v>
      </c>
      <c r="S431" s="73">
        <v>0</v>
      </c>
      <c r="T431" s="71" t="s">
        <v>390</v>
      </c>
      <c r="U431" s="74">
        <v>2</v>
      </c>
      <c r="V431" s="71" t="s">
        <v>417</v>
      </c>
      <c r="W431" s="130">
        <v>46056.46597222222</v>
      </c>
      <c r="X431" s="72">
        <v>46057.458333333336</v>
      </c>
      <c r="Y431" s="72">
        <v>46058.833333333336</v>
      </c>
      <c r="Z431" s="104" t="s">
        <v>382</v>
      </c>
      <c r="AA431" s="104" t="s">
        <v>405</v>
      </c>
      <c r="AB431" s="105">
        <v>46057.507638888892</v>
      </c>
      <c r="AC431" s="105">
        <v>46057.679166666669</v>
      </c>
    </row>
    <row r="432" s="70" customFormat="1" ht="11.25" customHeight="1">
      <c r="A432" s="87"/>
      <c r="C432" s="43" t="s">
        <v>1099</v>
      </c>
      <c r="D432" s="71" t="s">
        <v>382</v>
      </c>
      <c r="E432" s="71" t="str">
        <f>MID(D432,1,2)</f>
        <v>IL</v>
      </c>
      <c r="F432" s="71" t="s">
        <v>480</v>
      </c>
      <c r="G432" s="71" t="str">
        <f>MID(F432,1,2)</f>
        <v>CA</v>
      </c>
      <c r="H432" s="43" t="s">
        <v>1100</v>
      </c>
      <c r="I432" s="71" t="s">
        <v>1101</v>
      </c>
      <c r="J432" s="71" t="s">
        <v>386</v>
      </c>
      <c r="K432" s="43"/>
      <c r="L432" s="71" t="s">
        <v>107</v>
      </c>
      <c r="M432" s="73">
        <v>157</v>
      </c>
      <c r="N432" s="71" t="s">
        <v>388</v>
      </c>
      <c r="O432" s="73">
        <v>1.615</v>
      </c>
      <c r="P432" s="71" t="s">
        <v>389</v>
      </c>
      <c r="Q432" s="73">
        <v>269.5</v>
      </c>
      <c r="R432" s="71" t="s">
        <v>388</v>
      </c>
      <c r="S432" s="73">
        <v>0</v>
      </c>
      <c r="T432" s="71" t="s">
        <v>390</v>
      </c>
      <c r="U432" s="74">
        <v>2</v>
      </c>
      <c r="V432" s="71" t="s">
        <v>417</v>
      </c>
      <c r="W432" s="130">
        <v>46056.46597222222</v>
      </c>
      <c r="X432" s="72">
        <v>46057.458333333336</v>
      </c>
      <c r="Y432" s="72">
        <v>46058.833333333336</v>
      </c>
      <c r="Z432" s="104" t="s">
        <v>405</v>
      </c>
      <c r="AA432" s="104" t="s">
        <v>480</v>
      </c>
      <c r="AB432" s="105">
        <v>46058.706944444442</v>
      </c>
      <c r="AC432" s="105">
        <v>46058.756944444445</v>
      </c>
    </row>
    <row r="433" s="70" customFormat="1" ht="11.25" customHeight="1">
      <c r="A433" s="87"/>
      <c r="C433" s="43" t="s">
        <v>1104</v>
      </c>
      <c r="D433" s="71" t="s">
        <v>382</v>
      </c>
      <c r="E433" s="71" t="str">
        <f>MID(D433,1,2)</f>
        <v>IL</v>
      </c>
      <c r="F433" s="71" t="s">
        <v>414</v>
      </c>
      <c r="G433" s="71" t="str">
        <f>MID(F433,1,2)</f>
        <v>US</v>
      </c>
      <c r="H433" s="43" t="s">
        <v>1105</v>
      </c>
      <c r="I433" s="71" t="s">
        <v>1106</v>
      </c>
      <c r="J433" s="71" t="s">
        <v>426</v>
      </c>
      <c r="K433" s="43" t="s">
        <v>759</v>
      </c>
      <c r="L433" s="71" t="s">
        <v>105</v>
      </c>
      <c r="M433" s="73">
        <v>1</v>
      </c>
      <c r="N433" s="71" t="s">
        <v>388</v>
      </c>
      <c r="O433" s="73">
        <v>0.009</v>
      </c>
      <c r="P433" s="71" t="s">
        <v>389</v>
      </c>
      <c r="Q433" s="73">
        <v>1.5</v>
      </c>
      <c r="R433" s="71" t="s">
        <v>388</v>
      </c>
      <c r="S433" s="73">
        <v>0</v>
      </c>
      <c r="T433" s="71" t="s">
        <v>390</v>
      </c>
      <c r="U433" s="74">
        <v>1</v>
      </c>
      <c r="V433" s="71" t="s">
        <v>427</v>
      </c>
      <c r="W433" s="130">
        <v>46056.36875</v>
      </c>
      <c r="X433" s="72">
        <v>46059.013888888891</v>
      </c>
      <c r="Y433" s="72">
        <v>46059.25</v>
      </c>
      <c r="Z433" s="104" t="s">
        <v>382</v>
      </c>
      <c r="AA433" s="104" t="s">
        <v>414</v>
      </c>
      <c r="AB433" s="105">
        <v>46059.034722222219</v>
      </c>
      <c r="AC433" s="105">
        <v>46059.218055555553</v>
      </c>
    </row>
    <row r="434" s="70" customFormat="1" ht="11.25" customHeight="1">
      <c r="A434" s="87"/>
      <c r="C434" s="43" t="s">
        <v>1107</v>
      </c>
      <c r="D434" s="71" t="s">
        <v>382</v>
      </c>
      <c r="E434" s="71" t="str">
        <f>MID(D434,1,2)</f>
        <v>IL</v>
      </c>
      <c r="F434" s="71" t="s">
        <v>1108</v>
      </c>
      <c r="G434" s="71" t="str">
        <f>MID(F434,1,2)</f>
        <v>TW</v>
      </c>
      <c r="H434" s="43" t="s">
        <v>1109</v>
      </c>
      <c r="I434" s="71" t="s">
        <v>1110</v>
      </c>
      <c r="J434" s="71" t="s">
        <v>755</v>
      </c>
      <c r="K434" s="43"/>
      <c r="L434" s="71" t="s">
        <v>105</v>
      </c>
      <c r="M434" s="73">
        <v>103</v>
      </c>
      <c r="N434" s="71" t="s">
        <v>388</v>
      </c>
      <c r="O434" s="73">
        <v>0.767</v>
      </c>
      <c r="P434" s="71" t="s">
        <v>389</v>
      </c>
      <c r="Q434" s="73">
        <v>128</v>
      </c>
      <c r="R434" s="71" t="s">
        <v>388</v>
      </c>
      <c r="S434" s="73">
        <v>0</v>
      </c>
      <c r="T434" s="71" t="s">
        <v>390</v>
      </c>
      <c r="U434" s="74">
        <v>1</v>
      </c>
      <c r="V434" s="71" t="s">
        <v>391</v>
      </c>
      <c r="W434" s="130">
        <v>46056.67291666667</v>
      </c>
      <c r="X434" s="72">
        <v>46058.979166666664</v>
      </c>
      <c r="Y434" s="72">
        <v>46059.979166666664</v>
      </c>
      <c r="Z434" s="104" t="s">
        <v>382</v>
      </c>
      <c r="AA434" s="104" t="s">
        <v>833</v>
      </c>
      <c r="AB434" s="105">
        <v>46057.929861111108</v>
      </c>
      <c r="AC434" s="105"/>
    </row>
    <row r="435" s="70" customFormat="1" ht="11.25" customHeight="1">
      <c r="A435" s="87"/>
      <c r="C435" s="43" t="s">
        <v>1107</v>
      </c>
      <c r="D435" s="71" t="s">
        <v>382</v>
      </c>
      <c r="E435" s="71" t="str">
        <f>MID(D435,1,2)</f>
        <v>IL</v>
      </c>
      <c r="F435" s="71" t="s">
        <v>1108</v>
      </c>
      <c r="G435" s="71" t="str">
        <f>MID(F435,1,2)</f>
        <v>TW</v>
      </c>
      <c r="H435" s="43" t="s">
        <v>1109</v>
      </c>
      <c r="I435" s="71" t="s">
        <v>1110</v>
      </c>
      <c r="J435" s="71" t="s">
        <v>755</v>
      </c>
      <c r="K435" s="43"/>
      <c r="L435" s="71" t="s">
        <v>105</v>
      </c>
      <c r="M435" s="73">
        <v>103</v>
      </c>
      <c r="N435" s="71" t="s">
        <v>388</v>
      </c>
      <c r="O435" s="73">
        <v>0.767</v>
      </c>
      <c r="P435" s="71" t="s">
        <v>389</v>
      </c>
      <c r="Q435" s="73">
        <v>128</v>
      </c>
      <c r="R435" s="71" t="s">
        <v>388</v>
      </c>
      <c r="S435" s="73">
        <v>0</v>
      </c>
      <c r="T435" s="71" t="s">
        <v>390</v>
      </c>
      <c r="U435" s="74">
        <v>1</v>
      </c>
      <c r="V435" s="71" t="s">
        <v>391</v>
      </c>
      <c r="W435" s="130">
        <v>46056.67291666667</v>
      </c>
      <c r="X435" s="72">
        <v>46058.979166666664</v>
      </c>
      <c r="Y435" s="72">
        <v>46059.979166666664</v>
      </c>
      <c r="Z435" s="104" t="s">
        <v>833</v>
      </c>
      <c r="AA435" s="104" t="s">
        <v>1108</v>
      </c>
      <c r="AB435" s="105">
        <v>46059.79791666667</v>
      </c>
      <c r="AC435" s="105">
        <v>46059.993055555555</v>
      </c>
    </row>
    <row r="436" s="70" customFormat="1" ht="11.25" customHeight="1">
      <c r="A436" s="87"/>
      <c r="C436" s="43" t="s">
        <v>1111</v>
      </c>
      <c r="D436" s="71" t="s">
        <v>382</v>
      </c>
      <c r="E436" s="71" t="str">
        <f>MID(D436,1,2)</f>
        <v>IL</v>
      </c>
      <c r="F436" s="71" t="s">
        <v>414</v>
      </c>
      <c r="G436" s="71" t="str">
        <f>MID(F436,1,2)</f>
        <v>US</v>
      </c>
      <c r="H436" s="43" t="s">
        <v>1105</v>
      </c>
      <c r="I436" s="71" t="s">
        <v>1112</v>
      </c>
      <c r="J436" s="71" t="s">
        <v>386</v>
      </c>
      <c r="K436" s="43" t="s">
        <v>759</v>
      </c>
      <c r="L436" s="71" t="s">
        <v>107</v>
      </c>
      <c r="M436" s="73">
        <v>1</v>
      </c>
      <c r="N436" s="71" t="s">
        <v>388</v>
      </c>
      <c r="O436" s="73">
        <v>0.009</v>
      </c>
      <c r="P436" s="71" t="s">
        <v>389</v>
      </c>
      <c r="Q436" s="73">
        <v>1.5</v>
      </c>
      <c r="R436" s="71" t="s">
        <v>388</v>
      </c>
      <c r="S436" s="73">
        <v>0</v>
      </c>
      <c r="T436" s="71" t="s">
        <v>390</v>
      </c>
      <c r="U436" s="74">
        <v>1</v>
      </c>
      <c r="V436" s="71" t="s">
        <v>427</v>
      </c>
      <c r="W436" s="130">
        <v>46056.36875</v>
      </c>
      <c r="X436" s="72">
        <v>46059.013888888891</v>
      </c>
      <c r="Y436" s="72">
        <v>46059.25</v>
      </c>
      <c r="Z436" s="104" t="s">
        <v>382</v>
      </c>
      <c r="AA436" s="104" t="s">
        <v>414</v>
      </c>
      <c r="AB436" s="105">
        <v>46059.034722222219</v>
      </c>
      <c r="AC436" s="105">
        <v>46059.218055555553</v>
      </c>
    </row>
    <row r="437" s="70" customFormat="1" ht="11.25" customHeight="1">
      <c r="A437" s="87"/>
      <c r="C437" s="43" t="s">
        <v>1113</v>
      </c>
      <c r="D437" s="71" t="s">
        <v>382</v>
      </c>
      <c r="E437" s="71" t="str">
        <f>MID(D437,1,2)</f>
        <v>IL</v>
      </c>
      <c r="F437" s="71" t="s">
        <v>419</v>
      </c>
      <c r="G437" s="71" t="str">
        <f>MID(F437,1,2)</f>
        <v>US</v>
      </c>
      <c r="H437" s="43" t="s">
        <v>1114</v>
      </c>
      <c r="I437" s="71" t="s">
        <v>1115</v>
      </c>
      <c r="J437" s="71" t="s">
        <v>454</v>
      </c>
      <c r="K437" s="43"/>
      <c r="L437" s="71" t="s">
        <v>107</v>
      </c>
      <c r="M437" s="73">
        <v>1</v>
      </c>
      <c r="N437" s="71" t="s">
        <v>388</v>
      </c>
      <c r="O437" s="73">
        <v>0.022</v>
      </c>
      <c r="P437" s="71" t="s">
        <v>389</v>
      </c>
      <c r="Q437" s="73">
        <v>4</v>
      </c>
      <c r="R437" s="71" t="s">
        <v>388</v>
      </c>
      <c r="S437" s="73">
        <v>0</v>
      </c>
      <c r="T437" s="71" t="s">
        <v>390</v>
      </c>
      <c r="U437" s="74">
        <v>1</v>
      </c>
      <c r="V437" s="71" t="s">
        <v>446</v>
      </c>
      <c r="W437" s="130">
        <v>46056.438194444447</v>
      </c>
      <c r="X437" s="72">
        <v>46058.845138888886</v>
      </c>
      <c r="Y437" s="72">
        <v>46058.629166666666</v>
      </c>
      <c r="Z437" s="104" t="s">
        <v>382</v>
      </c>
      <c r="AA437" s="104" t="s">
        <v>422</v>
      </c>
      <c r="AB437" s="105">
        <v>46057.961111111108</v>
      </c>
      <c r="AC437" s="105">
        <v>46058.131944444445</v>
      </c>
    </row>
    <row r="438" s="70" customFormat="1" ht="11.25" customHeight="1">
      <c r="A438" s="87"/>
      <c r="C438" s="43" t="s">
        <v>1113</v>
      </c>
      <c r="D438" s="71" t="s">
        <v>382</v>
      </c>
      <c r="E438" s="71" t="str">
        <f>MID(D438,1,2)</f>
        <v>IL</v>
      </c>
      <c r="F438" s="71" t="s">
        <v>419</v>
      </c>
      <c r="G438" s="71" t="str">
        <f>MID(F438,1,2)</f>
        <v>US</v>
      </c>
      <c r="H438" s="43" t="s">
        <v>1114</v>
      </c>
      <c r="I438" s="71" t="s">
        <v>1115</v>
      </c>
      <c r="J438" s="71" t="s">
        <v>454</v>
      </c>
      <c r="K438" s="43"/>
      <c r="L438" s="71" t="s">
        <v>107</v>
      </c>
      <c r="M438" s="73">
        <v>1</v>
      </c>
      <c r="N438" s="71" t="s">
        <v>388</v>
      </c>
      <c r="O438" s="73">
        <v>0.022</v>
      </c>
      <c r="P438" s="71" t="s">
        <v>389</v>
      </c>
      <c r="Q438" s="73">
        <v>4</v>
      </c>
      <c r="R438" s="71" t="s">
        <v>388</v>
      </c>
      <c r="S438" s="73">
        <v>0</v>
      </c>
      <c r="T438" s="71" t="s">
        <v>390</v>
      </c>
      <c r="U438" s="74">
        <v>1</v>
      </c>
      <c r="V438" s="71" t="s">
        <v>446</v>
      </c>
      <c r="W438" s="130">
        <v>46056.438194444447</v>
      </c>
      <c r="X438" s="72">
        <v>46058.845138888886</v>
      </c>
      <c r="Y438" s="72">
        <v>46058.629166666666</v>
      </c>
      <c r="Z438" s="104" t="s">
        <v>422</v>
      </c>
      <c r="AA438" s="104" t="s">
        <v>419</v>
      </c>
      <c r="AB438" s="105">
        <v>46058.515277777777</v>
      </c>
      <c r="AC438" s="105">
        <v>46058.593055555553</v>
      </c>
    </row>
    <row r="439" s="70" customFormat="1" ht="11.25" customHeight="1">
      <c r="A439" s="87"/>
      <c r="C439" s="43" t="s">
        <v>1116</v>
      </c>
      <c r="D439" s="71" t="s">
        <v>382</v>
      </c>
      <c r="E439" s="71" t="str">
        <f>MID(D439,1,2)</f>
        <v>IL</v>
      </c>
      <c r="F439" s="71" t="s">
        <v>1117</v>
      </c>
      <c r="G439" s="71" t="str">
        <f>MID(F439,1,2)</f>
        <v>BE</v>
      </c>
      <c r="H439" s="43" t="s">
        <v>1118</v>
      </c>
      <c r="I439" s="71" t="s">
        <v>1119</v>
      </c>
      <c r="J439" s="71" t="s">
        <v>426</v>
      </c>
      <c r="K439" s="43"/>
      <c r="L439" s="71" t="s">
        <v>105</v>
      </c>
      <c r="M439" s="73">
        <v>18</v>
      </c>
      <c r="N439" s="71" t="s">
        <v>388</v>
      </c>
      <c r="O439" s="73">
        <v>0.144</v>
      </c>
      <c r="P439" s="71" t="s">
        <v>389</v>
      </c>
      <c r="Q439" s="73">
        <v>24</v>
      </c>
      <c r="R439" s="71" t="s">
        <v>388</v>
      </c>
      <c r="S439" s="73">
        <v>0</v>
      </c>
      <c r="T439" s="71" t="s">
        <v>390</v>
      </c>
      <c r="U439" s="74">
        <v>1</v>
      </c>
      <c r="V439" s="71" t="s">
        <v>391</v>
      </c>
      <c r="W439" s="130">
        <v>46056.375694444447</v>
      </c>
      <c r="X439" s="72">
        <v>46058.013888888891</v>
      </c>
      <c r="Y439" s="72">
        <v>46059.729166666664</v>
      </c>
      <c r="Z439" s="104" t="s">
        <v>382</v>
      </c>
      <c r="AA439" s="104" t="s">
        <v>496</v>
      </c>
      <c r="AB439" s="105">
        <v>46058.013888888891</v>
      </c>
      <c r="AC439" s="105">
        <v>46058.128472222219</v>
      </c>
    </row>
    <row r="440" s="70" customFormat="1" ht="11.25" customHeight="1">
      <c r="A440" s="87"/>
      <c r="C440" s="43" t="s">
        <v>1116</v>
      </c>
      <c r="D440" s="71" t="s">
        <v>382</v>
      </c>
      <c r="E440" s="71" t="str">
        <f>MID(D440,1,2)</f>
        <v>IL</v>
      </c>
      <c r="F440" s="71" t="s">
        <v>1117</v>
      </c>
      <c r="G440" s="71" t="str">
        <f>MID(F440,1,2)</f>
        <v>BE</v>
      </c>
      <c r="H440" s="43" t="s">
        <v>1118</v>
      </c>
      <c r="I440" s="71" t="s">
        <v>1119</v>
      </c>
      <c r="J440" s="71" t="s">
        <v>426</v>
      </c>
      <c r="K440" s="43"/>
      <c r="L440" s="71" t="s">
        <v>105</v>
      </c>
      <c r="M440" s="73">
        <v>18</v>
      </c>
      <c r="N440" s="71" t="s">
        <v>388</v>
      </c>
      <c r="O440" s="73">
        <v>0.144</v>
      </c>
      <c r="P440" s="71" t="s">
        <v>389</v>
      </c>
      <c r="Q440" s="73">
        <v>24</v>
      </c>
      <c r="R440" s="71" t="s">
        <v>388</v>
      </c>
      <c r="S440" s="73">
        <v>0</v>
      </c>
      <c r="T440" s="71" t="s">
        <v>390</v>
      </c>
      <c r="U440" s="74">
        <v>1</v>
      </c>
      <c r="V440" s="71" t="s">
        <v>391</v>
      </c>
      <c r="W440" s="130">
        <v>46056.375694444447</v>
      </c>
      <c r="X440" s="72">
        <v>46058.013888888891</v>
      </c>
      <c r="Y440" s="72">
        <v>46059.729166666664</v>
      </c>
      <c r="Z440" s="104" t="s">
        <v>496</v>
      </c>
      <c r="AA440" s="104" t="s">
        <v>1117</v>
      </c>
      <c r="AB440" s="105">
        <v>46058.652777777781</v>
      </c>
      <c r="AC440" s="105">
        <v>46058.865972222222</v>
      </c>
    </row>
    <row r="441" s="70" customFormat="1" ht="11.25" customHeight="1">
      <c r="A441" s="87"/>
      <c r="C441" s="43" t="s">
        <v>1120</v>
      </c>
      <c r="D441" s="71" t="s">
        <v>382</v>
      </c>
      <c r="E441" s="71" t="str">
        <f>MID(D441,1,2)</f>
        <v>IL</v>
      </c>
      <c r="F441" s="71" t="s">
        <v>667</v>
      </c>
      <c r="G441" s="71" t="str">
        <f>MID(F441,1,2)</f>
        <v>DE</v>
      </c>
      <c r="H441" s="43" t="s">
        <v>1121</v>
      </c>
      <c r="I441" s="71" t="s">
        <v>1122</v>
      </c>
      <c r="J441" s="71" t="s">
        <v>386</v>
      </c>
      <c r="K441" s="43"/>
      <c r="L441" s="71" t="s">
        <v>107</v>
      </c>
      <c r="M441" s="73">
        <v>101</v>
      </c>
      <c r="N441" s="71" t="s">
        <v>388</v>
      </c>
      <c r="O441" s="73">
        <v>0.749</v>
      </c>
      <c r="P441" s="71" t="s">
        <v>389</v>
      </c>
      <c r="Q441" s="73">
        <v>125</v>
      </c>
      <c r="R441" s="71" t="s">
        <v>388</v>
      </c>
      <c r="S441" s="73">
        <v>0</v>
      </c>
      <c r="T441" s="71" t="s">
        <v>390</v>
      </c>
      <c r="U441" s="74">
        <v>1</v>
      </c>
      <c r="V441" s="71" t="s">
        <v>391</v>
      </c>
      <c r="W441" s="130">
        <v>46056.947210648148</v>
      </c>
      <c r="X441" s="72">
        <v>46058.715277777781</v>
      </c>
      <c r="Y441" s="72">
        <v>46062.667361111111</v>
      </c>
      <c r="Z441" s="104" t="s">
        <v>667</v>
      </c>
      <c r="AA441" s="104" t="s">
        <v>1006</v>
      </c>
      <c r="AB441" s="105"/>
      <c r="AC441" s="105"/>
    </row>
    <row r="442" s="70" customFormat="1" ht="11.25" customHeight="1">
      <c r="A442" s="87"/>
      <c r="C442" s="43" t="s">
        <v>1120</v>
      </c>
      <c r="D442" s="71" t="s">
        <v>382</v>
      </c>
      <c r="E442" s="71" t="str">
        <f>MID(D442,1,2)</f>
        <v>IL</v>
      </c>
      <c r="F442" s="71" t="s">
        <v>667</v>
      </c>
      <c r="G442" s="71" t="str">
        <f>MID(F442,1,2)</f>
        <v>DE</v>
      </c>
      <c r="H442" s="43" t="s">
        <v>1121</v>
      </c>
      <c r="I442" s="71" t="s">
        <v>1122</v>
      </c>
      <c r="J442" s="71" t="s">
        <v>386</v>
      </c>
      <c r="K442" s="43"/>
      <c r="L442" s="71" t="s">
        <v>107</v>
      </c>
      <c r="M442" s="73">
        <v>101</v>
      </c>
      <c r="N442" s="71" t="s">
        <v>388</v>
      </c>
      <c r="O442" s="73">
        <v>0.749</v>
      </c>
      <c r="P442" s="71" t="s">
        <v>389</v>
      </c>
      <c r="Q442" s="73">
        <v>125</v>
      </c>
      <c r="R442" s="71" t="s">
        <v>388</v>
      </c>
      <c r="S442" s="73">
        <v>0</v>
      </c>
      <c r="T442" s="71" t="s">
        <v>390</v>
      </c>
      <c r="U442" s="74">
        <v>1</v>
      </c>
      <c r="V442" s="71" t="s">
        <v>391</v>
      </c>
      <c r="W442" s="130">
        <v>46056.947210648148</v>
      </c>
      <c r="X442" s="72">
        <v>46058.715277777781</v>
      </c>
      <c r="Y442" s="72">
        <v>46062.667361111111</v>
      </c>
      <c r="Z442" s="104" t="s">
        <v>382</v>
      </c>
      <c r="AA442" s="104" t="s">
        <v>667</v>
      </c>
      <c r="AB442" s="105">
        <v>46059.022222222222</v>
      </c>
      <c r="AC442" s="105">
        <v>46059.214583333334</v>
      </c>
    </row>
    <row r="443" s="70" customFormat="1" ht="11.25" customHeight="1">
      <c r="A443" s="87"/>
      <c r="C443" s="43" t="s">
        <v>1123</v>
      </c>
      <c r="D443" s="71" t="s">
        <v>382</v>
      </c>
      <c r="E443" s="71" t="str">
        <f>MID(D443,1,2)</f>
        <v>IL</v>
      </c>
      <c r="F443" s="71" t="s">
        <v>573</v>
      </c>
      <c r="G443" s="71" t="str">
        <f>MID(F443,1,2)</f>
        <v>CH</v>
      </c>
      <c r="H443" s="43" t="s">
        <v>1124</v>
      </c>
      <c r="I443" s="71" t="s">
        <v>1125</v>
      </c>
      <c r="J443" s="71" t="s">
        <v>386</v>
      </c>
      <c r="K443" s="43"/>
      <c r="L443" s="71" t="s">
        <v>107</v>
      </c>
      <c r="M443" s="73">
        <v>5</v>
      </c>
      <c r="N443" s="71" t="s">
        <v>388</v>
      </c>
      <c r="O443" s="73">
        <v>0.053</v>
      </c>
      <c r="P443" s="71" t="s">
        <v>389</v>
      </c>
      <c r="Q443" s="73">
        <v>9</v>
      </c>
      <c r="R443" s="71" t="s">
        <v>388</v>
      </c>
      <c r="S443" s="73">
        <v>0</v>
      </c>
      <c r="T443" s="71" t="s">
        <v>390</v>
      </c>
      <c r="U443" s="74">
        <v>1</v>
      </c>
      <c r="V443" s="71" t="s">
        <v>391</v>
      </c>
      <c r="W443" s="130">
        <v>46056.936875</v>
      </c>
      <c r="X443" s="72">
        <v>46057.652777777781</v>
      </c>
      <c r="Y443" s="72">
        <v>46058.465277777781</v>
      </c>
      <c r="Z443" s="104" t="s">
        <v>382</v>
      </c>
      <c r="AA443" s="104" t="s">
        <v>595</v>
      </c>
      <c r="AB443" s="105">
        <v>46057.661111111112</v>
      </c>
      <c r="AC443" s="105">
        <v>46057.760416666664</v>
      </c>
    </row>
    <row r="444" s="70" customFormat="1" ht="11.25" customHeight="1">
      <c r="A444" s="87"/>
      <c r="C444" s="43" t="s">
        <v>1123</v>
      </c>
      <c r="D444" s="71" t="s">
        <v>382</v>
      </c>
      <c r="E444" s="71" t="str">
        <f>MID(D444,1,2)</f>
        <v>IL</v>
      </c>
      <c r="F444" s="71" t="s">
        <v>573</v>
      </c>
      <c r="G444" s="71" t="str">
        <f>MID(F444,1,2)</f>
        <v>CH</v>
      </c>
      <c r="H444" s="43" t="s">
        <v>1124</v>
      </c>
      <c r="I444" s="71" t="s">
        <v>1125</v>
      </c>
      <c r="J444" s="71" t="s">
        <v>386</v>
      </c>
      <c r="K444" s="43"/>
      <c r="L444" s="71" t="s">
        <v>107</v>
      </c>
      <c r="M444" s="73">
        <v>5</v>
      </c>
      <c r="N444" s="71" t="s">
        <v>388</v>
      </c>
      <c r="O444" s="73">
        <v>0.053</v>
      </c>
      <c r="P444" s="71" t="s">
        <v>389</v>
      </c>
      <c r="Q444" s="73">
        <v>9</v>
      </c>
      <c r="R444" s="71" t="s">
        <v>388</v>
      </c>
      <c r="S444" s="73">
        <v>0</v>
      </c>
      <c r="T444" s="71" t="s">
        <v>390</v>
      </c>
      <c r="U444" s="74">
        <v>1</v>
      </c>
      <c r="V444" s="71" t="s">
        <v>391</v>
      </c>
      <c r="W444" s="130">
        <v>46056.936875</v>
      </c>
      <c r="X444" s="72">
        <v>46057.652777777781</v>
      </c>
      <c r="Y444" s="72">
        <v>46058.465277777781</v>
      </c>
      <c r="Z444" s="104" t="s">
        <v>595</v>
      </c>
      <c r="AA444" s="104" t="s">
        <v>573</v>
      </c>
      <c r="AB444" s="105">
        <v>46058.408333333333</v>
      </c>
      <c r="AC444" s="105">
        <v>46058.453472222223</v>
      </c>
    </row>
    <row r="445" s="70" customFormat="1" ht="11.25" customHeight="1">
      <c r="A445" s="87"/>
      <c r="C445" s="43" t="s">
        <v>1126</v>
      </c>
      <c r="D445" s="71" t="s">
        <v>382</v>
      </c>
      <c r="E445" s="71" t="str">
        <f>MID(D445,1,2)</f>
        <v>IL</v>
      </c>
      <c r="F445" s="71" t="s">
        <v>546</v>
      </c>
      <c r="G445" s="71" t="str">
        <f>MID(F445,1,2)</f>
        <v>GB</v>
      </c>
      <c r="H445" s="43" t="s">
        <v>1127</v>
      </c>
      <c r="I445" s="71" t="s">
        <v>1128</v>
      </c>
      <c r="J445" s="71" t="s">
        <v>426</v>
      </c>
      <c r="K445" s="43"/>
      <c r="L445" s="71" t="s">
        <v>105</v>
      </c>
      <c r="M445" s="73">
        <v>252</v>
      </c>
      <c r="N445" s="71" t="s">
        <v>388</v>
      </c>
      <c r="O445" s="73">
        <v>1.078</v>
      </c>
      <c r="P445" s="71" t="s">
        <v>389</v>
      </c>
      <c r="Q445" s="73">
        <v>252</v>
      </c>
      <c r="R445" s="71" t="s">
        <v>388</v>
      </c>
      <c r="S445" s="73">
        <v>0</v>
      </c>
      <c r="T445" s="71" t="s">
        <v>390</v>
      </c>
      <c r="U445" s="74">
        <v>2</v>
      </c>
      <c r="V445" s="71" t="s">
        <v>391</v>
      </c>
      <c r="W445" s="130">
        <v>46056.46597222222</v>
      </c>
      <c r="X445" s="72">
        <v>46057.381944444445</v>
      </c>
      <c r="Y445" s="72">
        <v>46058.517361111109</v>
      </c>
      <c r="Z445" s="104" t="s">
        <v>382</v>
      </c>
      <c r="AA445" s="104" t="s">
        <v>546</v>
      </c>
      <c r="AB445" s="105">
        <v>46058.381944444445</v>
      </c>
      <c r="AC445" s="105">
        <v>46058.515972222223</v>
      </c>
    </row>
    <row r="446" s="70" customFormat="1" ht="11.25" customHeight="1">
      <c r="A446" s="87"/>
      <c r="C446" s="43" t="s">
        <v>1129</v>
      </c>
      <c r="D446" s="71" t="s">
        <v>382</v>
      </c>
      <c r="E446" s="71" t="str">
        <f>MID(D446,1,2)</f>
        <v>IL</v>
      </c>
      <c r="F446" s="71" t="s">
        <v>465</v>
      </c>
      <c r="G446" s="71" t="str">
        <f>MID(F446,1,2)</f>
        <v>AZ</v>
      </c>
      <c r="H446" s="43" t="s">
        <v>1130</v>
      </c>
      <c r="I446" s="71"/>
      <c r="J446" s="71" t="s">
        <v>426</v>
      </c>
      <c r="K446" s="43"/>
      <c r="L446" s="71" t="s">
        <v>105</v>
      </c>
      <c r="M446" s="73">
        <v>492</v>
      </c>
      <c r="N446" s="71" t="s">
        <v>388</v>
      </c>
      <c r="O446" s="73">
        <v>3.702</v>
      </c>
      <c r="P446" s="71" t="s">
        <v>389</v>
      </c>
      <c r="Q446" s="73">
        <v>617</v>
      </c>
      <c r="R446" s="71" t="s">
        <v>388</v>
      </c>
      <c r="S446" s="73">
        <v>0</v>
      </c>
      <c r="T446" s="71" t="s">
        <v>390</v>
      </c>
      <c r="U446" s="74">
        <v>5</v>
      </c>
      <c r="V446" s="71" t="s">
        <v>391</v>
      </c>
      <c r="W446" s="130"/>
      <c r="X446" s="72">
        <v>46057.951388888891</v>
      </c>
      <c r="Y446" s="72">
        <v>46058.680555555555</v>
      </c>
      <c r="Z446" s="104" t="s">
        <v>382</v>
      </c>
      <c r="AA446" s="104" t="s">
        <v>465</v>
      </c>
      <c r="AB446" s="105">
        <v>46058.229861111111</v>
      </c>
      <c r="AC446" s="105">
        <v>46058.428472222222</v>
      </c>
    </row>
    <row r="447" s="70" customFormat="1" ht="11.25" customHeight="1">
      <c r="A447" s="87"/>
      <c r="C447" s="43" t="s">
        <v>1131</v>
      </c>
      <c r="D447" s="71" t="s">
        <v>382</v>
      </c>
      <c r="E447" s="71" t="str">
        <f>MID(D447,1,2)</f>
        <v>IL</v>
      </c>
      <c r="F447" s="71" t="s">
        <v>414</v>
      </c>
      <c r="G447" s="71" t="str">
        <f>MID(F447,1,2)</f>
        <v>US</v>
      </c>
      <c r="H447" s="43" t="s">
        <v>1105</v>
      </c>
      <c r="I447" s="71" t="s">
        <v>1132</v>
      </c>
      <c r="J447" s="71" t="s">
        <v>386</v>
      </c>
      <c r="K447" s="43" t="s">
        <v>759</v>
      </c>
      <c r="L447" s="71" t="s">
        <v>107</v>
      </c>
      <c r="M447" s="73">
        <v>120</v>
      </c>
      <c r="N447" s="71" t="s">
        <v>388</v>
      </c>
      <c r="O447" s="73">
        <v>1.286</v>
      </c>
      <c r="P447" s="71" t="s">
        <v>389</v>
      </c>
      <c r="Q447" s="73">
        <v>214.5</v>
      </c>
      <c r="R447" s="71" t="s">
        <v>388</v>
      </c>
      <c r="S447" s="73">
        <v>0</v>
      </c>
      <c r="T447" s="71" t="s">
        <v>390</v>
      </c>
      <c r="U447" s="74">
        <v>2</v>
      </c>
      <c r="V447" s="71" t="s">
        <v>391</v>
      </c>
      <c r="W447" s="130">
        <v>46056.38958333333</v>
      </c>
      <c r="X447" s="72">
        <v>46059.013888888891</v>
      </c>
      <c r="Y447" s="72">
        <v>46059.25</v>
      </c>
      <c r="Z447" s="104" t="s">
        <v>382</v>
      </c>
      <c r="AA447" s="104" t="s">
        <v>414</v>
      </c>
      <c r="AB447" s="105">
        <v>46059.034722222219</v>
      </c>
      <c r="AC447" s="105">
        <v>46059.218055555553</v>
      </c>
    </row>
    <row r="448" s="70" customFormat="1" ht="11.25" customHeight="1">
      <c r="A448" s="87"/>
      <c r="C448" s="43" t="s">
        <v>1133</v>
      </c>
      <c r="D448" s="71" t="s">
        <v>382</v>
      </c>
      <c r="E448" s="71" t="str">
        <f>MID(D448,1,2)</f>
        <v>IL</v>
      </c>
      <c r="F448" s="71" t="s">
        <v>680</v>
      </c>
      <c r="G448" s="71" t="str">
        <f>MID(F448,1,2)</f>
        <v>DE</v>
      </c>
      <c r="H448" s="43" t="s">
        <v>1066</v>
      </c>
      <c r="I448" s="71" t="s">
        <v>1134</v>
      </c>
      <c r="J448" s="71" t="s">
        <v>1135</v>
      </c>
      <c r="K448" s="43"/>
      <c r="L448" s="71" t="s">
        <v>107</v>
      </c>
      <c r="M448" s="73">
        <v>348</v>
      </c>
      <c r="N448" s="71" t="s">
        <v>388</v>
      </c>
      <c r="O448" s="73">
        <v>0.81</v>
      </c>
      <c r="P448" s="71" t="s">
        <v>389</v>
      </c>
      <c r="Q448" s="73">
        <v>348</v>
      </c>
      <c r="R448" s="71" t="s">
        <v>388</v>
      </c>
      <c r="S448" s="73">
        <v>0</v>
      </c>
      <c r="T448" s="71" t="s">
        <v>390</v>
      </c>
      <c r="U448" s="74">
        <v>1</v>
      </c>
      <c r="V448" s="71" t="s">
        <v>391</v>
      </c>
      <c r="W448" s="130">
        <v>46056.773599537039</v>
      </c>
      <c r="X448" s="72">
        <v>46060.386805555558</v>
      </c>
      <c r="Y448" s="72">
        <v>46065.083333333336</v>
      </c>
      <c r="Z448" s="104" t="s">
        <v>383</v>
      </c>
      <c r="AA448" s="104" t="s">
        <v>680</v>
      </c>
      <c r="AB448" s="105">
        <v>46064.993055555555</v>
      </c>
      <c r="AC448" s="105">
        <v>46065.25</v>
      </c>
    </row>
    <row r="449" s="70" customFormat="1" ht="11.25" customHeight="1">
      <c r="A449" s="87"/>
      <c r="C449" s="43" t="s">
        <v>1133</v>
      </c>
      <c r="D449" s="71" t="s">
        <v>382</v>
      </c>
      <c r="E449" s="71" t="str">
        <f>MID(D449,1,2)</f>
        <v>IL</v>
      </c>
      <c r="F449" s="71" t="s">
        <v>680</v>
      </c>
      <c r="G449" s="71" t="str">
        <f>MID(F449,1,2)</f>
        <v>DE</v>
      </c>
      <c r="H449" s="43" t="s">
        <v>1066</v>
      </c>
      <c r="I449" s="71" t="s">
        <v>1134</v>
      </c>
      <c r="J449" s="71" t="s">
        <v>1135</v>
      </c>
      <c r="K449" s="43"/>
      <c r="L449" s="71" t="s">
        <v>107</v>
      </c>
      <c r="M449" s="73">
        <v>348</v>
      </c>
      <c r="N449" s="71" t="s">
        <v>388</v>
      </c>
      <c r="O449" s="73">
        <v>0.81</v>
      </c>
      <c r="P449" s="71" t="s">
        <v>389</v>
      </c>
      <c r="Q449" s="73">
        <v>348</v>
      </c>
      <c r="R449" s="71" t="s">
        <v>388</v>
      </c>
      <c r="S449" s="73">
        <v>0</v>
      </c>
      <c r="T449" s="71" t="s">
        <v>390</v>
      </c>
      <c r="U449" s="74">
        <v>1</v>
      </c>
      <c r="V449" s="71" t="s">
        <v>391</v>
      </c>
      <c r="W449" s="130">
        <v>46056.773599537039</v>
      </c>
      <c r="X449" s="72">
        <v>46060.386805555558</v>
      </c>
      <c r="Y449" s="72">
        <v>46065.083333333336</v>
      </c>
      <c r="Z449" s="104" t="s">
        <v>382</v>
      </c>
      <c r="AA449" s="104" t="s">
        <v>748</v>
      </c>
      <c r="AB449" s="105">
        <v>46060.961805555555</v>
      </c>
      <c r="AC449" s="105"/>
    </row>
    <row r="450" s="70" customFormat="1" ht="11.25" customHeight="1">
      <c r="A450" s="87"/>
      <c r="C450" s="43" t="s">
        <v>1133</v>
      </c>
      <c r="D450" s="71" t="s">
        <v>382</v>
      </c>
      <c r="E450" s="71" t="str">
        <f>MID(D450,1,2)</f>
        <v>IL</v>
      </c>
      <c r="F450" s="71" t="s">
        <v>680</v>
      </c>
      <c r="G450" s="71" t="str">
        <f>MID(F450,1,2)</f>
        <v>DE</v>
      </c>
      <c r="H450" s="43" t="s">
        <v>1066</v>
      </c>
      <c r="I450" s="71" t="s">
        <v>1134</v>
      </c>
      <c r="J450" s="71" t="s">
        <v>1135</v>
      </c>
      <c r="K450" s="43"/>
      <c r="L450" s="71" t="s">
        <v>107</v>
      </c>
      <c r="M450" s="73">
        <v>348</v>
      </c>
      <c r="N450" s="71" t="s">
        <v>388</v>
      </c>
      <c r="O450" s="73">
        <v>0.81</v>
      </c>
      <c r="P450" s="71" t="s">
        <v>389</v>
      </c>
      <c r="Q450" s="73">
        <v>348</v>
      </c>
      <c r="R450" s="71" t="s">
        <v>388</v>
      </c>
      <c r="S450" s="73">
        <v>0</v>
      </c>
      <c r="T450" s="71" t="s">
        <v>390</v>
      </c>
      <c r="U450" s="74">
        <v>1</v>
      </c>
      <c r="V450" s="71" t="s">
        <v>391</v>
      </c>
      <c r="W450" s="130">
        <v>46056.773599537039</v>
      </c>
      <c r="X450" s="72">
        <v>46060.386805555558</v>
      </c>
      <c r="Y450" s="72">
        <v>46065.083333333336</v>
      </c>
      <c r="Z450" s="104" t="s">
        <v>748</v>
      </c>
      <c r="AA450" s="104" t="s">
        <v>383</v>
      </c>
      <c r="AB450" s="105">
        <v>46062.244444444441</v>
      </c>
      <c r="AC450" s="105">
        <v>46062.225</v>
      </c>
    </row>
    <row r="451" s="70" customFormat="1" ht="11.25" customHeight="1">
      <c r="A451" s="87"/>
      <c r="C451" s="43" t="s">
        <v>1136</v>
      </c>
      <c r="D451" s="71" t="s">
        <v>382</v>
      </c>
      <c r="E451" s="71" t="str">
        <f>MID(D451,1,2)</f>
        <v>IL</v>
      </c>
      <c r="F451" s="71" t="s">
        <v>414</v>
      </c>
      <c r="G451" s="71" t="str">
        <f>MID(F451,1,2)</f>
        <v>US</v>
      </c>
      <c r="H451" s="43" t="s">
        <v>1105</v>
      </c>
      <c r="I451" s="71" t="s">
        <v>1137</v>
      </c>
      <c r="J451" s="71" t="s">
        <v>426</v>
      </c>
      <c r="K451" s="43" t="s">
        <v>759</v>
      </c>
      <c r="L451" s="71" t="s">
        <v>105</v>
      </c>
      <c r="M451" s="73">
        <v>4</v>
      </c>
      <c r="N451" s="71" t="s">
        <v>388</v>
      </c>
      <c r="O451" s="73">
        <v>0.028</v>
      </c>
      <c r="P451" s="71" t="s">
        <v>389</v>
      </c>
      <c r="Q451" s="73">
        <v>5</v>
      </c>
      <c r="R451" s="71" t="s">
        <v>388</v>
      </c>
      <c r="S451" s="73">
        <v>0</v>
      </c>
      <c r="T451" s="71" t="s">
        <v>390</v>
      </c>
      <c r="U451" s="74">
        <v>1</v>
      </c>
      <c r="V451" s="71" t="s">
        <v>427</v>
      </c>
      <c r="W451" s="130">
        <v>46056.410416666666</v>
      </c>
      <c r="X451" s="72">
        <v>46059.013888888891</v>
      </c>
      <c r="Y451" s="72">
        <v>46059.25</v>
      </c>
      <c r="Z451" s="104" t="s">
        <v>382</v>
      </c>
      <c r="AA451" s="104" t="s">
        <v>414</v>
      </c>
      <c r="AB451" s="105">
        <v>46059.034722222219</v>
      </c>
      <c r="AC451" s="105">
        <v>46059.218055555553</v>
      </c>
    </row>
    <row r="452" s="70" customFormat="1" ht="11.25" customHeight="1">
      <c r="A452" s="87"/>
      <c r="C452" s="43" t="s">
        <v>1138</v>
      </c>
      <c r="D452" s="71" t="s">
        <v>382</v>
      </c>
      <c r="E452" s="71" t="str">
        <f>MID(D452,1,2)</f>
        <v>IL</v>
      </c>
      <c r="F452" s="71" t="s">
        <v>414</v>
      </c>
      <c r="G452" s="71" t="str">
        <f>MID(F452,1,2)</f>
        <v>US</v>
      </c>
      <c r="H452" s="43" t="s">
        <v>1105</v>
      </c>
      <c r="I452" s="71" t="s">
        <v>1139</v>
      </c>
      <c r="J452" s="71" t="s">
        <v>426</v>
      </c>
      <c r="K452" s="43" t="s">
        <v>759</v>
      </c>
      <c r="L452" s="71" t="s">
        <v>105</v>
      </c>
      <c r="M452" s="73">
        <v>4</v>
      </c>
      <c r="N452" s="71" t="s">
        <v>388</v>
      </c>
      <c r="O452" s="73">
        <v>0.03</v>
      </c>
      <c r="P452" s="71" t="s">
        <v>389</v>
      </c>
      <c r="Q452" s="73">
        <v>5</v>
      </c>
      <c r="R452" s="71" t="s">
        <v>388</v>
      </c>
      <c r="S452" s="73">
        <v>0</v>
      </c>
      <c r="T452" s="71" t="s">
        <v>390</v>
      </c>
      <c r="U452" s="74">
        <v>1</v>
      </c>
      <c r="V452" s="71" t="s">
        <v>427</v>
      </c>
      <c r="W452" s="130">
        <v>46056.410416666666</v>
      </c>
      <c r="X452" s="72">
        <v>46059.013888888891</v>
      </c>
      <c r="Y452" s="72">
        <v>46059.25</v>
      </c>
      <c r="Z452" s="104" t="s">
        <v>382</v>
      </c>
      <c r="AA452" s="104" t="s">
        <v>414</v>
      </c>
      <c r="AB452" s="105">
        <v>46059.034722222219</v>
      </c>
      <c r="AC452" s="105">
        <v>46059.218055555553</v>
      </c>
    </row>
    <row r="453" s="70" customFormat="1" ht="11.25" customHeight="1">
      <c r="A453" s="87"/>
      <c r="C453" s="43" t="s">
        <v>1140</v>
      </c>
      <c r="D453" s="71" t="s">
        <v>382</v>
      </c>
      <c r="E453" s="71" t="str">
        <f>MID(D453,1,2)</f>
        <v>IL</v>
      </c>
      <c r="F453" s="71" t="s">
        <v>597</v>
      </c>
      <c r="G453" s="71" t="str">
        <f>MID(F453,1,2)</f>
        <v>NL</v>
      </c>
      <c r="H453" s="43" t="s">
        <v>1141</v>
      </c>
      <c r="I453" s="71"/>
      <c r="J453" s="71" t="s">
        <v>426</v>
      </c>
      <c r="K453" s="43"/>
      <c r="L453" s="71" t="s">
        <v>105</v>
      </c>
      <c r="M453" s="73">
        <v>21</v>
      </c>
      <c r="N453" s="71" t="s">
        <v>388</v>
      </c>
      <c r="O453" s="73">
        <v>0.106</v>
      </c>
      <c r="P453" s="71" t="s">
        <v>389</v>
      </c>
      <c r="Q453" s="73">
        <v>21</v>
      </c>
      <c r="R453" s="71" t="s">
        <v>388</v>
      </c>
      <c r="S453" s="73">
        <v>0</v>
      </c>
      <c r="T453" s="71" t="s">
        <v>390</v>
      </c>
      <c r="U453" s="74">
        <v>3</v>
      </c>
      <c r="V453" s="71" t="s">
        <v>391</v>
      </c>
      <c r="W453" s="130">
        <v>46056.423611111109</v>
      </c>
      <c r="X453" s="72">
        <v>46058.25</v>
      </c>
      <c r="Y453" s="72">
        <v>46058.430555555555</v>
      </c>
      <c r="Z453" s="104" t="s">
        <v>382</v>
      </c>
      <c r="AA453" s="104" t="s">
        <v>597</v>
      </c>
      <c r="AB453" s="105">
        <v>46058.249305555553</v>
      </c>
      <c r="AC453" s="105">
        <v>46058.413888888892</v>
      </c>
    </row>
    <row r="454" s="70" customFormat="1" ht="11.25" customHeight="1">
      <c r="A454" s="87"/>
      <c r="C454" s="43" t="s">
        <v>1142</v>
      </c>
      <c r="D454" s="71" t="s">
        <v>382</v>
      </c>
      <c r="E454" s="71" t="str">
        <f>MID(D454,1,2)</f>
        <v>IL</v>
      </c>
      <c r="F454" s="71" t="s">
        <v>414</v>
      </c>
      <c r="G454" s="71" t="str">
        <f>MID(F454,1,2)</f>
        <v>US</v>
      </c>
      <c r="H454" s="43" t="s">
        <v>1105</v>
      </c>
      <c r="I454" s="71" t="s">
        <v>1143</v>
      </c>
      <c r="J454" s="71" t="s">
        <v>426</v>
      </c>
      <c r="K454" s="43" t="s">
        <v>759</v>
      </c>
      <c r="L454" s="71" t="s">
        <v>105</v>
      </c>
      <c r="M454" s="73">
        <v>1</v>
      </c>
      <c r="N454" s="71" t="s">
        <v>388</v>
      </c>
      <c r="O454" s="73">
        <v>0.009</v>
      </c>
      <c r="P454" s="71" t="s">
        <v>389</v>
      </c>
      <c r="Q454" s="73">
        <v>1.5</v>
      </c>
      <c r="R454" s="71" t="s">
        <v>388</v>
      </c>
      <c r="S454" s="73">
        <v>0</v>
      </c>
      <c r="T454" s="71" t="s">
        <v>390</v>
      </c>
      <c r="U454" s="74">
        <v>1</v>
      </c>
      <c r="V454" s="71" t="s">
        <v>427</v>
      </c>
      <c r="W454" s="130">
        <v>46056.416666666664</v>
      </c>
      <c r="X454" s="72">
        <v>46059.013888888891</v>
      </c>
      <c r="Y454" s="72">
        <v>46059.25</v>
      </c>
      <c r="Z454" s="104" t="s">
        <v>382</v>
      </c>
      <c r="AA454" s="104" t="s">
        <v>414</v>
      </c>
      <c r="AB454" s="105">
        <v>46059.034722222219</v>
      </c>
      <c r="AC454" s="105">
        <v>46059.218055555553</v>
      </c>
    </row>
    <row r="455" s="70" customFormat="1" ht="11.25" customHeight="1">
      <c r="A455" s="87"/>
      <c r="C455" s="43" t="s">
        <v>1144</v>
      </c>
      <c r="D455" s="71" t="s">
        <v>382</v>
      </c>
      <c r="E455" s="71" t="str">
        <f>MID(D455,1,2)</f>
        <v>IL</v>
      </c>
      <c r="F455" s="71" t="s">
        <v>414</v>
      </c>
      <c r="G455" s="71" t="str">
        <f>MID(F455,1,2)</f>
        <v>US</v>
      </c>
      <c r="H455" s="43" t="s">
        <v>1105</v>
      </c>
      <c r="I455" s="71" t="s">
        <v>1145</v>
      </c>
      <c r="J455" s="71" t="s">
        <v>426</v>
      </c>
      <c r="K455" s="43" t="s">
        <v>759</v>
      </c>
      <c r="L455" s="71" t="s">
        <v>105</v>
      </c>
      <c r="M455" s="73">
        <v>1</v>
      </c>
      <c r="N455" s="71" t="s">
        <v>388</v>
      </c>
      <c r="O455" s="73">
        <v>0.009</v>
      </c>
      <c r="P455" s="71" t="s">
        <v>389</v>
      </c>
      <c r="Q455" s="73">
        <v>1.5</v>
      </c>
      <c r="R455" s="71" t="s">
        <v>388</v>
      </c>
      <c r="S455" s="73">
        <v>0</v>
      </c>
      <c r="T455" s="71" t="s">
        <v>390</v>
      </c>
      <c r="U455" s="74">
        <v>1</v>
      </c>
      <c r="V455" s="71" t="s">
        <v>427</v>
      </c>
      <c r="W455" s="130">
        <v>46056.416666666664</v>
      </c>
      <c r="X455" s="72">
        <v>46059.013888888891</v>
      </c>
      <c r="Y455" s="72">
        <v>46059.25</v>
      </c>
      <c r="Z455" s="104" t="s">
        <v>382</v>
      </c>
      <c r="AA455" s="104" t="s">
        <v>414</v>
      </c>
      <c r="AB455" s="105">
        <v>46059.034722222219</v>
      </c>
      <c r="AC455" s="105">
        <v>46059.218055555553</v>
      </c>
    </row>
    <row r="456" s="70" customFormat="1" ht="11.25" customHeight="1">
      <c r="A456" s="87"/>
      <c r="C456" s="43" t="s">
        <v>1146</v>
      </c>
      <c r="D456" s="71" t="s">
        <v>382</v>
      </c>
      <c r="E456" s="71" t="str">
        <f>MID(D456,1,2)</f>
        <v>IL</v>
      </c>
      <c r="F456" s="71" t="s">
        <v>414</v>
      </c>
      <c r="G456" s="71" t="str">
        <f>MID(F456,1,2)</f>
        <v>US</v>
      </c>
      <c r="H456" s="43" t="s">
        <v>1105</v>
      </c>
      <c r="I456" s="71" t="s">
        <v>1147</v>
      </c>
      <c r="J456" s="71" t="s">
        <v>426</v>
      </c>
      <c r="K456" s="43" t="s">
        <v>759</v>
      </c>
      <c r="L456" s="71" t="s">
        <v>105</v>
      </c>
      <c r="M456" s="73">
        <v>1</v>
      </c>
      <c r="N456" s="71" t="s">
        <v>388</v>
      </c>
      <c r="O456" s="73">
        <v>0.009</v>
      </c>
      <c r="P456" s="71" t="s">
        <v>389</v>
      </c>
      <c r="Q456" s="73">
        <v>1.5</v>
      </c>
      <c r="R456" s="71" t="s">
        <v>388</v>
      </c>
      <c r="S456" s="73">
        <v>0</v>
      </c>
      <c r="T456" s="71" t="s">
        <v>390</v>
      </c>
      <c r="U456" s="74">
        <v>1</v>
      </c>
      <c r="V456" s="71" t="s">
        <v>427</v>
      </c>
      <c r="W456" s="130">
        <v>46056.416666666664</v>
      </c>
      <c r="X456" s="72">
        <v>46059.013888888891</v>
      </c>
      <c r="Y456" s="72">
        <v>46059.25</v>
      </c>
      <c r="Z456" s="104" t="s">
        <v>382</v>
      </c>
      <c r="AA456" s="104" t="s">
        <v>414</v>
      </c>
      <c r="AB456" s="105">
        <v>46059.034722222219</v>
      </c>
      <c r="AC456" s="105">
        <v>46059.218055555553</v>
      </c>
    </row>
    <row r="457" s="70" customFormat="1" ht="11.25" customHeight="1">
      <c r="A457" s="87"/>
      <c r="C457" s="43" t="s">
        <v>1148</v>
      </c>
      <c r="D457" s="71" t="s">
        <v>382</v>
      </c>
      <c r="E457" s="71" t="str">
        <f>MID(D457,1,2)</f>
        <v>IL</v>
      </c>
      <c r="F457" s="71" t="s">
        <v>414</v>
      </c>
      <c r="G457" s="71" t="str">
        <f>MID(F457,1,2)</f>
        <v>US</v>
      </c>
      <c r="H457" s="43" t="s">
        <v>1105</v>
      </c>
      <c r="I457" s="71" t="s">
        <v>1149</v>
      </c>
      <c r="J457" s="71" t="s">
        <v>426</v>
      </c>
      <c r="K457" s="43" t="s">
        <v>759</v>
      </c>
      <c r="L457" s="71" t="s">
        <v>105</v>
      </c>
      <c r="M457" s="73">
        <v>1</v>
      </c>
      <c r="N457" s="71" t="s">
        <v>388</v>
      </c>
      <c r="O457" s="73">
        <v>0.009</v>
      </c>
      <c r="P457" s="71" t="s">
        <v>389</v>
      </c>
      <c r="Q457" s="73">
        <v>1.5</v>
      </c>
      <c r="R457" s="71" t="s">
        <v>388</v>
      </c>
      <c r="S457" s="73">
        <v>0</v>
      </c>
      <c r="T457" s="71" t="s">
        <v>390</v>
      </c>
      <c r="U457" s="74">
        <v>1</v>
      </c>
      <c r="V457" s="71" t="s">
        <v>427</v>
      </c>
      <c r="W457" s="130">
        <v>46056.423611111109</v>
      </c>
      <c r="X457" s="72">
        <v>46059.013888888891</v>
      </c>
      <c r="Y457" s="72">
        <v>46059.25</v>
      </c>
      <c r="Z457" s="104" t="s">
        <v>382</v>
      </c>
      <c r="AA457" s="104" t="s">
        <v>414</v>
      </c>
      <c r="AB457" s="105">
        <v>46059.034722222219</v>
      </c>
      <c r="AC457" s="105">
        <v>46059.218055555553</v>
      </c>
    </row>
    <row r="458" s="70" customFormat="1" ht="11.25" customHeight="1">
      <c r="A458" s="87"/>
      <c r="C458" s="43" t="s">
        <v>1150</v>
      </c>
      <c r="D458" s="71" t="s">
        <v>382</v>
      </c>
      <c r="E458" s="71" t="str">
        <f>MID(D458,1,2)</f>
        <v>IL</v>
      </c>
      <c r="F458" s="71" t="s">
        <v>414</v>
      </c>
      <c r="G458" s="71" t="str">
        <f>MID(F458,1,2)</f>
        <v>US</v>
      </c>
      <c r="H458" s="43" t="s">
        <v>1105</v>
      </c>
      <c r="I458" s="71" t="s">
        <v>1151</v>
      </c>
      <c r="J458" s="71" t="s">
        <v>426</v>
      </c>
      <c r="K458" s="43" t="s">
        <v>759</v>
      </c>
      <c r="L458" s="71" t="s">
        <v>105</v>
      </c>
      <c r="M458" s="73">
        <v>1</v>
      </c>
      <c r="N458" s="71" t="s">
        <v>388</v>
      </c>
      <c r="O458" s="73">
        <v>0.009</v>
      </c>
      <c r="P458" s="71" t="s">
        <v>389</v>
      </c>
      <c r="Q458" s="73">
        <v>1.5</v>
      </c>
      <c r="R458" s="71" t="s">
        <v>388</v>
      </c>
      <c r="S458" s="73">
        <v>0</v>
      </c>
      <c r="T458" s="71" t="s">
        <v>390</v>
      </c>
      <c r="U458" s="74">
        <v>1</v>
      </c>
      <c r="V458" s="71" t="s">
        <v>427</v>
      </c>
      <c r="W458" s="130">
        <v>46056.423611111109</v>
      </c>
      <c r="X458" s="72">
        <v>46059.013888888891</v>
      </c>
      <c r="Y458" s="72">
        <v>46059.25</v>
      </c>
      <c r="Z458" s="104" t="s">
        <v>382</v>
      </c>
      <c r="AA458" s="104" t="s">
        <v>414</v>
      </c>
      <c r="AB458" s="105">
        <v>46059.034722222219</v>
      </c>
      <c r="AC458" s="105">
        <v>46059.218055555553</v>
      </c>
    </row>
    <row r="459" s="70" customFormat="1" ht="11.25" customHeight="1">
      <c r="A459" s="87"/>
      <c r="C459" s="43" t="s">
        <v>1152</v>
      </c>
      <c r="D459" s="71" t="s">
        <v>382</v>
      </c>
      <c r="E459" s="71" t="str">
        <f>MID(D459,1,2)</f>
        <v>IL</v>
      </c>
      <c r="F459" s="71" t="s">
        <v>414</v>
      </c>
      <c r="G459" s="71" t="str">
        <f>MID(F459,1,2)</f>
        <v>US</v>
      </c>
      <c r="H459" s="43" t="s">
        <v>1105</v>
      </c>
      <c r="I459" s="71" t="s">
        <v>1153</v>
      </c>
      <c r="J459" s="71" t="s">
        <v>426</v>
      </c>
      <c r="K459" s="43" t="s">
        <v>759</v>
      </c>
      <c r="L459" s="71" t="s">
        <v>105</v>
      </c>
      <c r="M459" s="73">
        <v>1</v>
      </c>
      <c r="N459" s="71" t="s">
        <v>388</v>
      </c>
      <c r="O459" s="73">
        <v>0.009</v>
      </c>
      <c r="P459" s="71" t="s">
        <v>389</v>
      </c>
      <c r="Q459" s="73">
        <v>1.5</v>
      </c>
      <c r="R459" s="71" t="s">
        <v>388</v>
      </c>
      <c r="S459" s="73">
        <v>0</v>
      </c>
      <c r="T459" s="71" t="s">
        <v>390</v>
      </c>
      <c r="U459" s="74">
        <v>1</v>
      </c>
      <c r="V459" s="71" t="s">
        <v>427</v>
      </c>
      <c r="W459" s="130">
        <v>46056.423611111109</v>
      </c>
      <c r="X459" s="72">
        <v>46059.013888888891</v>
      </c>
      <c r="Y459" s="72">
        <v>46059.25</v>
      </c>
      <c r="Z459" s="104" t="s">
        <v>382</v>
      </c>
      <c r="AA459" s="104" t="s">
        <v>414</v>
      </c>
      <c r="AB459" s="105">
        <v>46059.034722222219</v>
      </c>
      <c r="AC459" s="105">
        <v>46059.218055555553</v>
      </c>
    </row>
    <row r="460" s="70" customFormat="1" ht="11.25" customHeight="1">
      <c r="A460" s="87"/>
      <c r="C460" s="43" t="s">
        <v>1154</v>
      </c>
      <c r="D460" s="71" t="s">
        <v>382</v>
      </c>
      <c r="E460" s="71" t="str">
        <f>MID(D460,1,2)</f>
        <v>IL</v>
      </c>
      <c r="F460" s="71" t="s">
        <v>414</v>
      </c>
      <c r="G460" s="71" t="str">
        <f>MID(F460,1,2)</f>
        <v>US</v>
      </c>
      <c r="H460" s="43" t="s">
        <v>1105</v>
      </c>
      <c r="I460" s="71" t="s">
        <v>1155</v>
      </c>
      <c r="J460" s="71" t="s">
        <v>426</v>
      </c>
      <c r="K460" s="43" t="s">
        <v>759</v>
      </c>
      <c r="L460" s="71" t="s">
        <v>105</v>
      </c>
      <c r="M460" s="73">
        <v>1</v>
      </c>
      <c r="N460" s="71" t="s">
        <v>388</v>
      </c>
      <c r="O460" s="73">
        <v>0.009</v>
      </c>
      <c r="P460" s="71" t="s">
        <v>389</v>
      </c>
      <c r="Q460" s="73">
        <v>1.5</v>
      </c>
      <c r="R460" s="71" t="s">
        <v>388</v>
      </c>
      <c r="S460" s="73">
        <v>0</v>
      </c>
      <c r="T460" s="71" t="s">
        <v>390</v>
      </c>
      <c r="U460" s="74">
        <v>1</v>
      </c>
      <c r="V460" s="71" t="s">
        <v>427</v>
      </c>
      <c r="W460" s="130">
        <v>46056.43125</v>
      </c>
      <c r="X460" s="72">
        <v>46059.013888888891</v>
      </c>
      <c r="Y460" s="72">
        <v>46059.25</v>
      </c>
      <c r="Z460" s="104" t="s">
        <v>382</v>
      </c>
      <c r="AA460" s="104" t="s">
        <v>414</v>
      </c>
      <c r="AB460" s="105">
        <v>46059.034722222219</v>
      </c>
      <c r="AC460" s="105">
        <v>46059.218055555553</v>
      </c>
    </row>
    <row r="461" s="70" customFormat="1" ht="11.25" customHeight="1">
      <c r="A461" s="87"/>
      <c r="C461" s="43" t="s">
        <v>1156</v>
      </c>
      <c r="D461" s="71" t="s">
        <v>382</v>
      </c>
      <c r="E461" s="71" t="str">
        <f>MID(D461,1,2)</f>
        <v>IL</v>
      </c>
      <c r="F461" s="71" t="s">
        <v>414</v>
      </c>
      <c r="G461" s="71" t="str">
        <f>MID(F461,1,2)</f>
        <v>US</v>
      </c>
      <c r="H461" s="43" t="s">
        <v>1105</v>
      </c>
      <c r="I461" s="71" t="s">
        <v>1157</v>
      </c>
      <c r="J461" s="71" t="s">
        <v>426</v>
      </c>
      <c r="K461" s="43" t="s">
        <v>759</v>
      </c>
      <c r="L461" s="71" t="s">
        <v>105</v>
      </c>
      <c r="M461" s="73">
        <v>1</v>
      </c>
      <c r="N461" s="71" t="s">
        <v>388</v>
      </c>
      <c r="O461" s="73">
        <v>0.009</v>
      </c>
      <c r="P461" s="71" t="s">
        <v>389</v>
      </c>
      <c r="Q461" s="73">
        <v>1.5</v>
      </c>
      <c r="R461" s="71" t="s">
        <v>388</v>
      </c>
      <c r="S461" s="73">
        <v>0</v>
      </c>
      <c r="T461" s="71" t="s">
        <v>390</v>
      </c>
      <c r="U461" s="74">
        <v>1</v>
      </c>
      <c r="V461" s="71" t="s">
        <v>427</v>
      </c>
      <c r="W461" s="130">
        <v>46056.43125</v>
      </c>
      <c r="X461" s="72">
        <v>46059.013888888891</v>
      </c>
      <c r="Y461" s="72">
        <v>46059.25</v>
      </c>
      <c r="Z461" s="104" t="s">
        <v>382</v>
      </c>
      <c r="AA461" s="104" t="s">
        <v>414</v>
      </c>
      <c r="AB461" s="105">
        <v>46059.034722222219</v>
      </c>
      <c r="AC461" s="105">
        <v>46059.218055555553</v>
      </c>
    </row>
    <row r="462" s="70" customFormat="1" ht="11.25" customHeight="1">
      <c r="A462" s="87"/>
      <c r="C462" s="43" t="s">
        <v>1158</v>
      </c>
      <c r="D462" s="71" t="s">
        <v>382</v>
      </c>
      <c r="E462" s="71" t="str">
        <f>MID(D462,1,2)</f>
        <v>IL</v>
      </c>
      <c r="F462" s="71" t="s">
        <v>414</v>
      </c>
      <c r="G462" s="71" t="str">
        <f>MID(F462,1,2)</f>
        <v>US</v>
      </c>
      <c r="H462" s="43" t="s">
        <v>1105</v>
      </c>
      <c r="I462" s="71" t="s">
        <v>1159</v>
      </c>
      <c r="J462" s="71" t="s">
        <v>426</v>
      </c>
      <c r="K462" s="43" t="s">
        <v>759</v>
      </c>
      <c r="L462" s="71" t="s">
        <v>105</v>
      </c>
      <c r="M462" s="73">
        <v>1</v>
      </c>
      <c r="N462" s="71" t="s">
        <v>388</v>
      </c>
      <c r="O462" s="73">
        <v>0.009</v>
      </c>
      <c r="P462" s="71" t="s">
        <v>389</v>
      </c>
      <c r="Q462" s="73">
        <v>1.5</v>
      </c>
      <c r="R462" s="71" t="s">
        <v>388</v>
      </c>
      <c r="S462" s="73">
        <v>0</v>
      </c>
      <c r="T462" s="71" t="s">
        <v>390</v>
      </c>
      <c r="U462" s="74">
        <v>1</v>
      </c>
      <c r="V462" s="71" t="s">
        <v>427</v>
      </c>
      <c r="W462" s="130">
        <v>46056.43125</v>
      </c>
      <c r="X462" s="72">
        <v>46059.013888888891</v>
      </c>
      <c r="Y462" s="72">
        <v>46059.25</v>
      </c>
      <c r="Z462" s="104" t="s">
        <v>382</v>
      </c>
      <c r="AA462" s="104" t="s">
        <v>414</v>
      </c>
      <c r="AB462" s="105">
        <v>46059.034722222219</v>
      </c>
      <c r="AC462" s="105">
        <v>46059.218055555553</v>
      </c>
    </row>
    <row r="463" s="70" customFormat="1" ht="11.25" customHeight="1">
      <c r="A463" s="87"/>
      <c r="C463" s="43" t="s">
        <v>1160</v>
      </c>
      <c r="D463" s="71" t="s">
        <v>382</v>
      </c>
      <c r="E463" s="71" t="str">
        <f>MID(D463,1,2)</f>
        <v>IL</v>
      </c>
      <c r="F463" s="71" t="s">
        <v>414</v>
      </c>
      <c r="G463" s="71" t="str">
        <f>MID(F463,1,2)</f>
        <v>US</v>
      </c>
      <c r="H463" s="43" t="s">
        <v>1105</v>
      </c>
      <c r="I463" s="71" t="s">
        <v>1161</v>
      </c>
      <c r="J463" s="71" t="s">
        <v>426</v>
      </c>
      <c r="K463" s="43" t="s">
        <v>759</v>
      </c>
      <c r="L463" s="71" t="s">
        <v>105</v>
      </c>
      <c r="M463" s="73">
        <v>1</v>
      </c>
      <c r="N463" s="71" t="s">
        <v>388</v>
      </c>
      <c r="O463" s="73">
        <v>0.009</v>
      </c>
      <c r="P463" s="71" t="s">
        <v>389</v>
      </c>
      <c r="Q463" s="73">
        <v>1.5</v>
      </c>
      <c r="R463" s="71" t="s">
        <v>388</v>
      </c>
      <c r="S463" s="73">
        <v>0</v>
      </c>
      <c r="T463" s="71" t="s">
        <v>390</v>
      </c>
      <c r="U463" s="74">
        <v>1</v>
      </c>
      <c r="V463" s="71" t="s">
        <v>427</v>
      </c>
      <c r="W463" s="130">
        <v>46056.438194444447</v>
      </c>
      <c r="X463" s="72">
        <v>46059.013888888891</v>
      </c>
      <c r="Y463" s="72">
        <v>46059.25</v>
      </c>
      <c r="Z463" s="104" t="s">
        <v>382</v>
      </c>
      <c r="AA463" s="104" t="s">
        <v>414</v>
      </c>
      <c r="AB463" s="105">
        <v>46059.034722222219</v>
      </c>
      <c r="AC463" s="105">
        <v>46059.218055555553</v>
      </c>
    </row>
    <row r="464" s="70" customFormat="1" ht="11.25" customHeight="1">
      <c r="A464" s="87"/>
      <c r="C464" s="43" t="s">
        <v>1162</v>
      </c>
      <c r="D464" s="71" t="s">
        <v>382</v>
      </c>
      <c r="E464" s="71" t="str">
        <f>MID(D464,1,2)</f>
        <v>IL</v>
      </c>
      <c r="F464" s="71" t="s">
        <v>1163</v>
      </c>
      <c r="G464" s="71" t="str">
        <f>MID(F464,1,2)</f>
        <v>AR</v>
      </c>
      <c r="H464" s="43" t="s">
        <v>1164</v>
      </c>
      <c r="I464" s="71" t="s">
        <v>1165</v>
      </c>
      <c r="J464" s="71" t="s">
        <v>811</v>
      </c>
      <c r="K464" s="43"/>
      <c r="L464" s="71" t="s">
        <v>105</v>
      </c>
      <c r="M464" s="73">
        <v>359</v>
      </c>
      <c r="N464" s="71" t="s">
        <v>388</v>
      </c>
      <c r="O464" s="73">
        <v>1.364</v>
      </c>
      <c r="P464" s="71" t="s">
        <v>389</v>
      </c>
      <c r="Q464" s="73">
        <v>359</v>
      </c>
      <c r="R464" s="71" t="s">
        <v>388</v>
      </c>
      <c r="S464" s="73">
        <v>0</v>
      </c>
      <c r="T464" s="71" t="s">
        <v>390</v>
      </c>
      <c r="U464" s="74">
        <v>1</v>
      </c>
      <c r="V464" s="71" t="s">
        <v>391</v>
      </c>
      <c r="W464" s="130">
        <v>46056.555555555555</v>
      </c>
      <c r="X464" s="72">
        <v>46059.586805555555</v>
      </c>
      <c r="Y464" s="72">
        <v>46061.55</v>
      </c>
      <c r="Z464" s="104" t="s">
        <v>382</v>
      </c>
      <c r="AA464" s="104" t="s">
        <v>590</v>
      </c>
      <c r="AB464" s="105">
        <v>46059.480555555558</v>
      </c>
      <c r="AC464" s="105">
        <v>46060.01875</v>
      </c>
    </row>
    <row r="465" s="70" customFormat="1" ht="11.25" customHeight="1">
      <c r="A465" s="87"/>
      <c r="C465" s="43" t="s">
        <v>1162</v>
      </c>
      <c r="D465" s="71" t="s">
        <v>382</v>
      </c>
      <c r="E465" s="71" t="str">
        <f>MID(D465,1,2)</f>
        <v>IL</v>
      </c>
      <c r="F465" s="71" t="s">
        <v>1163</v>
      </c>
      <c r="G465" s="71" t="str">
        <f>MID(F465,1,2)</f>
        <v>AR</v>
      </c>
      <c r="H465" s="43" t="s">
        <v>1164</v>
      </c>
      <c r="I465" s="71" t="s">
        <v>1165</v>
      </c>
      <c r="J465" s="71" t="s">
        <v>811</v>
      </c>
      <c r="K465" s="43"/>
      <c r="L465" s="71" t="s">
        <v>105</v>
      </c>
      <c r="M465" s="73">
        <v>359</v>
      </c>
      <c r="N465" s="71" t="s">
        <v>388</v>
      </c>
      <c r="O465" s="73">
        <v>1.364</v>
      </c>
      <c r="P465" s="71" t="s">
        <v>389</v>
      </c>
      <c r="Q465" s="73">
        <v>359</v>
      </c>
      <c r="R465" s="71" t="s">
        <v>388</v>
      </c>
      <c r="S465" s="73">
        <v>0</v>
      </c>
      <c r="T465" s="71" t="s">
        <v>390</v>
      </c>
      <c r="U465" s="74">
        <v>1</v>
      </c>
      <c r="V465" s="71" t="s">
        <v>391</v>
      </c>
      <c r="W465" s="130">
        <v>46056.555555555555</v>
      </c>
      <c r="X465" s="72">
        <v>46059.586805555555</v>
      </c>
      <c r="Y465" s="72">
        <v>46061.55</v>
      </c>
      <c r="Z465" s="104" t="s">
        <v>590</v>
      </c>
      <c r="AA465" s="104" t="s">
        <v>1163</v>
      </c>
      <c r="AB465" s="105">
        <v>46061.006944444445</v>
      </c>
      <c r="AC465" s="105">
        <v>46061.350694444445</v>
      </c>
    </row>
    <row r="466" s="70" customFormat="1" ht="11.25" customHeight="1">
      <c r="A466" s="87"/>
      <c r="C466" s="43" t="s">
        <v>1166</v>
      </c>
      <c r="D466" s="71" t="s">
        <v>382</v>
      </c>
      <c r="E466" s="71" t="str">
        <f>MID(D466,1,2)</f>
        <v>IL</v>
      </c>
      <c r="F466" s="71" t="s">
        <v>414</v>
      </c>
      <c r="G466" s="71" t="str">
        <f>MID(F466,1,2)</f>
        <v>US</v>
      </c>
      <c r="H466" s="43" t="s">
        <v>1105</v>
      </c>
      <c r="I466" s="71" t="s">
        <v>1167</v>
      </c>
      <c r="J466" s="71" t="s">
        <v>426</v>
      </c>
      <c r="K466" s="43" t="s">
        <v>759</v>
      </c>
      <c r="L466" s="71" t="s">
        <v>105</v>
      </c>
      <c r="M466" s="73">
        <v>1</v>
      </c>
      <c r="N466" s="71" t="s">
        <v>388</v>
      </c>
      <c r="O466" s="73">
        <v>0.009</v>
      </c>
      <c r="P466" s="71" t="s">
        <v>389</v>
      </c>
      <c r="Q466" s="73">
        <v>1.5</v>
      </c>
      <c r="R466" s="71" t="s">
        <v>388</v>
      </c>
      <c r="S466" s="73">
        <v>0</v>
      </c>
      <c r="T466" s="71" t="s">
        <v>390</v>
      </c>
      <c r="U466" s="74">
        <v>1</v>
      </c>
      <c r="V466" s="71" t="s">
        <v>427</v>
      </c>
      <c r="W466" s="130">
        <v>46056.445138888892</v>
      </c>
      <c r="X466" s="72">
        <v>46059.013888888891</v>
      </c>
      <c r="Y466" s="72">
        <v>46059.25</v>
      </c>
      <c r="Z466" s="104" t="s">
        <v>382</v>
      </c>
      <c r="AA466" s="104" t="s">
        <v>414</v>
      </c>
      <c r="AB466" s="105">
        <v>46059.034722222219</v>
      </c>
      <c r="AC466" s="105">
        <v>46059.218055555553</v>
      </c>
    </row>
    <row r="467" s="70" customFormat="1" ht="11.25" customHeight="1">
      <c r="A467" s="87"/>
      <c r="C467" s="43" t="s">
        <v>1168</v>
      </c>
      <c r="D467" s="71" t="s">
        <v>382</v>
      </c>
      <c r="E467" s="71" t="str">
        <f>MID(D467,1,2)</f>
        <v>IL</v>
      </c>
      <c r="F467" s="71" t="s">
        <v>1169</v>
      </c>
      <c r="G467" s="71" t="str">
        <f>MID(F467,1,2)</f>
        <v>HU</v>
      </c>
      <c r="H467" s="43" t="s">
        <v>1170</v>
      </c>
      <c r="I467" s="71" t="s">
        <v>1171</v>
      </c>
      <c r="J467" s="71" t="s">
        <v>811</v>
      </c>
      <c r="K467" s="43"/>
      <c r="L467" s="71" t="s">
        <v>105</v>
      </c>
      <c r="M467" s="73">
        <v>106</v>
      </c>
      <c r="N467" s="71" t="s">
        <v>388</v>
      </c>
      <c r="O467" s="73">
        <v>0.61</v>
      </c>
      <c r="P467" s="71" t="s">
        <v>389</v>
      </c>
      <c r="Q467" s="73">
        <v>106</v>
      </c>
      <c r="R467" s="71" t="s">
        <v>388</v>
      </c>
      <c r="S467" s="73">
        <v>0</v>
      </c>
      <c r="T467" s="71" t="s">
        <v>390</v>
      </c>
      <c r="U467" s="74">
        <v>2</v>
      </c>
      <c r="V467" s="71" t="s">
        <v>391</v>
      </c>
      <c r="W467" s="130">
        <v>46056.611111111109</v>
      </c>
      <c r="X467" s="72">
        <v>46057.288194444445</v>
      </c>
      <c r="Y467" s="72">
        <v>46057.436805555553</v>
      </c>
      <c r="Z467" s="104" t="s">
        <v>382</v>
      </c>
      <c r="AA467" s="104" t="s">
        <v>1169</v>
      </c>
      <c r="AB467" s="105">
        <v>46057.28402777778</v>
      </c>
      <c r="AC467" s="105">
        <v>46057.384722222225</v>
      </c>
    </row>
    <row r="468" s="70" customFormat="1" ht="11.25" customHeight="1">
      <c r="A468" s="87"/>
      <c r="C468" s="43" t="s">
        <v>1172</v>
      </c>
      <c r="D468" s="71" t="s">
        <v>382</v>
      </c>
      <c r="E468" s="71" t="str">
        <f>MID(D468,1,2)</f>
        <v>IL</v>
      </c>
      <c r="F468" s="71" t="s">
        <v>809</v>
      </c>
      <c r="G468" s="71" t="str">
        <f>MID(F468,1,2)</f>
        <v>IN</v>
      </c>
      <c r="H468" s="43" t="s">
        <v>1173</v>
      </c>
      <c r="I468" s="71" t="s">
        <v>1174</v>
      </c>
      <c r="J468" s="71" t="s">
        <v>811</v>
      </c>
      <c r="K468" s="43"/>
      <c r="L468" s="71" t="s">
        <v>105</v>
      </c>
      <c r="M468" s="73">
        <v>76</v>
      </c>
      <c r="N468" s="71" t="s">
        <v>388</v>
      </c>
      <c r="O468" s="73">
        <v>0.374</v>
      </c>
      <c r="P468" s="71" t="s">
        <v>389</v>
      </c>
      <c r="Q468" s="73">
        <v>100</v>
      </c>
      <c r="R468" s="71" t="s">
        <v>388</v>
      </c>
      <c r="S468" s="73">
        <v>0</v>
      </c>
      <c r="T468" s="71" t="s">
        <v>390</v>
      </c>
      <c r="U468" s="74">
        <v>1</v>
      </c>
      <c r="V468" s="71" t="s">
        <v>391</v>
      </c>
      <c r="W468" s="130"/>
      <c r="X468" s="72">
        <v>46057.440972222219</v>
      </c>
      <c r="Y468" s="72">
        <v>46060.6125</v>
      </c>
      <c r="Z468" s="104" t="s">
        <v>382</v>
      </c>
      <c r="AA468" s="104" t="s">
        <v>1175</v>
      </c>
      <c r="AB468" s="105">
        <v>46057.534722222219</v>
      </c>
      <c r="AC468" s="105">
        <v>46057.755555555559</v>
      </c>
    </row>
    <row r="469" s="70" customFormat="1" ht="11.25" customHeight="1">
      <c r="A469" s="87"/>
      <c r="C469" s="43" t="s">
        <v>1172</v>
      </c>
      <c r="D469" s="71" t="s">
        <v>382</v>
      </c>
      <c r="E469" s="71" t="str">
        <f>MID(D469,1,2)</f>
        <v>IL</v>
      </c>
      <c r="F469" s="71" t="s">
        <v>809</v>
      </c>
      <c r="G469" s="71" t="str">
        <f>MID(F469,1,2)</f>
        <v>IN</v>
      </c>
      <c r="H469" s="43" t="s">
        <v>1173</v>
      </c>
      <c r="I469" s="71" t="s">
        <v>1174</v>
      </c>
      <c r="J469" s="71" t="s">
        <v>811</v>
      </c>
      <c r="K469" s="43"/>
      <c r="L469" s="71" t="s">
        <v>105</v>
      </c>
      <c r="M469" s="73">
        <v>76</v>
      </c>
      <c r="N469" s="71" t="s">
        <v>388</v>
      </c>
      <c r="O469" s="73">
        <v>0.374</v>
      </c>
      <c r="P469" s="71" t="s">
        <v>389</v>
      </c>
      <c r="Q469" s="73">
        <v>100</v>
      </c>
      <c r="R469" s="71" t="s">
        <v>388</v>
      </c>
      <c r="S469" s="73">
        <v>0</v>
      </c>
      <c r="T469" s="71" t="s">
        <v>390</v>
      </c>
      <c r="U469" s="74">
        <v>1</v>
      </c>
      <c r="V469" s="71" t="s">
        <v>391</v>
      </c>
      <c r="W469" s="130"/>
      <c r="X469" s="72">
        <v>46057.440972222219</v>
      </c>
      <c r="Y469" s="72">
        <v>46060.6125</v>
      </c>
      <c r="Z469" s="104" t="s">
        <v>1175</v>
      </c>
      <c r="AA469" s="104" t="s">
        <v>809</v>
      </c>
      <c r="AB469" s="105">
        <v>46058.975</v>
      </c>
      <c r="AC469" s="105">
        <v>46059.177083333336</v>
      </c>
    </row>
    <row r="470" s="70" customFormat="1" ht="11.25" customHeight="1">
      <c r="A470" s="87"/>
      <c r="C470" s="43" t="s">
        <v>1176</v>
      </c>
      <c r="D470" s="71" t="s">
        <v>382</v>
      </c>
      <c r="E470" s="71" t="str">
        <f>MID(D470,1,2)</f>
        <v>IL</v>
      </c>
      <c r="F470" s="71" t="s">
        <v>414</v>
      </c>
      <c r="G470" s="71" t="str">
        <f>MID(F470,1,2)</f>
        <v>US</v>
      </c>
      <c r="H470" s="43" t="s">
        <v>1105</v>
      </c>
      <c r="I470" s="71" t="s">
        <v>1177</v>
      </c>
      <c r="J470" s="71" t="s">
        <v>426</v>
      </c>
      <c r="K470" s="43" t="s">
        <v>759</v>
      </c>
      <c r="L470" s="71" t="s">
        <v>105</v>
      </c>
      <c r="M470" s="73">
        <v>1</v>
      </c>
      <c r="N470" s="71" t="s">
        <v>388</v>
      </c>
      <c r="O470" s="73">
        <v>0.009</v>
      </c>
      <c r="P470" s="71" t="s">
        <v>389</v>
      </c>
      <c r="Q470" s="73">
        <v>1.5</v>
      </c>
      <c r="R470" s="71" t="s">
        <v>388</v>
      </c>
      <c r="S470" s="73">
        <v>0</v>
      </c>
      <c r="T470" s="71" t="s">
        <v>390</v>
      </c>
      <c r="U470" s="74">
        <v>1</v>
      </c>
      <c r="V470" s="71" t="s">
        <v>427</v>
      </c>
      <c r="W470" s="130">
        <v>46056.445138888892</v>
      </c>
      <c r="X470" s="72">
        <v>46059.013888888891</v>
      </c>
      <c r="Y470" s="72">
        <v>46059.25</v>
      </c>
      <c r="Z470" s="104" t="s">
        <v>382</v>
      </c>
      <c r="AA470" s="104" t="s">
        <v>414</v>
      </c>
      <c r="AB470" s="105">
        <v>46059.034722222219</v>
      </c>
      <c r="AC470" s="105">
        <v>46059.218055555553</v>
      </c>
    </row>
    <row r="471" s="70" customFormat="1" ht="11.25" customHeight="1">
      <c r="A471" s="87"/>
      <c r="C471" s="43" t="s">
        <v>1178</v>
      </c>
      <c r="D471" s="71" t="s">
        <v>382</v>
      </c>
      <c r="E471" s="71" t="str">
        <f>MID(D471,1,2)</f>
        <v>IL</v>
      </c>
      <c r="F471" s="71" t="s">
        <v>809</v>
      </c>
      <c r="G471" s="71" t="str">
        <f>MID(F471,1,2)</f>
        <v>IN</v>
      </c>
      <c r="H471" s="43" t="s">
        <v>1179</v>
      </c>
      <c r="I471" s="71" t="s">
        <v>1180</v>
      </c>
      <c r="J471" s="71" t="s">
        <v>811</v>
      </c>
      <c r="K471" s="43"/>
      <c r="L471" s="71" t="s">
        <v>105</v>
      </c>
      <c r="M471" s="73">
        <v>8</v>
      </c>
      <c r="N471" s="71" t="s">
        <v>388</v>
      </c>
      <c r="O471" s="73">
        <v>0.033</v>
      </c>
      <c r="P471" s="71" t="s">
        <v>389</v>
      </c>
      <c r="Q471" s="73">
        <v>8</v>
      </c>
      <c r="R471" s="71" t="s">
        <v>388</v>
      </c>
      <c r="S471" s="73">
        <v>0</v>
      </c>
      <c r="T471" s="71" t="s">
        <v>390</v>
      </c>
      <c r="U471" s="74">
        <v>1</v>
      </c>
      <c r="V471" s="71" t="s">
        <v>391</v>
      </c>
      <c r="W471" s="130"/>
      <c r="X471" s="72">
        <v>46057.440972222219</v>
      </c>
      <c r="Y471" s="72">
        <v>46058.440972222219</v>
      </c>
      <c r="Z471" s="104" t="s">
        <v>382</v>
      </c>
      <c r="AA471" s="104" t="s">
        <v>809</v>
      </c>
      <c r="AB471" s="105">
        <v>46057.534722222219</v>
      </c>
      <c r="AC471" s="105">
        <v>46059.18472222222</v>
      </c>
    </row>
    <row r="472" s="70" customFormat="1" ht="11.25" customHeight="1">
      <c r="A472" s="87"/>
      <c r="C472" s="43" t="s">
        <v>1181</v>
      </c>
      <c r="D472" s="71" t="s">
        <v>382</v>
      </c>
      <c r="E472" s="71" t="str">
        <f>MID(D472,1,2)</f>
        <v>IL</v>
      </c>
      <c r="F472" s="71" t="s">
        <v>414</v>
      </c>
      <c r="G472" s="71" t="str">
        <f>MID(F472,1,2)</f>
        <v>US</v>
      </c>
      <c r="H472" s="43" t="s">
        <v>1105</v>
      </c>
      <c r="I472" s="71" t="s">
        <v>1182</v>
      </c>
      <c r="J472" s="71" t="s">
        <v>426</v>
      </c>
      <c r="K472" s="43" t="s">
        <v>759</v>
      </c>
      <c r="L472" s="71" t="s">
        <v>105</v>
      </c>
      <c r="M472" s="73">
        <v>1</v>
      </c>
      <c r="N472" s="71" t="s">
        <v>388</v>
      </c>
      <c r="O472" s="73">
        <v>0.009</v>
      </c>
      <c r="P472" s="71" t="s">
        <v>389</v>
      </c>
      <c r="Q472" s="73">
        <v>1.5</v>
      </c>
      <c r="R472" s="71" t="s">
        <v>388</v>
      </c>
      <c r="S472" s="73">
        <v>0</v>
      </c>
      <c r="T472" s="71" t="s">
        <v>390</v>
      </c>
      <c r="U472" s="74">
        <v>1</v>
      </c>
      <c r="V472" s="71" t="s">
        <v>427</v>
      </c>
      <c r="W472" s="130">
        <v>46056.451388888891</v>
      </c>
      <c r="X472" s="72">
        <v>46059.013888888891</v>
      </c>
      <c r="Y472" s="72">
        <v>46059.25</v>
      </c>
      <c r="Z472" s="104" t="s">
        <v>382</v>
      </c>
      <c r="AA472" s="104" t="s">
        <v>414</v>
      </c>
      <c r="AB472" s="105">
        <v>46059.034722222219</v>
      </c>
      <c r="AC472" s="105">
        <v>46059.218055555553</v>
      </c>
    </row>
    <row r="473" s="70" customFormat="1" ht="11.25" customHeight="1">
      <c r="A473" s="87"/>
      <c r="C473" s="43" t="s">
        <v>1183</v>
      </c>
      <c r="D473" s="71" t="s">
        <v>382</v>
      </c>
      <c r="E473" s="71" t="str">
        <f>MID(D473,1,2)</f>
        <v>IL</v>
      </c>
      <c r="F473" s="71" t="s">
        <v>496</v>
      </c>
      <c r="G473" s="71" t="str">
        <f>MID(F473,1,2)</f>
        <v>RO</v>
      </c>
      <c r="H473" s="43" t="s">
        <v>1184</v>
      </c>
      <c r="I473" s="71" t="s">
        <v>1185</v>
      </c>
      <c r="J473" s="71" t="s">
        <v>811</v>
      </c>
      <c r="K473" s="43"/>
      <c r="L473" s="71" t="s">
        <v>105</v>
      </c>
      <c r="M473" s="73">
        <v>213</v>
      </c>
      <c r="N473" s="71" t="s">
        <v>388</v>
      </c>
      <c r="O473" s="73">
        <v>0.975</v>
      </c>
      <c r="P473" s="71" t="s">
        <v>389</v>
      </c>
      <c r="Q473" s="73">
        <v>213</v>
      </c>
      <c r="R473" s="71" t="s">
        <v>388</v>
      </c>
      <c r="S473" s="73">
        <v>0</v>
      </c>
      <c r="T473" s="71" t="s">
        <v>390</v>
      </c>
      <c r="U473" s="74">
        <v>3</v>
      </c>
      <c r="V473" s="71" t="s">
        <v>391</v>
      </c>
      <c r="W473" s="130">
        <v>46057.722916666666</v>
      </c>
      <c r="X473" s="72">
        <v>46057.446527777778</v>
      </c>
      <c r="Y473" s="72">
        <v>46057.446527777778</v>
      </c>
      <c r="Z473" s="104" t="s">
        <v>382</v>
      </c>
      <c r="AA473" s="104" t="s">
        <v>496</v>
      </c>
      <c r="AB473" s="105">
        <v>46058.752083333333</v>
      </c>
      <c r="AC473" s="105">
        <v>46058.857638888891</v>
      </c>
    </row>
    <row r="474" s="70" customFormat="1" ht="11.25" customHeight="1">
      <c r="A474" s="87"/>
      <c r="C474" s="43" t="s">
        <v>1186</v>
      </c>
      <c r="D474" s="71" t="s">
        <v>382</v>
      </c>
      <c r="E474" s="71" t="str">
        <f>MID(D474,1,2)</f>
        <v>IL</v>
      </c>
      <c r="F474" s="71" t="s">
        <v>496</v>
      </c>
      <c r="G474" s="71" t="str">
        <f>MID(F474,1,2)</f>
        <v>RO</v>
      </c>
      <c r="H474" s="43" t="s">
        <v>1187</v>
      </c>
      <c r="I474" s="71" t="s">
        <v>1188</v>
      </c>
      <c r="J474" s="71" t="s">
        <v>811</v>
      </c>
      <c r="K474" s="43"/>
      <c r="L474" s="71" t="s">
        <v>105</v>
      </c>
      <c r="M474" s="73">
        <v>107</v>
      </c>
      <c r="N474" s="71" t="s">
        <v>388</v>
      </c>
      <c r="O474" s="73">
        <v>0.451</v>
      </c>
      <c r="P474" s="71" t="s">
        <v>389</v>
      </c>
      <c r="Q474" s="73">
        <v>107</v>
      </c>
      <c r="R474" s="71" t="s">
        <v>388</v>
      </c>
      <c r="S474" s="73">
        <v>0</v>
      </c>
      <c r="T474" s="71" t="s">
        <v>390</v>
      </c>
      <c r="U474" s="74">
        <v>2</v>
      </c>
      <c r="V474" s="71" t="s">
        <v>391</v>
      </c>
      <c r="W474" s="130">
        <v>46056.63958333333</v>
      </c>
      <c r="X474" s="72">
        <v>46057.446527777778</v>
      </c>
      <c r="Y474" s="72">
        <v>46057.446527777778</v>
      </c>
      <c r="Z474" s="104" t="s">
        <v>382</v>
      </c>
      <c r="AA474" s="104" t="s">
        <v>496</v>
      </c>
      <c r="AB474" s="105">
        <v>46058.242361111108</v>
      </c>
      <c r="AC474" s="105">
        <v>46058.381944444445</v>
      </c>
    </row>
    <row r="475" s="70" customFormat="1" ht="11.25" customHeight="1">
      <c r="A475" s="87"/>
      <c r="C475" s="43" t="s">
        <v>1189</v>
      </c>
      <c r="D475" s="71" t="s">
        <v>382</v>
      </c>
      <c r="E475" s="71" t="str">
        <f>MID(D475,1,2)</f>
        <v>IL</v>
      </c>
      <c r="F475" s="71" t="s">
        <v>414</v>
      </c>
      <c r="G475" s="71" t="str">
        <f>MID(F475,1,2)</f>
        <v>US</v>
      </c>
      <c r="H475" s="43" t="s">
        <v>1105</v>
      </c>
      <c r="I475" s="71" t="s">
        <v>1190</v>
      </c>
      <c r="J475" s="71" t="s">
        <v>426</v>
      </c>
      <c r="K475" s="43" t="s">
        <v>759</v>
      </c>
      <c r="L475" s="71" t="s">
        <v>105</v>
      </c>
      <c r="M475" s="73">
        <v>1</v>
      </c>
      <c r="N475" s="71" t="s">
        <v>388</v>
      </c>
      <c r="O475" s="73">
        <v>0.009</v>
      </c>
      <c r="P475" s="71" t="s">
        <v>389</v>
      </c>
      <c r="Q475" s="73">
        <v>1.5</v>
      </c>
      <c r="R475" s="71" t="s">
        <v>388</v>
      </c>
      <c r="S475" s="73">
        <v>0</v>
      </c>
      <c r="T475" s="71" t="s">
        <v>390</v>
      </c>
      <c r="U475" s="74">
        <v>1</v>
      </c>
      <c r="V475" s="71" t="s">
        <v>427</v>
      </c>
      <c r="W475" s="130">
        <v>46056.458333333336</v>
      </c>
      <c r="X475" s="72">
        <v>46059.013888888891</v>
      </c>
      <c r="Y475" s="72">
        <v>46059.25</v>
      </c>
      <c r="Z475" s="104" t="s">
        <v>382</v>
      </c>
      <c r="AA475" s="104" t="s">
        <v>414</v>
      </c>
      <c r="AB475" s="105">
        <v>46059.034722222219</v>
      </c>
      <c r="AC475" s="105">
        <v>46059.218055555553</v>
      </c>
    </row>
    <row r="476" s="70" customFormat="1" ht="11.25" customHeight="1">
      <c r="A476" s="87"/>
      <c r="C476" s="43" t="s">
        <v>1191</v>
      </c>
      <c r="D476" s="71" t="s">
        <v>382</v>
      </c>
      <c r="E476" s="71" t="str">
        <f>MID(D476,1,2)</f>
        <v>IL</v>
      </c>
      <c r="F476" s="71" t="s">
        <v>748</v>
      </c>
      <c r="G476" s="71" t="str">
        <f>MID(F476,1,2)</f>
        <v>DE</v>
      </c>
      <c r="H476" s="43" t="s">
        <v>1192</v>
      </c>
      <c r="I476" s="71" t="s">
        <v>1193</v>
      </c>
      <c r="J476" s="71" t="s">
        <v>400</v>
      </c>
      <c r="K476" s="43"/>
      <c r="L476" s="71" t="s">
        <v>105</v>
      </c>
      <c r="M476" s="73">
        <v>157</v>
      </c>
      <c r="N476" s="71" t="s">
        <v>388</v>
      </c>
      <c r="O476" s="73">
        <v>0.984</v>
      </c>
      <c r="P476" s="71" t="s">
        <v>389</v>
      </c>
      <c r="Q476" s="73">
        <v>164</v>
      </c>
      <c r="R476" s="71" t="s">
        <v>388</v>
      </c>
      <c r="S476" s="73">
        <v>0</v>
      </c>
      <c r="T476" s="71" t="s">
        <v>390</v>
      </c>
      <c r="U476" s="74">
        <v>1</v>
      </c>
      <c r="V476" s="71" t="s">
        <v>391</v>
      </c>
      <c r="W476" s="130">
        <v>46056.655613425923</v>
      </c>
      <c r="X476" s="72">
        <v>46057.901388888888</v>
      </c>
      <c r="Y476" s="72">
        <v>46057.979166666664</v>
      </c>
      <c r="Z476" s="104" t="s">
        <v>382</v>
      </c>
      <c r="AA476" s="104" t="s">
        <v>748</v>
      </c>
      <c r="AB476" s="105">
        <v>46057.901388888888</v>
      </c>
      <c r="AC476" s="105">
        <v>46059.3125</v>
      </c>
    </row>
    <row r="477" s="70" customFormat="1" ht="11.25" customHeight="1">
      <c r="A477" s="87"/>
      <c r="C477" s="43" t="s">
        <v>1194</v>
      </c>
      <c r="D477" s="71" t="s">
        <v>382</v>
      </c>
      <c r="E477" s="71" t="str">
        <f>MID(D477,1,2)</f>
        <v>IL</v>
      </c>
      <c r="F477" s="71" t="s">
        <v>414</v>
      </c>
      <c r="G477" s="71" t="str">
        <f>MID(F477,1,2)</f>
        <v>US</v>
      </c>
      <c r="H477" s="43" t="s">
        <v>1105</v>
      </c>
      <c r="I477" s="71" t="s">
        <v>1195</v>
      </c>
      <c r="J477" s="71" t="s">
        <v>426</v>
      </c>
      <c r="K477" s="43" t="s">
        <v>759</v>
      </c>
      <c r="L477" s="71" t="s">
        <v>105</v>
      </c>
      <c r="M477" s="73">
        <v>1</v>
      </c>
      <c r="N477" s="71" t="s">
        <v>388</v>
      </c>
      <c r="O477" s="73">
        <v>0.009</v>
      </c>
      <c r="P477" s="71" t="s">
        <v>389</v>
      </c>
      <c r="Q477" s="73">
        <v>1.5</v>
      </c>
      <c r="R477" s="71" t="s">
        <v>388</v>
      </c>
      <c r="S477" s="73">
        <v>0</v>
      </c>
      <c r="T477" s="71" t="s">
        <v>390</v>
      </c>
      <c r="U477" s="74">
        <v>1</v>
      </c>
      <c r="V477" s="71" t="s">
        <v>427</v>
      </c>
      <c r="W477" s="130">
        <v>46056.458333333336</v>
      </c>
      <c r="X477" s="72">
        <v>46059.013888888891</v>
      </c>
      <c r="Y477" s="72">
        <v>46059.25</v>
      </c>
      <c r="Z477" s="104" t="s">
        <v>382</v>
      </c>
      <c r="AA477" s="104" t="s">
        <v>414</v>
      </c>
      <c r="AB477" s="105">
        <v>46059.034722222219</v>
      </c>
      <c r="AC477" s="105">
        <v>46059.218055555553</v>
      </c>
    </row>
    <row r="478" s="70" customFormat="1" ht="11.25" customHeight="1">
      <c r="A478" s="87"/>
      <c r="C478" s="43" t="s">
        <v>1196</v>
      </c>
      <c r="D478" s="71" t="s">
        <v>382</v>
      </c>
      <c r="E478" s="71" t="str">
        <f>MID(D478,1,2)</f>
        <v>IL</v>
      </c>
      <c r="F478" s="71" t="s">
        <v>496</v>
      </c>
      <c r="G478" s="71" t="str">
        <f>MID(F478,1,2)</f>
        <v>RO</v>
      </c>
      <c r="H478" s="43" t="s">
        <v>1197</v>
      </c>
      <c r="I478" s="71" t="s">
        <v>1198</v>
      </c>
      <c r="J478" s="71" t="s">
        <v>426</v>
      </c>
      <c r="K478" s="43"/>
      <c r="L478" s="71" t="s">
        <v>105</v>
      </c>
      <c r="M478" s="73">
        <v>139</v>
      </c>
      <c r="N478" s="71" t="s">
        <v>388</v>
      </c>
      <c r="O478" s="73">
        <v>1.252</v>
      </c>
      <c r="P478" s="71" t="s">
        <v>389</v>
      </c>
      <c r="Q478" s="73">
        <v>209</v>
      </c>
      <c r="R478" s="71" t="s">
        <v>388</v>
      </c>
      <c r="S478" s="73">
        <v>0</v>
      </c>
      <c r="T478" s="71" t="s">
        <v>390</v>
      </c>
      <c r="U478" s="74">
        <v>4</v>
      </c>
      <c r="V478" s="71" t="s">
        <v>391</v>
      </c>
      <c r="W478" s="130">
        <v>46056.472222222219</v>
      </c>
      <c r="X478" s="72">
        <v>46058.013888888891</v>
      </c>
      <c r="Y478" s="72">
        <v>46058.128472222219</v>
      </c>
      <c r="Z478" s="104" t="s">
        <v>382</v>
      </c>
      <c r="AA478" s="104" t="s">
        <v>496</v>
      </c>
      <c r="AB478" s="105">
        <v>46058.013888888891</v>
      </c>
      <c r="AC478" s="105">
        <v>46058.165972222225</v>
      </c>
    </row>
    <row r="479" s="70" customFormat="1" ht="11.25" customHeight="1">
      <c r="A479" s="87"/>
      <c r="C479" s="43" t="s">
        <v>1199</v>
      </c>
      <c r="D479" s="71" t="s">
        <v>382</v>
      </c>
      <c r="E479" s="71" t="str">
        <f>MID(D479,1,2)</f>
        <v>IL</v>
      </c>
      <c r="F479" s="71" t="s">
        <v>1200</v>
      </c>
      <c r="G479" s="71" t="str">
        <f>MID(F479,1,2)</f>
        <v>US</v>
      </c>
      <c r="H479" s="43" t="s">
        <v>1201</v>
      </c>
      <c r="I479" s="71" t="s">
        <v>1202</v>
      </c>
      <c r="J479" s="71" t="s">
        <v>454</v>
      </c>
      <c r="K479" s="43"/>
      <c r="L479" s="71" t="s">
        <v>107</v>
      </c>
      <c r="M479" s="73">
        <v>55</v>
      </c>
      <c r="N479" s="71" t="s">
        <v>388</v>
      </c>
      <c r="O479" s="73">
        <v>1.103</v>
      </c>
      <c r="P479" s="71" t="s">
        <v>389</v>
      </c>
      <c r="Q479" s="73">
        <v>184</v>
      </c>
      <c r="R479" s="71" t="s">
        <v>388</v>
      </c>
      <c r="S479" s="73">
        <v>0</v>
      </c>
      <c r="T479" s="71" t="s">
        <v>390</v>
      </c>
      <c r="U479" s="74">
        <v>1</v>
      </c>
      <c r="V479" s="71" t="s">
        <v>391</v>
      </c>
      <c r="W479" s="130">
        <v>46057.320138888892</v>
      </c>
      <c r="X479" s="72">
        <v>46059.965277777781</v>
      </c>
      <c r="Y479" s="72">
        <v>46062.863194444442</v>
      </c>
      <c r="Z479" s="104" t="s">
        <v>382</v>
      </c>
      <c r="AA479" s="104" t="s">
        <v>422</v>
      </c>
      <c r="AB479" s="105">
        <v>46059.961805555555</v>
      </c>
      <c r="AC479" s="105">
        <v>46060.152083333334</v>
      </c>
    </row>
    <row r="480" s="70" customFormat="1" ht="11.25" customHeight="1">
      <c r="A480" s="87"/>
      <c r="C480" s="43" t="s">
        <v>1199</v>
      </c>
      <c r="D480" s="71" t="s">
        <v>382</v>
      </c>
      <c r="E480" s="71" t="str">
        <f>MID(D480,1,2)</f>
        <v>IL</v>
      </c>
      <c r="F480" s="71" t="s">
        <v>1200</v>
      </c>
      <c r="G480" s="71" t="str">
        <f>MID(F480,1,2)</f>
        <v>US</v>
      </c>
      <c r="H480" s="43" t="s">
        <v>1201</v>
      </c>
      <c r="I480" s="71" t="s">
        <v>1202</v>
      </c>
      <c r="J480" s="71" t="s">
        <v>454</v>
      </c>
      <c r="K480" s="43"/>
      <c r="L480" s="71" t="s">
        <v>107</v>
      </c>
      <c r="M480" s="73">
        <v>55</v>
      </c>
      <c r="N480" s="71" t="s">
        <v>388</v>
      </c>
      <c r="O480" s="73">
        <v>1.103</v>
      </c>
      <c r="P480" s="71" t="s">
        <v>389</v>
      </c>
      <c r="Q480" s="73">
        <v>184</v>
      </c>
      <c r="R480" s="71" t="s">
        <v>388</v>
      </c>
      <c r="S480" s="73">
        <v>0</v>
      </c>
      <c r="T480" s="71" t="s">
        <v>390</v>
      </c>
      <c r="U480" s="74">
        <v>1</v>
      </c>
      <c r="V480" s="71" t="s">
        <v>391</v>
      </c>
      <c r="W480" s="130">
        <v>46057.320138888892</v>
      </c>
      <c r="X480" s="72">
        <v>46059.965277777781</v>
      </c>
      <c r="Y480" s="72">
        <v>46062.863194444442</v>
      </c>
      <c r="Z480" s="104" t="s">
        <v>422</v>
      </c>
      <c r="AA480" s="104" t="s">
        <v>1200</v>
      </c>
      <c r="AB480" s="105">
        <v>46062.713194444441</v>
      </c>
      <c r="AC480" s="105">
        <v>46062.835416666669</v>
      </c>
    </row>
    <row r="481" s="70" customFormat="1" ht="11.25" customHeight="1">
      <c r="A481" s="87"/>
      <c r="C481" s="43" t="s">
        <v>1203</v>
      </c>
      <c r="D481" s="71" t="s">
        <v>382</v>
      </c>
      <c r="E481" s="71" t="str">
        <f>MID(D481,1,2)</f>
        <v>IL</v>
      </c>
      <c r="F481" s="71" t="s">
        <v>774</v>
      </c>
      <c r="G481" s="71" t="str">
        <f>MID(F481,1,2)</f>
        <v>CN</v>
      </c>
      <c r="H481" s="43" t="s">
        <v>1204</v>
      </c>
      <c r="I481" s="71" t="s">
        <v>1205</v>
      </c>
      <c r="J481" s="71" t="s">
        <v>755</v>
      </c>
      <c r="K481" s="43"/>
      <c r="L481" s="71" t="s">
        <v>105</v>
      </c>
      <c r="M481" s="73">
        <v>1.5</v>
      </c>
      <c r="N481" s="71" t="s">
        <v>388</v>
      </c>
      <c r="O481" s="73">
        <v>0.01</v>
      </c>
      <c r="P481" s="71" t="s">
        <v>389</v>
      </c>
      <c r="Q481" s="73">
        <v>2</v>
      </c>
      <c r="R481" s="71" t="s">
        <v>388</v>
      </c>
      <c r="S481" s="73">
        <v>0</v>
      </c>
      <c r="T481" s="71" t="s">
        <v>390</v>
      </c>
      <c r="U481" s="74">
        <v>1</v>
      </c>
      <c r="V481" s="71" t="s">
        <v>391</v>
      </c>
      <c r="W481" s="130">
        <v>46056.652673611112</v>
      </c>
      <c r="X481" s="72">
        <v>46057.690972222219</v>
      </c>
      <c r="Y481" s="72">
        <v>46062.527777777781</v>
      </c>
      <c r="Z481" s="104" t="s">
        <v>382</v>
      </c>
      <c r="AA481" s="104" t="s">
        <v>383</v>
      </c>
      <c r="AB481" s="105">
        <v>46058.691666666666</v>
      </c>
      <c r="AC481" s="105"/>
    </row>
    <row r="482" s="70" customFormat="1" ht="11.25" customHeight="1">
      <c r="A482" s="87"/>
      <c r="C482" s="43" t="s">
        <v>1203</v>
      </c>
      <c r="D482" s="71" t="s">
        <v>382</v>
      </c>
      <c r="E482" s="71" t="str">
        <f>MID(D482,1,2)</f>
        <v>IL</v>
      </c>
      <c r="F482" s="71" t="s">
        <v>774</v>
      </c>
      <c r="G482" s="71" t="str">
        <f>MID(F482,1,2)</f>
        <v>CN</v>
      </c>
      <c r="H482" s="43" t="s">
        <v>1204</v>
      </c>
      <c r="I482" s="71" t="s">
        <v>1205</v>
      </c>
      <c r="J482" s="71" t="s">
        <v>755</v>
      </c>
      <c r="K482" s="43"/>
      <c r="L482" s="71" t="s">
        <v>105</v>
      </c>
      <c r="M482" s="73">
        <v>1.5</v>
      </c>
      <c r="N482" s="71" t="s">
        <v>388</v>
      </c>
      <c r="O482" s="73">
        <v>0.01</v>
      </c>
      <c r="P482" s="71" t="s">
        <v>389</v>
      </c>
      <c r="Q482" s="73">
        <v>2</v>
      </c>
      <c r="R482" s="71" t="s">
        <v>388</v>
      </c>
      <c r="S482" s="73">
        <v>0</v>
      </c>
      <c r="T482" s="71" t="s">
        <v>390</v>
      </c>
      <c r="U482" s="74">
        <v>1</v>
      </c>
      <c r="V482" s="71" t="s">
        <v>391</v>
      </c>
      <c r="W482" s="130">
        <v>46056.652673611112</v>
      </c>
      <c r="X482" s="72">
        <v>46057.690972222219</v>
      </c>
      <c r="Y482" s="72">
        <v>46062.527777777781</v>
      </c>
      <c r="Z482" s="104" t="s">
        <v>383</v>
      </c>
      <c r="AA482" s="104" t="s">
        <v>774</v>
      </c>
      <c r="AB482" s="105">
        <v>46061.59097222222</v>
      </c>
      <c r="AC482" s="105">
        <v>46061.781944444447</v>
      </c>
    </row>
    <row r="483" s="70" customFormat="1" ht="11.25" customHeight="1">
      <c r="A483" s="87"/>
      <c r="C483" s="43" t="s">
        <v>1206</v>
      </c>
      <c r="D483" s="71" t="s">
        <v>382</v>
      </c>
      <c r="E483" s="71" t="str">
        <f>MID(D483,1,2)</f>
        <v>IL</v>
      </c>
      <c r="F483" s="71" t="s">
        <v>443</v>
      </c>
      <c r="G483" s="71" t="str">
        <f>MID(F483,1,2)</f>
        <v>US</v>
      </c>
      <c r="H483" s="43" t="s">
        <v>1207</v>
      </c>
      <c r="I483" s="71" t="s">
        <v>1208</v>
      </c>
      <c r="J483" s="71" t="s">
        <v>386</v>
      </c>
      <c r="K483" s="43"/>
      <c r="L483" s="71" t="s">
        <v>107</v>
      </c>
      <c r="M483" s="73">
        <v>70</v>
      </c>
      <c r="N483" s="71" t="s">
        <v>388</v>
      </c>
      <c r="O483" s="73">
        <v>0.9</v>
      </c>
      <c r="P483" s="71" t="s">
        <v>389</v>
      </c>
      <c r="Q483" s="73">
        <v>150</v>
      </c>
      <c r="R483" s="71" t="s">
        <v>388</v>
      </c>
      <c r="S483" s="73">
        <v>0</v>
      </c>
      <c r="T483" s="71" t="s">
        <v>390</v>
      </c>
      <c r="U483" s="74">
        <v>1</v>
      </c>
      <c r="V483" s="71" t="s">
        <v>536</v>
      </c>
      <c r="W483" s="130">
        <v>46058.5625</v>
      </c>
      <c r="X483" s="72">
        <v>46061.479166666664</v>
      </c>
      <c r="Y483" s="72">
        <v>46062.432638888888</v>
      </c>
      <c r="Z483" s="104" t="s">
        <v>382</v>
      </c>
      <c r="AA483" s="104" t="s">
        <v>422</v>
      </c>
      <c r="AB483" s="105">
        <v>46061.475694444445</v>
      </c>
      <c r="AC483" s="105">
        <v>46061.673611111109</v>
      </c>
    </row>
    <row r="484" s="70" customFormat="1" ht="11.25" customHeight="1">
      <c r="A484" s="87"/>
      <c r="C484" s="43" t="s">
        <v>1206</v>
      </c>
      <c r="D484" s="71" t="s">
        <v>382</v>
      </c>
      <c r="E484" s="71" t="str">
        <f>MID(D484,1,2)</f>
        <v>IL</v>
      </c>
      <c r="F484" s="71" t="s">
        <v>443</v>
      </c>
      <c r="G484" s="71" t="str">
        <f>MID(F484,1,2)</f>
        <v>US</v>
      </c>
      <c r="H484" s="43" t="s">
        <v>1207</v>
      </c>
      <c r="I484" s="71" t="s">
        <v>1208</v>
      </c>
      <c r="J484" s="71" t="s">
        <v>386</v>
      </c>
      <c r="K484" s="43"/>
      <c r="L484" s="71" t="s">
        <v>107</v>
      </c>
      <c r="M484" s="73">
        <v>70</v>
      </c>
      <c r="N484" s="71" t="s">
        <v>388</v>
      </c>
      <c r="O484" s="73">
        <v>0.9</v>
      </c>
      <c r="P484" s="71" t="s">
        <v>389</v>
      </c>
      <c r="Q484" s="73">
        <v>150</v>
      </c>
      <c r="R484" s="71" t="s">
        <v>388</v>
      </c>
      <c r="S484" s="73">
        <v>0</v>
      </c>
      <c r="T484" s="71" t="s">
        <v>390</v>
      </c>
      <c r="U484" s="74">
        <v>1</v>
      </c>
      <c r="V484" s="71" t="s">
        <v>536</v>
      </c>
      <c r="W484" s="130">
        <v>46058.5625</v>
      </c>
      <c r="X484" s="72">
        <v>46061.479166666664</v>
      </c>
      <c r="Y484" s="72">
        <v>46062.432638888888</v>
      </c>
      <c r="Z484" s="104" t="s">
        <v>422</v>
      </c>
      <c r="AA484" s="104" t="s">
        <v>443</v>
      </c>
      <c r="AB484" s="105">
        <v>46062.299305555556</v>
      </c>
      <c r="AC484" s="105">
        <v>46062.42083333333</v>
      </c>
    </row>
    <row r="485" s="70" customFormat="1" ht="11.25" customHeight="1">
      <c r="A485" s="87"/>
      <c r="C485" s="43" t="s">
        <v>1209</v>
      </c>
      <c r="D485" s="71" t="s">
        <v>382</v>
      </c>
      <c r="E485" s="71" t="str">
        <f>MID(D485,1,2)</f>
        <v>IL</v>
      </c>
      <c r="F485" s="71" t="s">
        <v>465</v>
      </c>
      <c r="G485" s="71" t="str">
        <f>MID(F485,1,2)</f>
        <v>AZ</v>
      </c>
      <c r="H485" s="43" t="s">
        <v>1210</v>
      </c>
      <c r="I485" s="71" t="s">
        <v>1211</v>
      </c>
      <c r="J485" s="71" t="s">
        <v>400</v>
      </c>
      <c r="K485" s="43"/>
      <c r="L485" s="71" t="s">
        <v>105</v>
      </c>
      <c r="M485" s="73">
        <v>10</v>
      </c>
      <c r="N485" s="71" t="s">
        <v>388</v>
      </c>
      <c r="O485" s="73">
        <v>0.074</v>
      </c>
      <c r="P485" s="71" t="s">
        <v>389</v>
      </c>
      <c r="Q485" s="73">
        <v>12.5</v>
      </c>
      <c r="R485" s="71" t="s">
        <v>388</v>
      </c>
      <c r="S485" s="73">
        <v>0</v>
      </c>
      <c r="T485" s="71" t="s">
        <v>390</v>
      </c>
      <c r="U485" s="74">
        <v>1</v>
      </c>
      <c r="V485" s="71" t="s">
        <v>446</v>
      </c>
      <c r="W485" s="130"/>
      <c r="X485" s="72">
        <v>46057.503472222219</v>
      </c>
      <c r="Y485" s="72">
        <v>46058.138888888891</v>
      </c>
      <c r="Z485" s="104" t="s">
        <v>382</v>
      </c>
      <c r="AA485" s="104" t="s">
        <v>465</v>
      </c>
      <c r="AB485" s="105">
        <v>46058.229861111111</v>
      </c>
      <c r="AC485" s="105">
        <v>46058.428472222222</v>
      </c>
    </row>
    <row r="486" s="70" customFormat="1" ht="11.25" customHeight="1">
      <c r="A486" s="87"/>
      <c r="C486" s="43" t="s">
        <v>1212</v>
      </c>
      <c r="D486" s="71" t="s">
        <v>382</v>
      </c>
      <c r="E486" s="71" t="str">
        <f>MID(D486,1,2)</f>
        <v>IL</v>
      </c>
      <c r="F486" s="71" t="s">
        <v>471</v>
      </c>
      <c r="G486" s="71" t="str">
        <f>MID(F486,1,2)</f>
        <v>US</v>
      </c>
      <c r="H486" s="43" t="s">
        <v>1045</v>
      </c>
      <c r="I486" s="71" t="s">
        <v>1213</v>
      </c>
      <c r="J486" s="71" t="s">
        <v>386</v>
      </c>
      <c r="K486" s="43"/>
      <c r="L486" s="71" t="s">
        <v>107</v>
      </c>
      <c r="M486" s="73">
        <v>82</v>
      </c>
      <c r="N486" s="71" t="s">
        <v>388</v>
      </c>
      <c r="O486" s="73">
        <v>0.343</v>
      </c>
      <c r="P486" s="71" t="s">
        <v>389</v>
      </c>
      <c r="Q486" s="73">
        <v>100</v>
      </c>
      <c r="R486" s="71" t="s">
        <v>388</v>
      </c>
      <c r="S486" s="73">
        <v>0</v>
      </c>
      <c r="T486" s="71" t="s">
        <v>390</v>
      </c>
      <c r="U486" s="74">
        <v>2</v>
      </c>
      <c r="V486" s="71" t="s">
        <v>391</v>
      </c>
      <c r="W486" s="130">
        <v>46056.52847222222</v>
      </c>
      <c r="X486" s="72">
        <v>46059.013888888891</v>
      </c>
      <c r="Y486" s="72">
        <v>46062.25</v>
      </c>
      <c r="Z486" s="104" t="s">
        <v>382</v>
      </c>
      <c r="AA486" s="104" t="s">
        <v>422</v>
      </c>
      <c r="AB486" s="105">
        <v>46060.890277777777</v>
      </c>
      <c r="AC486" s="105">
        <v>46061.084027777775</v>
      </c>
    </row>
    <row r="487" s="70" customFormat="1" ht="11.25" customHeight="1">
      <c r="A487" s="87"/>
      <c r="C487" s="43" t="s">
        <v>1212</v>
      </c>
      <c r="D487" s="71" t="s">
        <v>382</v>
      </c>
      <c r="E487" s="71" t="str">
        <f>MID(D487,1,2)</f>
        <v>IL</v>
      </c>
      <c r="F487" s="71" t="s">
        <v>471</v>
      </c>
      <c r="G487" s="71" t="str">
        <f>MID(F487,1,2)</f>
        <v>US</v>
      </c>
      <c r="H487" s="43" t="s">
        <v>1045</v>
      </c>
      <c r="I487" s="71" t="s">
        <v>1213</v>
      </c>
      <c r="J487" s="71" t="s">
        <v>386</v>
      </c>
      <c r="K487" s="43"/>
      <c r="L487" s="71" t="s">
        <v>107</v>
      </c>
      <c r="M487" s="73">
        <v>82</v>
      </c>
      <c r="N487" s="71" t="s">
        <v>388</v>
      </c>
      <c r="O487" s="73">
        <v>0.343</v>
      </c>
      <c r="P487" s="71" t="s">
        <v>389</v>
      </c>
      <c r="Q487" s="73">
        <v>100</v>
      </c>
      <c r="R487" s="71" t="s">
        <v>388</v>
      </c>
      <c r="S487" s="73">
        <v>0</v>
      </c>
      <c r="T487" s="71" t="s">
        <v>390</v>
      </c>
      <c r="U487" s="74">
        <v>2</v>
      </c>
      <c r="V487" s="71" t="s">
        <v>391</v>
      </c>
      <c r="W487" s="130">
        <v>46056.52847222222</v>
      </c>
      <c r="X487" s="72">
        <v>46059.013888888891</v>
      </c>
      <c r="Y487" s="72">
        <v>46062.25</v>
      </c>
      <c r="Z487" s="104" t="s">
        <v>422</v>
      </c>
      <c r="AA487" s="104" t="s">
        <v>471</v>
      </c>
      <c r="AB487" s="105">
        <v>46061.682638888888</v>
      </c>
      <c r="AC487" s="105">
        <v>46061.7375</v>
      </c>
    </row>
    <row r="488" s="70" customFormat="1" ht="11.25" customHeight="1">
      <c r="A488" s="87"/>
      <c r="C488" s="43" t="s">
        <v>1214</v>
      </c>
      <c r="D488" s="71" t="s">
        <v>382</v>
      </c>
      <c r="E488" s="71" t="str">
        <f>MID(D488,1,2)</f>
        <v>IL</v>
      </c>
      <c r="F488" s="71" t="s">
        <v>422</v>
      </c>
      <c r="G488" s="71" t="str">
        <f>MID(F488,1,2)</f>
        <v>US</v>
      </c>
      <c r="H488" s="43" t="s">
        <v>1215</v>
      </c>
      <c r="I488" s="71" t="s">
        <v>1216</v>
      </c>
      <c r="J488" s="71" t="s">
        <v>386</v>
      </c>
      <c r="K488" s="43" t="s">
        <v>431</v>
      </c>
      <c r="L488" s="71" t="s">
        <v>107</v>
      </c>
      <c r="M488" s="73">
        <v>1</v>
      </c>
      <c r="N488" s="71" t="s">
        <v>388</v>
      </c>
      <c r="O488" s="73">
        <v>0.008</v>
      </c>
      <c r="P488" s="71" t="s">
        <v>389</v>
      </c>
      <c r="Q488" s="73">
        <v>1.5</v>
      </c>
      <c r="R488" s="71" t="s">
        <v>388</v>
      </c>
      <c r="S488" s="73">
        <v>0</v>
      </c>
      <c r="T488" s="71" t="s">
        <v>390</v>
      </c>
      <c r="U488" s="74">
        <v>1</v>
      </c>
      <c r="V488" s="71" t="s">
        <v>427</v>
      </c>
      <c r="W488" s="130">
        <v>46056.500694444447</v>
      </c>
      <c r="X488" s="72">
        <v>46059.013888888891</v>
      </c>
      <c r="Y488" s="72">
        <v>46061.690972222219</v>
      </c>
      <c r="Z488" s="104" t="s">
        <v>382</v>
      </c>
      <c r="AA488" s="104" t="s">
        <v>422</v>
      </c>
      <c r="AB488" s="105">
        <v>46061.475694444445</v>
      </c>
      <c r="AC488" s="105">
        <v>46061.673611111109</v>
      </c>
    </row>
    <row r="489" s="70" customFormat="1" ht="11.25" customHeight="1">
      <c r="A489" s="87"/>
      <c r="C489" s="43" t="s">
        <v>1217</v>
      </c>
      <c r="D489" s="71" t="s">
        <v>382</v>
      </c>
      <c r="E489" s="71" t="str">
        <f>MID(D489,1,2)</f>
        <v>IL</v>
      </c>
      <c r="F489" s="71" t="s">
        <v>402</v>
      </c>
      <c r="G489" s="71" t="str">
        <f>MID(F489,1,2)</f>
        <v>CY</v>
      </c>
      <c r="H489" s="43" t="s">
        <v>1218</v>
      </c>
      <c r="I489" s="71" t="s">
        <v>1219</v>
      </c>
      <c r="J489" s="71" t="s">
        <v>400</v>
      </c>
      <c r="K489" s="43"/>
      <c r="L489" s="71" t="s">
        <v>105</v>
      </c>
      <c r="M489" s="73">
        <v>115</v>
      </c>
      <c r="N489" s="71" t="s">
        <v>388</v>
      </c>
      <c r="O489" s="73">
        <v>0.72</v>
      </c>
      <c r="P489" s="71" t="s">
        <v>389</v>
      </c>
      <c r="Q489" s="73">
        <v>120</v>
      </c>
      <c r="R489" s="71" t="s">
        <v>388</v>
      </c>
      <c r="S489" s="73">
        <v>0</v>
      </c>
      <c r="T489" s="71" t="s">
        <v>390</v>
      </c>
      <c r="U489" s="74">
        <v>1</v>
      </c>
      <c r="V489" s="71" t="s">
        <v>391</v>
      </c>
      <c r="W489" s="130">
        <v>46056.669537037036</v>
      </c>
      <c r="X489" s="72">
        <v>46056.138194444444</v>
      </c>
      <c r="Y489" s="72">
        <v>46064.503472222219</v>
      </c>
      <c r="Z489" s="104" t="s">
        <v>382</v>
      </c>
      <c r="AA489" s="104" t="s">
        <v>667</v>
      </c>
      <c r="AB489" s="105">
        <v>46059.022222222222</v>
      </c>
      <c r="AC489" s="105">
        <v>46059.214583333334</v>
      </c>
    </row>
    <row r="490" s="70" customFormat="1" ht="11.25" customHeight="1">
      <c r="A490" s="87"/>
      <c r="C490" s="43" t="s">
        <v>1217</v>
      </c>
      <c r="D490" s="71" t="s">
        <v>382</v>
      </c>
      <c r="E490" s="71" t="str">
        <f>MID(D490,1,2)</f>
        <v>IL</v>
      </c>
      <c r="F490" s="71" t="s">
        <v>402</v>
      </c>
      <c r="G490" s="71" t="str">
        <f>MID(F490,1,2)</f>
        <v>CY</v>
      </c>
      <c r="H490" s="43" t="s">
        <v>1218</v>
      </c>
      <c r="I490" s="71" t="s">
        <v>1219</v>
      </c>
      <c r="J490" s="71" t="s">
        <v>400</v>
      </c>
      <c r="K490" s="43"/>
      <c r="L490" s="71" t="s">
        <v>105</v>
      </c>
      <c r="M490" s="73">
        <v>115</v>
      </c>
      <c r="N490" s="71" t="s">
        <v>388</v>
      </c>
      <c r="O490" s="73">
        <v>0.72</v>
      </c>
      <c r="P490" s="71" t="s">
        <v>389</v>
      </c>
      <c r="Q490" s="73">
        <v>120</v>
      </c>
      <c r="R490" s="71" t="s">
        <v>388</v>
      </c>
      <c r="S490" s="73">
        <v>0</v>
      </c>
      <c r="T490" s="71" t="s">
        <v>390</v>
      </c>
      <c r="U490" s="74">
        <v>1</v>
      </c>
      <c r="V490" s="71" t="s">
        <v>391</v>
      </c>
      <c r="W490" s="130">
        <v>46056.669537037036</v>
      </c>
      <c r="X490" s="72">
        <v>46056.138194444444</v>
      </c>
      <c r="Y490" s="72">
        <v>46064.503472222219</v>
      </c>
      <c r="Z490" s="104" t="s">
        <v>667</v>
      </c>
      <c r="AA490" s="104" t="s">
        <v>383</v>
      </c>
      <c r="AB490" s="105">
        <v>46063.495138888888</v>
      </c>
      <c r="AC490" s="105">
        <v>46063.529166666667</v>
      </c>
    </row>
    <row r="491" s="70" customFormat="1" ht="11.25" customHeight="1">
      <c r="A491" s="87"/>
      <c r="C491" s="43" t="s">
        <v>1217</v>
      </c>
      <c r="D491" s="71" t="s">
        <v>382</v>
      </c>
      <c r="E491" s="71" t="str">
        <f>MID(D491,1,2)</f>
        <v>IL</v>
      </c>
      <c r="F491" s="71" t="s">
        <v>402</v>
      </c>
      <c r="G491" s="71" t="str">
        <f>MID(F491,1,2)</f>
        <v>CY</v>
      </c>
      <c r="H491" s="43" t="s">
        <v>1218</v>
      </c>
      <c r="I491" s="71" t="s">
        <v>1219</v>
      </c>
      <c r="J491" s="71" t="s">
        <v>400</v>
      </c>
      <c r="K491" s="43"/>
      <c r="L491" s="71" t="s">
        <v>105</v>
      </c>
      <c r="M491" s="73">
        <v>115</v>
      </c>
      <c r="N491" s="71" t="s">
        <v>388</v>
      </c>
      <c r="O491" s="73">
        <v>0.72</v>
      </c>
      <c r="P491" s="71" t="s">
        <v>389</v>
      </c>
      <c r="Q491" s="73">
        <v>120</v>
      </c>
      <c r="R491" s="71" t="s">
        <v>388</v>
      </c>
      <c r="S491" s="73">
        <v>0</v>
      </c>
      <c r="T491" s="71" t="s">
        <v>390</v>
      </c>
      <c r="U491" s="74">
        <v>1</v>
      </c>
      <c r="V491" s="71" t="s">
        <v>391</v>
      </c>
      <c r="W491" s="130">
        <v>46056.669537037036</v>
      </c>
      <c r="X491" s="72">
        <v>46056.138194444444</v>
      </c>
      <c r="Y491" s="72">
        <v>46064.503472222219</v>
      </c>
      <c r="Z491" s="104" t="s">
        <v>383</v>
      </c>
      <c r="AA491" s="104" t="s">
        <v>402</v>
      </c>
      <c r="AB491" s="105">
        <v>46064.301388888889</v>
      </c>
      <c r="AC491" s="105">
        <v>46064.489583333336</v>
      </c>
    </row>
    <row r="492" s="70" customFormat="1" ht="11.25" customHeight="1">
      <c r="A492" s="87"/>
      <c r="C492" s="43" t="s">
        <v>1220</v>
      </c>
      <c r="D492" s="71" t="s">
        <v>382</v>
      </c>
      <c r="E492" s="71" t="str">
        <f>MID(D492,1,2)</f>
        <v>IL</v>
      </c>
      <c r="F492" s="71" t="s">
        <v>651</v>
      </c>
      <c r="G492" s="71" t="str">
        <f>MID(F492,1,2)</f>
        <v>BR</v>
      </c>
      <c r="H492" s="43" t="s">
        <v>1062</v>
      </c>
      <c r="I492" s="71" t="s">
        <v>1221</v>
      </c>
      <c r="J492" s="71" t="s">
        <v>386</v>
      </c>
      <c r="K492" s="43"/>
      <c r="L492" s="71" t="s">
        <v>107</v>
      </c>
      <c r="M492" s="73">
        <v>93</v>
      </c>
      <c r="N492" s="71" t="s">
        <v>388</v>
      </c>
      <c r="O492" s="73">
        <v>1.103</v>
      </c>
      <c r="P492" s="71" t="s">
        <v>389</v>
      </c>
      <c r="Q492" s="73">
        <v>184</v>
      </c>
      <c r="R492" s="71" t="s">
        <v>388</v>
      </c>
      <c r="S492" s="73">
        <v>0</v>
      </c>
      <c r="T492" s="71" t="s">
        <v>390</v>
      </c>
      <c r="U492" s="74">
        <v>1</v>
      </c>
      <c r="V492" s="71" t="s">
        <v>391</v>
      </c>
      <c r="W492" s="130">
        <v>46056.506944444445</v>
      </c>
      <c r="X492" s="72">
        <v>46059.586805555555</v>
      </c>
      <c r="Y492" s="72">
        <v>46061.395833333336</v>
      </c>
      <c r="Z492" s="104" t="s">
        <v>382</v>
      </c>
      <c r="AA492" s="104" t="s">
        <v>590</v>
      </c>
      <c r="AB492" s="105">
        <v>46059.48125</v>
      </c>
      <c r="AC492" s="105">
        <v>46060.01666666667</v>
      </c>
    </row>
    <row r="493" s="70" customFormat="1" ht="11.25" customHeight="1">
      <c r="A493" s="87"/>
      <c r="C493" s="43" t="s">
        <v>1220</v>
      </c>
      <c r="D493" s="71" t="s">
        <v>382</v>
      </c>
      <c r="E493" s="71" t="str">
        <f>MID(D493,1,2)</f>
        <v>IL</v>
      </c>
      <c r="F493" s="71" t="s">
        <v>651</v>
      </c>
      <c r="G493" s="71" t="str">
        <f>MID(F493,1,2)</f>
        <v>BR</v>
      </c>
      <c r="H493" s="43" t="s">
        <v>1062</v>
      </c>
      <c r="I493" s="71" t="s">
        <v>1221</v>
      </c>
      <c r="J493" s="71" t="s">
        <v>386</v>
      </c>
      <c r="K493" s="43"/>
      <c r="L493" s="71" t="s">
        <v>107</v>
      </c>
      <c r="M493" s="73">
        <v>93</v>
      </c>
      <c r="N493" s="71" t="s">
        <v>388</v>
      </c>
      <c r="O493" s="73">
        <v>1.103</v>
      </c>
      <c r="P493" s="71" t="s">
        <v>389</v>
      </c>
      <c r="Q493" s="73">
        <v>184</v>
      </c>
      <c r="R493" s="71" t="s">
        <v>388</v>
      </c>
      <c r="S493" s="73">
        <v>0</v>
      </c>
      <c r="T493" s="71" t="s">
        <v>390</v>
      </c>
      <c r="U493" s="74">
        <v>1</v>
      </c>
      <c r="V493" s="71" t="s">
        <v>391</v>
      </c>
      <c r="W493" s="130">
        <v>46056.506944444445</v>
      </c>
      <c r="X493" s="72">
        <v>46059.586805555555</v>
      </c>
      <c r="Y493" s="72">
        <v>46061.395833333336</v>
      </c>
      <c r="Z493" s="104" t="s">
        <v>590</v>
      </c>
      <c r="AA493" s="104" t="s">
        <v>651</v>
      </c>
      <c r="AB493" s="105">
        <v>46061.029861111114</v>
      </c>
      <c r="AC493" s="105">
        <v>46061.82708333333</v>
      </c>
    </row>
    <row r="494" s="70" customFormat="1" ht="11.25" customHeight="1">
      <c r="A494" s="87"/>
      <c r="C494" s="43" t="s">
        <v>1222</v>
      </c>
      <c r="D494" s="71" t="s">
        <v>382</v>
      </c>
      <c r="E494" s="71" t="str">
        <f>MID(D494,1,2)</f>
        <v>IL</v>
      </c>
      <c r="F494" s="71" t="s">
        <v>414</v>
      </c>
      <c r="G494" s="71" t="str">
        <f>MID(F494,1,2)</f>
        <v>US</v>
      </c>
      <c r="H494" s="43" t="s">
        <v>1105</v>
      </c>
      <c r="I494" s="71" t="s">
        <v>1223</v>
      </c>
      <c r="J494" s="71" t="s">
        <v>454</v>
      </c>
      <c r="K494" s="43" t="s">
        <v>759</v>
      </c>
      <c r="L494" s="71" t="s">
        <v>107</v>
      </c>
      <c r="M494" s="73">
        <v>9</v>
      </c>
      <c r="N494" s="71" t="s">
        <v>388</v>
      </c>
      <c r="O494" s="73">
        <v>0.04</v>
      </c>
      <c r="P494" s="71" t="s">
        <v>389</v>
      </c>
      <c r="Q494" s="73">
        <v>9</v>
      </c>
      <c r="R494" s="71" t="s">
        <v>388</v>
      </c>
      <c r="S494" s="73">
        <v>0</v>
      </c>
      <c r="T494" s="71" t="s">
        <v>390</v>
      </c>
      <c r="U494" s="74">
        <v>1</v>
      </c>
      <c r="V494" s="71" t="s">
        <v>427</v>
      </c>
      <c r="W494" s="130">
        <v>46056.506944444445</v>
      </c>
      <c r="X494" s="72">
        <v>46059.013888888891</v>
      </c>
      <c r="Y494" s="72">
        <v>46059.25</v>
      </c>
      <c r="Z494" s="104" t="s">
        <v>382</v>
      </c>
      <c r="AA494" s="104" t="s">
        <v>414</v>
      </c>
      <c r="AB494" s="105">
        <v>46059.034722222219</v>
      </c>
      <c r="AC494" s="105">
        <v>46059.218055555553</v>
      </c>
    </row>
    <row r="495" s="70" customFormat="1" ht="11.25" customHeight="1">
      <c r="A495" s="87"/>
      <c r="C495" s="43" t="s">
        <v>1224</v>
      </c>
      <c r="D495" s="71" t="s">
        <v>382</v>
      </c>
      <c r="E495" s="71" t="str">
        <f>MID(D495,1,2)</f>
        <v>IL</v>
      </c>
      <c r="F495" s="71" t="s">
        <v>414</v>
      </c>
      <c r="G495" s="71" t="str">
        <f>MID(F495,1,2)</f>
        <v>US</v>
      </c>
      <c r="H495" s="43" t="s">
        <v>1105</v>
      </c>
      <c r="I495" s="71" t="s">
        <v>1225</v>
      </c>
      <c r="J495" s="71" t="s">
        <v>386</v>
      </c>
      <c r="K495" s="43" t="s">
        <v>759</v>
      </c>
      <c r="L495" s="71" t="s">
        <v>107</v>
      </c>
      <c r="M495" s="73">
        <v>27</v>
      </c>
      <c r="N495" s="71" t="s">
        <v>388</v>
      </c>
      <c r="O495" s="73">
        <v>0.209</v>
      </c>
      <c r="P495" s="71" t="s">
        <v>389</v>
      </c>
      <c r="Q495" s="73">
        <v>35</v>
      </c>
      <c r="R495" s="71" t="s">
        <v>388</v>
      </c>
      <c r="S495" s="73">
        <v>0</v>
      </c>
      <c r="T495" s="71" t="s">
        <v>390</v>
      </c>
      <c r="U495" s="74">
        <v>1</v>
      </c>
      <c r="V495" s="71" t="s">
        <v>391</v>
      </c>
      <c r="W495" s="130">
        <v>46056.51458333333</v>
      </c>
      <c r="X495" s="72">
        <v>46059.013888888891</v>
      </c>
      <c r="Y495" s="72">
        <v>46059.25</v>
      </c>
      <c r="Z495" s="104" t="s">
        <v>382</v>
      </c>
      <c r="AA495" s="104" t="s">
        <v>414</v>
      </c>
      <c r="AB495" s="105">
        <v>46059.034722222219</v>
      </c>
      <c r="AC495" s="105">
        <v>46059.218055555553</v>
      </c>
    </row>
    <row r="496" s="70" customFormat="1" ht="11.25" customHeight="1">
      <c r="A496" s="87"/>
      <c r="C496" s="43" t="s">
        <v>1226</v>
      </c>
      <c r="D496" s="71" t="s">
        <v>382</v>
      </c>
      <c r="E496" s="71" t="str">
        <f>MID(D496,1,2)</f>
        <v>IL</v>
      </c>
      <c r="F496" s="71" t="s">
        <v>651</v>
      </c>
      <c r="G496" s="71" t="str">
        <f>MID(F496,1,2)</f>
        <v>BR</v>
      </c>
      <c r="H496" s="43" t="s">
        <v>1062</v>
      </c>
      <c r="I496" s="71" t="s">
        <v>1227</v>
      </c>
      <c r="J496" s="71" t="s">
        <v>386</v>
      </c>
      <c r="K496" s="43"/>
      <c r="L496" s="71" t="s">
        <v>107</v>
      </c>
      <c r="M496" s="73">
        <v>20.5</v>
      </c>
      <c r="N496" s="71" t="s">
        <v>388</v>
      </c>
      <c r="O496" s="73">
        <v>0.104</v>
      </c>
      <c r="P496" s="71" t="s">
        <v>389</v>
      </c>
      <c r="Q496" s="73">
        <v>20.5</v>
      </c>
      <c r="R496" s="71" t="s">
        <v>388</v>
      </c>
      <c r="S496" s="73">
        <v>0</v>
      </c>
      <c r="T496" s="71" t="s">
        <v>390</v>
      </c>
      <c r="U496" s="74">
        <v>1</v>
      </c>
      <c r="V496" s="71" t="s">
        <v>391</v>
      </c>
      <c r="W496" s="130">
        <v>46056.520833333336</v>
      </c>
      <c r="X496" s="72">
        <v>46059.586805555555</v>
      </c>
      <c r="Y496" s="72">
        <v>46061.395833333336</v>
      </c>
      <c r="Z496" s="104" t="s">
        <v>382</v>
      </c>
      <c r="AA496" s="104" t="s">
        <v>590</v>
      </c>
      <c r="AB496" s="105">
        <v>46059.48125</v>
      </c>
      <c r="AC496" s="105">
        <v>46060.01666666667</v>
      </c>
    </row>
    <row r="497" s="70" customFormat="1" ht="11.25" customHeight="1">
      <c r="A497" s="87"/>
      <c r="C497" s="43" t="s">
        <v>1226</v>
      </c>
      <c r="D497" s="71" t="s">
        <v>382</v>
      </c>
      <c r="E497" s="71" t="str">
        <f>MID(D497,1,2)</f>
        <v>IL</v>
      </c>
      <c r="F497" s="71" t="s">
        <v>651</v>
      </c>
      <c r="G497" s="71" t="str">
        <f>MID(F497,1,2)</f>
        <v>BR</v>
      </c>
      <c r="H497" s="43" t="s">
        <v>1062</v>
      </c>
      <c r="I497" s="71" t="s">
        <v>1227</v>
      </c>
      <c r="J497" s="71" t="s">
        <v>386</v>
      </c>
      <c r="K497" s="43"/>
      <c r="L497" s="71" t="s">
        <v>107</v>
      </c>
      <c r="M497" s="73">
        <v>20.5</v>
      </c>
      <c r="N497" s="71" t="s">
        <v>388</v>
      </c>
      <c r="O497" s="73">
        <v>0.104</v>
      </c>
      <c r="P497" s="71" t="s">
        <v>389</v>
      </c>
      <c r="Q497" s="73">
        <v>20.5</v>
      </c>
      <c r="R497" s="71" t="s">
        <v>388</v>
      </c>
      <c r="S497" s="73">
        <v>0</v>
      </c>
      <c r="T497" s="71" t="s">
        <v>390</v>
      </c>
      <c r="U497" s="74">
        <v>1</v>
      </c>
      <c r="V497" s="71" t="s">
        <v>391</v>
      </c>
      <c r="W497" s="130">
        <v>46056.520833333336</v>
      </c>
      <c r="X497" s="72">
        <v>46059.586805555555</v>
      </c>
      <c r="Y497" s="72">
        <v>46061.395833333336</v>
      </c>
      <c r="Z497" s="104" t="s">
        <v>590</v>
      </c>
      <c r="AA497" s="104" t="s">
        <v>651</v>
      </c>
      <c r="AB497" s="105">
        <v>46061.029861111114</v>
      </c>
      <c r="AC497" s="105">
        <v>46061.82708333333</v>
      </c>
    </row>
    <row r="498" s="70" customFormat="1" ht="11.25" customHeight="1">
      <c r="A498" s="87"/>
      <c r="C498" s="43" t="s">
        <v>1228</v>
      </c>
      <c r="D498" s="71" t="s">
        <v>382</v>
      </c>
      <c r="E498" s="71" t="str">
        <f>MID(D498,1,2)</f>
        <v>IL</v>
      </c>
      <c r="F498" s="71" t="s">
        <v>468</v>
      </c>
      <c r="G498" s="71" t="str">
        <f>MID(F498,1,2)</f>
        <v>US</v>
      </c>
      <c r="H498" s="43" t="s">
        <v>1229</v>
      </c>
      <c r="I498" s="71" t="s">
        <v>1230</v>
      </c>
      <c r="J498" s="71" t="s">
        <v>386</v>
      </c>
      <c r="K498" s="43"/>
      <c r="L498" s="71" t="s">
        <v>107</v>
      </c>
      <c r="M498" s="73">
        <v>7</v>
      </c>
      <c r="N498" s="71" t="s">
        <v>388</v>
      </c>
      <c r="O498" s="73">
        <v>0.085</v>
      </c>
      <c r="P498" s="71" t="s">
        <v>389</v>
      </c>
      <c r="Q498" s="73">
        <v>14.5</v>
      </c>
      <c r="R498" s="71" t="s">
        <v>388</v>
      </c>
      <c r="S498" s="73">
        <v>0</v>
      </c>
      <c r="T498" s="71" t="s">
        <v>390</v>
      </c>
      <c r="U498" s="74">
        <v>1</v>
      </c>
      <c r="V498" s="71" t="s">
        <v>446</v>
      </c>
      <c r="W498" s="130">
        <v>46057.472222222219</v>
      </c>
      <c r="X498" s="72">
        <v>46059.479166666664</v>
      </c>
      <c r="Y498" s="72">
        <v>46060.510416666664</v>
      </c>
      <c r="Z498" s="104" t="s">
        <v>382</v>
      </c>
      <c r="AA498" s="104" t="s">
        <v>422</v>
      </c>
      <c r="AB498" s="105">
        <v>46059.472222222219</v>
      </c>
      <c r="AC498" s="105">
        <v>46059.65</v>
      </c>
    </row>
    <row r="499" s="70" customFormat="1" ht="11.25" customHeight="1">
      <c r="A499" s="87"/>
      <c r="C499" s="43" t="s">
        <v>1228</v>
      </c>
      <c r="D499" s="71" t="s">
        <v>382</v>
      </c>
      <c r="E499" s="71" t="str">
        <f>MID(D499,1,2)</f>
        <v>IL</v>
      </c>
      <c r="F499" s="71" t="s">
        <v>468</v>
      </c>
      <c r="G499" s="71" t="str">
        <f>MID(F499,1,2)</f>
        <v>US</v>
      </c>
      <c r="H499" s="43" t="s">
        <v>1229</v>
      </c>
      <c r="I499" s="71" t="s">
        <v>1230</v>
      </c>
      <c r="J499" s="71" t="s">
        <v>386</v>
      </c>
      <c r="K499" s="43"/>
      <c r="L499" s="71" t="s">
        <v>107</v>
      </c>
      <c r="M499" s="73">
        <v>7</v>
      </c>
      <c r="N499" s="71" t="s">
        <v>388</v>
      </c>
      <c r="O499" s="73">
        <v>0.085</v>
      </c>
      <c r="P499" s="71" t="s">
        <v>389</v>
      </c>
      <c r="Q499" s="73">
        <v>14.5</v>
      </c>
      <c r="R499" s="71" t="s">
        <v>388</v>
      </c>
      <c r="S499" s="73">
        <v>0</v>
      </c>
      <c r="T499" s="71" t="s">
        <v>390</v>
      </c>
      <c r="U499" s="74">
        <v>1</v>
      </c>
      <c r="V499" s="71" t="s">
        <v>446</v>
      </c>
      <c r="W499" s="130">
        <v>46057.472222222219</v>
      </c>
      <c r="X499" s="72">
        <v>46059.479166666664</v>
      </c>
      <c r="Y499" s="72">
        <v>46060.510416666664</v>
      </c>
      <c r="Z499" s="104" t="s">
        <v>422</v>
      </c>
      <c r="AA499" s="104" t="s">
        <v>468</v>
      </c>
      <c r="AB499" s="105">
        <v>46060.371527777781</v>
      </c>
      <c r="AC499" s="105">
        <v>46060.498611111114</v>
      </c>
    </row>
    <row r="500" s="70" customFormat="1" ht="11.25" customHeight="1">
      <c r="A500" s="87"/>
      <c r="C500" s="43" t="s">
        <v>1231</v>
      </c>
      <c r="D500" s="71" t="s">
        <v>382</v>
      </c>
      <c r="E500" s="71" t="str">
        <f>MID(D500,1,2)</f>
        <v>IL</v>
      </c>
      <c r="F500" s="71" t="s">
        <v>465</v>
      </c>
      <c r="G500" s="71" t="str">
        <f>MID(F500,1,2)</f>
        <v>AZ</v>
      </c>
      <c r="H500" s="43" t="s">
        <v>1232</v>
      </c>
      <c r="I500" s="71"/>
      <c r="J500" s="71" t="s">
        <v>400</v>
      </c>
      <c r="K500" s="43"/>
      <c r="L500" s="71" t="s">
        <v>105</v>
      </c>
      <c r="M500" s="73">
        <v>34</v>
      </c>
      <c r="N500" s="71" t="s">
        <v>388</v>
      </c>
      <c r="O500" s="73">
        <v>0.307</v>
      </c>
      <c r="P500" s="71" t="s">
        <v>389</v>
      </c>
      <c r="Q500" s="73">
        <v>100</v>
      </c>
      <c r="R500" s="71" t="s">
        <v>388</v>
      </c>
      <c r="S500" s="73">
        <v>0</v>
      </c>
      <c r="T500" s="71" t="s">
        <v>390</v>
      </c>
      <c r="U500" s="74">
        <v>1</v>
      </c>
      <c r="V500" s="71" t="s">
        <v>391</v>
      </c>
      <c r="W500" s="130"/>
      <c r="X500" s="72">
        <v>46057.51458333333</v>
      </c>
      <c r="Y500" s="72">
        <v>46057.680555555555</v>
      </c>
      <c r="Z500" s="104" t="s">
        <v>382</v>
      </c>
      <c r="AA500" s="104" t="s">
        <v>465</v>
      </c>
      <c r="AB500" s="105">
        <v>46058.229861111111</v>
      </c>
      <c r="AC500" s="105">
        <v>46058.428472222222</v>
      </c>
    </row>
    <row r="501" s="70" customFormat="1" ht="11.25" customHeight="1">
      <c r="A501" s="87"/>
      <c r="C501" s="43" t="s">
        <v>1233</v>
      </c>
      <c r="D501" s="71" t="s">
        <v>382</v>
      </c>
      <c r="E501" s="71" t="str">
        <f>MID(D501,1,2)</f>
        <v>IL</v>
      </c>
      <c r="F501" s="71" t="s">
        <v>1234</v>
      </c>
      <c r="G501" s="71" t="str">
        <f>MID(F501,1,2)</f>
        <v>PH</v>
      </c>
      <c r="H501" s="43" t="s">
        <v>1235</v>
      </c>
      <c r="I501" s="71" t="s">
        <v>1236</v>
      </c>
      <c r="J501" s="71" t="s">
        <v>483</v>
      </c>
      <c r="K501" s="43"/>
      <c r="L501" s="71" t="s">
        <v>105</v>
      </c>
      <c r="M501" s="73">
        <v>15</v>
      </c>
      <c r="N501" s="71" t="s">
        <v>388</v>
      </c>
      <c r="O501" s="73">
        <v>0.049</v>
      </c>
      <c r="P501" s="71" t="s">
        <v>389</v>
      </c>
      <c r="Q501" s="73">
        <v>15</v>
      </c>
      <c r="R501" s="71" t="s">
        <v>388</v>
      </c>
      <c r="S501" s="73">
        <v>0</v>
      </c>
      <c r="T501" s="71" t="s">
        <v>390</v>
      </c>
      <c r="U501" s="74">
        <v>1</v>
      </c>
      <c r="V501" s="71" t="s">
        <v>391</v>
      </c>
      <c r="W501" s="130">
        <v>46056.52847222222</v>
      </c>
      <c r="X501" s="72">
        <v>46060.916666666664</v>
      </c>
      <c r="Y501" s="72">
        <v>46062.753472222219</v>
      </c>
      <c r="Z501" s="104" t="s">
        <v>382</v>
      </c>
      <c r="AA501" s="104" t="s">
        <v>833</v>
      </c>
      <c r="AB501" s="105">
        <v>46060.886805555558</v>
      </c>
      <c r="AC501" s="105">
        <v>46061.618055555555</v>
      </c>
    </row>
    <row r="502" s="70" customFormat="1" ht="11.25" customHeight="1">
      <c r="A502" s="87"/>
      <c r="C502" s="43" t="s">
        <v>1233</v>
      </c>
      <c r="D502" s="71" t="s">
        <v>382</v>
      </c>
      <c r="E502" s="71" t="str">
        <f>MID(D502,1,2)</f>
        <v>IL</v>
      </c>
      <c r="F502" s="71" t="s">
        <v>1234</v>
      </c>
      <c r="G502" s="71" t="str">
        <f>MID(F502,1,2)</f>
        <v>PH</v>
      </c>
      <c r="H502" s="43" t="s">
        <v>1235</v>
      </c>
      <c r="I502" s="71" t="s">
        <v>1236</v>
      </c>
      <c r="J502" s="71" t="s">
        <v>483</v>
      </c>
      <c r="K502" s="43"/>
      <c r="L502" s="71" t="s">
        <v>105</v>
      </c>
      <c r="M502" s="73">
        <v>15</v>
      </c>
      <c r="N502" s="71" t="s">
        <v>388</v>
      </c>
      <c r="O502" s="73">
        <v>0.049</v>
      </c>
      <c r="P502" s="71" t="s">
        <v>389</v>
      </c>
      <c r="Q502" s="73">
        <v>15</v>
      </c>
      <c r="R502" s="71" t="s">
        <v>388</v>
      </c>
      <c r="S502" s="73">
        <v>0</v>
      </c>
      <c r="T502" s="71" t="s">
        <v>390</v>
      </c>
      <c r="U502" s="74">
        <v>1</v>
      </c>
      <c r="V502" s="71" t="s">
        <v>391</v>
      </c>
      <c r="W502" s="130">
        <v>46056.52847222222</v>
      </c>
      <c r="X502" s="72">
        <v>46060.916666666664</v>
      </c>
      <c r="Y502" s="72">
        <v>46062.753472222219</v>
      </c>
      <c r="Z502" s="104" t="s">
        <v>833</v>
      </c>
      <c r="AA502" s="104" t="s">
        <v>1234</v>
      </c>
      <c r="AB502" s="105">
        <v>46062.564583333333</v>
      </c>
      <c r="AC502" s="105">
        <v>46062.755555555559</v>
      </c>
    </row>
    <row r="503" s="70" customFormat="1" ht="11.25" customHeight="1">
      <c r="A503" s="87"/>
      <c r="C503" s="43" t="s">
        <v>1237</v>
      </c>
      <c r="D503" s="71" t="s">
        <v>382</v>
      </c>
      <c r="E503" s="71" t="str">
        <f>MID(D503,1,2)</f>
        <v>IL</v>
      </c>
      <c r="F503" s="71" t="s">
        <v>451</v>
      </c>
      <c r="G503" s="71" t="str">
        <f>MID(F503,1,2)</f>
        <v>IT</v>
      </c>
      <c r="H503" s="43" t="s">
        <v>1238</v>
      </c>
      <c r="I503" s="71" t="s">
        <v>1239</v>
      </c>
      <c r="J503" s="71" t="s">
        <v>386</v>
      </c>
      <c r="K503" s="43"/>
      <c r="L503" s="71" t="s">
        <v>107</v>
      </c>
      <c r="M503" s="73">
        <v>17</v>
      </c>
      <c r="N503" s="71" t="s">
        <v>388</v>
      </c>
      <c r="O503" s="73">
        <v>0.188</v>
      </c>
      <c r="P503" s="71" t="s">
        <v>389</v>
      </c>
      <c r="Q503" s="73">
        <v>31.5</v>
      </c>
      <c r="R503" s="71" t="s">
        <v>388</v>
      </c>
      <c r="S503" s="73">
        <v>0</v>
      </c>
      <c r="T503" s="71" t="s">
        <v>390</v>
      </c>
      <c r="U503" s="74">
        <v>1</v>
      </c>
      <c r="V503" s="71" t="s">
        <v>391</v>
      </c>
      <c r="W503" s="130">
        <v>46056.535416666666</v>
      </c>
      <c r="X503" s="72">
        <v>46059.256944444445</v>
      </c>
      <c r="Y503" s="72">
        <v>46059.384722222225</v>
      </c>
      <c r="Z503" s="104" t="s">
        <v>382</v>
      </c>
      <c r="AA503" s="104" t="s">
        <v>451</v>
      </c>
      <c r="AB503" s="105">
        <v>46059.25625</v>
      </c>
      <c r="AC503" s="105">
        <v>46059.374305555553</v>
      </c>
    </row>
    <row r="504" s="70" customFormat="1" ht="11.25" customHeight="1">
      <c r="A504" s="87"/>
      <c r="C504" s="43" t="s">
        <v>1240</v>
      </c>
      <c r="D504" s="71" t="s">
        <v>382</v>
      </c>
      <c r="E504" s="71" t="str">
        <f>MID(D504,1,2)</f>
        <v>IL</v>
      </c>
      <c r="F504" s="71" t="s">
        <v>451</v>
      </c>
      <c r="G504" s="71" t="str">
        <f>MID(F504,1,2)</f>
        <v>IT</v>
      </c>
      <c r="H504" s="43" t="s">
        <v>1238</v>
      </c>
      <c r="I504" s="71" t="s">
        <v>1241</v>
      </c>
      <c r="J504" s="71" t="s">
        <v>386</v>
      </c>
      <c r="K504" s="43"/>
      <c r="L504" s="71" t="s">
        <v>107</v>
      </c>
      <c r="M504" s="73">
        <v>21</v>
      </c>
      <c r="N504" s="71" t="s">
        <v>388</v>
      </c>
      <c r="O504" s="73">
        <v>0.261</v>
      </c>
      <c r="P504" s="71" t="s">
        <v>389</v>
      </c>
      <c r="Q504" s="73">
        <v>43.5</v>
      </c>
      <c r="R504" s="71" t="s">
        <v>388</v>
      </c>
      <c r="S504" s="73">
        <v>0</v>
      </c>
      <c r="T504" s="71" t="s">
        <v>390</v>
      </c>
      <c r="U504" s="74">
        <v>1</v>
      </c>
      <c r="V504" s="71" t="s">
        <v>391</v>
      </c>
      <c r="W504" s="130">
        <v>46056.549305555556</v>
      </c>
      <c r="X504" s="72">
        <v>46059.256944444445</v>
      </c>
      <c r="Y504" s="72">
        <v>46059.384722222225</v>
      </c>
      <c r="Z504" s="104" t="s">
        <v>382</v>
      </c>
      <c r="AA504" s="104" t="s">
        <v>451</v>
      </c>
      <c r="AB504" s="105">
        <v>46059.25625</v>
      </c>
      <c r="AC504" s="105">
        <v>46059.374305555553</v>
      </c>
    </row>
    <row r="505" s="70" customFormat="1" ht="11.25" customHeight="1">
      <c r="A505" s="87"/>
      <c r="C505" s="43" t="s">
        <v>1242</v>
      </c>
      <c r="D505" s="71" t="s">
        <v>382</v>
      </c>
      <c r="E505" s="71" t="str">
        <f>MID(D505,1,2)</f>
        <v>IL</v>
      </c>
      <c r="F505" s="71" t="s">
        <v>414</v>
      </c>
      <c r="G505" s="71" t="str">
        <f>MID(F505,1,2)</f>
        <v>US</v>
      </c>
      <c r="H505" s="43" t="s">
        <v>1105</v>
      </c>
      <c r="I505" s="71" t="s">
        <v>1243</v>
      </c>
      <c r="J505" s="71" t="s">
        <v>400</v>
      </c>
      <c r="K505" s="43" t="s">
        <v>759</v>
      </c>
      <c r="L505" s="71" t="s">
        <v>105</v>
      </c>
      <c r="M505" s="73">
        <v>2</v>
      </c>
      <c r="N505" s="71" t="s">
        <v>388</v>
      </c>
      <c r="O505" s="73">
        <v>0.014</v>
      </c>
      <c r="P505" s="71" t="s">
        <v>389</v>
      </c>
      <c r="Q505" s="73">
        <v>2.5</v>
      </c>
      <c r="R505" s="71" t="s">
        <v>388</v>
      </c>
      <c r="S505" s="73">
        <v>0</v>
      </c>
      <c r="T505" s="71" t="s">
        <v>390</v>
      </c>
      <c r="U505" s="74">
        <v>1</v>
      </c>
      <c r="V505" s="71" t="s">
        <v>427</v>
      </c>
      <c r="W505" s="130">
        <v>46056.555555555555</v>
      </c>
      <c r="X505" s="72">
        <v>46059.013888888891</v>
      </c>
      <c r="Y505" s="72">
        <v>46059.25</v>
      </c>
      <c r="Z505" s="104" t="s">
        <v>382</v>
      </c>
      <c r="AA505" s="104" t="s">
        <v>414</v>
      </c>
      <c r="AB505" s="105">
        <v>46059.034722222219</v>
      </c>
      <c r="AC505" s="105">
        <v>46059.218055555553</v>
      </c>
    </row>
    <row r="506" s="70" customFormat="1" ht="11.25" customHeight="1">
      <c r="A506" s="87"/>
      <c r="C506" s="43" t="s">
        <v>1244</v>
      </c>
      <c r="D506" s="71" t="s">
        <v>382</v>
      </c>
      <c r="E506" s="71" t="str">
        <f>MID(D506,1,2)</f>
        <v>IL</v>
      </c>
      <c r="F506" s="71" t="s">
        <v>546</v>
      </c>
      <c r="G506" s="71" t="str">
        <f>MID(F506,1,2)</f>
        <v>GB</v>
      </c>
      <c r="H506" s="43" t="s">
        <v>1245</v>
      </c>
      <c r="I506" s="71"/>
      <c r="J506" s="71" t="s">
        <v>426</v>
      </c>
      <c r="K506" s="43"/>
      <c r="L506" s="71" t="s">
        <v>105</v>
      </c>
      <c r="M506" s="73">
        <v>55</v>
      </c>
      <c r="N506" s="71" t="s">
        <v>388</v>
      </c>
      <c r="O506" s="73">
        <v>0.213</v>
      </c>
      <c r="P506" s="71" t="s">
        <v>389</v>
      </c>
      <c r="Q506" s="73">
        <v>100</v>
      </c>
      <c r="R506" s="71" t="s">
        <v>388</v>
      </c>
      <c r="S506" s="73">
        <v>0</v>
      </c>
      <c r="T506" s="71" t="s">
        <v>390</v>
      </c>
      <c r="U506" s="74">
        <v>2</v>
      </c>
      <c r="V506" s="71" t="s">
        <v>391</v>
      </c>
      <c r="W506" s="130">
        <v>46056.626388888886</v>
      </c>
      <c r="X506" s="72">
        <v>46057.381944444445</v>
      </c>
      <c r="Y506" s="72">
        <v>46057.857638888891</v>
      </c>
      <c r="Z506" s="104" t="s">
        <v>382</v>
      </c>
      <c r="AA506" s="104" t="s">
        <v>546</v>
      </c>
      <c r="AB506" s="105">
        <v>46057.705555555556</v>
      </c>
      <c r="AC506" s="105">
        <v>46057.835416666669</v>
      </c>
    </row>
    <row r="507" s="70" customFormat="1" ht="11.25" customHeight="1">
      <c r="A507" s="87"/>
      <c r="C507" s="43" t="s">
        <v>1246</v>
      </c>
      <c r="D507" s="71" t="s">
        <v>382</v>
      </c>
      <c r="E507" s="71" t="str">
        <f>MID(D507,1,2)</f>
        <v>IL</v>
      </c>
      <c r="F507" s="71" t="s">
        <v>597</v>
      </c>
      <c r="G507" s="71" t="str">
        <f>MID(F507,1,2)</f>
        <v>NL</v>
      </c>
      <c r="H507" s="43" t="s">
        <v>1247</v>
      </c>
      <c r="I507" s="71" t="s">
        <v>1248</v>
      </c>
      <c r="J507" s="71" t="s">
        <v>400</v>
      </c>
      <c r="K507" s="43"/>
      <c r="L507" s="71" t="s">
        <v>105</v>
      </c>
      <c r="M507" s="73">
        <v>48</v>
      </c>
      <c r="N507" s="71" t="s">
        <v>388</v>
      </c>
      <c r="O507" s="73">
        <v>0.336</v>
      </c>
      <c r="P507" s="71" t="s">
        <v>389</v>
      </c>
      <c r="Q507" s="73">
        <v>56</v>
      </c>
      <c r="R507" s="71" t="s">
        <v>388</v>
      </c>
      <c r="S507" s="73">
        <v>0</v>
      </c>
      <c r="T507" s="71" t="s">
        <v>390</v>
      </c>
      <c r="U507" s="74">
        <v>1</v>
      </c>
      <c r="V507" s="71" t="s">
        <v>391</v>
      </c>
      <c r="W507" s="130">
        <v>46056.669548611113</v>
      </c>
      <c r="X507" s="72">
        <v>46058.690972222219</v>
      </c>
      <c r="Y507" s="72">
        <v>46059.989583333336</v>
      </c>
      <c r="Z507" s="104" t="s">
        <v>382</v>
      </c>
      <c r="AA507" s="104" t="s">
        <v>451</v>
      </c>
      <c r="AB507" s="105">
        <v>46058.613888888889</v>
      </c>
      <c r="AC507" s="105"/>
    </row>
    <row r="508" s="70" customFormat="1" ht="11.25" customHeight="1">
      <c r="A508" s="87"/>
      <c r="C508" s="43" t="s">
        <v>1246</v>
      </c>
      <c r="D508" s="71" t="s">
        <v>382</v>
      </c>
      <c r="E508" s="71" t="str">
        <f>MID(D508,1,2)</f>
        <v>IL</v>
      </c>
      <c r="F508" s="71" t="s">
        <v>597</v>
      </c>
      <c r="G508" s="71" t="str">
        <f>MID(F508,1,2)</f>
        <v>NL</v>
      </c>
      <c r="H508" s="43" t="s">
        <v>1247</v>
      </c>
      <c r="I508" s="71" t="s">
        <v>1248</v>
      </c>
      <c r="J508" s="71" t="s">
        <v>400</v>
      </c>
      <c r="K508" s="43"/>
      <c r="L508" s="71" t="s">
        <v>105</v>
      </c>
      <c r="M508" s="73">
        <v>48</v>
      </c>
      <c r="N508" s="71" t="s">
        <v>388</v>
      </c>
      <c r="O508" s="73">
        <v>0.336</v>
      </c>
      <c r="P508" s="71" t="s">
        <v>389</v>
      </c>
      <c r="Q508" s="73">
        <v>56</v>
      </c>
      <c r="R508" s="71" t="s">
        <v>388</v>
      </c>
      <c r="S508" s="73">
        <v>0</v>
      </c>
      <c r="T508" s="71" t="s">
        <v>390</v>
      </c>
      <c r="U508" s="74">
        <v>1</v>
      </c>
      <c r="V508" s="71" t="s">
        <v>391</v>
      </c>
      <c r="W508" s="130">
        <v>46056.669548611113</v>
      </c>
      <c r="X508" s="72">
        <v>46058.690972222219</v>
      </c>
      <c r="Y508" s="72">
        <v>46059.989583333336</v>
      </c>
      <c r="Z508" s="104" t="s">
        <v>451</v>
      </c>
      <c r="AA508" s="104" t="s">
        <v>597</v>
      </c>
      <c r="AB508" s="105">
        <v>46059.602777777778</v>
      </c>
      <c r="AC508" s="105">
        <v>46059.700694444444</v>
      </c>
    </row>
    <row r="509" s="70" customFormat="1" ht="11.25" customHeight="1">
      <c r="A509" s="87"/>
      <c r="C509" s="43" t="s">
        <v>1249</v>
      </c>
      <c r="D509" s="71" t="s">
        <v>382</v>
      </c>
      <c r="E509" s="71" t="str">
        <f>MID(D509,1,2)</f>
        <v>IL</v>
      </c>
      <c r="F509" s="71" t="s">
        <v>978</v>
      </c>
      <c r="G509" s="71" t="str">
        <f>MID(F509,1,2)</f>
        <v>PL</v>
      </c>
      <c r="H509" s="43" t="s">
        <v>1250</v>
      </c>
      <c r="I509" s="71" t="s">
        <v>1251</v>
      </c>
      <c r="J509" s="71" t="s">
        <v>400</v>
      </c>
      <c r="K509" s="43"/>
      <c r="L509" s="71" t="s">
        <v>105</v>
      </c>
      <c r="M509" s="73">
        <v>206</v>
      </c>
      <c r="N509" s="71" t="s">
        <v>388</v>
      </c>
      <c r="O509" s="73">
        <v>0.864</v>
      </c>
      <c r="P509" s="71" t="s">
        <v>389</v>
      </c>
      <c r="Q509" s="73">
        <v>206</v>
      </c>
      <c r="R509" s="71" t="s">
        <v>388</v>
      </c>
      <c r="S509" s="73">
        <v>0</v>
      </c>
      <c r="T509" s="71" t="s">
        <v>390</v>
      </c>
      <c r="U509" s="74">
        <v>1</v>
      </c>
      <c r="V509" s="71" t="s">
        <v>417</v>
      </c>
      <c r="W509" s="130">
        <v>46058.72347222222</v>
      </c>
      <c r="X509" s="72">
        <v>46057.683333333334</v>
      </c>
      <c r="Y509" s="72">
        <v>46067.944444444445</v>
      </c>
      <c r="Z509" s="104" t="s">
        <v>382</v>
      </c>
      <c r="AA509" s="104" t="s">
        <v>383</v>
      </c>
      <c r="AB509" s="105">
        <v>46066.5625</v>
      </c>
      <c r="AC509" s="105">
        <v>46066.709722222222</v>
      </c>
    </row>
    <row r="510" s="70" customFormat="1" ht="11.25" customHeight="1">
      <c r="A510" s="87"/>
      <c r="C510" s="43" t="s">
        <v>1249</v>
      </c>
      <c r="D510" s="71" t="s">
        <v>382</v>
      </c>
      <c r="E510" s="71" t="str">
        <f>MID(D510,1,2)</f>
        <v>IL</v>
      </c>
      <c r="F510" s="71" t="s">
        <v>978</v>
      </c>
      <c r="G510" s="71" t="str">
        <f>MID(F510,1,2)</f>
        <v>PL</v>
      </c>
      <c r="H510" s="43" t="s">
        <v>1250</v>
      </c>
      <c r="I510" s="71" t="s">
        <v>1251</v>
      </c>
      <c r="J510" s="71" t="s">
        <v>400</v>
      </c>
      <c r="K510" s="43"/>
      <c r="L510" s="71" t="s">
        <v>105</v>
      </c>
      <c r="M510" s="73">
        <v>206</v>
      </c>
      <c r="N510" s="71" t="s">
        <v>388</v>
      </c>
      <c r="O510" s="73">
        <v>0.864</v>
      </c>
      <c r="P510" s="71" t="s">
        <v>389</v>
      </c>
      <c r="Q510" s="73">
        <v>206</v>
      </c>
      <c r="R510" s="71" t="s">
        <v>388</v>
      </c>
      <c r="S510" s="73">
        <v>0</v>
      </c>
      <c r="T510" s="71" t="s">
        <v>390</v>
      </c>
      <c r="U510" s="74">
        <v>1</v>
      </c>
      <c r="V510" s="71" t="s">
        <v>417</v>
      </c>
      <c r="W510" s="130">
        <v>46058.72347222222</v>
      </c>
      <c r="X510" s="72">
        <v>46057.683333333334</v>
      </c>
      <c r="Y510" s="72">
        <v>46067.944444444445</v>
      </c>
      <c r="Z510" s="104" t="s">
        <v>383</v>
      </c>
      <c r="AA510" s="104" t="s">
        <v>978</v>
      </c>
      <c r="AB510" s="105">
        <v>46067.874305555553</v>
      </c>
      <c r="AC510" s="105">
        <v>46067.93472222222</v>
      </c>
    </row>
    <row r="511" s="70" customFormat="1" ht="11.25" customHeight="1">
      <c r="A511" s="87"/>
      <c r="C511" s="43" t="s">
        <v>1252</v>
      </c>
      <c r="D511" s="71" t="s">
        <v>382</v>
      </c>
      <c r="E511" s="71" t="str">
        <f>MID(D511,1,2)</f>
        <v>IL</v>
      </c>
      <c r="F511" s="71" t="s">
        <v>422</v>
      </c>
      <c r="G511" s="71" t="str">
        <f>MID(F511,1,2)</f>
        <v>US</v>
      </c>
      <c r="H511" s="43" t="s">
        <v>1215</v>
      </c>
      <c r="I511" s="71" t="s">
        <v>1253</v>
      </c>
      <c r="J511" s="71" t="s">
        <v>400</v>
      </c>
      <c r="K511" s="43"/>
      <c r="L511" s="71" t="s">
        <v>105</v>
      </c>
      <c r="M511" s="73">
        <v>198</v>
      </c>
      <c r="N511" s="71" t="s">
        <v>388</v>
      </c>
      <c r="O511" s="73">
        <v>0.84</v>
      </c>
      <c r="P511" s="71" t="s">
        <v>389</v>
      </c>
      <c r="Q511" s="73">
        <v>198</v>
      </c>
      <c r="R511" s="71" t="s">
        <v>388</v>
      </c>
      <c r="S511" s="73">
        <v>0</v>
      </c>
      <c r="T511" s="71" t="s">
        <v>390</v>
      </c>
      <c r="U511" s="74">
        <v>1</v>
      </c>
      <c r="V511" s="71" t="s">
        <v>417</v>
      </c>
      <c r="W511" s="130">
        <v>46058.382638888892</v>
      </c>
      <c r="X511" s="72">
        <v>46058.42291666667</v>
      </c>
      <c r="Y511" s="72">
        <v>46061.690972222219</v>
      </c>
      <c r="Z511" s="104" t="s">
        <v>382</v>
      </c>
      <c r="AA511" s="104" t="s">
        <v>422</v>
      </c>
      <c r="AB511" s="105">
        <v>46061.475694444445</v>
      </c>
      <c r="AC511" s="105">
        <v>46061.673611111109</v>
      </c>
    </row>
    <row r="512" s="70" customFormat="1" ht="11.25" customHeight="1">
      <c r="A512" s="87"/>
      <c r="C512" s="43" t="s">
        <v>1254</v>
      </c>
      <c r="D512" s="71" t="s">
        <v>382</v>
      </c>
      <c r="E512" s="71" t="str">
        <f>MID(D512,1,2)</f>
        <v>IL</v>
      </c>
      <c r="F512" s="71" t="s">
        <v>462</v>
      </c>
      <c r="G512" s="71" t="str">
        <f>MID(F512,1,2)</f>
        <v>DE</v>
      </c>
      <c r="H512" s="43" t="s">
        <v>1066</v>
      </c>
      <c r="I512" s="71" t="s">
        <v>1255</v>
      </c>
      <c r="J512" s="71" t="s">
        <v>400</v>
      </c>
      <c r="K512" s="43"/>
      <c r="L512" s="71" t="s">
        <v>105</v>
      </c>
      <c r="M512" s="73">
        <v>208</v>
      </c>
      <c r="N512" s="71" t="s">
        <v>388</v>
      </c>
      <c r="O512" s="73">
        <v>0.864</v>
      </c>
      <c r="P512" s="71" t="s">
        <v>389</v>
      </c>
      <c r="Q512" s="73">
        <v>208</v>
      </c>
      <c r="R512" s="71" t="s">
        <v>388</v>
      </c>
      <c r="S512" s="73">
        <v>0</v>
      </c>
      <c r="T512" s="71" t="s">
        <v>390</v>
      </c>
      <c r="U512" s="74">
        <v>1</v>
      </c>
      <c r="V512" s="71" t="s">
        <v>417</v>
      </c>
      <c r="W512" s="130">
        <v>46058.723402777781</v>
      </c>
      <c r="X512" s="72">
        <v>46059.972916666666</v>
      </c>
      <c r="Y512" s="72">
        <v>46062.215277777781</v>
      </c>
      <c r="Z512" s="104" t="s">
        <v>383</v>
      </c>
      <c r="AA512" s="104" t="s">
        <v>383</v>
      </c>
      <c r="AB512" s="105">
        <v>46066.782638888886</v>
      </c>
      <c r="AC512" s="105">
        <v>46066.708333333336</v>
      </c>
    </row>
    <row r="513" s="70" customFormat="1" ht="11.25" customHeight="1">
      <c r="A513" s="87"/>
      <c r="C513" s="43" t="s">
        <v>1254</v>
      </c>
      <c r="D513" s="71" t="s">
        <v>382</v>
      </c>
      <c r="E513" s="71" t="str">
        <f>MID(D513,1,2)</f>
        <v>IL</v>
      </c>
      <c r="F513" s="71" t="s">
        <v>462</v>
      </c>
      <c r="G513" s="71" t="str">
        <f>MID(F513,1,2)</f>
        <v>DE</v>
      </c>
      <c r="H513" s="43" t="s">
        <v>1066</v>
      </c>
      <c r="I513" s="71" t="s">
        <v>1255</v>
      </c>
      <c r="J513" s="71" t="s">
        <v>400</v>
      </c>
      <c r="K513" s="43"/>
      <c r="L513" s="71" t="s">
        <v>105</v>
      </c>
      <c r="M513" s="73">
        <v>208</v>
      </c>
      <c r="N513" s="71" t="s">
        <v>388</v>
      </c>
      <c r="O513" s="73">
        <v>0.864</v>
      </c>
      <c r="P513" s="71" t="s">
        <v>389</v>
      </c>
      <c r="Q513" s="73">
        <v>208</v>
      </c>
      <c r="R513" s="71" t="s">
        <v>388</v>
      </c>
      <c r="S513" s="73">
        <v>0</v>
      </c>
      <c r="T513" s="71" t="s">
        <v>390</v>
      </c>
      <c r="U513" s="74">
        <v>1</v>
      </c>
      <c r="V513" s="71" t="s">
        <v>417</v>
      </c>
      <c r="W513" s="130">
        <v>46058.723402777781</v>
      </c>
      <c r="X513" s="72">
        <v>46059.972916666666</v>
      </c>
      <c r="Y513" s="72">
        <v>46062.215277777781</v>
      </c>
      <c r="Z513" s="104" t="s">
        <v>382</v>
      </c>
      <c r="AA513" s="104" t="s">
        <v>748</v>
      </c>
      <c r="AB513" s="105">
        <v>46060.961805555555</v>
      </c>
      <c r="AC513" s="105"/>
    </row>
    <row r="514" s="70" customFormat="1" ht="11.25" customHeight="1">
      <c r="A514" s="87"/>
      <c r="C514" s="43" t="s">
        <v>1254</v>
      </c>
      <c r="D514" s="71" t="s">
        <v>382</v>
      </c>
      <c r="E514" s="71" t="str">
        <f>MID(D514,1,2)</f>
        <v>IL</v>
      </c>
      <c r="F514" s="71" t="s">
        <v>462</v>
      </c>
      <c r="G514" s="71" t="str">
        <f>MID(F514,1,2)</f>
        <v>DE</v>
      </c>
      <c r="H514" s="43" t="s">
        <v>1066</v>
      </c>
      <c r="I514" s="71" t="s">
        <v>1255</v>
      </c>
      <c r="J514" s="71" t="s">
        <v>400</v>
      </c>
      <c r="K514" s="43"/>
      <c r="L514" s="71" t="s">
        <v>105</v>
      </c>
      <c r="M514" s="73">
        <v>208</v>
      </c>
      <c r="N514" s="71" t="s">
        <v>388</v>
      </c>
      <c r="O514" s="73">
        <v>0.864</v>
      </c>
      <c r="P514" s="71" t="s">
        <v>389</v>
      </c>
      <c r="Q514" s="73">
        <v>208</v>
      </c>
      <c r="R514" s="71" t="s">
        <v>388</v>
      </c>
      <c r="S514" s="73">
        <v>0</v>
      </c>
      <c r="T514" s="71" t="s">
        <v>390</v>
      </c>
      <c r="U514" s="74">
        <v>1</v>
      </c>
      <c r="V514" s="71" t="s">
        <v>417</v>
      </c>
      <c r="W514" s="130">
        <v>46058.723402777781</v>
      </c>
      <c r="X514" s="72">
        <v>46059.972916666666</v>
      </c>
      <c r="Y514" s="72">
        <v>46062.215277777781</v>
      </c>
      <c r="Z514" s="104" t="s">
        <v>748</v>
      </c>
      <c r="AA514" s="104" t="s">
        <v>383</v>
      </c>
      <c r="AB514" s="105">
        <v>46062.244444444441</v>
      </c>
      <c r="AC514" s="105">
        <v>46062.225</v>
      </c>
    </row>
    <row r="515" s="70" customFormat="1" ht="11.25" customHeight="1">
      <c r="A515" s="87"/>
      <c r="C515" s="43" t="s">
        <v>1256</v>
      </c>
      <c r="D515" s="71" t="s">
        <v>382</v>
      </c>
      <c r="E515" s="71" t="str">
        <f>MID(D515,1,2)</f>
        <v>IL</v>
      </c>
      <c r="F515" s="71" t="s">
        <v>1257</v>
      </c>
      <c r="G515" s="71" t="str">
        <f>MID(F515,1,2)</f>
        <v>PT</v>
      </c>
      <c r="H515" s="43" t="s">
        <v>1258</v>
      </c>
      <c r="I515" s="71" t="s">
        <v>1259</v>
      </c>
      <c r="J515" s="71" t="s">
        <v>400</v>
      </c>
      <c r="K515" s="43"/>
      <c r="L515" s="71" t="s">
        <v>105</v>
      </c>
      <c r="M515" s="73">
        <v>8</v>
      </c>
      <c r="N515" s="71" t="s">
        <v>388</v>
      </c>
      <c r="O515" s="73">
        <v>0.096</v>
      </c>
      <c r="P515" s="71" t="s">
        <v>389</v>
      </c>
      <c r="Q515" s="73">
        <v>16</v>
      </c>
      <c r="R515" s="71" t="s">
        <v>388</v>
      </c>
      <c r="S515" s="73">
        <v>0</v>
      </c>
      <c r="T515" s="71" t="s">
        <v>390</v>
      </c>
      <c r="U515" s="74">
        <v>1</v>
      </c>
      <c r="V515" s="71" t="s">
        <v>391</v>
      </c>
      <c r="W515" s="130">
        <v>46056.711099537039</v>
      </c>
      <c r="X515" s="72">
        <v>46058.690972222219</v>
      </c>
      <c r="Y515" s="72">
        <v>46059.973611111112</v>
      </c>
      <c r="Z515" s="104" t="s">
        <v>382</v>
      </c>
      <c r="AA515" s="104" t="s">
        <v>383</v>
      </c>
      <c r="AB515" s="105">
        <v>46058.693055555559</v>
      </c>
      <c r="AC515" s="105">
        <v>46058.836805555555</v>
      </c>
    </row>
    <row r="516" s="70" customFormat="1" ht="11.25" customHeight="1">
      <c r="A516" s="87"/>
      <c r="C516" s="43" t="s">
        <v>1256</v>
      </c>
      <c r="D516" s="71" t="s">
        <v>382</v>
      </c>
      <c r="E516" s="71" t="str">
        <f>MID(D516,1,2)</f>
        <v>IL</v>
      </c>
      <c r="F516" s="71" t="s">
        <v>1257</v>
      </c>
      <c r="G516" s="71" t="str">
        <f>MID(F516,1,2)</f>
        <v>PT</v>
      </c>
      <c r="H516" s="43" t="s">
        <v>1258</v>
      </c>
      <c r="I516" s="71" t="s">
        <v>1259</v>
      </c>
      <c r="J516" s="71" t="s">
        <v>400</v>
      </c>
      <c r="K516" s="43"/>
      <c r="L516" s="71" t="s">
        <v>105</v>
      </c>
      <c r="M516" s="73">
        <v>8</v>
      </c>
      <c r="N516" s="71" t="s">
        <v>388</v>
      </c>
      <c r="O516" s="73">
        <v>0.096</v>
      </c>
      <c r="P516" s="71" t="s">
        <v>389</v>
      </c>
      <c r="Q516" s="73">
        <v>16</v>
      </c>
      <c r="R516" s="71" t="s">
        <v>388</v>
      </c>
      <c r="S516" s="73">
        <v>0</v>
      </c>
      <c r="T516" s="71" t="s">
        <v>390</v>
      </c>
      <c r="U516" s="74">
        <v>1</v>
      </c>
      <c r="V516" s="71" t="s">
        <v>391</v>
      </c>
      <c r="W516" s="130">
        <v>46056.711099537039</v>
      </c>
      <c r="X516" s="72">
        <v>46058.690972222219</v>
      </c>
      <c r="Y516" s="72">
        <v>46059.973611111112</v>
      </c>
      <c r="Z516" s="104" t="s">
        <v>383</v>
      </c>
      <c r="AA516" s="104" t="s">
        <v>1257</v>
      </c>
      <c r="AB516" s="105">
        <v>46059.878472222219</v>
      </c>
      <c r="AC516" s="105">
        <v>46059.960416666669</v>
      </c>
    </row>
    <row r="517" s="70" customFormat="1" ht="11.25" customHeight="1">
      <c r="A517" s="87"/>
      <c r="C517" s="43" t="s">
        <v>1260</v>
      </c>
      <c r="D517" s="71" t="s">
        <v>382</v>
      </c>
      <c r="E517" s="71" t="str">
        <f>MID(D517,1,2)</f>
        <v>IL</v>
      </c>
      <c r="F517" s="71" t="s">
        <v>414</v>
      </c>
      <c r="G517" s="71" t="str">
        <f>MID(F517,1,2)</f>
        <v>US</v>
      </c>
      <c r="H517" s="43" t="s">
        <v>1105</v>
      </c>
      <c r="I517" s="71" t="s">
        <v>1261</v>
      </c>
      <c r="J517" s="71" t="s">
        <v>386</v>
      </c>
      <c r="K517" s="43" t="s">
        <v>759</v>
      </c>
      <c r="L517" s="71" t="s">
        <v>107</v>
      </c>
      <c r="M517" s="73">
        <v>15</v>
      </c>
      <c r="N517" s="71" t="s">
        <v>388</v>
      </c>
      <c r="O517" s="73">
        <v>0.069</v>
      </c>
      <c r="P517" s="71" t="s">
        <v>389</v>
      </c>
      <c r="Q517" s="73">
        <v>15</v>
      </c>
      <c r="R517" s="71" t="s">
        <v>388</v>
      </c>
      <c r="S517" s="73">
        <v>0</v>
      </c>
      <c r="T517" s="71" t="s">
        <v>390</v>
      </c>
      <c r="U517" s="74">
        <v>1</v>
      </c>
      <c r="V517" s="71" t="s">
        <v>427</v>
      </c>
      <c r="W517" s="130">
        <v>46056.626388888886</v>
      </c>
      <c r="X517" s="72">
        <v>46059.013888888891</v>
      </c>
      <c r="Y517" s="72">
        <v>46059.25</v>
      </c>
      <c r="Z517" s="104" t="s">
        <v>382</v>
      </c>
      <c r="AA517" s="104" t="s">
        <v>414</v>
      </c>
      <c r="AB517" s="105">
        <v>46059.034722222219</v>
      </c>
      <c r="AC517" s="105">
        <v>46059.218055555553</v>
      </c>
    </row>
    <row r="518" s="70" customFormat="1" ht="11.25" customHeight="1">
      <c r="A518" s="87"/>
      <c r="C518" s="43" t="s">
        <v>1262</v>
      </c>
      <c r="D518" s="71" t="s">
        <v>382</v>
      </c>
      <c r="E518" s="71" t="str">
        <f>MID(D518,1,2)</f>
        <v>IL</v>
      </c>
      <c r="F518" s="71" t="s">
        <v>573</v>
      </c>
      <c r="G518" s="71" t="str">
        <f>MID(F518,1,2)</f>
        <v>CH</v>
      </c>
      <c r="H518" s="43" t="s">
        <v>1094</v>
      </c>
      <c r="I518" s="71" t="s">
        <v>1263</v>
      </c>
      <c r="J518" s="71" t="s">
        <v>386</v>
      </c>
      <c r="K518" s="43"/>
      <c r="L518" s="71" t="s">
        <v>107</v>
      </c>
      <c r="M518" s="73">
        <v>15</v>
      </c>
      <c r="N518" s="71" t="s">
        <v>388</v>
      </c>
      <c r="O518" s="73">
        <v>0.112</v>
      </c>
      <c r="P518" s="71" t="s">
        <v>389</v>
      </c>
      <c r="Q518" s="73">
        <v>19</v>
      </c>
      <c r="R518" s="71" t="s">
        <v>388</v>
      </c>
      <c r="S518" s="73">
        <v>0</v>
      </c>
      <c r="T518" s="71" t="s">
        <v>390</v>
      </c>
      <c r="U518" s="74">
        <v>1</v>
      </c>
      <c r="V518" s="71" t="s">
        <v>391</v>
      </c>
      <c r="W518" s="130">
        <v>46057.610462962963</v>
      </c>
      <c r="X518" s="72">
        <v>46059.572916666664</v>
      </c>
      <c r="Y518" s="72">
        <v>46062.3125</v>
      </c>
      <c r="Z518" s="104" t="s">
        <v>382</v>
      </c>
      <c r="AA518" s="104" t="s">
        <v>383</v>
      </c>
      <c r="AB518" s="105">
        <v>46059.810416666667</v>
      </c>
      <c r="AC518" s="105">
        <v>46059.956944444442</v>
      </c>
    </row>
    <row r="519" s="70" customFormat="1" ht="11.25" customHeight="1">
      <c r="A519" s="87"/>
      <c r="C519" s="43" t="s">
        <v>1262</v>
      </c>
      <c r="D519" s="71" t="s">
        <v>382</v>
      </c>
      <c r="E519" s="71" t="str">
        <f>MID(D519,1,2)</f>
        <v>IL</v>
      </c>
      <c r="F519" s="71" t="s">
        <v>573</v>
      </c>
      <c r="G519" s="71" t="str">
        <f>MID(F519,1,2)</f>
        <v>CH</v>
      </c>
      <c r="H519" s="43" t="s">
        <v>1094</v>
      </c>
      <c r="I519" s="71" t="s">
        <v>1263</v>
      </c>
      <c r="J519" s="71" t="s">
        <v>386</v>
      </c>
      <c r="K519" s="43"/>
      <c r="L519" s="71" t="s">
        <v>107</v>
      </c>
      <c r="M519" s="73">
        <v>15</v>
      </c>
      <c r="N519" s="71" t="s">
        <v>388</v>
      </c>
      <c r="O519" s="73">
        <v>0.112</v>
      </c>
      <c r="P519" s="71" t="s">
        <v>389</v>
      </c>
      <c r="Q519" s="73">
        <v>19</v>
      </c>
      <c r="R519" s="71" t="s">
        <v>388</v>
      </c>
      <c r="S519" s="73">
        <v>0</v>
      </c>
      <c r="T519" s="71" t="s">
        <v>390</v>
      </c>
      <c r="U519" s="74">
        <v>1</v>
      </c>
      <c r="V519" s="71" t="s">
        <v>391</v>
      </c>
      <c r="W519" s="130">
        <v>46057.610462962963</v>
      </c>
      <c r="X519" s="72">
        <v>46059.572916666664</v>
      </c>
      <c r="Y519" s="72">
        <v>46062.3125</v>
      </c>
      <c r="Z519" s="104" t="s">
        <v>383</v>
      </c>
      <c r="AA519" s="104" t="s">
        <v>573</v>
      </c>
      <c r="AB519" s="105">
        <v>46061.9375</v>
      </c>
      <c r="AC519" s="105">
        <v>46062.270833333336</v>
      </c>
    </row>
    <row r="520" s="70" customFormat="1" ht="11.25" customHeight="1">
      <c r="A520" s="87"/>
      <c r="C520" s="43" t="s">
        <v>1264</v>
      </c>
      <c r="D520" s="71" t="s">
        <v>382</v>
      </c>
      <c r="E520" s="71" t="str">
        <f>MID(D520,1,2)</f>
        <v>IL</v>
      </c>
      <c r="F520" s="71" t="s">
        <v>422</v>
      </c>
      <c r="G520" s="71" t="str">
        <f>MID(F520,1,2)</f>
        <v>US</v>
      </c>
      <c r="H520" s="43" t="s">
        <v>1265</v>
      </c>
      <c r="I520" s="71"/>
      <c r="J520" s="71" t="s">
        <v>426</v>
      </c>
      <c r="K520" s="43"/>
      <c r="L520" s="71" t="s">
        <v>105</v>
      </c>
      <c r="M520" s="73">
        <v>7792</v>
      </c>
      <c r="N520" s="71" t="s">
        <v>388</v>
      </c>
      <c r="O520" s="73">
        <v>41.7</v>
      </c>
      <c r="P520" s="71" t="s">
        <v>389</v>
      </c>
      <c r="Q520" s="73">
        <v>7792</v>
      </c>
      <c r="R520" s="71" t="s">
        <v>388</v>
      </c>
      <c r="S520" s="73">
        <v>0</v>
      </c>
      <c r="T520" s="71" t="s">
        <v>390</v>
      </c>
      <c r="U520" s="74">
        <v>25</v>
      </c>
      <c r="V520" s="71" t="s">
        <v>391</v>
      </c>
      <c r="W520" s="130">
        <v>46056.701388888891</v>
      </c>
      <c r="X520" s="72">
        <v>46058.041666666664</v>
      </c>
      <c r="Y520" s="72">
        <v>46058.25</v>
      </c>
      <c r="Z520" s="104" t="s">
        <v>382</v>
      </c>
      <c r="AA520" s="104" t="s">
        <v>422</v>
      </c>
      <c r="AB520" s="105">
        <v>46058.04583333333</v>
      </c>
      <c r="AC520" s="105">
        <v>46058.218055555553</v>
      </c>
    </row>
    <row r="521" s="70" customFormat="1" ht="11.25" customHeight="1">
      <c r="A521" s="87"/>
      <c r="C521" s="43" t="s">
        <v>1266</v>
      </c>
      <c r="D521" s="71" t="s">
        <v>382</v>
      </c>
      <c r="E521" s="71" t="str">
        <f>MID(D521,1,2)</f>
        <v>IL</v>
      </c>
      <c r="F521" s="71" t="s">
        <v>963</v>
      </c>
      <c r="G521" s="71" t="str">
        <f>MID(F521,1,2)</f>
        <v>IN</v>
      </c>
      <c r="H521" s="43" t="s">
        <v>964</v>
      </c>
      <c r="I521" s="71" t="s">
        <v>1267</v>
      </c>
      <c r="J521" s="71" t="s">
        <v>400</v>
      </c>
      <c r="K521" s="43"/>
      <c r="L521" s="71" t="s">
        <v>105</v>
      </c>
      <c r="M521" s="73">
        <v>1</v>
      </c>
      <c r="N521" s="71" t="s">
        <v>388</v>
      </c>
      <c r="O521" s="73">
        <v>0.007</v>
      </c>
      <c r="P521" s="71" t="s">
        <v>389</v>
      </c>
      <c r="Q521" s="73">
        <v>1.5</v>
      </c>
      <c r="R521" s="71" t="s">
        <v>388</v>
      </c>
      <c r="S521" s="73">
        <v>0</v>
      </c>
      <c r="T521" s="71" t="s">
        <v>390</v>
      </c>
      <c r="U521" s="74">
        <v>1</v>
      </c>
      <c r="V521" s="71" t="s">
        <v>391</v>
      </c>
      <c r="W521" s="130">
        <v>46057.32708333333</v>
      </c>
      <c r="X521" s="72">
        <v>46057.923611111109</v>
      </c>
      <c r="Y521" s="72">
        <v>46060.14166666667</v>
      </c>
      <c r="Z521" s="104" t="s">
        <v>382</v>
      </c>
      <c r="AA521" s="104" t="s">
        <v>383</v>
      </c>
      <c r="AB521" s="105">
        <v>46058.693055555559</v>
      </c>
      <c r="AC521" s="105">
        <v>46058.836805555555</v>
      </c>
    </row>
    <row r="522" s="70" customFormat="1" ht="11.25" customHeight="1">
      <c r="A522" s="87"/>
      <c r="C522" s="43" t="s">
        <v>1266</v>
      </c>
      <c r="D522" s="71" t="s">
        <v>382</v>
      </c>
      <c r="E522" s="71" t="str">
        <f>MID(D522,1,2)</f>
        <v>IL</v>
      </c>
      <c r="F522" s="71" t="s">
        <v>963</v>
      </c>
      <c r="G522" s="71" t="str">
        <f>MID(F522,1,2)</f>
        <v>IN</v>
      </c>
      <c r="H522" s="43" t="s">
        <v>964</v>
      </c>
      <c r="I522" s="71" t="s">
        <v>1267</v>
      </c>
      <c r="J522" s="71" t="s">
        <v>400</v>
      </c>
      <c r="K522" s="43"/>
      <c r="L522" s="71" t="s">
        <v>105</v>
      </c>
      <c r="M522" s="73">
        <v>1</v>
      </c>
      <c r="N522" s="71" t="s">
        <v>388</v>
      </c>
      <c r="O522" s="73">
        <v>0.007</v>
      </c>
      <c r="P522" s="71" t="s">
        <v>389</v>
      </c>
      <c r="Q522" s="73">
        <v>1.5</v>
      </c>
      <c r="R522" s="71" t="s">
        <v>388</v>
      </c>
      <c r="S522" s="73">
        <v>0</v>
      </c>
      <c r="T522" s="71" t="s">
        <v>390</v>
      </c>
      <c r="U522" s="74">
        <v>1</v>
      </c>
      <c r="V522" s="71" t="s">
        <v>391</v>
      </c>
      <c r="W522" s="130">
        <v>46057.32708333333</v>
      </c>
      <c r="X522" s="72">
        <v>46057.923611111109</v>
      </c>
      <c r="Y522" s="72">
        <v>46060.14166666667</v>
      </c>
      <c r="Z522" s="104" t="s">
        <v>383</v>
      </c>
      <c r="AA522" s="104" t="s">
        <v>963</v>
      </c>
      <c r="AB522" s="105">
        <v>46059.533333333333</v>
      </c>
      <c r="AC522" s="105">
        <v>46060.133333333331</v>
      </c>
    </row>
    <row r="523" s="70" customFormat="1" ht="11.25" customHeight="1">
      <c r="A523" s="87"/>
      <c r="C523" s="43" t="s">
        <v>1268</v>
      </c>
      <c r="D523" s="71" t="s">
        <v>382</v>
      </c>
      <c r="E523" s="71" t="str">
        <f>MID(D523,1,2)</f>
        <v>IL</v>
      </c>
      <c r="F523" s="71" t="s">
        <v>1169</v>
      </c>
      <c r="G523" s="71" t="str">
        <f>MID(F523,1,2)</f>
        <v>HU</v>
      </c>
      <c r="H523" s="43" t="s">
        <v>1269</v>
      </c>
      <c r="I523" s="71" t="s">
        <v>1270</v>
      </c>
      <c r="J523" s="71" t="s">
        <v>426</v>
      </c>
      <c r="K523" s="43"/>
      <c r="L523" s="71" t="s">
        <v>105</v>
      </c>
      <c r="M523" s="73">
        <v>104</v>
      </c>
      <c r="N523" s="71" t="s">
        <v>388</v>
      </c>
      <c r="O523" s="73">
        <v>0.941</v>
      </c>
      <c r="P523" s="71" t="s">
        <v>389</v>
      </c>
      <c r="Q523" s="73">
        <v>157</v>
      </c>
      <c r="R523" s="71" t="s">
        <v>388</v>
      </c>
      <c r="S523" s="73">
        <v>0</v>
      </c>
      <c r="T523" s="71" t="s">
        <v>390</v>
      </c>
      <c r="U523" s="74">
        <v>1</v>
      </c>
      <c r="V523" s="71" t="s">
        <v>391</v>
      </c>
      <c r="W523" s="130">
        <v>46058.626145833332</v>
      </c>
      <c r="X523" s="72">
        <v>46060.652777777781</v>
      </c>
      <c r="Y523" s="72">
        <v>46063</v>
      </c>
      <c r="Z523" s="104" t="s">
        <v>382</v>
      </c>
      <c r="AA523" s="104" t="s">
        <v>595</v>
      </c>
      <c r="AB523" s="105">
        <v>46060.645138888889</v>
      </c>
      <c r="AC523" s="105">
        <v>46060.752083333333</v>
      </c>
    </row>
    <row r="524" s="70" customFormat="1" ht="11.25" customHeight="1">
      <c r="A524" s="87"/>
      <c r="C524" s="43" t="s">
        <v>1268</v>
      </c>
      <c r="D524" s="71" t="s">
        <v>382</v>
      </c>
      <c r="E524" s="71" t="str">
        <f>MID(D524,1,2)</f>
        <v>IL</v>
      </c>
      <c r="F524" s="71" t="s">
        <v>1169</v>
      </c>
      <c r="G524" s="71" t="str">
        <f>MID(F524,1,2)</f>
        <v>HU</v>
      </c>
      <c r="H524" s="43" t="s">
        <v>1269</v>
      </c>
      <c r="I524" s="71" t="s">
        <v>1270</v>
      </c>
      <c r="J524" s="71" t="s">
        <v>426</v>
      </c>
      <c r="K524" s="43"/>
      <c r="L524" s="71" t="s">
        <v>105</v>
      </c>
      <c r="M524" s="73">
        <v>104</v>
      </c>
      <c r="N524" s="71" t="s">
        <v>388</v>
      </c>
      <c r="O524" s="73">
        <v>0.941</v>
      </c>
      <c r="P524" s="71" t="s">
        <v>389</v>
      </c>
      <c r="Q524" s="73">
        <v>157</v>
      </c>
      <c r="R524" s="71" t="s">
        <v>388</v>
      </c>
      <c r="S524" s="73">
        <v>0</v>
      </c>
      <c r="T524" s="71" t="s">
        <v>390</v>
      </c>
      <c r="U524" s="74">
        <v>1</v>
      </c>
      <c r="V524" s="71" t="s">
        <v>391</v>
      </c>
      <c r="W524" s="130">
        <v>46058.626145833332</v>
      </c>
      <c r="X524" s="72">
        <v>46060.652777777781</v>
      </c>
      <c r="Y524" s="72">
        <v>46063</v>
      </c>
      <c r="Z524" s="104" t="s">
        <v>595</v>
      </c>
      <c r="AA524" s="104" t="s">
        <v>1169</v>
      </c>
      <c r="AB524" s="105">
        <v>46061.916666666664</v>
      </c>
      <c r="AC524" s="105">
        <v>46062.061805555553</v>
      </c>
    </row>
    <row r="525" s="70" customFormat="1" ht="11.25" customHeight="1">
      <c r="A525" s="87"/>
      <c r="C525" s="43" t="s">
        <v>1271</v>
      </c>
      <c r="D525" s="71" t="s">
        <v>382</v>
      </c>
      <c r="E525" s="71" t="str">
        <f>MID(D525,1,2)</f>
        <v>IL</v>
      </c>
      <c r="F525" s="71" t="s">
        <v>496</v>
      </c>
      <c r="G525" s="71" t="str">
        <f>MID(F525,1,2)</f>
        <v>RO</v>
      </c>
      <c r="H525" s="43" t="s">
        <v>1272</v>
      </c>
      <c r="I525" s="71" t="s">
        <v>1273</v>
      </c>
      <c r="J525" s="71" t="s">
        <v>386</v>
      </c>
      <c r="K525" s="43"/>
      <c r="L525" s="71" t="s">
        <v>107</v>
      </c>
      <c r="M525" s="73">
        <v>88</v>
      </c>
      <c r="N525" s="71" t="s">
        <v>388</v>
      </c>
      <c r="O525" s="73">
        <v>0.504</v>
      </c>
      <c r="P525" s="71" t="s">
        <v>389</v>
      </c>
      <c r="Q525" s="73">
        <v>100</v>
      </c>
      <c r="R525" s="71" t="s">
        <v>388</v>
      </c>
      <c r="S525" s="73">
        <v>0</v>
      </c>
      <c r="T525" s="71" t="s">
        <v>390</v>
      </c>
      <c r="U525" s="74">
        <v>1</v>
      </c>
      <c r="V525" s="71" t="s">
        <v>391</v>
      </c>
      <c r="W525" s="130"/>
      <c r="X525" s="72">
        <v>46062.003472222219</v>
      </c>
      <c r="Y525" s="72">
        <v>46065.395833333336</v>
      </c>
      <c r="Z525" s="104" t="s">
        <v>382</v>
      </c>
      <c r="AA525" s="104" t="s">
        <v>383</v>
      </c>
      <c r="AB525" s="105">
        <v>46062.00625</v>
      </c>
      <c r="AC525" s="105">
        <v>46062.304861111108</v>
      </c>
    </row>
    <row r="526" s="70" customFormat="1" ht="11.25" customHeight="1">
      <c r="A526" s="87"/>
      <c r="C526" s="43" t="s">
        <v>1271</v>
      </c>
      <c r="D526" s="71" t="s">
        <v>382</v>
      </c>
      <c r="E526" s="71" t="str">
        <f>MID(D526,1,2)</f>
        <v>IL</v>
      </c>
      <c r="F526" s="71" t="s">
        <v>496</v>
      </c>
      <c r="G526" s="71" t="str">
        <f>MID(F526,1,2)</f>
        <v>RO</v>
      </c>
      <c r="H526" s="43" t="s">
        <v>1272</v>
      </c>
      <c r="I526" s="71" t="s">
        <v>1273</v>
      </c>
      <c r="J526" s="71" t="s">
        <v>386</v>
      </c>
      <c r="K526" s="43"/>
      <c r="L526" s="71" t="s">
        <v>107</v>
      </c>
      <c r="M526" s="73">
        <v>88</v>
      </c>
      <c r="N526" s="71" t="s">
        <v>388</v>
      </c>
      <c r="O526" s="73">
        <v>0.504</v>
      </c>
      <c r="P526" s="71" t="s">
        <v>389</v>
      </c>
      <c r="Q526" s="73">
        <v>100</v>
      </c>
      <c r="R526" s="71" t="s">
        <v>388</v>
      </c>
      <c r="S526" s="73">
        <v>0</v>
      </c>
      <c r="T526" s="71" t="s">
        <v>390</v>
      </c>
      <c r="U526" s="74">
        <v>1</v>
      </c>
      <c r="V526" s="71" t="s">
        <v>391</v>
      </c>
      <c r="W526" s="130"/>
      <c r="X526" s="72">
        <v>46062.003472222219</v>
      </c>
      <c r="Y526" s="72">
        <v>46065.395833333336</v>
      </c>
      <c r="Z526" s="104" t="s">
        <v>383</v>
      </c>
      <c r="AA526" s="104" t="s">
        <v>496</v>
      </c>
      <c r="AB526" s="105">
        <v>46063.444444444445</v>
      </c>
      <c r="AC526" s="105">
        <v>46065.969444444447</v>
      </c>
    </row>
    <row r="527" s="70" customFormat="1" ht="11.25" customHeight="1">
      <c r="A527" s="87"/>
      <c r="C527" s="43" t="s">
        <v>1274</v>
      </c>
      <c r="D527" s="71" t="s">
        <v>382</v>
      </c>
      <c r="E527" s="71" t="str">
        <f>MID(D527,1,2)</f>
        <v>IL</v>
      </c>
      <c r="F527" s="71" t="s">
        <v>397</v>
      </c>
      <c r="G527" s="71" t="str">
        <f>MID(F527,1,2)</f>
        <v>IN</v>
      </c>
      <c r="H527" s="43" t="s">
        <v>1275</v>
      </c>
      <c r="I527" s="71" t="s">
        <v>1276</v>
      </c>
      <c r="J527" s="71" t="s">
        <v>386</v>
      </c>
      <c r="K527" s="43" t="s">
        <v>1277</v>
      </c>
      <c r="L527" s="71" t="s">
        <v>107</v>
      </c>
      <c r="M527" s="73">
        <v>6.5</v>
      </c>
      <c r="N527" s="71" t="s">
        <v>388</v>
      </c>
      <c r="O527" s="73">
        <v>0.029</v>
      </c>
      <c r="P527" s="71" t="s">
        <v>389</v>
      </c>
      <c r="Q527" s="73">
        <v>45</v>
      </c>
      <c r="R527" s="71" t="s">
        <v>388</v>
      </c>
      <c r="S527" s="73">
        <v>0</v>
      </c>
      <c r="T527" s="71" t="s">
        <v>390</v>
      </c>
      <c r="U527" s="74">
        <v>1</v>
      </c>
      <c r="V527" s="71" t="s">
        <v>417</v>
      </c>
      <c r="W527" s="130"/>
      <c r="X527" s="72">
        <v>46063.690972222219</v>
      </c>
      <c r="Y527" s="72">
        <v>46065.01875</v>
      </c>
      <c r="Z527" s="104" t="s">
        <v>382</v>
      </c>
      <c r="AA527" s="104" t="s">
        <v>383</v>
      </c>
      <c r="AB527" s="105">
        <v>46063.71875</v>
      </c>
      <c r="AC527" s="105">
        <v>46063.859027777777</v>
      </c>
    </row>
    <row r="528" s="70" customFormat="1" ht="11.25" customHeight="1">
      <c r="A528" s="87"/>
      <c r="C528" s="43" t="s">
        <v>1274</v>
      </c>
      <c r="D528" s="71" t="s">
        <v>382</v>
      </c>
      <c r="E528" s="71" t="str">
        <f>MID(D528,1,2)</f>
        <v>IL</v>
      </c>
      <c r="F528" s="71" t="s">
        <v>397</v>
      </c>
      <c r="G528" s="71" t="str">
        <f>MID(F528,1,2)</f>
        <v>IN</v>
      </c>
      <c r="H528" s="43" t="s">
        <v>1275</v>
      </c>
      <c r="I528" s="71" t="s">
        <v>1276</v>
      </c>
      <c r="J528" s="71" t="s">
        <v>386</v>
      </c>
      <c r="K528" s="43" t="s">
        <v>1277</v>
      </c>
      <c r="L528" s="71" t="s">
        <v>107</v>
      </c>
      <c r="M528" s="73">
        <v>6.5</v>
      </c>
      <c r="N528" s="71" t="s">
        <v>388</v>
      </c>
      <c r="O528" s="73">
        <v>0.029</v>
      </c>
      <c r="P528" s="71" t="s">
        <v>389</v>
      </c>
      <c r="Q528" s="73">
        <v>45</v>
      </c>
      <c r="R528" s="71" t="s">
        <v>388</v>
      </c>
      <c r="S528" s="73">
        <v>0</v>
      </c>
      <c r="T528" s="71" t="s">
        <v>390</v>
      </c>
      <c r="U528" s="74">
        <v>1</v>
      </c>
      <c r="V528" s="71" t="s">
        <v>417</v>
      </c>
      <c r="W528" s="130"/>
      <c r="X528" s="72">
        <v>46063.690972222219</v>
      </c>
      <c r="Y528" s="72">
        <v>46065.01875</v>
      </c>
      <c r="Z528" s="104" t="s">
        <v>383</v>
      </c>
      <c r="AA528" s="104" t="s">
        <v>397</v>
      </c>
      <c r="AB528" s="105">
        <v>46064.446527777778</v>
      </c>
      <c r="AC528" s="105">
        <v>46065.011111111111</v>
      </c>
    </row>
    <row r="529" s="70" customFormat="1" ht="11.25" customHeight="1">
      <c r="A529" s="87"/>
      <c r="C529" s="43" t="s">
        <v>1278</v>
      </c>
      <c r="D529" s="71" t="s">
        <v>382</v>
      </c>
      <c r="E529" s="71" t="str">
        <f>MID(D529,1,2)</f>
        <v>IL</v>
      </c>
      <c r="F529" s="71" t="s">
        <v>684</v>
      </c>
      <c r="G529" s="71" t="str">
        <f>MID(F529,1,2)</f>
        <v>IT</v>
      </c>
      <c r="H529" s="43" t="s">
        <v>1279</v>
      </c>
      <c r="I529" s="71" t="s">
        <v>1280</v>
      </c>
      <c r="J529" s="71" t="s">
        <v>454</v>
      </c>
      <c r="K529" s="43"/>
      <c r="L529" s="71" t="s">
        <v>107</v>
      </c>
      <c r="M529" s="73">
        <v>420</v>
      </c>
      <c r="N529" s="71" t="s">
        <v>388</v>
      </c>
      <c r="O529" s="73">
        <v>2.477</v>
      </c>
      <c r="P529" s="71" t="s">
        <v>389</v>
      </c>
      <c r="Q529" s="73">
        <v>420</v>
      </c>
      <c r="R529" s="71" t="s">
        <v>388</v>
      </c>
      <c r="S529" s="73">
        <v>0</v>
      </c>
      <c r="T529" s="71" t="s">
        <v>390</v>
      </c>
      <c r="U529" s="74">
        <v>2</v>
      </c>
      <c r="V529" s="71" t="s">
        <v>391</v>
      </c>
      <c r="W529" s="130">
        <v>46057.597291666665</v>
      </c>
      <c r="X529" s="72">
        <v>46061.534722222219</v>
      </c>
      <c r="Y529" s="72">
        <v>46062.034722222219</v>
      </c>
      <c r="Z529" s="104" t="s">
        <v>382</v>
      </c>
      <c r="AA529" s="104" t="s">
        <v>748</v>
      </c>
      <c r="AB529" s="105">
        <v>46061.128472222219</v>
      </c>
      <c r="AC529" s="105"/>
    </row>
    <row r="530" s="70" customFormat="1" ht="11.25" customHeight="1">
      <c r="A530" s="87"/>
      <c r="C530" s="43" t="s">
        <v>1278</v>
      </c>
      <c r="D530" s="71" t="s">
        <v>382</v>
      </c>
      <c r="E530" s="71" t="str">
        <f>MID(D530,1,2)</f>
        <v>IL</v>
      </c>
      <c r="F530" s="71" t="s">
        <v>684</v>
      </c>
      <c r="G530" s="71" t="str">
        <f>MID(F530,1,2)</f>
        <v>IT</v>
      </c>
      <c r="H530" s="43" t="s">
        <v>1279</v>
      </c>
      <c r="I530" s="71" t="s">
        <v>1280</v>
      </c>
      <c r="J530" s="71" t="s">
        <v>454</v>
      </c>
      <c r="K530" s="43"/>
      <c r="L530" s="71" t="s">
        <v>107</v>
      </c>
      <c r="M530" s="73">
        <v>420</v>
      </c>
      <c r="N530" s="71" t="s">
        <v>388</v>
      </c>
      <c r="O530" s="73">
        <v>2.477</v>
      </c>
      <c r="P530" s="71" t="s">
        <v>389</v>
      </c>
      <c r="Q530" s="73">
        <v>420</v>
      </c>
      <c r="R530" s="71" t="s">
        <v>388</v>
      </c>
      <c r="S530" s="73">
        <v>0</v>
      </c>
      <c r="T530" s="71" t="s">
        <v>390</v>
      </c>
      <c r="U530" s="74">
        <v>2</v>
      </c>
      <c r="V530" s="71" t="s">
        <v>391</v>
      </c>
      <c r="W530" s="130">
        <v>46057.597291666665</v>
      </c>
      <c r="X530" s="72">
        <v>46061.534722222219</v>
      </c>
      <c r="Y530" s="72">
        <v>46062.034722222219</v>
      </c>
      <c r="Z530" s="104" t="s">
        <v>748</v>
      </c>
      <c r="AA530" s="104" t="s">
        <v>684</v>
      </c>
      <c r="AB530" s="105">
        <v>46061.916666666664</v>
      </c>
      <c r="AC530" s="105">
        <v>46062.083333333336</v>
      </c>
    </row>
    <row r="531" s="70" customFormat="1" ht="11.25" customHeight="1">
      <c r="A531" s="87"/>
      <c r="C531" s="43" t="s">
        <v>1281</v>
      </c>
      <c r="D531" s="71" t="s">
        <v>382</v>
      </c>
      <c r="E531" s="71" t="str">
        <f>MID(D531,1,2)</f>
        <v>IL</v>
      </c>
      <c r="F531" s="71" t="s">
        <v>526</v>
      </c>
      <c r="G531" s="71" t="str">
        <f>MID(F531,1,2)</f>
        <v>US</v>
      </c>
      <c r="H531" s="43" t="s">
        <v>1282</v>
      </c>
      <c r="I531" s="71" t="s">
        <v>1283</v>
      </c>
      <c r="J531" s="71" t="s">
        <v>386</v>
      </c>
      <c r="K531" s="43"/>
      <c r="L531" s="71" t="s">
        <v>107</v>
      </c>
      <c r="M531" s="73">
        <v>85</v>
      </c>
      <c r="N531" s="71" t="s">
        <v>388</v>
      </c>
      <c r="O531" s="73">
        <v>0.312</v>
      </c>
      <c r="P531" s="71" t="s">
        <v>389</v>
      </c>
      <c r="Q531" s="73">
        <v>85</v>
      </c>
      <c r="R531" s="71" t="s">
        <v>388</v>
      </c>
      <c r="S531" s="73">
        <v>0</v>
      </c>
      <c r="T531" s="71" t="s">
        <v>390</v>
      </c>
      <c r="U531" s="74">
        <v>1</v>
      </c>
      <c r="V531" s="71" t="s">
        <v>391</v>
      </c>
      <c r="W531" s="130">
        <v>46057.730914351851</v>
      </c>
      <c r="X531" s="72">
        <v>46059.965277777781</v>
      </c>
      <c r="Y531" s="72">
        <v>46060.588888888888</v>
      </c>
      <c r="Z531" s="104" t="s">
        <v>382</v>
      </c>
      <c r="AA531" s="104" t="s">
        <v>422</v>
      </c>
      <c r="AB531" s="105">
        <v>46059.961805555555</v>
      </c>
      <c r="AC531" s="105">
        <v>46060.152083333334</v>
      </c>
    </row>
    <row r="532" s="70" customFormat="1" ht="11.25" customHeight="1">
      <c r="A532" s="87"/>
      <c r="C532" s="43" t="s">
        <v>1281</v>
      </c>
      <c r="D532" s="71" t="s">
        <v>382</v>
      </c>
      <c r="E532" s="71" t="str">
        <f>MID(D532,1,2)</f>
        <v>IL</v>
      </c>
      <c r="F532" s="71" t="s">
        <v>526</v>
      </c>
      <c r="G532" s="71" t="str">
        <f>MID(F532,1,2)</f>
        <v>US</v>
      </c>
      <c r="H532" s="43" t="s">
        <v>1282</v>
      </c>
      <c r="I532" s="71" t="s">
        <v>1283</v>
      </c>
      <c r="J532" s="71" t="s">
        <v>386</v>
      </c>
      <c r="K532" s="43"/>
      <c r="L532" s="71" t="s">
        <v>107</v>
      </c>
      <c r="M532" s="73">
        <v>85</v>
      </c>
      <c r="N532" s="71" t="s">
        <v>388</v>
      </c>
      <c r="O532" s="73">
        <v>0.312</v>
      </c>
      <c r="P532" s="71" t="s">
        <v>389</v>
      </c>
      <c r="Q532" s="73">
        <v>85</v>
      </c>
      <c r="R532" s="71" t="s">
        <v>388</v>
      </c>
      <c r="S532" s="73">
        <v>0</v>
      </c>
      <c r="T532" s="71" t="s">
        <v>390</v>
      </c>
      <c r="U532" s="74">
        <v>1</v>
      </c>
      <c r="V532" s="71" t="s">
        <v>391</v>
      </c>
      <c r="W532" s="130">
        <v>46057.730914351851</v>
      </c>
      <c r="X532" s="72">
        <v>46059.965277777781</v>
      </c>
      <c r="Y532" s="72">
        <v>46060.588888888888</v>
      </c>
      <c r="Z532" s="104" t="s">
        <v>422</v>
      </c>
      <c r="AA532" s="104" t="s">
        <v>526</v>
      </c>
      <c r="AB532" s="105">
        <v>46060.627083333333</v>
      </c>
      <c r="AC532" s="105">
        <v>46060.741666666669</v>
      </c>
    </row>
    <row r="533" s="70" customFormat="1" ht="11.25" customHeight="1">
      <c r="A533" s="87"/>
      <c r="C533" s="43" t="s">
        <v>1284</v>
      </c>
      <c r="D533" s="71" t="s">
        <v>382</v>
      </c>
      <c r="E533" s="71" t="str">
        <f>MID(D533,1,2)</f>
        <v>IL</v>
      </c>
      <c r="F533" s="71" t="s">
        <v>1169</v>
      </c>
      <c r="G533" s="71" t="str">
        <f>MID(F533,1,2)</f>
        <v>HU</v>
      </c>
      <c r="H533" s="43" t="s">
        <v>1285</v>
      </c>
      <c r="I533" s="71"/>
      <c r="J533" s="71" t="s">
        <v>435</v>
      </c>
      <c r="K533" s="43"/>
      <c r="L533" s="71" t="s">
        <v>105</v>
      </c>
      <c r="M533" s="73">
        <v>124</v>
      </c>
      <c r="N533" s="71" t="s">
        <v>388</v>
      </c>
      <c r="O533" s="73">
        <v>2.232</v>
      </c>
      <c r="P533" s="71" t="s">
        <v>389</v>
      </c>
      <c r="Q533" s="73">
        <v>372</v>
      </c>
      <c r="R533" s="71" t="s">
        <v>388</v>
      </c>
      <c r="S533" s="73">
        <v>0</v>
      </c>
      <c r="T533" s="71" t="s">
        <v>390</v>
      </c>
      <c r="U533" s="74">
        <v>1</v>
      </c>
      <c r="V533" s="71" t="s">
        <v>391</v>
      </c>
      <c r="W533" s="130"/>
      <c r="X533" s="72">
        <v>46059.572916666664</v>
      </c>
      <c r="Y533" s="72">
        <v>46062.416666666664</v>
      </c>
      <c r="Z533" s="104" t="s">
        <v>382</v>
      </c>
      <c r="AA533" s="104" t="s">
        <v>383</v>
      </c>
      <c r="AB533" s="105">
        <v>46059.810416666667</v>
      </c>
      <c r="AC533" s="105">
        <v>46059.956944444442</v>
      </c>
    </row>
    <row r="534" s="70" customFormat="1" ht="11.25" customHeight="1">
      <c r="A534" s="87"/>
      <c r="C534" s="43" t="s">
        <v>1284</v>
      </c>
      <c r="D534" s="71" t="s">
        <v>382</v>
      </c>
      <c r="E534" s="71" t="str">
        <f>MID(D534,1,2)</f>
        <v>IL</v>
      </c>
      <c r="F534" s="71" t="s">
        <v>1169</v>
      </c>
      <c r="G534" s="71" t="str">
        <f>MID(F534,1,2)</f>
        <v>HU</v>
      </c>
      <c r="H534" s="43" t="s">
        <v>1285</v>
      </c>
      <c r="I534" s="71"/>
      <c r="J534" s="71" t="s">
        <v>435</v>
      </c>
      <c r="K534" s="43"/>
      <c r="L534" s="71" t="s">
        <v>105</v>
      </c>
      <c r="M534" s="73">
        <v>124</v>
      </c>
      <c r="N534" s="71" t="s">
        <v>388</v>
      </c>
      <c r="O534" s="73">
        <v>2.232</v>
      </c>
      <c r="P534" s="71" t="s">
        <v>389</v>
      </c>
      <c r="Q534" s="73">
        <v>372</v>
      </c>
      <c r="R534" s="71" t="s">
        <v>388</v>
      </c>
      <c r="S534" s="73">
        <v>0</v>
      </c>
      <c r="T534" s="71" t="s">
        <v>390</v>
      </c>
      <c r="U534" s="74">
        <v>1</v>
      </c>
      <c r="V534" s="71" t="s">
        <v>391</v>
      </c>
      <c r="W534" s="130"/>
      <c r="X534" s="72">
        <v>46059.572916666664</v>
      </c>
      <c r="Y534" s="72">
        <v>46062.416666666664</v>
      </c>
      <c r="Z534" s="104" t="s">
        <v>383</v>
      </c>
      <c r="AA534" s="104" t="s">
        <v>1169</v>
      </c>
      <c r="AB534" s="105">
        <v>46060.404166666667</v>
      </c>
      <c r="AC534" s="105">
        <v>46061.069444444445</v>
      </c>
    </row>
    <row r="535" s="70" customFormat="1" ht="11.25" customHeight="1">
      <c r="A535" s="87"/>
      <c r="C535" s="43" t="s">
        <v>1286</v>
      </c>
      <c r="D535" s="71" t="s">
        <v>382</v>
      </c>
      <c r="E535" s="71" t="str">
        <f>MID(D535,1,2)</f>
        <v>IL</v>
      </c>
      <c r="F535" s="71" t="s">
        <v>526</v>
      </c>
      <c r="G535" s="71" t="str">
        <f>MID(F535,1,2)</f>
        <v>US</v>
      </c>
      <c r="H535" s="43" t="s">
        <v>1287</v>
      </c>
      <c r="I535" s="71" t="s">
        <v>1288</v>
      </c>
      <c r="J535" s="71" t="s">
        <v>386</v>
      </c>
      <c r="K535" s="43"/>
      <c r="L535" s="71" t="s">
        <v>107</v>
      </c>
      <c r="M535" s="73">
        <v>91</v>
      </c>
      <c r="N535" s="71" t="s">
        <v>388</v>
      </c>
      <c r="O535" s="73">
        <v>0.756</v>
      </c>
      <c r="P535" s="71" t="s">
        <v>389</v>
      </c>
      <c r="Q535" s="73">
        <v>126</v>
      </c>
      <c r="R535" s="71" t="s">
        <v>388</v>
      </c>
      <c r="S535" s="73">
        <v>6</v>
      </c>
      <c r="T535" s="71" t="s">
        <v>390</v>
      </c>
      <c r="U535" s="74">
        <v>1</v>
      </c>
      <c r="V535" s="71" t="s">
        <v>391</v>
      </c>
      <c r="W535" s="130">
        <v>46057.709027777775</v>
      </c>
      <c r="X535" s="72">
        <v>46059.03125</v>
      </c>
      <c r="Y535" s="72">
        <v>46059.25</v>
      </c>
      <c r="Z535" s="104" t="s">
        <v>382</v>
      </c>
      <c r="AA535" s="104" t="s">
        <v>526</v>
      </c>
      <c r="AB535" s="105">
        <v>46059.045138888891</v>
      </c>
      <c r="AC535" s="105">
        <v>46059.238194444442</v>
      </c>
    </row>
    <row r="536" s="70" customFormat="1" ht="11.25" customHeight="1">
      <c r="A536" s="87"/>
      <c r="C536" s="43" t="s">
        <v>1289</v>
      </c>
      <c r="D536" s="71" t="s">
        <v>382</v>
      </c>
      <c r="E536" s="71" t="str">
        <f>MID(D536,1,2)</f>
        <v>IL</v>
      </c>
      <c r="F536" s="71" t="s">
        <v>618</v>
      </c>
      <c r="G536" s="71" t="str">
        <f>MID(F536,1,2)</f>
        <v>CO</v>
      </c>
      <c r="H536" s="43" t="s">
        <v>1290</v>
      </c>
      <c r="I536" s="71" t="s">
        <v>1291</v>
      </c>
      <c r="J536" s="71" t="s">
        <v>426</v>
      </c>
      <c r="K536" s="43"/>
      <c r="L536" s="71" t="s">
        <v>105</v>
      </c>
      <c r="M536" s="73">
        <v>25</v>
      </c>
      <c r="N536" s="71" t="s">
        <v>388</v>
      </c>
      <c r="O536" s="73">
        <v>0.36</v>
      </c>
      <c r="P536" s="71" t="s">
        <v>389</v>
      </c>
      <c r="Q536" s="73">
        <v>100</v>
      </c>
      <c r="R536" s="71" t="s">
        <v>388</v>
      </c>
      <c r="S536" s="73">
        <v>0</v>
      </c>
      <c r="T536" s="71" t="s">
        <v>390</v>
      </c>
      <c r="U536" s="74">
        <v>1</v>
      </c>
      <c r="V536" s="71" t="s">
        <v>391</v>
      </c>
      <c r="W536" s="130">
        <v>46061.40347222222</v>
      </c>
      <c r="X536" s="72">
        <v>46063.586805555555</v>
      </c>
      <c r="Y536" s="72">
        <v>46068.024305555555</v>
      </c>
      <c r="Z536" s="104" t="s">
        <v>382</v>
      </c>
      <c r="AA536" s="104" t="s">
        <v>590</v>
      </c>
      <c r="AB536" s="105">
        <v>46063.661805555559</v>
      </c>
      <c r="AC536" s="105">
        <v>46064.018055555556</v>
      </c>
    </row>
    <row r="537" s="70" customFormat="1" ht="11.25" customHeight="1">
      <c r="A537" s="87"/>
      <c r="C537" s="43" t="s">
        <v>1289</v>
      </c>
      <c r="D537" s="71" t="s">
        <v>382</v>
      </c>
      <c r="E537" s="71" t="str">
        <f>MID(D537,1,2)</f>
        <v>IL</v>
      </c>
      <c r="F537" s="71" t="s">
        <v>618</v>
      </c>
      <c r="G537" s="71" t="str">
        <f>MID(F537,1,2)</f>
        <v>CO</v>
      </c>
      <c r="H537" s="43" t="s">
        <v>1290</v>
      </c>
      <c r="I537" s="71" t="s">
        <v>1291</v>
      </c>
      <c r="J537" s="71" t="s">
        <v>426</v>
      </c>
      <c r="K537" s="43"/>
      <c r="L537" s="71" t="s">
        <v>105</v>
      </c>
      <c r="M537" s="73">
        <v>25</v>
      </c>
      <c r="N537" s="71" t="s">
        <v>388</v>
      </c>
      <c r="O537" s="73">
        <v>0.36</v>
      </c>
      <c r="P537" s="71" t="s">
        <v>389</v>
      </c>
      <c r="Q537" s="73">
        <v>100</v>
      </c>
      <c r="R537" s="71" t="s">
        <v>388</v>
      </c>
      <c r="S537" s="73">
        <v>0</v>
      </c>
      <c r="T537" s="71" t="s">
        <v>390</v>
      </c>
      <c r="U537" s="74">
        <v>1</v>
      </c>
      <c r="V537" s="71" t="s">
        <v>391</v>
      </c>
      <c r="W537" s="130">
        <v>46061.40347222222</v>
      </c>
      <c r="X537" s="72">
        <v>46063.586805555555</v>
      </c>
      <c r="Y537" s="72">
        <v>46068.024305555555</v>
      </c>
      <c r="Z537" s="104" t="s">
        <v>590</v>
      </c>
      <c r="AA537" s="104" t="s">
        <v>618</v>
      </c>
      <c r="AB537" s="105">
        <v>46065.680555555555</v>
      </c>
      <c r="AC537" s="105">
        <v>46066.824305555558</v>
      </c>
    </row>
    <row r="538" s="70" customFormat="1" ht="11.25" customHeight="1">
      <c r="A538" s="87"/>
      <c r="C538" s="43" t="s">
        <v>1292</v>
      </c>
      <c r="D538" s="71" t="s">
        <v>382</v>
      </c>
      <c r="E538" s="71" t="str">
        <f>MID(D538,1,2)</f>
        <v>IL</v>
      </c>
      <c r="F538" s="71" t="s">
        <v>651</v>
      </c>
      <c r="G538" s="71" t="str">
        <f>MID(F538,1,2)</f>
        <v>BR</v>
      </c>
      <c r="H538" s="43" t="s">
        <v>1062</v>
      </c>
      <c r="I538" s="71" t="s">
        <v>1293</v>
      </c>
      <c r="J538" s="71" t="s">
        <v>386</v>
      </c>
      <c r="K538" s="43"/>
      <c r="L538" s="71" t="s">
        <v>107</v>
      </c>
      <c r="M538" s="73">
        <v>98</v>
      </c>
      <c r="N538" s="71" t="s">
        <v>388</v>
      </c>
      <c r="O538" s="73">
        <v>1.404</v>
      </c>
      <c r="P538" s="71" t="s">
        <v>389</v>
      </c>
      <c r="Q538" s="73">
        <v>234</v>
      </c>
      <c r="R538" s="71" t="s">
        <v>388</v>
      </c>
      <c r="S538" s="73">
        <v>0</v>
      </c>
      <c r="T538" s="71" t="s">
        <v>390</v>
      </c>
      <c r="U538" s="74">
        <v>1</v>
      </c>
      <c r="V538" s="71" t="s">
        <v>391</v>
      </c>
      <c r="W538" s="130">
        <v>46057.34097222222</v>
      </c>
      <c r="X538" s="72">
        <v>46059.586805555555</v>
      </c>
      <c r="Y538" s="72">
        <v>46061.395833333336</v>
      </c>
      <c r="Z538" s="104" t="s">
        <v>382</v>
      </c>
      <c r="AA538" s="104" t="s">
        <v>590</v>
      </c>
      <c r="AB538" s="105">
        <v>46059.48125</v>
      </c>
      <c r="AC538" s="105">
        <v>46060.01666666667</v>
      </c>
    </row>
    <row r="539" s="70" customFormat="1" ht="11.25" customHeight="1">
      <c r="A539" s="87"/>
      <c r="C539" s="43" t="s">
        <v>1292</v>
      </c>
      <c r="D539" s="71" t="s">
        <v>382</v>
      </c>
      <c r="E539" s="71" t="str">
        <f>MID(D539,1,2)</f>
        <v>IL</v>
      </c>
      <c r="F539" s="71" t="s">
        <v>651</v>
      </c>
      <c r="G539" s="71" t="str">
        <f>MID(F539,1,2)</f>
        <v>BR</v>
      </c>
      <c r="H539" s="43" t="s">
        <v>1062</v>
      </c>
      <c r="I539" s="71" t="s">
        <v>1293</v>
      </c>
      <c r="J539" s="71" t="s">
        <v>386</v>
      </c>
      <c r="K539" s="43"/>
      <c r="L539" s="71" t="s">
        <v>107</v>
      </c>
      <c r="M539" s="73">
        <v>98</v>
      </c>
      <c r="N539" s="71" t="s">
        <v>388</v>
      </c>
      <c r="O539" s="73">
        <v>1.404</v>
      </c>
      <c r="P539" s="71" t="s">
        <v>389</v>
      </c>
      <c r="Q539" s="73">
        <v>234</v>
      </c>
      <c r="R539" s="71" t="s">
        <v>388</v>
      </c>
      <c r="S539" s="73">
        <v>0</v>
      </c>
      <c r="T539" s="71" t="s">
        <v>390</v>
      </c>
      <c r="U539" s="74">
        <v>1</v>
      </c>
      <c r="V539" s="71" t="s">
        <v>391</v>
      </c>
      <c r="W539" s="130">
        <v>46057.34097222222</v>
      </c>
      <c r="X539" s="72">
        <v>46059.586805555555</v>
      </c>
      <c r="Y539" s="72">
        <v>46061.395833333336</v>
      </c>
      <c r="Z539" s="104" t="s">
        <v>590</v>
      </c>
      <c r="AA539" s="104" t="s">
        <v>651</v>
      </c>
      <c r="AB539" s="105">
        <v>46061.029861111114</v>
      </c>
      <c r="AC539" s="105">
        <v>46061.82708333333</v>
      </c>
    </row>
    <row r="540" s="70" customFormat="1" ht="11.25" customHeight="1">
      <c r="A540" s="87"/>
      <c r="C540" s="43" t="s">
        <v>1294</v>
      </c>
      <c r="D540" s="71" t="s">
        <v>382</v>
      </c>
      <c r="E540" s="71" t="str">
        <f>MID(D540,1,2)</f>
        <v>IL</v>
      </c>
      <c r="F540" s="71" t="s">
        <v>419</v>
      </c>
      <c r="G540" s="71" t="str">
        <f>MID(F540,1,2)</f>
        <v>US</v>
      </c>
      <c r="H540" s="43" t="s">
        <v>1295</v>
      </c>
      <c r="I540" s="71" t="s">
        <v>1296</v>
      </c>
      <c r="J540" s="71" t="s">
        <v>426</v>
      </c>
      <c r="K540" s="43"/>
      <c r="L540" s="71" t="s">
        <v>105</v>
      </c>
      <c r="M540" s="73">
        <v>1976</v>
      </c>
      <c r="N540" s="71" t="s">
        <v>388</v>
      </c>
      <c r="O540" s="73">
        <v>30.36</v>
      </c>
      <c r="P540" s="71" t="s">
        <v>389</v>
      </c>
      <c r="Q540" s="73">
        <v>6050</v>
      </c>
      <c r="R540" s="71" t="s">
        <v>388</v>
      </c>
      <c r="S540" s="73">
        <v>0</v>
      </c>
      <c r="T540" s="71" t="s">
        <v>390</v>
      </c>
      <c r="U540" s="74">
        <v>22</v>
      </c>
      <c r="V540" s="71" t="s">
        <v>391</v>
      </c>
      <c r="W540" s="130">
        <v>46063.372060185182</v>
      </c>
      <c r="X540" s="72">
        <v>46064.402777777781</v>
      </c>
      <c r="Y540" s="72">
        <v>46066.711805555555</v>
      </c>
      <c r="Z540" s="104" t="s">
        <v>382</v>
      </c>
      <c r="AA540" s="104" t="s">
        <v>405</v>
      </c>
      <c r="AB540" s="105">
        <v>46064.495138888888</v>
      </c>
      <c r="AC540" s="105">
        <v>46064.700694444444</v>
      </c>
    </row>
    <row r="541" s="70" customFormat="1" ht="11.25" customHeight="1">
      <c r="A541" s="87"/>
      <c r="C541" s="43" t="s">
        <v>1297</v>
      </c>
      <c r="D541" s="71" t="s">
        <v>382</v>
      </c>
      <c r="E541" s="71" t="str">
        <f>MID(D541,1,2)</f>
        <v>IL</v>
      </c>
      <c r="F541" s="71" t="s">
        <v>702</v>
      </c>
      <c r="G541" s="71" t="str">
        <f>MID(F541,1,2)</f>
        <v>JP</v>
      </c>
      <c r="H541" s="43" t="s">
        <v>1298</v>
      </c>
      <c r="I541" s="71" t="s">
        <v>1299</v>
      </c>
      <c r="J541" s="71" t="s">
        <v>755</v>
      </c>
      <c r="K541" s="43"/>
      <c r="L541" s="71" t="s">
        <v>105</v>
      </c>
      <c r="M541" s="73">
        <v>53</v>
      </c>
      <c r="N541" s="71" t="s">
        <v>388</v>
      </c>
      <c r="O541" s="73">
        <v>0.502</v>
      </c>
      <c r="P541" s="71" t="s">
        <v>389</v>
      </c>
      <c r="Q541" s="73">
        <v>84</v>
      </c>
      <c r="R541" s="71" t="s">
        <v>388</v>
      </c>
      <c r="S541" s="73">
        <v>0</v>
      </c>
      <c r="T541" s="71" t="s">
        <v>390</v>
      </c>
      <c r="U541" s="74">
        <v>1</v>
      </c>
      <c r="V541" s="71" t="s">
        <v>391</v>
      </c>
      <c r="W541" s="130">
        <v>46057.74375</v>
      </c>
      <c r="X541" s="72">
        <v>46059.677083333336</v>
      </c>
      <c r="Y541" s="72">
        <v>46061.486111111109</v>
      </c>
      <c r="Z541" s="104" t="s">
        <v>382</v>
      </c>
      <c r="AA541" s="104" t="s">
        <v>441</v>
      </c>
      <c r="AB541" s="105">
        <v>46059.667361111111</v>
      </c>
      <c r="AC541" s="105">
        <v>46059.868055555555</v>
      </c>
    </row>
    <row r="542" s="70" customFormat="1" ht="11.25" customHeight="1">
      <c r="A542" s="87"/>
      <c r="C542" s="43" t="s">
        <v>1297</v>
      </c>
      <c r="D542" s="71" t="s">
        <v>382</v>
      </c>
      <c r="E542" s="71" t="str">
        <f>MID(D542,1,2)</f>
        <v>IL</v>
      </c>
      <c r="F542" s="71" t="s">
        <v>702</v>
      </c>
      <c r="G542" s="71" t="str">
        <f>MID(F542,1,2)</f>
        <v>JP</v>
      </c>
      <c r="H542" s="43" t="s">
        <v>1298</v>
      </c>
      <c r="I542" s="71" t="s">
        <v>1299</v>
      </c>
      <c r="J542" s="71" t="s">
        <v>755</v>
      </c>
      <c r="K542" s="43"/>
      <c r="L542" s="71" t="s">
        <v>105</v>
      </c>
      <c r="M542" s="73">
        <v>53</v>
      </c>
      <c r="N542" s="71" t="s">
        <v>388</v>
      </c>
      <c r="O542" s="73">
        <v>0.502</v>
      </c>
      <c r="P542" s="71" t="s">
        <v>389</v>
      </c>
      <c r="Q542" s="73">
        <v>84</v>
      </c>
      <c r="R542" s="71" t="s">
        <v>388</v>
      </c>
      <c r="S542" s="73">
        <v>0</v>
      </c>
      <c r="T542" s="71" t="s">
        <v>390</v>
      </c>
      <c r="U542" s="74">
        <v>1</v>
      </c>
      <c r="V542" s="71" t="s">
        <v>391</v>
      </c>
      <c r="W542" s="130">
        <v>46057.74375</v>
      </c>
      <c r="X542" s="72">
        <v>46059.677083333336</v>
      </c>
      <c r="Y542" s="72">
        <v>46061.486111111109</v>
      </c>
      <c r="Z542" s="104" t="s">
        <v>441</v>
      </c>
      <c r="AA542" s="104" t="s">
        <v>702</v>
      </c>
      <c r="AB542" s="105">
        <v>46060.876388888886</v>
      </c>
      <c r="AC542" s="105">
        <v>46061.470833333333</v>
      </c>
    </row>
    <row r="543" s="70" customFormat="1" ht="11.25" customHeight="1">
      <c r="A543" s="87"/>
      <c r="C543" s="43" t="s">
        <v>1300</v>
      </c>
      <c r="D543" s="71" t="s">
        <v>382</v>
      </c>
      <c r="E543" s="71" t="str">
        <f>MID(D543,1,2)</f>
        <v>IL</v>
      </c>
      <c r="F543" s="71" t="s">
        <v>963</v>
      </c>
      <c r="G543" s="71" t="str">
        <f>MID(F543,1,2)</f>
        <v>IN</v>
      </c>
      <c r="H543" s="43" t="s">
        <v>1301</v>
      </c>
      <c r="I543" s="71" t="s">
        <v>1302</v>
      </c>
      <c r="J543" s="71" t="s">
        <v>426</v>
      </c>
      <c r="K543" s="43"/>
      <c r="L543" s="71" t="s">
        <v>105</v>
      </c>
      <c r="M543" s="73">
        <v>41</v>
      </c>
      <c r="N543" s="71" t="s">
        <v>388</v>
      </c>
      <c r="O543" s="73">
        <v>0.428</v>
      </c>
      <c r="P543" s="71" t="s">
        <v>389</v>
      </c>
      <c r="Q543" s="73">
        <v>71.5</v>
      </c>
      <c r="R543" s="71" t="s">
        <v>388</v>
      </c>
      <c r="S543" s="73">
        <v>0</v>
      </c>
      <c r="T543" s="71" t="s">
        <v>390</v>
      </c>
      <c r="U543" s="74">
        <v>1</v>
      </c>
      <c r="V543" s="71" t="s">
        <v>391</v>
      </c>
      <c r="W543" s="130">
        <v>46057.375694444447</v>
      </c>
      <c r="X543" s="72">
        <v>46060.895833333336</v>
      </c>
      <c r="Y543" s="72">
        <v>46063.003472222219</v>
      </c>
      <c r="Z543" s="104" t="s">
        <v>382</v>
      </c>
      <c r="AA543" s="104" t="s">
        <v>833</v>
      </c>
      <c r="AB543" s="105">
        <v>46060.895833333336</v>
      </c>
      <c r="AC543" s="105">
        <v>46061.576388888891</v>
      </c>
    </row>
    <row r="544" s="70" customFormat="1" ht="11.25" customHeight="1">
      <c r="A544" s="87"/>
      <c r="C544" s="43" t="s">
        <v>1300</v>
      </c>
      <c r="D544" s="71" t="s">
        <v>382</v>
      </c>
      <c r="E544" s="71" t="str">
        <f>MID(D544,1,2)</f>
        <v>IL</v>
      </c>
      <c r="F544" s="71" t="s">
        <v>963</v>
      </c>
      <c r="G544" s="71" t="str">
        <f>MID(F544,1,2)</f>
        <v>IN</v>
      </c>
      <c r="H544" s="43" t="s">
        <v>1301</v>
      </c>
      <c r="I544" s="71" t="s">
        <v>1302</v>
      </c>
      <c r="J544" s="71" t="s">
        <v>426</v>
      </c>
      <c r="K544" s="43"/>
      <c r="L544" s="71" t="s">
        <v>105</v>
      </c>
      <c r="M544" s="73">
        <v>41</v>
      </c>
      <c r="N544" s="71" t="s">
        <v>388</v>
      </c>
      <c r="O544" s="73">
        <v>0.428</v>
      </c>
      <c r="P544" s="71" t="s">
        <v>389</v>
      </c>
      <c r="Q544" s="73">
        <v>71.5</v>
      </c>
      <c r="R544" s="71" t="s">
        <v>388</v>
      </c>
      <c r="S544" s="73">
        <v>0</v>
      </c>
      <c r="T544" s="71" t="s">
        <v>390</v>
      </c>
      <c r="U544" s="74">
        <v>1</v>
      </c>
      <c r="V544" s="71" t="s">
        <v>391</v>
      </c>
      <c r="W544" s="130">
        <v>46057.375694444447</v>
      </c>
      <c r="X544" s="72">
        <v>46060.895833333336</v>
      </c>
      <c r="Y544" s="72">
        <v>46063.003472222219</v>
      </c>
      <c r="Z544" s="104" t="s">
        <v>833</v>
      </c>
      <c r="AA544" s="104" t="s">
        <v>963</v>
      </c>
      <c r="AB544" s="105">
        <v>46062.469444444447</v>
      </c>
      <c r="AC544" s="105">
        <v>46063.469444444447</v>
      </c>
    </row>
    <row r="545" s="70" customFormat="1" ht="11.25" customHeight="1">
      <c r="A545" s="87"/>
      <c r="C545" s="43" t="s">
        <v>1303</v>
      </c>
      <c r="D545" s="71" t="s">
        <v>382</v>
      </c>
      <c r="E545" s="71" t="str">
        <f>MID(D545,1,2)</f>
        <v>IL</v>
      </c>
      <c r="F545" s="71" t="s">
        <v>1304</v>
      </c>
      <c r="G545" s="71" t="str">
        <f>MID(F545,1,2)</f>
        <v>DE</v>
      </c>
      <c r="H545" s="43" t="s">
        <v>1305</v>
      </c>
      <c r="I545" s="71" t="s">
        <v>1306</v>
      </c>
      <c r="J545" s="71" t="s">
        <v>386</v>
      </c>
      <c r="K545" s="43"/>
      <c r="L545" s="71" t="s">
        <v>107</v>
      </c>
      <c r="M545" s="73">
        <v>518</v>
      </c>
      <c r="N545" s="71" t="s">
        <v>388</v>
      </c>
      <c r="O545" s="73">
        <v>2.282</v>
      </c>
      <c r="P545" s="71" t="s">
        <v>389</v>
      </c>
      <c r="Q545" s="73">
        <v>518</v>
      </c>
      <c r="R545" s="71" t="s">
        <v>388</v>
      </c>
      <c r="S545" s="73">
        <v>0</v>
      </c>
      <c r="T545" s="71" t="s">
        <v>390</v>
      </c>
      <c r="U545" s="74">
        <v>3</v>
      </c>
      <c r="V545" s="71" t="s">
        <v>391</v>
      </c>
      <c r="W545" s="130">
        <v>46058.553252314814</v>
      </c>
      <c r="X545" s="72">
        <v>46060.03125</v>
      </c>
      <c r="Y545" s="72">
        <v>46062.361111111109</v>
      </c>
      <c r="Z545" s="104" t="s">
        <v>382</v>
      </c>
      <c r="AA545" s="104" t="s">
        <v>667</v>
      </c>
      <c r="AB545" s="105">
        <v>46060.020833333336</v>
      </c>
      <c r="AC545" s="105">
        <v>46060.222916666666</v>
      </c>
    </row>
    <row r="546" s="70" customFormat="1" ht="11.25" customHeight="1">
      <c r="A546" s="87"/>
      <c r="C546" s="43" t="s">
        <v>1303</v>
      </c>
      <c r="D546" s="71" t="s">
        <v>382</v>
      </c>
      <c r="E546" s="71" t="str">
        <f>MID(D546,1,2)</f>
        <v>IL</v>
      </c>
      <c r="F546" s="71" t="s">
        <v>1304</v>
      </c>
      <c r="G546" s="71" t="str">
        <f>MID(F546,1,2)</f>
        <v>DE</v>
      </c>
      <c r="H546" s="43" t="s">
        <v>1305</v>
      </c>
      <c r="I546" s="71" t="s">
        <v>1306</v>
      </c>
      <c r="J546" s="71" t="s">
        <v>386</v>
      </c>
      <c r="K546" s="43"/>
      <c r="L546" s="71" t="s">
        <v>107</v>
      </c>
      <c r="M546" s="73">
        <v>518</v>
      </c>
      <c r="N546" s="71" t="s">
        <v>388</v>
      </c>
      <c r="O546" s="73">
        <v>2.282</v>
      </c>
      <c r="P546" s="71" t="s">
        <v>389</v>
      </c>
      <c r="Q546" s="73">
        <v>518</v>
      </c>
      <c r="R546" s="71" t="s">
        <v>388</v>
      </c>
      <c r="S546" s="73">
        <v>0</v>
      </c>
      <c r="T546" s="71" t="s">
        <v>390</v>
      </c>
      <c r="U546" s="74">
        <v>3</v>
      </c>
      <c r="V546" s="71" t="s">
        <v>391</v>
      </c>
      <c r="W546" s="130">
        <v>46058.553252314814</v>
      </c>
      <c r="X546" s="72">
        <v>46060.03125</v>
      </c>
      <c r="Y546" s="72">
        <v>46062.361111111109</v>
      </c>
      <c r="Z546" s="104" t="s">
        <v>667</v>
      </c>
      <c r="AA546" s="104" t="s">
        <v>1304</v>
      </c>
      <c r="AB546" s="105">
        <v>46062.308333333334</v>
      </c>
      <c r="AC546" s="105">
        <v>46062.667361111111</v>
      </c>
    </row>
    <row r="547" s="70" customFormat="1" ht="11.25" customHeight="1">
      <c r="A547" s="87"/>
      <c r="C547" s="43" t="s">
        <v>1307</v>
      </c>
      <c r="D547" s="71" t="s">
        <v>382</v>
      </c>
      <c r="E547" s="71" t="str">
        <f>MID(D547,1,2)</f>
        <v>IL</v>
      </c>
      <c r="F547" s="71" t="s">
        <v>1308</v>
      </c>
      <c r="G547" s="71" t="str">
        <f>MID(F547,1,2)</f>
        <v>RW</v>
      </c>
      <c r="H547" s="43" t="s">
        <v>1309</v>
      </c>
      <c r="I547" s="71"/>
      <c r="J547" s="71" t="s">
        <v>426</v>
      </c>
      <c r="K547" s="43"/>
      <c r="L547" s="71" t="s">
        <v>105</v>
      </c>
      <c r="M547" s="73">
        <v>25</v>
      </c>
      <c r="N547" s="71" t="s">
        <v>388</v>
      </c>
      <c r="O547" s="73">
        <v>0.067</v>
      </c>
      <c r="P547" s="71" t="s">
        <v>389</v>
      </c>
      <c r="Q547" s="73">
        <v>25</v>
      </c>
      <c r="R547" s="71" t="s">
        <v>388</v>
      </c>
      <c r="S547" s="73">
        <v>0</v>
      </c>
      <c r="T547" s="71" t="s">
        <v>390</v>
      </c>
      <c r="U547" s="74">
        <v>1</v>
      </c>
      <c r="V547" s="71" t="s">
        <v>391</v>
      </c>
      <c r="W547" s="130"/>
      <c r="X547" s="72">
        <v>46060.041666666664</v>
      </c>
      <c r="Y547" s="72">
        <v>46067.915972222225</v>
      </c>
      <c r="Z547" s="104" t="s">
        <v>382</v>
      </c>
      <c r="AA547" s="104" t="s">
        <v>1310</v>
      </c>
      <c r="AB547" s="105">
        <v>46060.407638888886</v>
      </c>
      <c r="AC547" s="105">
        <v>46060.697916666664</v>
      </c>
    </row>
    <row r="548" s="70" customFormat="1" ht="11.25" customHeight="1">
      <c r="A548" s="87"/>
      <c r="C548" s="43" t="s">
        <v>1307</v>
      </c>
      <c r="D548" s="71" t="s">
        <v>382</v>
      </c>
      <c r="E548" s="71" t="str">
        <f>MID(D548,1,2)</f>
        <v>IL</v>
      </c>
      <c r="F548" s="71" t="s">
        <v>1308</v>
      </c>
      <c r="G548" s="71" t="str">
        <f>MID(F548,1,2)</f>
        <v>RW</v>
      </c>
      <c r="H548" s="43" t="s">
        <v>1309</v>
      </c>
      <c r="I548" s="71"/>
      <c r="J548" s="71" t="s">
        <v>426</v>
      </c>
      <c r="K548" s="43"/>
      <c r="L548" s="71" t="s">
        <v>105</v>
      </c>
      <c r="M548" s="73">
        <v>25</v>
      </c>
      <c r="N548" s="71" t="s">
        <v>388</v>
      </c>
      <c r="O548" s="73">
        <v>0.067</v>
      </c>
      <c r="P548" s="71" t="s">
        <v>389</v>
      </c>
      <c r="Q548" s="73">
        <v>25</v>
      </c>
      <c r="R548" s="71" t="s">
        <v>388</v>
      </c>
      <c r="S548" s="73">
        <v>0</v>
      </c>
      <c r="T548" s="71" t="s">
        <v>390</v>
      </c>
      <c r="U548" s="74">
        <v>1</v>
      </c>
      <c r="V548" s="71" t="s">
        <v>391</v>
      </c>
      <c r="W548" s="130"/>
      <c r="X548" s="72">
        <v>46060.041666666664</v>
      </c>
      <c r="Y548" s="72">
        <v>46067.915972222225</v>
      </c>
      <c r="Z548" s="104" t="s">
        <v>1310</v>
      </c>
      <c r="AA548" s="104" t="s">
        <v>1308</v>
      </c>
      <c r="AB548" s="105">
        <v>46067.305555555555</v>
      </c>
      <c r="AC548" s="105">
        <v>46067.365972222222</v>
      </c>
    </row>
    <row r="549" s="70" customFormat="1" ht="11.25" customHeight="1">
      <c r="A549" s="87"/>
      <c r="C549" s="43" t="s">
        <v>1311</v>
      </c>
      <c r="D549" s="71" t="s">
        <v>382</v>
      </c>
      <c r="E549" s="71" t="str">
        <f>MID(D549,1,2)</f>
        <v>IL</v>
      </c>
      <c r="F549" s="71" t="s">
        <v>522</v>
      </c>
      <c r="G549" s="71" t="str">
        <f>MID(F549,1,2)</f>
        <v>CZ</v>
      </c>
      <c r="H549" s="43" t="s">
        <v>1312</v>
      </c>
      <c r="I549" s="71" t="s">
        <v>1313</v>
      </c>
      <c r="J549" s="71" t="s">
        <v>426</v>
      </c>
      <c r="K549" s="43"/>
      <c r="L549" s="71" t="s">
        <v>105</v>
      </c>
      <c r="M549" s="73">
        <v>378</v>
      </c>
      <c r="N549" s="71" t="s">
        <v>388</v>
      </c>
      <c r="O549" s="73">
        <v>1.944</v>
      </c>
      <c r="P549" s="71" t="s">
        <v>389</v>
      </c>
      <c r="Q549" s="73">
        <v>378</v>
      </c>
      <c r="R549" s="71" t="s">
        <v>388</v>
      </c>
      <c r="S549" s="73">
        <v>0</v>
      </c>
      <c r="T549" s="71" t="s">
        <v>390</v>
      </c>
      <c r="U549" s="74">
        <v>1</v>
      </c>
      <c r="V549" s="71" t="s">
        <v>391</v>
      </c>
      <c r="W549" s="130">
        <v>46058.501099537039</v>
      </c>
      <c r="X549" s="72">
        <v>46059.340277777781</v>
      </c>
      <c r="Y549" s="72">
        <v>46062.229166666664</v>
      </c>
      <c r="Z549" s="104" t="s">
        <v>382</v>
      </c>
      <c r="AA549" s="104" t="s">
        <v>748</v>
      </c>
      <c r="AB549" s="105">
        <v>46059.71875</v>
      </c>
      <c r="AC549" s="105">
        <v>46059.852083333331</v>
      </c>
    </row>
    <row r="550" s="70" customFormat="1" ht="11.25" customHeight="1">
      <c r="A550" s="87"/>
      <c r="C550" s="43" t="s">
        <v>1311</v>
      </c>
      <c r="D550" s="71" t="s">
        <v>382</v>
      </c>
      <c r="E550" s="71" t="str">
        <f>MID(D550,1,2)</f>
        <v>IL</v>
      </c>
      <c r="F550" s="71" t="s">
        <v>522</v>
      </c>
      <c r="G550" s="71" t="str">
        <f>MID(F550,1,2)</f>
        <v>CZ</v>
      </c>
      <c r="H550" s="43" t="s">
        <v>1312</v>
      </c>
      <c r="I550" s="71" t="s">
        <v>1313</v>
      </c>
      <c r="J550" s="71" t="s">
        <v>426</v>
      </c>
      <c r="K550" s="43"/>
      <c r="L550" s="71" t="s">
        <v>105</v>
      </c>
      <c r="M550" s="73">
        <v>378</v>
      </c>
      <c r="N550" s="71" t="s">
        <v>388</v>
      </c>
      <c r="O550" s="73">
        <v>1.944</v>
      </c>
      <c r="P550" s="71" t="s">
        <v>389</v>
      </c>
      <c r="Q550" s="73">
        <v>378</v>
      </c>
      <c r="R550" s="71" t="s">
        <v>388</v>
      </c>
      <c r="S550" s="73">
        <v>0</v>
      </c>
      <c r="T550" s="71" t="s">
        <v>390</v>
      </c>
      <c r="U550" s="74">
        <v>1</v>
      </c>
      <c r="V550" s="71" t="s">
        <v>391</v>
      </c>
      <c r="W550" s="130">
        <v>46058.501099537039</v>
      </c>
      <c r="X550" s="72">
        <v>46059.340277777781</v>
      </c>
      <c r="Y550" s="72">
        <v>46062.229166666664</v>
      </c>
      <c r="Z550" s="104" t="s">
        <v>748</v>
      </c>
      <c r="AA550" s="104" t="s">
        <v>522</v>
      </c>
      <c r="AB550" s="105">
        <v>46062.130555555559</v>
      </c>
      <c r="AC550" s="105">
        <v>46062.588888888888</v>
      </c>
    </row>
    <row r="551" s="70" customFormat="1" ht="11.25" customHeight="1">
      <c r="A551" s="87"/>
      <c r="C551" s="43" t="s">
        <v>1314</v>
      </c>
      <c r="D551" s="71" t="s">
        <v>382</v>
      </c>
      <c r="E551" s="71" t="str">
        <f>MID(D551,1,2)</f>
        <v>IL</v>
      </c>
      <c r="F551" s="71" t="s">
        <v>651</v>
      </c>
      <c r="G551" s="71" t="str">
        <f>MID(F551,1,2)</f>
        <v>BR</v>
      </c>
      <c r="H551" s="43" t="s">
        <v>1062</v>
      </c>
      <c r="I551" s="71" t="s">
        <v>1315</v>
      </c>
      <c r="J551" s="71" t="s">
        <v>386</v>
      </c>
      <c r="K551" s="43"/>
      <c r="L551" s="71" t="s">
        <v>107</v>
      </c>
      <c r="M551" s="73">
        <v>36</v>
      </c>
      <c r="N551" s="71" t="s">
        <v>388</v>
      </c>
      <c r="O551" s="73">
        <v>0.625</v>
      </c>
      <c r="P551" s="71" t="s">
        <v>389</v>
      </c>
      <c r="Q551" s="73">
        <v>104.5</v>
      </c>
      <c r="R551" s="71" t="s">
        <v>388</v>
      </c>
      <c r="S551" s="73">
        <v>0</v>
      </c>
      <c r="T551" s="71" t="s">
        <v>390</v>
      </c>
      <c r="U551" s="74">
        <v>1</v>
      </c>
      <c r="V551" s="71" t="s">
        <v>391</v>
      </c>
      <c r="W551" s="130">
        <v>46057.382638888892</v>
      </c>
      <c r="X551" s="72">
        <v>46059.586805555555</v>
      </c>
      <c r="Y551" s="72">
        <v>46061.395833333336</v>
      </c>
      <c r="Z551" s="104" t="s">
        <v>382</v>
      </c>
      <c r="AA551" s="104" t="s">
        <v>590</v>
      </c>
      <c r="AB551" s="105">
        <v>46059.48125</v>
      </c>
      <c r="AC551" s="105">
        <v>46060.01666666667</v>
      </c>
    </row>
    <row r="552" s="70" customFormat="1" ht="11.25" customHeight="1">
      <c r="A552" s="87"/>
      <c r="C552" s="43" t="s">
        <v>1314</v>
      </c>
      <c r="D552" s="71" t="s">
        <v>382</v>
      </c>
      <c r="E552" s="71" t="str">
        <f>MID(D552,1,2)</f>
        <v>IL</v>
      </c>
      <c r="F552" s="71" t="s">
        <v>651</v>
      </c>
      <c r="G552" s="71" t="str">
        <f>MID(F552,1,2)</f>
        <v>BR</v>
      </c>
      <c r="H552" s="43" t="s">
        <v>1062</v>
      </c>
      <c r="I552" s="71" t="s">
        <v>1315</v>
      </c>
      <c r="J552" s="71" t="s">
        <v>386</v>
      </c>
      <c r="K552" s="43"/>
      <c r="L552" s="71" t="s">
        <v>107</v>
      </c>
      <c r="M552" s="73">
        <v>36</v>
      </c>
      <c r="N552" s="71" t="s">
        <v>388</v>
      </c>
      <c r="O552" s="73">
        <v>0.625</v>
      </c>
      <c r="P552" s="71" t="s">
        <v>389</v>
      </c>
      <c r="Q552" s="73">
        <v>104.5</v>
      </c>
      <c r="R552" s="71" t="s">
        <v>388</v>
      </c>
      <c r="S552" s="73">
        <v>0</v>
      </c>
      <c r="T552" s="71" t="s">
        <v>390</v>
      </c>
      <c r="U552" s="74">
        <v>1</v>
      </c>
      <c r="V552" s="71" t="s">
        <v>391</v>
      </c>
      <c r="W552" s="130">
        <v>46057.382638888892</v>
      </c>
      <c r="X552" s="72">
        <v>46059.586805555555</v>
      </c>
      <c r="Y552" s="72">
        <v>46061.395833333336</v>
      </c>
      <c r="Z552" s="104" t="s">
        <v>590</v>
      </c>
      <c r="AA552" s="104" t="s">
        <v>651</v>
      </c>
      <c r="AB552" s="105">
        <v>46061.029861111114</v>
      </c>
      <c r="AC552" s="105">
        <v>46061.82708333333</v>
      </c>
    </row>
    <row r="553" s="70" customFormat="1" ht="11.25" customHeight="1">
      <c r="A553" s="87"/>
      <c r="C553" s="43" t="s">
        <v>1316</v>
      </c>
      <c r="D553" s="71" t="s">
        <v>382</v>
      </c>
      <c r="E553" s="71" t="str">
        <f>MID(D553,1,2)</f>
        <v>IL</v>
      </c>
      <c r="F553" s="71" t="s">
        <v>422</v>
      </c>
      <c r="G553" s="71" t="str">
        <f>MID(F553,1,2)</f>
        <v>US</v>
      </c>
      <c r="H553" s="43" t="s">
        <v>1317</v>
      </c>
      <c r="I553" s="71" t="s">
        <v>1318</v>
      </c>
      <c r="J553" s="71" t="s">
        <v>435</v>
      </c>
      <c r="K553" s="43"/>
      <c r="L553" s="71" t="s">
        <v>105</v>
      </c>
      <c r="M553" s="73">
        <v>456</v>
      </c>
      <c r="N553" s="71" t="s">
        <v>388</v>
      </c>
      <c r="O553" s="73">
        <v>9.12</v>
      </c>
      <c r="P553" s="71" t="s">
        <v>389</v>
      </c>
      <c r="Q553" s="73">
        <v>1520</v>
      </c>
      <c r="R553" s="71" t="s">
        <v>388</v>
      </c>
      <c r="S553" s="73">
        <v>0</v>
      </c>
      <c r="T553" s="71" t="s">
        <v>390</v>
      </c>
      <c r="U553" s="74">
        <v>5</v>
      </c>
      <c r="V553" s="71" t="s">
        <v>391</v>
      </c>
      <c r="W553" s="130">
        <v>46057.765381944446</v>
      </c>
      <c r="X553" s="72">
        <v>46059.041666666664</v>
      </c>
      <c r="Y553" s="72">
        <v>46059.25</v>
      </c>
      <c r="Z553" s="104" t="s">
        <v>382</v>
      </c>
      <c r="AA553" s="104" t="s">
        <v>422</v>
      </c>
      <c r="AB553" s="105">
        <v>46059.039583333331</v>
      </c>
      <c r="AC553" s="105">
        <v>46059.22152777778</v>
      </c>
    </row>
    <row r="554" s="70" customFormat="1" ht="11.25" customHeight="1">
      <c r="A554" s="87"/>
      <c r="C554" s="43" t="s">
        <v>1319</v>
      </c>
      <c r="D554" s="71" t="s">
        <v>382</v>
      </c>
      <c r="E554" s="71" t="str">
        <f>MID(D554,1,2)</f>
        <v>IL</v>
      </c>
      <c r="F554" s="71" t="s">
        <v>468</v>
      </c>
      <c r="G554" s="71" t="str">
        <f>MID(F554,1,2)</f>
        <v>US</v>
      </c>
      <c r="H554" s="43" t="s">
        <v>706</v>
      </c>
      <c r="I554" s="71" t="s">
        <v>1320</v>
      </c>
      <c r="J554" s="71" t="s">
        <v>386</v>
      </c>
      <c r="K554" s="43"/>
      <c r="L554" s="71" t="s">
        <v>107</v>
      </c>
      <c r="M554" s="73">
        <v>1</v>
      </c>
      <c r="N554" s="71" t="s">
        <v>388</v>
      </c>
      <c r="O554" s="73">
        <v>0.009</v>
      </c>
      <c r="P554" s="71" t="s">
        <v>389</v>
      </c>
      <c r="Q554" s="73">
        <v>1.5</v>
      </c>
      <c r="R554" s="71" t="s">
        <v>388</v>
      </c>
      <c r="S554" s="73">
        <v>0</v>
      </c>
      <c r="T554" s="71" t="s">
        <v>390</v>
      </c>
      <c r="U554" s="74">
        <v>1</v>
      </c>
      <c r="V554" s="71" t="s">
        <v>391</v>
      </c>
      <c r="W554" s="130">
        <v>46057.382638888892</v>
      </c>
      <c r="X554" s="72">
        <v>46060.958333333336</v>
      </c>
      <c r="Y554" s="72">
        <v>46063.673611111109</v>
      </c>
      <c r="Z554" s="104" t="s">
        <v>382</v>
      </c>
      <c r="AA554" s="104" t="s">
        <v>422</v>
      </c>
      <c r="AB554" s="105">
        <v>46060.963194444441</v>
      </c>
      <c r="AC554" s="105">
        <v>46061.144444444442</v>
      </c>
    </row>
    <row r="555" s="70" customFormat="1" ht="11.25" customHeight="1">
      <c r="A555" s="87"/>
      <c r="C555" s="43" t="s">
        <v>1319</v>
      </c>
      <c r="D555" s="71" t="s">
        <v>382</v>
      </c>
      <c r="E555" s="71" t="str">
        <f>MID(D555,1,2)</f>
        <v>IL</v>
      </c>
      <c r="F555" s="71" t="s">
        <v>468</v>
      </c>
      <c r="G555" s="71" t="str">
        <f>MID(F555,1,2)</f>
        <v>US</v>
      </c>
      <c r="H555" s="43" t="s">
        <v>706</v>
      </c>
      <c r="I555" s="71" t="s">
        <v>1320</v>
      </c>
      <c r="J555" s="71" t="s">
        <v>386</v>
      </c>
      <c r="K555" s="43"/>
      <c r="L555" s="71" t="s">
        <v>107</v>
      </c>
      <c r="M555" s="73">
        <v>1</v>
      </c>
      <c r="N555" s="71" t="s">
        <v>388</v>
      </c>
      <c r="O555" s="73">
        <v>0.009</v>
      </c>
      <c r="P555" s="71" t="s">
        <v>389</v>
      </c>
      <c r="Q555" s="73">
        <v>1.5</v>
      </c>
      <c r="R555" s="71" t="s">
        <v>388</v>
      </c>
      <c r="S555" s="73">
        <v>0</v>
      </c>
      <c r="T555" s="71" t="s">
        <v>390</v>
      </c>
      <c r="U555" s="74">
        <v>1</v>
      </c>
      <c r="V555" s="71" t="s">
        <v>391</v>
      </c>
      <c r="W555" s="130">
        <v>46057.382638888892</v>
      </c>
      <c r="X555" s="72">
        <v>46060.958333333336</v>
      </c>
      <c r="Y555" s="72">
        <v>46063.673611111109</v>
      </c>
      <c r="Z555" s="104" t="s">
        <v>422</v>
      </c>
      <c r="AA555" s="104" t="s">
        <v>468</v>
      </c>
      <c r="AB555" s="105">
        <v>46063.543055555558</v>
      </c>
      <c r="AC555" s="105">
        <v>46063.658333333333</v>
      </c>
    </row>
    <row r="556" s="70" customFormat="1" ht="11.25" customHeight="1">
      <c r="A556" s="87"/>
      <c r="C556" s="43" t="s">
        <v>1321</v>
      </c>
      <c r="D556" s="71" t="s">
        <v>382</v>
      </c>
      <c r="E556" s="71" t="str">
        <f>MID(D556,1,2)</f>
        <v>IL</v>
      </c>
      <c r="F556" s="71" t="s">
        <v>651</v>
      </c>
      <c r="G556" s="71" t="str">
        <f>MID(F556,1,2)</f>
        <v>BR</v>
      </c>
      <c r="H556" s="43" t="s">
        <v>1062</v>
      </c>
      <c r="I556" s="71" t="s">
        <v>1322</v>
      </c>
      <c r="J556" s="71" t="s">
        <v>386</v>
      </c>
      <c r="K556" s="43"/>
      <c r="L556" s="71" t="s">
        <v>107</v>
      </c>
      <c r="M556" s="73">
        <v>41.5</v>
      </c>
      <c r="N556" s="71" t="s">
        <v>388</v>
      </c>
      <c r="O556" s="73">
        <v>0.735</v>
      </c>
      <c r="P556" s="71" t="s">
        <v>389</v>
      </c>
      <c r="Q556" s="73">
        <v>122.5</v>
      </c>
      <c r="R556" s="71" t="s">
        <v>388</v>
      </c>
      <c r="S556" s="73">
        <v>0</v>
      </c>
      <c r="T556" s="71" t="s">
        <v>390</v>
      </c>
      <c r="U556" s="74">
        <v>1</v>
      </c>
      <c r="V556" s="71" t="s">
        <v>391</v>
      </c>
      <c r="W556" s="130">
        <v>46057.402777777781</v>
      </c>
      <c r="X556" s="72">
        <v>46059.586805555555</v>
      </c>
      <c r="Y556" s="72">
        <v>46061.395833333336</v>
      </c>
      <c r="Z556" s="104" t="s">
        <v>382</v>
      </c>
      <c r="AA556" s="104" t="s">
        <v>590</v>
      </c>
      <c r="AB556" s="105">
        <v>46059.48125</v>
      </c>
      <c r="AC556" s="105">
        <v>46060.01666666667</v>
      </c>
    </row>
    <row r="557" s="70" customFormat="1" ht="11.25" customHeight="1">
      <c r="A557" s="87"/>
      <c r="C557" s="43" t="s">
        <v>1321</v>
      </c>
      <c r="D557" s="71" t="s">
        <v>382</v>
      </c>
      <c r="E557" s="71" t="str">
        <f>MID(D557,1,2)</f>
        <v>IL</v>
      </c>
      <c r="F557" s="71" t="s">
        <v>651</v>
      </c>
      <c r="G557" s="71" t="str">
        <f>MID(F557,1,2)</f>
        <v>BR</v>
      </c>
      <c r="H557" s="43" t="s">
        <v>1062</v>
      </c>
      <c r="I557" s="71" t="s">
        <v>1322</v>
      </c>
      <c r="J557" s="71" t="s">
        <v>386</v>
      </c>
      <c r="K557" s="43"/>
      <c r="L557" s="71" t="s">
        <v>107</v>
      </c>
      <c r="M557" s="73">
        <v>41.5</v>
      </c>
      <c r="N557" s="71" t="s">
        <v>388</v>
      </c>
      <c r="O557" s="73">
        <v>0.735</v>
      </c>
      <c r="P557" s="71" t="s">
        <v>389</v>
      </c>
      <c r="Q557" s="73">
        <v>122.5</v>
      </c>
      <c r="R557" s="71" t="s">
        <v>388</v>
      </c>
      <c r="S557" s="73">
        <v>0</v>
      </c>
      <c r="T557" s="71" t="s">
        <v>390</v>
      </c>
      <c r="U557" s="74">
        <v>1</v>
      </c>
      <c r="V557" s="71" t="s">
        <v>391</v>
      </c>
      <c r="W557" s="130">
        <v>46057.402777777781</v>
      </c>
      <c r="X557" s="72">
        <v>46059.586805555555</v>
      </c>
      <c r="Y557" s="72">
        <v>46061.395833333336</v>
      </c>
      <c r="Z557" s="104" t="s">
        <v>590</v>
      </c>
      <c r="AA557" s="104" t="s">
        <v>651</v>
      </c>
      <c r="AB557" s="105">
        <v>46061.029861111114</v>
      </c>
      <c r="AC557" s="105">
        <v>46061.82708333333</v>
      </c>
    </row>
    <row r="558" s="70" customFormat="1" ht="11.25" customHeight="1">
      <c r="A558" s="87"/>
      <c r="C558" s="43" t="s">
        <v>1323</v>
      </c>
      <c r="D558" s="71" t="s">
        <v>382</v>
      </c>
      <c r="E558" s="71" t="str">
        <f>MID(D558,1,2)</f>
        <v>IL</v>
      </c>
      <c r="F558" s="71" t="s">
        <v>684</v>
      </c>
      <c r="G558" s="71" t="str">
        <f>MID(F558,1,2)</f>
        <v>IT</v>
      </c>
      <c r="H558" s="43" t="s">
        <v>1324</v>
      </c>
      <c r="I558" s="71" t="s">
        <v>1325</v>
      </c>
      <c r="J558" s="71" t="s">
        <v>811</v>
      </c>
      <c r="K558" s="43"/>
      <c r="L558" s="71" t="s">
        <v>105</v>
      </c>
      <c r="M558" s="73">
        <v>330</v>
      </c>
      <c r="N558" s="71" t="s">
        <v>388</v>
      </c>
      <c r="O558" s="73">
        <v>1.64</v>
      </c>
      <c r="P558" s="71" t="s">
        <v>389</v>
      </c>
      <c r="Q558" s="73">
        <v>330</v>
      </c>
      <c r="R558" s="71" t="s">
        <v>388</v>
      </c>
      <c r="S558" s="73">
        <v>0</v>
      </c>
      <c r="T558" s="71" t="s">
        <v>390</v>
      </c>
      <c r="U558" s="74">
        <v>1</v>
      </c>
      <c r="V558" s="71" t="s">
        <v>391</v>
      </c>
      <c r="W558" s="130">
        <v>46058.501122685186</v>
      </c>
      <c r="X558" s="72">
        <v>46062.663194444445</v>
      </c>
      <c r="Y558" s="72">
        <v>46062.999305555553</v>
      </c>
      <c r="Z558" s="104" t="s">
        <v>382</v>
      </c>
      <c r="AA558" s="104" t="s">
        <v>577</v>
      </c>
      <c r="AB558" s="105">
        <v>46059.655555555553</v>
      </c>
      <c r="AC558" s="105">
        <v>46059.80972222222</v>
      </c>
    </row>
    <row r="559" s="70" customFormat="1" ht="11.25" customHeight="1">
      <c r="A559" s="87"/>
      <c r="C559" s="43" t="s">
        <v>1323</v>
      </c>
      <c r="D559" s="71" t="s">
        <v>382</v>
      </c>
      <c r="E559" s="71" t="str">
        <f>MID(D559,1,2)</f>
        <v>IL</v>
      </c>
      <c r="F559" s="71" t="s">
        <v>684</v>
      </c>
      <c r="G559" s="71" t="str">
        <f>MID(F559,1,2)</f>
        <v>IT</v>
      </c>
      <c r="H559" s="43" t="s">
        <v>1324</v>
      </c>
      <c r="I559" s="71" t="s">
        <v>1325</v>
      </c>
      <c r="J559" s="71" t="s">
        <v>811</v>
      </c>
      <c r="K559" s="43"/>
      <c r="L559" s="71" t="s">
        <v>105</v>
      </c>
      <c r="M559" s="73">
        <v>330</v>
      </c>
      <c r="N559" s="71" t="s">
        <v>388</v>
      </c>
      <c r="O559" s="73">
        <v>1.64</v>
      </c>
      <c r="P559" s="71" t="s">
        <v>389</v>
      </c>
      <c r="Q559" s="73">
        <v>330</v>
      </c>
      <c r="R559" s="71" t="s">
        <v>388</v>
      </c>
      <c r="S559" s="73">
        <v>0</v>
      </c>
      <c r="T559" s="71" t="s">
        <v>390</v>
      </c>
      <c r="U559" s="74">
        <v>1</v>
      </c>
      <c r="V559" s="71" t="s">
        <v>391</v>
      </c>
      <c r="W559" s="130">
        <v>46058.501122685186</v>
      </c>
      <c r="X559" s="72">
        <v>46062.663194444445</v>
      </c>
      <c r="Y559" s="72">
        <v>46062.999305555553</v>
      </c>
      <c r="Z559" s="104" t="s">
        <v>577</v>
      </c>
      <c r="AA559" s="104" t="s">
        <v>684</v>
      </c>
      <c r="AB559" s="105">
        <v>46061.874305555553</v>
      </c>
      <c r="AC559" s="105">
        <v>46062.461111111108</v>
      </c>
    </row>
    <row r="560" s="70" customFormat="1" ht="11.25" customHeight="1">
      <c r="A560" s="87"/>
      <c r="C560" s="43" t="s">
        <v>1326</v>
      </c>
      <c r="D560" s="71" t="s">
        <v>382</v>
      </c>
      <c r="E560" s="71" t="str">
        <f>MID(D560,1,2)</f>
        <v>IL</v>
      </c>
      <c r="F560" s="71" t="s">
        <v>1327</v>
      </c>
      <c r="G560" s="71" t="str">
        <f>MID(F560,1,2)</f>
        <v>BR</v>
      </c>
      <c r="H560" s="43" t="s">
        <v>1328</v>
      </c>
      <c r="I560" s="71" t="s">
        <v>1329</v>
      </c>
      <c r="J560" s="71" t="s">
        <v>400</v>
      </c>
      <c r="K560" s="43"/>
      <c r="L560" s="71" t="s">
        <v>105</v>
      </c>
      <c r="M560" s="73">
        <v>410</v>
      </c>
      <c r="N560" s="71" t="s">
        <v>388</v>
      </c>
      <c r="O560" s="73">
        <v>3.981</v>
      </c>
      <c r="P560" s="71" t="s">
        <v>389</v>
      </c>
      <c r="Q560" s="73">
        <v>663.5</v>
      </c>
      <c r="R560" s="71" t="s">
        <v>388</v>
      </c>
      <c r="S560" s="73">
        <v>0</v>
      </c>
      <c r="T560" s="71" t="s">
        <v>390</v>
      </c>
      <c r="U560" s="74">
        <v>10</v>
      </c>
      <c r="V560" s="71" t="s">
        <v>391</v>
      </c>
      <c r="W560" s="130">
        <v>46058.395833333336</v>
      </c>
      <c r="X560" s="72">
        <v>46062.38958333333</v>
      </c>
      <c r="Y560" s="72">
        <v>46072.3875</v>
      </c>
      <c r="Z560" s="104" t="s">
        <v>382</v>
      </c>
      <c r="AA560" s="104" t="s">
        <v>546</v>
      </c>
      <c r="AB560" s="105">
        <v>46063.68125</v>
      </c>
      <c r="AC560" s="105">
        <v>46062.661805555559</v>
      </c>
    </row>
    <row r="561" s="70" customFormat="1" ht="11.25" customHeight="1">
      <c r="A561" s="87"/>
      <c r="C561" s="43" t="s">
        <v>1326</v>
      </c>
      <c r="D561" s="71" t="s">
        <v>382</v>
      </c>
      <c r="E561" s="71" t="str">
        <f>MID(D561,1,2)</f>
        <v>IL</v>
      </c>
      <c r="F561" s="71" t="s">
        <v>1327</v>
      </c>
      <c r="G561" s="71" t="str">
        <f>MID(F561,1,2)</f>
        <v>BR</v>
      </c>
      <c r="H561" s="43" t="s">
        <v>1328</v>
      </c>
      <c r="I561" s="71" t="s">
        <v>1329</v>
      </c>
      <c r="J561" s="71" t="s">
        <v>400</v>
      </c>
      <c r="K561" s="43"/>
      <c r="L561" s="71" t="s">
        <v>105</v>
      </c>
      <c r="M561" s="73">
        <v>410</v>
      </c>
      <c r="N561" s="71" t="s">
        <v>388</v>
      </c>
      <c r="O561" s="73">
        <v>3.981</v>
      </c>
      <c r="P561" s="71" t="s">
        <v>389</v>
      </c>
      <c r="Q561" s="73">
        <v>663.5</v>
      </c>
      <c r="R561" s="71" t="s">
        <v>388</v>
      </c>
      <c r="S561" s="73">
        <v>0</v>
      </c>
      <c r="T561" s="71" t="s">
        <v>390</v>
      </c>
      <c r="U561" s="74">
        <v>10</v>
      </c>
      <c r="V561" s="71" t="s">
        <v>391</v>
      </c>
      <c r="W561" s="130">
        <v>46058.395833333336</v>
      </c>
      <c r="X561" s="72">
        <v>46062.38958333333</v>
      </c>
      <c r="Y561" s="72">
        <v>46072.3875</v>
      </c>
      <c r="Z561" s="104" t="s">
        <v>546</v>
      </c>
      <c r="AA561" s="104" t="s">
        <v>651</v>
      </c>
      <c r="AB561" s="105">
        <v>46064.850694444445</v>
      </c>
      <c r="AC561" s="105">
        <v>46065.191666666666</v>
      </c>
    </row>
    <row r="562" s="70" customFormat="1" ht="11.25" customHeight="1">
      <c r="A562" s="87"/>
      <c r="C562" s="43" t="s">
        <v>1326</v>
      </c>
      <c r="D562" s="71" t="s">
        <v>382</v>
      </c>
      <c r="E562" s="71" t="str">
        <f>MID(D562,1,2)</f>
        <v>IL</v>
      </c>
      <c r="F562" s="71" t="s">
        <v>1327</v>
      </c>
      <c r="G562" s="71" t="str">
        <f>MID(F562,1,2)</f>
        <v>BR</v>
      </c>
      <c r="H562" s="43" t="s">
        <v>1328</v>
      </c>
      <c r="I562" s="71" t="s">
        <v>1329</v>
      </c>
      <c r="J562" s="71" t="s">
        <v>400</v>
      </c>
      <c r="K562" s="43"/>
      <c r="L562" s="71" t="s">
        <v>105</v>
      </c>
      <c r="M562" s="73">
        <v>410</v>
      </c>
      <c r="N562" s="71" t="s">
        <v>388</v>
      </c>
      <c r="O562" s="73">
        <v>3.981</v>
      </c>
      <c r="P562" s="71" t="s">
        <v>389</v>
      </c>
      <c r="Q562" s="73">
        <v>663.5</v>
      </c>
      <c r="R562" s="71" t="s">
        <v>388</v>
      </c>
      <c r="S562" s="73">
        <v>0</v>
      </c>
      <c r="T562" s="71" t="s">
        <v>390</v>
      </c>
      <c r="U562" s="74">
        <v>10</v>
      </c>
      <c r="V562" s="71" t="s">
        <v>391</v>
      </c>
      <c r="W562" s="130">
        <v>46058.395833333336</v>
      </c>
      <c r="X562" s="72">
        <v>46062.38958333333</v>
      </c>
      <c r="Y562" s="72">
        <v>46072.3875</v>
      </c>
      <c r="Z562" s="104" t="s">
        <v>651</v>
      </c>
      <c r="AA562" s="104" t="s">
        <v>1327</v>
      </c>
      <c r="AB562" s="105">
        <v>46069.366666666669</v>
      </c>
      <c r="AC562" s="105">
        <v>46069.410416666666</v>
      </c>
    </row>
    <row r="563" s="70" customFormat="1" ht="11.25" customHeight="1">
      <c r="A563" s="87"/>
      <c r="C563" s="43" t="s">
        <v>1330</v>
      </c>
      <c r="D563" s="71" t="s">
        <v>382</v>
      </c>
      <c r="E563" s="71" t="str">
        <f>MID(D563,1,2)</f>
        <v>IL</v>
      </c>
      <c r="F563" s="71" t="s">
        <v>468</v>
      </c>
      <c r="G563" s="71" t="str">
        <f>MID(F563,1,2)</f>
        <v>US</v>
      </c>
      <c r="H563" s="43" t="s">
        <v>1331</v>
      </c>
      <c r="I563" s="71" t="s">
        <v>1332</v>
      </c>
      <c r="J563" s="71" t="s">
        <v>386</v>
      </c>
      <c r="K563" s="43"/>
      <c r="L563" s="71" t="s">
        <v>107</v>
      </c>
      <c r="M563" s="73">
        <v>21</v>
      </c>
      <c r="N563" s="71" t="s">
        <v>388</v>
      </c>
      <c r="O563" s="73">
        <v>0.225</v>
      </c>
      <c r="P563" s="71" t="s">
        <v>389</v>
      </c>
      <c r="Q563" s="73">
        <v>37.5</v>
      </c>
      <c r="R563" s="71" t="s">
        <v>388</v>
      </c>
      <c r="S563" s="73">
        <v>0</v>
      </c>
      <c r="T563" s="71" t="s">
        <v>390</v>
      </c>
      <c r="U563" s="74">
        <v>1</v>
      </c>
      <c r="V563" s="71" t="s">
        <v>391</v>
      </c>
      <c r="W563" s="130">
        <v>46057.395833333336</v>
      </c>
      <c r="X563" s="72">
        <v>46061.979166666664</v>
      </c>
      <c r="Y563" s="72">
        <v>46065.771527777775</v>
      </c>
      <c r="Z563" s="104" t="s">
        <v>382</v>
      </c>
      <c r="AA563" s="104" t="s">
        <v>422</v>
      </c>
      <c r="AB563" s="105">
        <v>46064.963194444441</v>
      </c>
      <c r="AC563" s="105">
        <v>46065.148611111108</v>
      </c>
    </row>
    <row r="564" s="70" customFormat="1" ht="11.25" customHeight="1">
      <c r="A564" s="87"/>
      <c r="C564" s="43" t="s">
        <v>1330</v>
      </c>
      <c r="D564" s="71" t="s">
        <v>382</v>
      </c>
      <c r="E564" s="71" t="str">
        <f>MID(D564,1,2)</f>
        <v>IL</v>
      </c>
      <c r="F564" s="71" t="s">
        <v>468</v>
      </c>
      <c r="G564" s="71" t="str">
        <f>MID(F564,1,2)</f>
        <v>US</v>
      </c>
      <c r="H564" s="43" t="s">
        <v>1331</v>
      </c>
      <c r="I564" s="71" t="s">
        <v>1332</v>
      </c>
      <c r="J564" s="71" t="s">
        <v>386</v>
      </c>
      <c r="K564" s="43"/>
      <c r="L564" s="71" t="s">
        <v>107</v>
      </c>
      <c r="M564" s="73">
        <v>21</v>
      </c>
      <c r="N564" s="71" t="s">
        <v>388</v>
      </c>
      <c r="O564" s="73">
        <v>0.225</v>
      </c>
      <c r="P564" s="71" t="s">
        <v>389</v>
      </c>
      <c r="Q564" s="73">
        <v>37.5</v>
      </c>
      <c r="R564" s="71" t="s">
        <v>388</v>
      </c>
      <c r="S564" s="73">
        <v>0</v>
      </c>
      <c r="T564" s="71" t="s">
        <v>390</v>
      </c>
      <c r="U564" s="74">
        <v>1</v>
      </c>
      <c r="V564" s="71" t="s">
        <v>391</v>
      </c>
      <c r="W564" s="130">
        <v>46057.395833333336</v>
      </c>
      <c r="X564" s="72">
        <v>46061.979166666664</v>
      </c>
      <c r="Y564" s="72">
        <v>46065.771527777775</v>
      </c>
      <c r="Z564" s="104" t="s">
        <v>422</v>
      </c>
      <c r="AA564" s="104" t="s">
        <v>468</v>
      </c>
      <c r="AB564" s="105">
        <v>46065.635416666664</v>
      </c>
      <c r="AC564" s="105">
        <v>46065.746527777781</v>
      </c>
    </row>
    <row r="565" s="70" customFormat="1" ht="11.25" customHeight="1">
      <c r="A565" s="87"/>
      <c r="C565" s="43" t="s">
        <v>1333</v>
      </c>
      <c r="D565" s="71" t="s">
        <v>382</v>
      </c>
      <c r="E565" s="71" t="str">
        <f>MID(D565,1,2)</f>
        <v>IL</v>
      </c>
      <c r="F565" s="71" t="s">
        <v>422</v>
      </c>
      <c r="G565" s="71" t="str">
        <f>MID(F565,1,2)</f>
        <v>US</v>
      </c>
      <c r="H565" s="43" t="s">
        <v>1317</v>
      </c>
      <c r="I565" s="71" t="s">
        <v>1334</v>
      </c>
      <c r="J565" s="71" t="s">
        <v>435</v>
      </c>
      <c r="K565" s="43"/>
      <c r="L565" s="71" t="s">
        <v>105</v>
      </c>
      <c r="M565" s="73">
        <v>163</v>
      </c>
      <c r="N565" s="71" t="s">
        <v>388</v>
      </c>
      <c r="O565" s="73">
        <v>1.92</v>
      </c>
      <c r="P565" s="71" t="s">
        <v>389</v>
      </c>
      <c r="Q565" s="73">
        <v>320</v>
      </c>
      <c r="R565" s="71" t="s">
        <v>388</v>
      </c>
      <c r="S565" s="73">
        <v>0</v>
      </c>
      <c r="T565" s="71" t="s">
        <v>390</v>
      </c>
      <c r="U565" s="74">
        <v>1</v>
      </c>
      <c r="V565" s="71" t="s">
        <v>391</v>
      </c>
      <c r="W565" s="130">
        <v>46057.396527777775</v>
      </c>
      <c r="X565" s="72">
        <v>46059.041666666664</v>
      </c>
      <c r="Y565" s="72">
        <v>46059.25</v>
      </c>
      <c r="Z565" s="104" t="s">
        <v>382</v>
      </c>
      <c r="AA565" s="104" t="s">
        <v>422</v>
      </c>
      <c r="AB565" s="105">
        <v>46059.039583333331</v>
      </c>
      <c r="AC565" s="105">
        <v>46059.22152777778</v>
      </c>
    </row>
    <row r="566" s="70" customFormat="1" ht="11.25" customHeight="1">
      <c r="A566" s="87"/>
      <c r="C566" s="43" t="s">
        <v>1335</v>
      </c>
      <c r="D566" s="71" t="s">
        <v>382</v>
      </c>
      <c r="E566" s="71" t="str">
        <f>MID(D566,1,2)</f>
        <v>IL</v>
      </c>
      <c r="F566" s="71" t="s">
        <v>1108</v>
      </c>
      <c r="G566" s="71" t="str">
        <f>MID(F566,1,2)</f>
        <v>TW</v>
      </c>
      <c r="H566" s="43" t="s">
        <v>1336</v>
      </c>
      <c r="I566" s="71" t="s">
        <v>1337</v>
      </c>
      <c r="J566" s="71" t="s">
        <v>426</v>
      </c>
      <c r="K566" s="43"/>
      <c r="L566" s="71" t="s">
        <v>105</v>
      </c>
      <c r="M566" s="73">
        <v>230</v>
      </c>
      <c r="N566" s="71" t="s">
        <v>388</v>
      </c>
      <c r="O566" s="73">
        <v>0.967</v>
      </c>
      <c r="P566" s="71" t="s">
        <v>389</v>
      </c>
      <c r="Q566" s="73">
        <v>230</v>
      </c>
      <c r="R566" s="71" t="s">
        <v>388</v>
      </c>
      <c r="S566" s="73">
        <v>0</v>
      </c>
      <c r="T566" s="71" t="s">
        <v>390</v>
      </c>
      <c r="U566" s="74">
        <v>1</v>
      </c>
      <c r="V566" s="71" t="s">
        <v>391</v>
      </c>
      <c r="W566" s="130">
        <v>46057.625</v>
      </c>
      <c r="X566" s="72">
        <v>46058.44027777778</v>
      </c>
      <c r="Y566" s="72">
        <v>46060.722222222219</v>
      </c>
      <c r="Z566" s="104" t="s">
        <v>382</v>
      </c>
      <c r="AA566" s="104" t="s">
        <v>833</v>
      </c>
      <c r="AB566" s="105">
        <v>46058.892361111109</v>
      </c>
      <c r="AC566" s="105">
        <v>46059.54375</v>
      </c>
    </row>
    <row r="567" s="70" customFormat="1" ht="11.25" customHeight="1">
      <c r="A567" s="87"/>
      <c r="C567" s="43" t="s">
        <v>1335</v>
      </c>
      <c r="D567" s="71" t="s">
        <v>382</v>
      </c>
      <c r="E567" s="71" t="str">
        <f>MID(D567,1,2)</f>
        <v>IL</v>
      </c>
      <c r="F567" s="71" t="s">
        <v>1108</v>
      </c>
      <c r="G567" s="71" t="str">
        <f>MID(F567,1,2)</f>
        <v>TW</v>
      </c>
      <c r="H567" s="43" t="s">
        <v>1336</v>
      </c>
      <c r="I567" s="71" t="s">
        <v>1337</v>
      </c>
      <c r="J567" s="71" t="s">
        <v>426</v>
      </c>
      <c r="K567" s="43"/>
      <c r="L567" s="71" t="s">
        <v>105</v>
      </c>
      <c r="M567" s="73">
        <v>230</v>
      </c>
      <c r="N567" s="71" t="s">
        <v>388</v>
      </c>
      <c r="O567" s="73">
        <v>0.967</v>
      </c>
      <c r="P567" s="71" t="s">
        <v>389</v>
      </c>
      <c r="Q567" s="73">
        <v>230</v>
      </c>
      <c r="R567" s="71" t="s">
        <v>388</v>
      </c>
      <c r="S567" s="73">
        <v>0</v>
      </c>
      <c r="T567" s="71" t="s">
        <v>390</v>
      </c>
      <c r="U567" s="74">
        <v>1</v>
      </c>
      <c r="V567" s="71" t="s">
        <v>391</v>
      </c>
      <c r="W567" s="130">
        <v>46057.625</v>
      </c>
      <c r="X567" s="72">
        <v>46058.44027777778</v>
      </c>
      <c r="Y567" s="72">
        <v>46060.722222222219</v>
      </c>
      <c r="Z567" s="104" t="s">
        <v>833</v>
      </c>
      <c r="AA567" s="104" t="s">
        <v>1108</v>
      </c>
      <c r="AB567" s="105">
        <v>46060.593055555553</v>
      </c>
      <c r="AC567" s="105">
        <v>46060.780555555553</v>
      </c>
    </row>
    <row r="568" s="70" customFormat="1" ht="11.25" customHeight="1">
      <c r="A568" s="87"/>
      <c r="C568" s="43" t="s">
        <v>1338</v>
      </c>
      <c r="D568" s="71" t="s">
        <v>382</v>
      </c>
      <c r="E568" s="71" t="str">
        <f>MID(D568,1,2)</f>
        <v>IL</v>
      </c>
      <c r="F568" s="71" t="s">
        <v>414</v>
      </c>
      <c r="G568" s="71" t="str">
        <f>MID(F568,1,2)</f>
        <v>US</v>
      </c>
      <c r="H568" s="43" t="s">
        <v>1105</v>
      </c>
      <c r="I568" s="71" t="s">
        <v>1339</v>
      </c>
      <c r="J568" s="71" t="s">
        <v>386</v>
      </c>
      <c r="K568" s="43" t="s">
        <v>759</v>
      </c>
      <c r="L568" s="71" t="s">
        <v>107</v>
      </c>
      <c r="M568" s="73">
        <v>2</v>
      </c>
      <c r="N568" s="71" t="s">
        <v>388</v>
      </c>
      <c r="O568" s="73">
        <v>0.027</v>
      </c>
      <c r="P568" s="71" t="s">
        <v>389</v>
      </c>
      <c r="Q568" s="73">
        <v>4.5</v>
      </c>
      <c r="R568" s="71" t="s">
        <v>388</v>
      </c>
      <c r="S568" s="73">
        <v>0</v>
      </c>
      <c r="T568" s="71" t="s">
        <v>390</v>
      </c>
      <c r="U568" s="74">
        <v>1</v>
      </c>
      <c r="V568" s="71" t="s">
        <v>427</v>
      </c>
      <c r="W568" s="130">
        <v>46057.43125</v>
      </c>
      <c r="X568" s="72">
        <v>46059.013888888891</v>
      </c>
      <c r="Y568" s="72">
        <v>46059.25</v>
      </c>
      <c r="Z568" s="104" t="s">
        <v>382</v>
      </c>
      <c r="AA568" s="104" t="s">
        <v>414</v>
      </c>
      <c r="AB568" s="105">
        <v>46059.034722222219</v>
      </c>
      <c r="AC568" s="105">
        <v>46059.218055555553</v>
      </c>
    </row>
    <row r="569" s="70" customFormat="1" ht="11.25" customHeight="1">
      <c r="A569" s="87"/>
      <c r="C569" s="43" t="s">
        <v>1340</v>
      </c>
      <c r="D569" s="71" t="s">
        <v>382</v>
      </c>
      <c r="E569" s="71" t="str">
        <f>MID(D569,1,2)</f>
        <v>IL</v>
      </c>
      <c r="F569" s="71" t="s">
        <v>1341</v>
      </c>
      <c r="G569" s="71" t="str">
        <f>MID(F569,1,2)</f>
        <v>IE</v>
      </c>
      <c r="H569" s="43" t="s">
        <v>1342</v>
      </c>
      <c r="I569" s="71" t="s">
        <v>1343</v>
      </c>
      <c r="J569" s="71" t="s">
        <v>386</v>
      </c>
      <c r="K569" s="43" t="s">
        <v>1344</v>
      </c>
      <c r="L569" s="71" t="s">
        <v>107</v>
      </c>
      <c r="M569" s="73">
        <v>456</v>
      </c>
      <c r="N569" s="71" t="s">
        <v>388</v>
      </c>
      <c r="O569" s="73">
        <v>2.89</v>
      </c>
      <c r="P569" s="71" t="s">
        <v>389</v>
      </c>
      <c r="Q569" s="73">
        <v>2500</v>
      </c>
      <c r="R569" s="71" t="s">
        <v>388</v>
      </c>
      <c r="S569" s="73">
        <v>0</v>
      </c>
      <c r="T569" s="71" t="s">
        <v>390</v>
      </c>
      <c r="U569" s="74">
        <v>2</v>
      </c>
      <c r="V569" s="71" t="s">
        <v>391</v>
      </c>
      <c r="W569" s="130">
        <v>46057.701388888891</v>
      </c>
      <c r="X569" s="72">
        <v>46059.5</v>
      </c>
      <c r="Y569" s="72">
        <v>46060.040277777778</v>
      </c>
      <c r="Z569" s="104" t="s">
        <v>382</v>
      </c>
      <c r="AA569" s="104" t="s">
        <v>466</v>
      </c>
      <c r="AB569" s="105">
        <v>46059.88125</v>
      </c>
      <c r="AC569" s="105">
        <v>46060.040277777778</v>
      </c>
    </row>
    <row r="570" s="70" customFormat="1" ht="11.25" customHeight="1">
      <c r="A570" s="87"/>
      <c r="C570" s="43" t="s">
        <v>1340</v>
      </c>
      <c r="D570" s="71" t="s">
        <v>382</v>
      </c>
      <c r="E570" s="71" t="str">
        <f>MID(D570,1,2)</f>
        <v>IL</v>
      </c>
      <c r="F570" s="71" t="s">
        <v>1341</v>
      </c>
      <c r="G570" s="71" t="str">
        <f>MID(F570,1,2)</f>
        <v>IE</v>
      </c>
      <c r="H570" s="43" t="s">
        <v>1342</v>
      </c>
      <c r="I570" s="71" t="s">
        <v>1343</v>
      </c>
      <c r="J570" s="71" t="s">
        <v>386</v>
      </c>
      <c r="K570" s="43" t="s">
        <v>1344</v>
      </c>
      <c r="L570" s="71" t="s">
        <v>107</v>
      </c>
      <c r="M570" s="73">
        <v>456</v>
      </c>
      <c r="N570" s="71" t="s">
        <v>388</v>
      </c>
      <c r="O570" s="73">
        <v>2.89</v>
      </c>
      <c r="P570" s="71" t="s">
        <v>389</v>
      </c>
      <c r="Q570" s="73">
        <v>2500</v>
      </c>
      <c r="R570" s="71" t="s">
        <v>388</v>
      </c>
      <c r="S570" s="73">
        <v>0</v>
      </c>
      <c r="T570" s="71" t="s">
        <v>390</v>
      </c>
      <c r="U570" s="74">
        <v>2</v>
      </c>
      <c r="V570" s="71" t="s">
        <v>391</v>
      </c>
      <c r="W570" s="130">
        <v>46057.701388888891</v>
      </c>
      <c r="X570" s="72">
        <v>46059.5</v>
      </c>
      <c r="Y570" s="72">
        <v>46060.040277777778</v>
      </c>
      <c r="Z570" s="104" t="s">
        <v>466</v>
      </c>
      <c r="AA570" s="104" t="s">
        <v>1341</v>
      </c>
      <c r="AB570" s="105">
        <v>46060.488888888889</v>
      </c>
      <c r="AC570" s="105">
        <v>46062.375</v>
      </c>
    </row>
    <row r="571" s="70" customFormat="1" ht="11.25" customHeight="1">
      <c r="A571" s="87"/>
      <c r="C571" s="43" t="s">
        <v>1345</v>
      </c>
      <c r="D571" s="71" t="s">
        <v>382</v>
      </c>
      <c r="E571" s="71" t="str">
        <f>MID(D571,1,2)</f>
        <v>IL</v>
      </c>
      <c r="F571" s="71" t="s">
        <v>833</v>
      </c>
      <c r="G571" s="71" t="str">
        <f>MID(F571,1,2)</f>
        <v>TH</v>
      </c>
      <c r="H571" s="43" t="s">
        <v>1346</v>
      </c>
      <c r="I571" s="71" t="s">
        <v>1347</v>
      </c>
      <c r="J571" s="71" t="s">
        <v>400</v>
      </c>
      <c r="K571" s="43"/>
      <c r="L571" s="71" t="s">
        <v>105</v>
      </c>
      <c r="M571" s="73">
        <v>89</v>
      </c>
      <c r="N571" s="71" t="s">
        <v>388</v>
      </c>
      <c r="O571" s="73">
        <v>0.565</v>
      </c>
      <c r="P571" s="71" t="s">
        <v>389</v>
      </c>
      <c r="Q571" s="73">
        <v>100</v>
      </c>
      <c r="R571" s="71" t="s">
        <v>388</v>
      </c>
      <c r="S571" s="73">
        <v>0</v>
      </c>
      <c r="T571" s="71" t="s">
        <v>390</v>
      </c>
      <c r="U571" s="74">
        <v>1</v>
      </c>
      <c r="V571" s="71" t="s">
        <v>391</v>
      </c>
      <c r="W571" s="130">
        <v>46057.444444444445</v>
      </c>
      <c r="X571" s="72">
        <v>46059.425</v>
      </c>
      <c r="Y571" s="72">
        <v>46060.052083333336</v>
      </c>
      <c r="Z571" s="104" t="s">
        <v>382</v>
      </c>
      <c r="AA571" s="104" t="s">
        <v>833</v>
      </c>
      <c r="AB571" s="105">
        <v>46059.510416666664</v>
      </c>
      <c r="AC571" s="105">
        <v>46059.982638888891</v>
      </c>
    </row>
    <row r="572" s="70" customFormat="1" ht="11.25" customHeight="1">
      <c r="A572" s="87"/>
      <c r="C572" s="43" t="s">
        <v>1348</v>
      </c>
      <c r="D572" s="71" t="s">
        <v>382</v>
      </c>
      <c r="E572" s="71" t="str">
        <f>MID(D572,1,2)</f>
        <v>IL</v>
      </c>
      <c r="F572" s="71" t="s">
        <v>1349</v>
      </c>
      <c r="G572" s="71" t="str">
        <f>MID(F572,1,2)</f>
        <v>BR</v>
      </c>
      <c r="H572" s="43" t="s">
        <v>1350</v>
      </c>
      <c r="I572" s="71" t="s">
        <v>1351</v>
      </c>
      <c r="J572" s="71" t="s">
        <v>386</v>
      </c>
      <c r="K572" s="43"/>
      <c r="L572" s="71" t="s">
        <v>107</v>
      </c>
      <c r="M572" s="73">
        <v>185</v>
      </c>
      <c r="N572" s="71" t="s">
        <v>388</v>
      </c>
      <c r="O572" s="73">
        <v>0.466</v>
      </c>
      <c r="P572" s="71" t="s">
        <v>389</v>
      </c>
      <c r="Q572" s="73">
        <v>185</v>
      </c>
      <c r="R572" s="71" t="s">
        <v>388</v>
      </c>
      <c r="S572" s="73">
        <v>0</v>
      </c>
      <c r="T572" s="71" t="s">
        <v>390</v>
      </c>
      <c r="U572" s="74">
        <v>1</v>
      </c>
      <c r="V572" s="71" t="s">
        <v>391</v>
      </c>
      <c r="W572" s="130"/>
      <c r="X572" s="72">
        <v>46060.541666666664</v>
      </c>
      <c r="Y572" s="72">
        <v>46068.940972222219</v>
      </c>
      <c r="Z572" s="104" t="s">
        <v>382</v>
      </c>
      <c r="AA572" s="104" t="s">
        <v>748</v>
      </c>
      <c r="AB572" s="105">
        <v>46059.44375</v>
      </c>
      <c r="AC572" s="105"/>
    </row>
    <row r="573" s="70" customFormat="1" ht="11.25" customHeight="1">
      <c r="A573" s="87"/>
      <c r="C573" s="43" t="s">
        <v>1348</v>
      </c>
      <c r="D573" s="71" t="s">
        <v>382</v>
      </c>
      <c r="E573" s="71" t="str">
        <f>MID(D573,1,2)</f>
        <v>IL</v>
      </c>
      <c r="F573" s="71" t="s">
        <v>1349</v>
      </c>
      <c r="G573" s="71" t="str">
        <f>MID(F573,1,2)</f>
        <v>BR</v>
      </c>
      <c r="H573" s="43" t="s">
        <v>1350</v>
      </c>
      <c r="I573" s="71" t="s">
        <v>1351</v>
      </c>
      <c r="J573" s="71" t="s">
        <v>386</v>
      </c>
      <c r="K573" s="43"/>
      <c r="L573" s="71" t="s">
        <v>107</v>
      </c>
      <c r="M573" s="73">
        <v>185</v>
      </c>
      <c r="N573" s="71" t="s">
        <v>388</v>
      </c>
      <c r="O573" s="73">
        <v>0.466</v>
      </c>
      <c r="P573" s="71" t="s">
        <v>389</v>
      </c>
      <c r="Q573" s="73">
        <v>185</v>
      </c>
      <c r="R573" s="71" t="s">
        <v>388</v>
      </c>
      <c r="S573" s="73">
        <v>0</v>
      </c>
      <c r="T573" s="71" t="s">
        <v>390</v>
      </c>
      <c r="U573" s="74">
        <v>1</v>
      </c>
      <c r="V573" s="71" t="s">
        <v>391</v>
      </c>
      <c r="W573" s="130"/>
      <c r="X573" s="72">
        <v>46060.541666666664</v>
      </c>
      <c r="Y573" s="72">
        <v>46068.940972222219</v>
      </c>
      <c r="Z573" s="104" t="s">
        <v>748</v>
      </c>
      <c r="AA573" s="104" t="s">
        <v>1352</v>
      </c>
      <c r="AB573" s="105">
        <v>46063.672222222223</v>
      </c>
      <c r="AC573" s="105"/>
    </row>
    <row r="574" s="70" customFormat="1" ht="11.25" customHeight="1">
      <c r="A574" s="87"/>
      <c r="C574" s="43" t="s">
        <v>1348</v>
      </c>
      <c r="D574" s="71" t="s">
        <v>382</v>
      </c>
      <c r="E574" s="71" t="str">
        <f>MID(D574,1,2)</f>
        <v>IL</v>
      </c>
      <c r="F574" s="71" t="s">
        <v>1349</v>
      </c>
      <c r="G574" s="71" t="str">
        <f>MID(F574,1,2)</f>
        <v>BR</v>
      </c>
      <c r="H574" s="43" t="s">
        <v>1350</v>
      </c>
      <c r="I574" s="71" t="s">
        <v>1351</v>
      </c>
      <c r="J574" s="71" t="s">
        <v>386</v>
      </c>
      <c r="K574" s="43"/>
      <c r="L574" s="71" t="s">
        <v>107</v>
      </c>
      <c r="M574" s="73">
        <v>185</v>
      </c>
      <c r="N574" s="71" t="s">
        <v>388</v>
      </c>
      <c r="O574" s="73">
        <v>0.466</v>
      </c>
      <c r="P574" s="71" t="s">
        <v>389</v>
      </c>
      <c r="Q574" s="73">
        <v>185</v>
      </c>
      <c r="R574" s="71" t="s">
        <v>388</v>
      </c>
      <c r="S574" s="73">
        <v>0</v>
      </c>
      <c r="T574" s="71" t="s">
        <v>390</v>
      </c>
      <c r="U574" s="74">
        <v>1</v>
      </c>
      <c r="V574" s="71" t="s">
        <v>391</v>
      </c>
      <c r="W574" s="130"/>
      <c r="X574" s="72">
        <v>46060.541666666664</v>
      </c>
      <c r="Y574" s="72">
        <v>46068.940972222219</v>
      </c>
      <c r="Z574" s="104" t="s">
        <v>1352</v>
      </c>
      <c r="AA574" s="104" t="s">
        <v>433</v>
      </c>
      <c r="AB574" s="105">
        <v>46065.294444444444</v>
      </c>
      <c r="AC574" s="105"/>
    </row>
    <row r="575" s="70" customFormat="1" ht="11.25" customHeight="1">
      <c r="A575" s="87"/>
      <c r="C575" s="43" t="s">
        <v>1348</v>
      </c>
      <c r="D575" s="71" t="s">
        <v>382</v>
      </c>
      <c r="E575" s="71" t="str">
        <f>MID(D575,1,2)</f>
        <v>IL</v>
      </c>
      <c r="F575" s="71" t="s">
        <v>1349</v>
      </c>
      <c r="G575" s="71" t="str">
        <f>MID(F575,1,2)</f>
        <v>BR</v>
      </c>
      <c r="H575" s="43" t="s">
        <v>1350</v>
      </c>
      <c r="I575" s="71" t="s">
        <v>1351</v>
      </c>
      <c r="J575" s="71" t="s">
        <v>386</v>
      </c>
      <c r="K575" s="43"/>
      <c r="L575" s="71" t="s">
        <v>107</v>
      </c>
      <c r="M575" s="73">
        <v>185</v>
      </c>
      <c r="N575" s="71" t="s">
        <v>388</v>
      </c>
      <c r="O575" s="73">
        <v>0.466</v>
      </c>
      <c r="P575" s="71" t="s">
        <v>389</v>
      </c>
      <c r="Q575" s="73">
        <v>185</v>
      </c>
      <c r="R575" s="71" t="s">
        <v>388</v>
      </c>
      <c r="S575" s="73">
        <v>0</v>
      </c>
      <c r="T575" s="71" t="s">
        <v>390</v>
      </c>
      <c r="U575" s="74">
        <v>1</v>
      </c>
      <c r="V575" s="71" t="s">
        <v>391</v>
      </c>
      <c r="W575" s="130"/>
      <c r="X575" s="72">
        <v>46060.541666666664</v>
      </c>
      <c r="Y575" s="72">
        <v>46068.940972222219</v>
      </c>
      <c r="Z575" s="104" t="s">
        <v>433</v>
      </c>
      <c r="AA575" s="104" t="s">
        <v>1349</v>
      </c>
      <c r="AB575" s="105">
        <v>46068.49375</v>
      </c>
      <c r="AC575" s="105">
        <v>46068.9</v>
      </c>
    </row>
    <row r="576" s="70" customFormat="1" ht="11.25" customHeight="1">
      <c r="A576" s="87"/>
      <c r="C576" s="43" t="s">
        <v>1353</v>
      </c>
      <c r="D576" s="71" t="s">
        <v>382</v>
      </c>
      <c r="E576" s="71" t="str">
        <f>MID(D576,1,2)</f>
        <v>IL</v>
      </c>
      <c r="F576" s="71" t="s">
        <v>590</v>
      </c>
      <c r="G576" s="71" t="str">
        <f>MID(F576,1,2)</f>
        <v>ES</v>
      </c>
      <c r="H576" s="43" t="s">
        <v>1354</v>
      </c>
      <c r="I576" s="71" t="s">
        <v>1355</v>
      </c>
      <c r="J576" s="71" t="s">
        <v>400</v>
      </c>
      <c r="K576" s="43"/>
      <c r="L576" s="71" t="s">
        <v>105</v>
      </c>
      <c r="M576" s="73">
        <v>319</v>
      </c>
      <c r="N576" s="71" t="s">
        <v>388</v>
      </c>
      <c r="O576" s="73">
        <v>0.739</v>
      </c>
      <c r="P576" s="71" t="s">
        <v>389</v>
      </c>
      <c r="Q576" s="73">
        <v>319</v>
      </c>
      <c r="R576" s="71" t="s">
        <v>388</v>
      </c>
      <c r="S576" s="73">
        <v>0</v>
      </c>
      <c r="T576" s="71" t="s">
        <v>390</v>
      </c>
      <c r="U576" s="74">
        <v>1</v>
      </c>
      <c r="V576" s="71" t="s">
        <v>391</v>
      </c>
      <c r="W576" s="130">
        <v>46062.704930555556</v>
      </c>
      <c r="X576" s="72">
        <v>46064.586805555555</v>
      </c>
      <c r="Y576" s="72">
        <v>46072.666666666664</v>
      </c>
      <c r="Z576" s="104" t="s">
        <v>382</v>
      </c>
      <c r="AA576" s="104" t="s">
        <v>590</v>
      </c>
      <c r="AB576" s="105">
        <v>46064.838194444441</v>
      </c>
      <c r="AC576" s="105">
        <v>46065.052083333336</v>
      </c>
    </row>
    <row r="577" s="70" customFormat="1" ht="11.25" customHeight="1">
      <c r="A577" s="87"/>
      <c r="C577" s="43" t="s">
        <v>1356</v>
      </c>
      <c r="D577" s="71" t="s">
        <v>382</v>
      </c>
      <c r="E577" s="71" t="str">
        <f>MID(D577,1,2)</f>
        <v>IL</v>
      </c>
      <c r="F577" s="71" t="s">
        <v>1357</v>
      </c>
      <c r="G577" s="71" t="str">
        <f>MID(F577,1,2)</f>
        <v>IN</v>
      </c>
      <c r="H577" s="43" t="s">
        <v>1358</v>
      </c>
      <c r="I577" s="71" t="s">
        <v>1359</v>
      </c>
      <c r="J577" s="71" t="s">
        <v>400</v>
      </c>
      <c r="K577" s="43"/>
      <c r="L577" s="71" t="s">
        <v>105</v>
      </c>
      <c r="M577" s="73">
        <v>74</v>
      </c>
      <c r="N577" s="71" t="s">
        <v>388</v>
      </c>
      <c r="O577" s="73">
        <v>0.302</v>
      </c>
      <c r="P577" s="71" t="s">
        <v>389</v>
      </c>
      <c r="Q577" s="73">
        <v>74</v>
      </c>
      <c r="R577" s="71" t="s">
        <v>388</v>
      </c>
      <c r="S577" s="73">
        <v>0</v>
      </c>
      <c r="T577" s="71" t="s">
        <v>390</v>
      </c>
      <c r="U577" s="74">
        <v>1</v>
      </c>
      <c r="V577" s="71" t="s">
        <v>391</v>
      </c>
      <c r="W577" s="130">
        <v>46057.660682870373</v>
      </c>
      <c r="X577" s="72">
        <v>46059.443055555559</v>
      </c>
      <c r="Y577" s="72">
        <v>46061.944444444445</v>
      </c>
      <c r="Z577" s="104" t="s">
        <v>382</v>
      </c>
      <c r="AA577" s="104" t="s">
        <v>383</v>
      </c>
      <c r="AB577" s="105">
        <v>46059.810416666667</v>
      </c>
      <c r="AC577" s="105">
        <v>46059.956944444442</v>
      </c>
    </row>
    <row r="578" s="70" customFormat="1" ht="11.25" customHeight="1">
      <c r="A578" s="87"/>
      <c r="C578" s="43" t="s">
        <v>1356</v>
      </c>
      <c r="D578" s="71" t="s">
        <v>382</v>
      </c>
      <c r="E578" s="71" t="str">
        <f>MID(D578,1,2)</f>
        <v>IL</v>
      </c>
      <c r="F578" s="71" t="s">
        <v>1357</v>
      </c>
      <c r="G578" s="71" t="str">
        <f>MID(F578,1,2)</f>
        <v>IN</v>
      </c>
      <c r="H578" s="43" t="s">
        <v>1358</v>
      </c>
      <c r="I578" s="71" t="s">
        <v>1359</v>
      </c>
      <c r="J578" s="71" t="s">
        <v>400</v>
      </c>
      <c r="K578" s="43"/>
      <c r="L578" s="71" t="s">
        <v>105</v>
      </c>
      <c r="M578" s="73">
        <v>74</v>
      </c>
      <c r="N578" s="71" t="s">
        <v>388</v>
      </c>
      <c r="O578" s="73">
        <v>0.302</v>
      </c>
      <c r="P578" s="71" t="s">
        <v>389</v>
      </c>
      <c r="Q578" s="73">
        <v>74</v>
      </c>
      <c r="R578" s="71" t="s">
        <v>388</v>
      </c>
      <c r="S578" s="73">
        <v>0</v>
      </c>
      <c r="T578" s="71" t="s">
        <v>390</v>
      </c>
      <c r="U578" s="74">
        <v>1</v>
      </c>
      <c r="V578" s="71" t="s">
        <v>391</v>
      </c>
      <c r="W578" s="130">
        <v>46057.660682870373</v>
      </c>
      <c r="X578" s="72">
        <v>46059.443055555559</v>
      </c>
      <c r="Y578" s="72">
        <v>46061.944444444445</v>
      </c>
      <c r="Z578" s="104" t="s">
        <v>383</v>
      </c>
      <c r="AA578" s="104" t="s">
        <v>1357</v>
      </c>
      <c r="AB578" s="105">
        <v>46061.211111111108</v>
      </c>
      <c r="AC578" s="105">
        <v>46061.944444444445</v>
      </c>
    </row>
    <row r="579" s="70" customFormat="1" ht="11.25" customHeight="1">
      <c r="A579" s="87"/>
      <c r="C579" s="43" t="s">
        <v>1360</v>
      </c>
      <c r="D579" s="71" t="s">
        <v>382</v>
      </c>
      <c r="E579" s="71" t="str">
        <f>MID(D579,1,2)</f>
        <v>IL</v>
      </c>
      <c r="F579" s="71" t="s">
        <v>774</v>
      </c>
      <c r="G579" s="71" t="str">
        <f>MID(F579,1,2)</f>
        <v>CN</v>
      </c>
      <c r="H579" s="43" t="s">
        <v>1361</v>
      </c>
      <c r="I579" s="71" t="s">
        <v>1362</v>
      </c>
      <c r="J579" s="71" t="s">
        <v>426</v>
      </c>
      <c r="K579" s="43"/>
      <c r="L579" s="71" t="s">
        <v>105</v>
      </c>
      <c r="M579" s="73">
        <v>545</v>
      </c>
      <c r="N579" s="71" t="s">
        <v>388</v>
      </c>
      <c r="O579" s="73">
        <v>3.472</v>
      </c>
      <c r="P579" s="71" t="s">
        <v>389</v>
      </c>
      <c r="Q579" s="73">
        <v>579</v>
      </c>
      <c r="R579" s="71" t="s">
        <v>388</v>
      </c>
      <c r="S579" s="73">
        <v>0</v>
      </c>
      <c r="T579" s="71" t="s">
        <v>390</v>
      </c>
      <c r="U579" s="74">
        <v>3</v>
      </c>
      <c r="V579" s="71" t="s">
        <v>391</v>
      </c>
      <c r="W579" s="130"/>
      <c r="X579" s="72">
        <v>46058.472222222219</v>
      </c>
      <c r="Y579" s="72">
        <v>46064.838888888888</v>
      </c>
      <c r="Z579" s="104" t="s">
        <v>382</v>
      </c>
      <c r="AA579" s="104" t="s">
        <v>1363</v>
      </c>
      <c r="AB579" s="105">
        <v>46061.426388888889</v>
      </c>
      <c r="AC579" s="105"/>
    </row>
    <row r="580" s="70" customFormat="1" ht="11.25" customHeight="1">
      <c r="A580" s="87"/>
      <c r="C580" s="43" t="s">
        <v>1360</v>
      </c>
      <c r="D580" s="71" t="s">
        <v>382</v>
      </c>
      <c r="E580" s="71" t="str">
        <f>MID(D580,1,2)</f>
        <v>IL</v>
      </c>
      <c r="F580" s="71" t="s">
        <v>774</v>
      </c>
      <c r="G580" s="71" t="str">
        <f>MID(F580,1,2)</f>
        <v>CN</v>
      </c>
      <c r="H580" s="43" t="s">
        <v>1361</v>
      </c>
      <c r="I580" s="71" t="s">
        <v>1362</v>
      </c>
      <c r="J580" s="71" t="s">
        <v>426</v>
      </c>
      <c r="K580" s="43"/>
      <c r="L580" s="71" t="s">
        <v>105</v>
      </c>
      <c r="M580" s="73">
        <v>545</v>
      </c>
      <c r="N580" s="71" t="s">
        <v>388</v>
      </c>
      <c r="O580" s="73">
        <v>3.472</v>
      </c>
      <c r="P580" s="71" t="s">
        <v>389</v>
      </c>
      <c r="Q580" s="73">
        <v>579</v>
      </c>
      <c r="R580" s="71" t="s">
        <v>388</v>
      </c>
      <c r="S580" s="73">
        <v>0</v>
      </c>
      <c r="T580" s="71" t="s">
        <v>390</v>
      </c>
      <c r="U580" s="74">
        <v>3</v>
      </c>
      <c r="V580" s="71" t="s">
        <v>391</v>
      </c>
      <c r="W580" s="130"/>
      <c r="X580" s="72">
        <v>46058.472222222219</v>
      </c>
      <c r="Y580" s="72">
        <v>46064.838888888888</v>
      </c>
      <c r="Z580" s="104" t="s">
        <v>1363</v>
      </c>
      <c r="AA580" s="104" t="s">
        <v>774</v>
      </c>
      <c r="AB580" s="105">
        <v>46064.711805555555</v>
      </c>
      <c r="AC580" s="105">
        <v>46064.826388888891</v>
      </c>
    </row>
    <row r="581" s="70" customFormat="1" ht="11.25" customHeight="1">
      <c r="A581" s="87"/>
      <c r="C581" s="43" t="s">
        <v>1364</v>
      </c>
      <c r="D581" s="71" t="s">
        <v>382</v>
      </c>
      <c r="E581" s="71" t="str">
        <f>MID(D581,1,2)</f>
        <v>IL</v>
      </c>
      <c r="F581" s="71" t="s">
        <v>522</v>
      </c>
      <c r="G581" s="71" t="str">
        <f>MID(F581,1,2)</f>
        <v>CZ</v>
      </c>
      <c r="H581" s="43" t="s">
        <v>1365</v>
      </c>
      <c r="I581" s="71" t="s">
        <v>1366</v>
      </c>
      <c r="J581" s="71" t="s">
        <v>386</v>
      </c>
      <c r="K581" s="43"/>
      <c r="L581" s="71" t="s">
        <v>107</v>
      </c>
      <c r="M581" s="73">
        <v>4</v>
      </c>
      <c r="N581" s="71" t="s">
        <v>388</v>
      </c>
      <c r="O581" s="73">
        <v>0.012</v>
      </c>
      <c r="P581" s="71" t="s">
        <v>389</v>
      </c>
      <c r="Q581" s="73">
        <v>4</v>
      </c>
      <c r="R581" s="71" t="s">
        <v>388</v>
      </c>
      <c r="S581" s="73">
        <v>0</v>
      </c>
      <c r="T581" s="71" t="s">
        <v>390</v>
      </c>
      <c r="U581" s="74">
        <v>1</v>
      </c>
      <c r="V581" s="71" t="s">
        <v>391</v>
      </c>
      <c r="W581" s="130">
        <v>46058.772303240738</v>
      </c>
      <c r="X581" s="72">
        <v>46061.013888888891</v>
      </c>
      <c r="Y581" s="72">
        <v>46062.364583333336</v>
      </c>
      <c r="Z581" s="104" t="s">
        <v>382</v>
      </c>
      <c r="AA581" s="104" t="s">
        <v>496</v>
      </c>
      <c r="AB581" s="105">
        <v>46061.996527777781</v>
      </c>
      <c r="AC581" s="105"/>
    </row>
    <row r="582" s="70" customFormat="1" ht="11.25" customHeight="1">
      <c r="A582" s="87"/>
      <c r="C582" s="43" t="s">
        <v>1364</v>
      </c>
      <c r="D582" s="71" t="s">
        <v>382</v>
      </c>
      <c r="E582" s="71" t="str">
        <f>MID(D582,1,2)</f>
        <v>IL</v>
      </c>
      <c r="F582" s="71" t="s">
        <v>522</v>
      </c>
      <c r="G582" s="71" t="str">
        <f>MID(F582,1,2)</f>
        <v>CZ</v>
      </c>
      <c r="H582" s="43" t="s">
        <v>1365</v>
      </c>
      <c r="I582" s="71" t="s">
        <v>1366</v>
      </c>
      <c r="J582" s="71" t="s">
        <v>386</v>
      </c>
      <c r="K582" s="43"/>
      <c r="L582" s="71" t="s">
        <v>107</v>
      </c>
      <c r="M582" s="73">
        <v>4</v>
      </c>
      <c r="N582" s="71" t="s">
        <v>388</v>
      </c>
      <c r="O582" s="73">
        <v>0.012</v>
      </c>
      <c r="P582" s="71" t="s">
        <v>389</v>
      </c>
      <c r="Q582" s="73">
        <v>4</v>
      </c>
      <c r="R582" s="71" t="s">
        <v>388</v>
      </c>
      <c r="S582" s="73">
        <v>0</v>
      </c>
      <c r="T582" s="71" t="s">
        <v>390</v>
      </c>
      <c r="U582" s="74">
        <v>1</v>
      </c>
      <c r="V582" s="71" t="s">
        <v>391</v>
      </c>
      <c r="W582" s="130">
        <v>46058.772303240738</v>
      </c>
      <c r="X582" s="72">
        <v>46061.013888888891</v>
      </c>
      <c r="Y582" s="72">
        <v>46062.364583333336</v>
      </c>
      <c r="Z582" s="104" t="s">
        <v>496</v>
      </c>
      <c r="AA582" s="104" t="s">
        <v>522</v>
      </c>
      <c r="AB582" s="105">
        <v>46062.326388888891</v>
      </c>
      <c r="AC582" s="105">
        <v>46062.395138888889</v>
      </c>
    </row>
    <row r="583" s="70" customFormat="1" ht="11.25" customHeight="1">
      <c r="A583" s="87"/>
      <c r="C583" s="43" t="s">
        <v>1367</v>
      </c>
      <c r="D583" s="71" t="s">
        <v>382</v>
      </c>
      <c r="E583" s="71" t="str">
        <f>MID(D583,1,2)</f>
        <v>IL</v>
      </c>
      <c r="F583" s="71" t="s">
        <v>1341</v>
      </c>
      <c r="G583" s="71" t="str">
        <f>MID(F583,1,2)</f>
        <v>IE</v>
      </c>
      <c r="H583" s="43" t="s">
        <v>1368</v>
      </c>
      <c r="I583" s="71" t="s">
        <v>1369</v>
      </c>
      <c r="J583" s="71" t="s">
        <v>386</v>
      </c>
      <c r="K583" s="43" t="s">
        <v>1344</v>
      </c>
      <c r="L583" s="71" t="s">
        <v>107</v>
      </c>
      <c r="M583" s="73">
        <v>8439</v>
      </c>
      <c r="N583" s="71" t="s">
        <v>388</v>
      </c>
      <c r="O583" s="73">
        <v>40.671</v>
      </c>
      <c r="P583" s="71" t="s">
        <v>389</v>
      </c>
      <c r="Q583" s="73">
        <v>10550</v>
      </c>
      <c r="R583" s="71" t="s">
        <v>388</v>
      </c>
      <c r="S583" s="73">
        <v>0</v>
      </c>
      <c r="T583" s="71" t="s">
        <v>390</v>
      </c>
      <c r="U583" s="74">
        <v>7</v>
      </c>
      <c r="V583" s="71" t="s">
        <v>391</v>
      </c>
      <c r="W583" s="130">
        <v>46075.34097222222</v>
      </c>
      <c r="X583" s="72">
        <v>46076.958333333336</v>
      </c>
      <c r="Y583" s="72">
        <v>46078.569444444445</v>
      </c>
      <c r="Z583" s="104" t="s">
        <v>382</v>
      </c>
      <c r="AA583" s="104" t="s">
        <v>466</v>
      </c>
      <c r="AB583" s="105">
        <v>46076.975694444445</v>
      </c>
      <c r="AC583" s="105">
        <v>46077.115277777775</v>
      </c>
    </row>
    <row r="584" s="70" customFormat="1" ht="11.25" customHeight="1">
      <c r="A584" s="87"/>
      <c r="C584" s="43" t="s">
        <v>1367</v>
      </c>
      <c r="D584" s="71" t="s">
        <v>382</v>
      </c>
      <c r="E584" s="71" t="str">
        <f>MID(D584,1,2)</f>
        <v>IL</v>
      </c>
      <c r="F584" s="71" t="s">
        <v>1341</v>
      </c>
      <c r="G584" s="71" t="str">
        <f>MID(F584,1,2)</f>
        <v>IE</v>
      </c>
      <c r="H584" s="43" t="s">
        <v>1368</v>
      </c>
      <c r="I584" s="71" t="s">
        <v>1369</v>
      </c>
      <c r="J584" s="71" t="s">
        <v>386</v>
      </c>
      <c r="K584" s="43" t="s">
        <v>1344</v>
      </c>
      <c r="L584" s="71" t="s">
        <v>107</v>
      </c>
      <c r="M584" s="73">
        <v>8439</v>
      </c>
      <c r="N584" s="71" t="s">
        <v>388</v>
      </c>
      <c r="O584" s="73">
        <v>40.671</v>
      </c>
      <c r="P584" s="71" t="s">
        <v>389</v>
      </c>
      <c r="Q584" s="73">
        <v>10550</v>
      </c>
      <c r="R584" s="71" t="s">
        <v>388</v>
      </c>
      <c r="S584" s="73">
        <v>0</v>
      </c>
      <c r="T584" s="71" t="s">
        <v>390</v>
      </c>
      <c r="U584" s="74">
        <v>7</v>
      </c>
      <c r="V584" s="71" t="s">
        <v>391</v>
      </c>
      <c r="W584" s="130">
        <v>46075.34097222222</v>
      </c>
      <c r="X584" s="72">
        <v>46076.958333333336</v>
      </c>
      <c r="Y584" s="72">
        <v>46078.569444444445</v>
      </c>
      <c r="Z584" s="104" t="s">
        <v>1370</v>
      </c>
      <c r="AA584" s="104" t="s">
        <v>1341</v>
      </c>
      <c r="AB584" s="105"/>
      <c r="AC584" s="105"/>
    </row>
    <row r="585" s="70" customFormat="1" ht="11.25" customHeight="1">
      <c r="A585" s="87"/>
      <c r="C585" s="43" t="s">
        <v>1371</v>
      </c>
      <c r="D585" s="71" t="s">
        <v>382</v>
      </c>
      <c r="E585" s="71" t="str">
        <f>MID(D585,1,2)</f>
        <v>IL</v>
      </c>
      <c r="F585" s="71" t="s">
        <v>419</v>
      </c>
      <c r="G585" s="71" t="str">
        <f>MID(F585,1,2)</f>
        <v>US</v>
      </c>
      <c r="H585" s="43" t="s">
        <v>1372</v>
      </c>
      <c r="I585" s="71" t="s">
        <v>1373</v>
      </c>
      <c r="J585" s="71" t="s">
        <v>426</v>
      </c>
      <c r="K585" s="43"/>
      <c r="L585" s="71" t="s">
        <v>105</v>
      </c>
      <c r="M585" s="73">
        <v>5225</v>
      </c>
      <c r="N585" s="71" t="s">
        <v>388</v>
      </c>
      <c r="O585" s="73">
        <v>36.66</v>
      </c>
      <c r="P585" s="71" t="s">
        <v>389</v>
      </c>
      <c r="Q585" s="73">
        <v>6110</v>
      </c>
      <c r="R585" s="71" t="s">
        <v>388</v>
      </c>
      <c r="S585" s="73">
        <v>0</v>
      </c>
      <c r="T585" s="71" t="s">
        <v>390</v>
      </c>
      <c r="U585" s="74">
        <v>27</v>
      </c>
      <c r="V585" s="71" t="s">
        <v>391</v>
      </c>
      <c r="W585" s="130">
        <v>46062.364664351851</v>
      </c>
      <c r="X585" s="72">
        <v>46063.965277777781</v>
      </c>
      <c r="Y585" s="72">
        <v>46065.75</v>
      </c>
      <c r="Z585" s="104" t="s">
        <v>382</v>
      </c>
      <c r="AA585" s="104" t="s">
        <v>422</v>
      </c>
      <c r="AB585" s="105">
        <v>46063.966666666667</v>
      </c>
      <c r="AC585" s="105">
        <v>46064.147222222222</v>
      </c>
    </row>
    <row r="586" s="70" customFormat="1" ht="11.25" customHeight="1">
      <c r="A586" s="87"/>
      <c r="C586" s="43" t="s">
        <v>1371</v>
      </c>
      <c r="D586" s="71" t="s">
        <v>382</v>
      </c>
      <c r="E586" s="71" t="str">
        <f>MID(D586,1,2)</f>
        <v>IL</v>
      </c>
      <c r="F586" s="71" t="s">
        <v>419</v>
      </c>
      <c r="G586" s="71" t="str">
        <f>MID(F586,1,2)</f>
        <v>US</v>
      </c>
      <c r="H586" s="43" t="s">
        <v>1372</v>
      </c>
      <c r="I586" s="71" t="s">
        <v>1373</v>
      </c>
      <c r="J586" s="71" t="s">
        <v>426</v>
      </c>
      <c r="K586" s="43"/>
      <c r="L586" s="71" t="s">
        <v>105</v>
      </c>
      <c r="M586" s="73">
        <v>5225</v>
      </c>
      <c r="N586" s="71" t="s">
        <v>388</v>
      </c>
      <c r="O586" s="73">
        <v>36.66</v>
      </c>
      <c r="P586" s="71" t="s">
        <v>389</v>
      </c>
      <c r="Q586" s="73">
        <v>6110</v>
      </c>
      <c r="R586" s="71" t="s">
        <v>388</v>
      </c>
      <c r="S586" s="73">
        <v>0</v>
      </c>
      <c r="T586" s="71" t="s">
        <v>390</v>
      </c>
      <c r="U586" s="74">
        <v>27</v>
      </c>
      <c r="V586" s="71" t="s">
        <v>391</v>
      </c>
      <c r="W586" s="130">
        <v>46062.364664351851</v>
      </c>
      <c r="X586" s="72">
        <v>46063.965277777781</v>
      </c>
      <c r="Y586" s="72">
        <v>46065.75</v>
      </c>
      <c r="Z586" s="104" t="s">
        <v>422</v>
      </c>
      <c r="AA586" s="104" t="s">
        <v>419</v>
      </c>
      <c r="AB586" s="105">
        <v>46065.031944444447</v>
      </c>
      <c r="AC586" s="105">
        <v>46066.259722222225</v>
      </c>
    </row>
    <row r="587" s="70" customFormat="1" ht="11.25" customHeight="1">
      <c r="A587" s="87"/>
      <c r="C587" s="43" t="s">
        <v>1374</v>
      </c>
      <c r="D587" s="71" t="s">
        <v>382</v>
      </c>
      <c r="E587" s="71" t="str">
        <f>MID(D587,1,2)</f>
        <v>IL</v>
      </c>
      <c r="F587" s="71" t="s">
        <v>468</v>
      </c>
      <c r="G587" s="71" t="str">
        <f>MID(F587,1,2)</f>
        <v>US</v>
      </c>
      <c r="H587" s="43" t="s">
        <v>706</v>
      </c>
      <c r="I587" s="71" t="s">
        <v>1375</v>
      </c>
      <c r="J587" s="71" t="s">
        <v>386</v>
      </c>
      <c r="K587" s="43"/>
      <c r="L587" s="71" t="s">
        <v>107</v>
      </c>
      <c r="M587" s="73">
        <v>25</v>
      </c>
      <c r="N587" s="71" t="s">
        <v>388</v>
      </c>
      <c r="O587" s="73">
        <v>0.521</v>
      </c>
      <c r="P587" s="71" t="s">
        <v>389</v>
      </c>
      <c r="Q587" s="73">
        <v>87</v>
      </c>
      <c r="R587" s="71" t="s">
        <v>388</v>
      </c>
      <c r="S587" s="73">
        <v>0</v>
      </c>
      <c r="T587" s="71" t="s">
        <v>390</v>
      </c>
      <c r="U587" s="74">
        <v>1</v>
      </c>
      <c r="V587" s="71" t="s">
        <v>391</v>
      </c>
      <c r="W587" s="130">
        <v>46057.541666666664</v>
      </c>
      <c r="X587" s="72">
        <v>46060.958333333336</v>
      </c>
      <c r="Y587" s="72">
        <v>46063.673611111109</v>
      </c>
      <c r="Z587" s="104" t="s">
        <v>382</v>
      </c>
      <c r="AA587" s="104" t="s">
        <v>422</v>
      </c>
      <c r="AB587" s="105">
        <v>46060.963194444441</v>
      </c>
      <c r="AC587" s="105">
        <v>46061.144444444442</v>
      </c>
    </row>
    <row r="588" s="70" customFormat="1" ht="11.25" customHeight="1">
      <c r="A588" s="87"/>
      <c r="C588" s="43" t="s">
        <v>1374</v>
      </c>
      <c r="D588" s="71" t="s">
        <v>382</v>
      </c>
      <c r="E588" s="71" t="str">
        <f>MID(D588,1,2)</f>
        <v>IL</v>
      </c>
      <c r="F588" s="71" t="s">
        <v>468</v>
      </c>
      <c r="G588" s="71" t="str">
        <f>MID(F588,1,2)</f>
        <v>US</v>
      </c>
      <c r="H588" s="43" t="s">
        <v>706</v>
      </c>
      <c r="I588" s="71" t="s">
        <v>1375</v>
      </c>
      <c r="J588" s="71" t="s">
        <v>386</v>
      </c>
      <c r="K588" s="43"/>
      <c r="L588" s="71" t="s">
        <v>107</v>
      </c>
      <c r="M588" s="73">
        <v>25</v>
      </c>
      <c r="N588" s="71" t="s">
        <v>388</v>
      </c>
      <c r="O588" s="73">
        <v>0.521</v>
      </c>
      <c r="P588" s="71" t="s">
        <v>389</v>
      </c>
      <c r="Q588" s="73">
        <v>87</v>
      </c>
      <c r="R588" s="71" t="s">
        <v>388</v>
      </c>
      <c r="S588" s="73">
        <v>0</v>
      </c>
      <c r="T588" s="71" t="s">
        <v>390</v>
      </c>
      <c r="U588" s="74">
        <v>1</v>
      </c>
      <c r="V588" s="71" t="s">
        <v>391</v>
      </c>
      <c r="W588" s="130">
        <v>46057.541666666664</v>
      </c>
      <c r="X588" s="72">
        <v>46060.958333333336</v>
      </c>
      <c r="Y588" s="72">
        <v>46063.673611111109</v>
      </c>
      <c r="Z588" s="104" t="s">
        <v>422</v>
      </c>
      <c r="AA588" s="104" t="s">
        <v>468</v>
      </c>
      <c r="AB588" s="105">
        <v>46063.543055555558</v>
      </c>
      <c r="AC588" s="105">
        <v>46063.658333333333</v>
      </c>
    </row>
    <row r="589" s="70" customFormat="1" ht="11.25" customHeight="1">
      <c r="A589" s="87"/>
      <c r="C589" s="43" t="s">
        <v>1376</v>
      </c>
      <c r="D589" s="71" t="s">
        <v>382</v>
      </c>
      <c r="E589" s="71" t="str">
        <f>MID(D589,1,2)</f>
        <v>IL</v>
      </c>
      <c r="F589" s="71" t="s">
        <v>1108</v>
      </c>
      <c r="G589" s="71" t="str">
        <f>MID(F589,1,2)</f>
        <v>TW</v>
      </c>
      <c r="H589" s="43" t="s">
        <v>1377</v>
      </c>
      <c r="I589" s="71" t="s">
        <v>1378</v>
      </c>
      <c r="J589" s="71" t="s">
        <v>400</v>
      </c>
      <c r="K589" s="43"/>
      <c r="L589" s="71" t="s">
        <v>105</v>
      </c>
      <c r="M589" s="73">
        <v>120</v>
      </c>
      <c r="N589" s="71" t="s">
        <v>388</v>
      </c>
      <c r="O589" s="73">
        <v>1.104</v>
      </c>
      <c r="P589" s="71" t="s">
        <v>389</v>
      </c>
      <c r="Q589" s="73">
        <v>184</v>
      </c>
      <c r="R589" s="71" t="s">
        <v>388</v>
      </c>
      <c r="S589" s="73">
        <v>0</v>
      </c>
      <c r="T589" s="71" t="s">
        <v>390</v>
      </c>
      <c r="U589" s="74">
        <v>1</v>
      </c>
      <c r="V589" s="71" t="s">
        <v>391</v>
      </c>
      <c r="W589" s="130">
        <v>46057.55625</v>
      </c>
      <c r="X589" s="72">
        <v>46060.9375</v>
      </c>
      <c r="Y589" s="72">
        <v>46062.909722222219</v>
      </c>
      <c r="Z589" s="104" t="s">
        <v>382</v>
      </c>
      <c r="AA589" s="104" t="s">
        <v>833</v>
      </c>
      <c r="AB589" s="105">
        <v>46060.939583333333</v>
      </c>
      <c r="AC589" s="105"/>
    </row>
    <row r="590" s="70" customFormat="1" ht="11.25" customHeight="1">
      <c r="A590" s="87"/>
      <c r="C590" s="43" t="s">
        <v>1376</v>
      </c>
      <c r="D590" s="71" t="s">
        <v>382</v>
      </c>
      <c r="E590" s="71" t="str">
        <f>MID(D590,1,2)</f>
        <v>IL</v>
      </c>
      <c r="F590" s="71" t="s">
        <v>1108</v>
      </c>
      <c r="G590" s="71" t="str">
        <f>MID(F590,1,2)</f>
        <v>TW</v>
      </c>
      <c r="H590" s="43" t="s">
        <v>1377</v>
      </c>
      <c r="I590" s="71" t="s">
        <v>1378</v>
      </c>
      <c r="J590" s="71" t="s">
        <v>400</v>
      </c>
      <c r="K590" s="43"/>
      <c r="L590" s="71" t="s">
        <v>105</v>
      </c>
      <c r="M590" s="73">
        <v>120</v>
      </c>
      <c r="N590" s="71" t="s">
        <v>388</v>
      </c>
      <c r="O590" s="73">
        <v>1.104</v>
      </c>
      <c r="P590" s="71" t="s">
        <v>389</v>
      </c>
      <c r="Q590" s="73">
        <v>184</v>
      </c>
      <c r="R590" s="71" t="s">
        <v>388</v>
      </c>
      <c r="S590" s="73">
        <v>0</v>
      </c>
      <c r="T590" s="71" t="s">
        <v>390</v>
      </c>
      <c r="U590" s="74">
        <v>1</v>
      </c>
      <c r="V590" s="71" t="s">
        <v>391</v>
      </c>
      <c r="W590" s="130">
        <v>46057.55625</v>
      </c>
      <c r="X590" s="72">
        <v>46060.9375</v>
      </c>
      <c r="Y590" s="72">
        <v>46062.909722222219</v>
      </c>
      <c r="Z590" s="104" t="s">
        <v>833</v>
      </c>
      <c r="AA590" s="104" t="s">
        <v>1108</v>
      </c>
      <c r="AB590" s="105">
        <v>46062.618055555555</v>
      </c>
      <c r="AC590" s="105">
        <v>46062.799305555556</v>
      </c>
    </row>
    <row r="591" s="70" customFormat="1" ht="11.25" customHeight="1">
      <c r="A591" s="87"/>
      <c r="C591" s="43" t="s">
        <v>1379</v>
      </c>
      <c r="D591" s="71" t="s">
        <v>382</v>
      </c>
      <c r="E591" s="71" t="str">
        <f>MID(D591,1,2)</f>
        <v>IL</v>
      </c>
      <c r="F591" s="71" t="s">
        <v>480</v>
      </c>
      <c r="G591" s="71" t="str">
        <f>MID(F591,1,2)</f>
        <v>CA</v>
      </c>
      <c r="H591" s="43" t="s">
        <v>1380</v>
      </c>
      <c r="I591" s="71" t="s">
        <v>1381</v>
      </c>
      <c r="J591" s="71" t="s">
        <v>386</v>
      </c>
      <c r="K591" s="43"/>
      <c r="L591" s="71" t="s">
        <v>107</v>
      </c>
      <c r="M591" s="73">
        <v>274</v>
      </c>
      <c r="N591" s="71" t="s">
        <v>388</v>
      </c>
      <c r="O591" s="73">
        <v>0.259</v>
      </c>
      <c r="P591" s="71" t="s">
        <v>389</v>
      </c>
      <c r="Q591" s="73">
        <v>274</v>
      </c>
      <c r="R591" s="71" t="s">
        <v>388</v>
      </c>
      <c r="S591" s="73">
        <v>0</v>
      </c>
      <c r="T591" s="71" t="s">
        <v>390</v>
      </c>
      <c r="U591" s="74">
        <v>4</v>
      </c>
      <c r="V591" s="71" t="s">
        <v>417</v>
      </c>
      <c r="W591" s="130">
        <v>46058.473622685182</v>
      </c>
      <c r="X591" s="72">
        <v>46059.458333333336</v>
      </c>
      <c r="Y591" s="72">
        <v>46061.765972222223</v>
      </c>
      <c r="Z591" s="104" t="s">
        <v>1102</v>
      </c>
      <c r="AA591" s="104" t="s">
        <v>1103</v>
      </c>
      <c r="AB591" s="105">
        <v>46062.791666666664</v>
      </c>
      <c r="AC591" s="105">
        <v>46062.916666666664</v>
      </c>
    </row>
    <row r="592" s="70" customFormat="1" ht="11.25" customHeight="1">
      <c r="A592" s="87"/>
      <c r="C592" s="43" t="s">
        <v>1379</v>
      </c>
      <c r="D592" s="71" t="s">
        <v>382</v>
      </c>
      <c r="E592" s="71" t="str">
        <f>MID(D592,1,2)</f>
        <v>IL</v>
      </c>
      <c r="F592" s="71" t="s">
        <v>480</v>
      </c>
      <c r="G592" s="71" t="str">
        <f>MID(F592,1,2)</f>
        <v>CA</v>
      </c>
      <c r="H592" s="43" t="s">
        <v>1380</v>
      </c>
      <c r="I592" s="71" t="s">
        <v>1381</v>
      </c>
      <c r="J592" s="71" t="s">
        <v>386</v>
      </c>
      <c r="K592" s="43"/>
      <c r="L592" s="71" t="s">
        <v>107</v>
      </c>
      <c r="M592" s="73">
        <v>274</v>
      </c>
      <c r="N592" s="71" t="s">
        <v>388</v>
      </c>
      <c r="O592" s="73">
        <v>0.259</v>
      </c>
      <c r="P592" s="71" t="s">
        <v>389</v>
      </c>
      <c r="Q592" s="73">
        <v>274</v>
      </c>
      <c r="R592" s="71" t="s">
        <v>388</v>
      </c>
      <c r="S592" s="73">
        <v>0</v>
      </c>
      <c r="T592" s="71" t="s">
        <v>390</v>
      </c>
      <c r="U592" s="74">
        <v>4</v>
      </c>
      <c r="V592" s="71" t="s">
        <v>417</v>
      </c>
      <c r="W592" s="130">
        <v>46058.473622685182</v>
      </c>
      <c r="X592" s="72">
        <v>46059.458333333336</v>
      </c>
      <c r="Y592" s="72">
        <v>46061.765972222223</v>
      </c>
      <c r="Z592" s="104" t="s">
        <v>382</v>
      </c>
      <c r="AA592" s="104" t="s">
        <v>405</v>
      </c>
      <c r="AB592" s="105">
        <v>46059.488888888889</v>
      </c>
      <c r="AC592" s="105">
        <v>46059.68125</v>
      </c>
    </row>
    <row r="593" s="70" customFormat="1" ht="11.25" customHeight="1">
      <c r="A593" s="87"/>
      <c r="C593" s="43" t="s">
        <v>1379</v>
      </c>
      <c r="D593" s="71" t="s">
        <v>382</v>
      </c>
      <c r="E593" s="71" t="str">
        <f>MID(D593,1,2)</f>
        <v>IL</v>
      </c>
      <c r="F593" s="71" t="s">
        <v>480</v>
      </c>
      <c r="G593" s="71" t="str">
        <f>MID(F593,1,2)</f>
        <v>CA</v>
      </c>
      <c r="H593" s="43" t="s">
        <v>1380</v>
      </c>
      <c r="I593" s="71" t="s">
        <v>1381</v>
      </c>
      <c r="J593" s="71" t="s">
        <v>386</v>
      </c>
      <c r="K593" s="43"/>
      <c r="L593" s="71" t="s">
        <v>107</v>
      </c>
      <c r="M593" s="73">
        <v>274</v>
      </c>
      <c r="N593" s="71" t="s">
        <v>388</v>
      </c>
      <c r="O593" s="73">
        <v>0.259</v>
      </c>
      <c r="P593" s="71" t="s">
        <v>389</v>
      </c>
      <c r="Q593" s="73">
        <v>274</v>
      </c>
      <c r="R593" s="71" t="s">
        <v>388</v>
      </c>
      <c r="S593" s="73">
        <v>0</v>
      </c>
      <c r="T593" s="71" t="s">
        <v>390</v>
      </c>
      <c r="U593" s="74">
        <v>4</v>
      </c>
      <c r="V593" s="71" t="s">
        <v>417</v>
      </c>
      <c r="W593" s="130">
        <v>46058.473622685182</v>
      </c>
      <c r="X593" s="72">
        <v>46059.458333333336</v>
      </c>
      <c r="Y593" s="72">
        <v>46061.765972222223</v>
      </c>
      <c r="Z593" s="104" t="s">
        <v>405</v>
      </c>
      <c r="AA593" s="104" t="s">
        <v>480</v>
      </c>
      <c r="AB593" s="105">
        <v>46061.743055555555</v>
      </c>
      <c r="AC593" s="105">
        <v>46061.785416666666</v>
      </c>
    </row>
    <row r="594" s="70" customFormat="1" ht="11.25" customHeight="1">
      <c r="A594" s="87"/>
      <c r="C594" s="43" t="s">
        <v>1382</v>
      </c>
      <c r="D594" s="71" t="s">
        <v>382</v>
      </c>
      <c r="E594" s="71" t="str">
        <f>MID(D594,1,2)</f>
        <v>IL</v>
      </c>
      <c r="F594" s="71" t="s">
        <v>480</v>
      </c>
      <c r="G594" s="71" t="str">
        <f>MID(F594,1,2)</f>
        <v>CA</v>
      </c>
      <c r="H594" s="43" t="s">
        <v>1380</v>
      </c>
      <c r="I594" s="71" t="s">
        <v>1383</v>
      </c>
      <c r="J594" s="71" t="s">
        <v>386</v>
      </c>
      <c r="K594" s="43"/>
      <c r="L594" s="71" t="s">
        <v>107</v>
      </c>
      <c r="M594" s="73">
        <v>294</v>
      </c>
      <c r="N594" s="71" t="s">
        <v>388</v>
      </c>
      <c r="O594" s="73">
        <v>0.454</v>
      </c>
      <c r="P594" s="71" t="s">
        <v>389</v>
      </c>
      <c r="Q594" s="73">
        <v>294</v>
      </c>
      <c r="R594" s="71" t="s">
        <v>388</v>
      </c>
      <c r="S594" s="73">
        <v>0</v>
      </c>
      <c r="T594" s="71" t="s">
        <v>390</v>
      </c>
      <c r="U594" s="74">
        <v>3</v>
      </c>
      <c r="V594" s="71" t="s">
        <v>417</v>
      </c>
      <c r="W594" s="130">
        <v>46057.71597222222</v>
      </c>
      <c r="X594" s="72">
        <v>46059.458333333336</v>
      </c>
      <c r="Y594" s="72">
        <v>46061.765972222223</v>
      </c>
      <c r="Z594" s="104" t="s">
        <v>1102</v>
      </c>
      <c r="AA594" s="104" t="s">
        <v>1384</v>
      </c>
      <c r="AB594" s="105"/>
      <c r="AC594" s="105"/>
    </row>
    <row r="595" s="70" customFormat="1" ht="11.25" customHeight="1">
      <c r="A595" s="87"/>
      <c r="C595" s="43" t="s">
        <v>1382</v>
      </c>
      <c r="D595" s="71" t="s">
        <v>382</v>
      </c>
      <c r="E595" s="71" t="str">
        <f>MID(D595,1,2)</f>
        <v>IL</v>
      </c>
      <c r="F595" s="71" t="s">
        <v>480</v>
      </c>
      <c r="G595" s="71" t="str">
        <f>MID(F595,1,2)</f>
        <v>CA</v>
      </c>
      <c r="H595" s="43" t="s">
        <v>1380</v>
      </c>
      <c r="I595" s="71" t="s">
        <v>1383</v>
      </c>
      <c r="J595" s="71" t="s">
        <v>386</v>
      </c>
      <c r="K595" s="43"/>
      <c r="L595" s="71" t="s">
        <v>107</v>
      </c>
      <c r="M595" s="73">
        <v>294</v>
      </c>
      <c r="N595" s="71" t="s">
        <v>388</v>
      </c>
      <c r="O595" s="73">
        <v>0.454</v>
      </c>
      <c r="P595" s="71" t="s">
        <v>389</v>
      </c>
      <c r="Q595" s="73">
        <v>294</v>
      </c>
      <c r="R595" s="71" t="s">
        <v>388</v>
      </c>
      <c r="S595" s="73">
        <v>0</v>
      </c>
      <c r="T595" s="71" t="s">
        <v>390</v>
      </c>
      <c r="U595" s="74">
        <v>3</v>
      </c>
      <c r="V595" s="71" t="s">
        <v>417</v>
      </c>
      <c r="W595" s="130">
        <v>46057.71597222222</v>
      </c>
      <c r="X595" s="72">
        <v>46059.458333333336</v>
      </c>
      <c r="Y595" s="72">
        <v>46061.765972222223</v>
      </c>
      <c r="Z595" s="104" t="s">
        <v>382</v>
      </c>
      <c r="AA595" s="104" t="s">
        <v>405</v>
      </c>
      <c r="AB595" s="105">
        <v>46059.488888888889</v>
      </c>
      <c r="AC595" s="105">
        <v>46059.68125</v>
      </c>
    </row>
    <row r="596" s="70" customFormat="1" ht="11.25" customHeight="1">
      <c r="A596" s="87"/>
      <c r="C596" s="43" t="s">
        <v>1382</v>
      </c>
      <c r="D596" s="71" t="s">
        <v>382</v>
      </c>
      <c r="E596" s="71" t="str">
        <f>MID(D596,1,2)</f>
        <v>IL</v>
      </c>
      <c r="F596" s="71" t="s">
        <v>480</v>
      </c>
      <c r="G596" s="71" t="str">
        <f>MID(F596,1,2)</f>
        <v>CA</v>
      </c>
      <c r="H596" s="43" t="s">
        <v>1380</v>
      </c>
      <c r="I596" s="71" t="s">
        <v>1383</v>
      </c>
      <c r="J596" s="71" t="s">
        <v>386</v>
      </c>
      <c r="K596" s="43"/>
      <c r="L596" s="71" t="s">
        <v>107</v>
      </c>
      <c r="M596" s="73">
        <v>294</v>
      </c>
      <c r="N596" s="71" t="s">
        <v>388</v>
      </c>
      <c r="O596" s="73">
        <v>0.454</v>
      </c>
      <c r="P596" s="71" t="s">
        <v>389</v>
      </c>
      <c r="Q596" s="73">
        <v>294</v>
      </c>
      <c r="R596" s="71" t="s">
        <v>388</v>
      </c>
      <c r="S596" s="73">
        <v>0</v>
      </c>
      <c r="T596" s="71" t="s">
        <v>390</v>
      </c>
      <c r="U596" s="74">
        <v>3</v>
      </c>
      <c r="V596" s="71" t="s">
        <v>417</v>
      </c>
      <c r="W596" s="130">
        <v>46057.71597222222</v>
      </c>
      <c r="X596" s="72">
        <v>46059.458333333336</v>
      </c>
      <c r="Y596" s="72">
        <v>46061.765972222223</v>
      </c>
      <c r="Z596" s="104" t="s">
        <v>405</v>
      </c>
      <c r="AA596" s="104" t="s">
        <v>480</v>
      </c>
      <c r="AB596" s="105">
        <v>46061.743055555555</v>
      </c>
      <c r="AC596" s="105">
        <v>46061.785416666666</v>
      </c>
    </row>
    <row r="597" s="70" customFormat="1" ht="11.25" customHeight="1">
      <c r="A597" s="87"/>
      <c r="C597" s="43" t="s">
        <v>1385</v>
      </c>
      <c r="D597" s="71" t="s">
        <v>382</v>
      </c>
      <c r="E597" s="71" t="str">
        <f>MID(D597,1,2)</f>
        <v>IL</v>
      </c>
      <c r="F597" s="71" t="s">
        <v>1310</v>
      </c>
      <c r="G597" s="71" t="str">
        <f>MID(F597,1,2)</f>
        <v>ET</v>
      </c>
      <c r="H597" s="43" t="s">
        <v>1386</v>
      </c>
      <c r="I597" s="71"/>
      <c r="J597" s="71" t="s">
        <v>426</v>
      </c>
      <c r="K597" s="43"/>
      <c r="L597" s="71" t="s">
        <v>105</v>
      </c>
      <c r="M597" s="73">
        <v>1465</v>
      </c>
      <c r="N597" s="71" t="s">
        <v>388</v>
      </c>
      <c r="O597" s="73">
        <v>6.388</v>
      </c>
      <c r="P597" s="71" t="s">
        <v>389</v>
      </c>
      <c r="Q597" s="73">
        <v>1465</v>
      </c>
      <c r="R597" s="71" t="s">
        <v>388</v>
      </c>
      <c r="S597" s="73">
        <v>0</v>
      </c>
      <c r="T597" s="71" t="s">
        <v>390</v>
      </c>
      <c r="U597" s="74">
        <v>5</v>
      </c>
      <c r="V597" s="71" t="s">
        <v>391</v>
      </c>
      <c r="W597" s="130"/>
      <c r="X597" s="72">
        <v>46061</v>
      </c>
      <c r="Y597" s="72">
        <v>46090.472222222219</v>
      </c>
      <c r="Z597" s="104" t="s">
        <v>382</v>
      </c>
      <c r="AA597" s="104" t="s">
        <v>1310</v>
      </c>
      <c r="AB597" s="105"/>
      <c r="AC597" s="105"/>
    </row>
    <row r="598" s="70" customFormat="1" ht="11.25" customHeight="1">
      <c r="A598" s="87"/>
      <c r="C598" s="43" t="s">
        <v>1387</v>
      </c>
      <c r="D598" s="71" t="s">
        <v>382</v>
      </c>
      <c r="E598" s="71" t="str">
        <f>MID(D598,1,2)</f>
        <v>IL</v>
      </c>
      <c r="F598" s="71" t="s">
        <v>1388</v>
      </c>
      <c r="G598" s="71" t="str">
        <f>MID(F598,1,2)</f>
        <v>GB</v>
      </c>
      <c r="H598" s="43" t="s">
        <v>1389</v>
      </c>
      <c r="I598" s="71" t="s">
        <v>1390</v>
      </c>
      <c r="J598" s="71" t="s">
        <v>811</v>
      </c>
      <c r="K598" s="43"/>
      <c r="L598" s="71" t="s">
        <v>105</v>
      </c>
      <c r="M598" s="73">
        <v>41</v>
      </c>
      <c r="N598" s="71" t="s">
        <v>388</v>
      </c>
      <c r="O598" s="73">
        <v>0.643</v>
      </c>
      <c r="P598" s="71" t="s">
        <v>389</v>
      </c>
      <c r="Q598" s="73">
        <v>107.5</v>
      </c>
      <c r="R598" s="71" t="s">
        <v>388</v>
      </c>
      <c r="S598" s="73">
        <v>0</v>
      </c>
      <c r="T598" s="71" t="s">
        <v>390</v>
      </c>
      <c r="U598" s="74">
        <v>1</v>
      </c>
      <c r="V598" s="71" t="s">
        <v>391</v>
      </c>
      <c r="W598" s="130"/>
      <c r="X598" s="72">
        <v>46054.174305555556</v>
      </c>
      <c r="Y598" s="72">
        <v>46060.0625</v>
      </c>
      <c r="Z598" s="104" t="s">
        <v>382</v>
      </c>
      <c r="AA598" s="104" t="s">
        <v>748</v>
      </c>
      <c r="AB598" s="105">
        <v>46058.48125</v>
      </c>
      <c r="AC598" s="105"/>
    </row>
    <row r="599" s="70" customFormat="1" ht="11.25" customHeight="1">
      <c r="A599" s="87"/>
      <c r="C599" s="43" t="s">
        <v>1387</v>
      </c>
      <c r="D599" s="71" t="s">
        <v>382</v>
      </c>
      <c r="E599" s="71" t="str">
        <f>MID(D599,1,2)</f>
        <v>IL</v>
      </c>
      <c r="F599" s="71" t="s">
        <v>1388</v>
      </c>
      <c r="G599" s="71" t="str">
        <f>MID(F599,1,2)</f>
        <v>GB</v>
      </c>
      <c r="H599" s="43" t="s">
        <v>1389</v>
      </c>
      <c r="I599" s="71" t="s">
        <v>1390</v>
      </c>
      <c r="J599" s="71" t="s">
        <v>811</v>
      </c>
      <c r="K599" s="43"/>
      <c r="L599" s="71" t="s">
        <v>105</v>
      </c>
      <c r="M599" s="73">
        <v>41</v>
      </c>
      <c r="N599" s="71" t="s">
        <v>388</v>
      </c>
      <c r="O599" s="73">
        <v>0.643</v>
      </c>
      <c r="P599" s="71" t="s">
        <v>389</v>
      </c>
      <c r="Q599" s="73">
        <v>107.5</v>
      </c>
      <c r="R599" s="71" t="s">
        <v>388</v>
      </c>
      <c r="S599" s="73">
        <v>0</v>
      </c>
      <c r="T599" s="71" t="s">
        <v>390</v>
      </c>
      <c r="U599" s="74">
        <v>1</v>
      </c>
      <c r="V599" s="71" t="s">
        <v>391</v>
      </c>
      <c r="W599" s="130"/>
      <c r="X599" s="72">
        <v>46054.174305555556</v>
      </c>
      <c r="Y599" s="72">
        <v>46060.0625</v>
      </c>
      <c r="Z599" s="104" t="s">
        <v>748</v>
      </c>
      <c r="AA599" s="104" t="s">
        <v>1391</v>
      </c>
      <c r="AB599" s="105">
        <v>46060.030555555553</v>
      </c>
      <c r="AC599" s="105">
        <v>46060.04375</v>
      </c>
    </row>
    <row r="600" s="70" customFormat="1" ht="11.25" customHeight="1">
      <c r="A600" s="87"/>
      <c r="C600" s="43" t="s">
        <v>1387</v>
      </c>
      <c r="D600" s="71" t="s">
        <v>382</v>
      </c>
      <c r="E600" s="71" t="str">
        <f>MID(D600,1,2)</f>
        <v>IL</v>
      </c>
      <c r="F600" s="71" t="s">
        <v>1388</v>
      </c>
      <c r="G600" s="71" t="str">
        <f>MID(F600,1,2)</f>
        <v>GB</v>
      </c>
      <c r="H600" s="43" t="s">
        <v>1389</v>
      </c>
      <c r="I600" s="71" t="s">
        <v>1390</v>
      </c>
      <c r="J600" s="71" t="s">
        <v>811</v>
      </c>
      <c r="K600" s="43"/>
      <c r="L600" s="71" t="s">
        <v>105</v>
      </c>
      <c r="M600" s="73">
        <v>41</v>
      </c>
      <c r="N600" s="71" t="s">
        <v>388</v>
      </c>
      <c r="O600" s="73">
        <v>0.643</v>
      </c>
      <c r="P600" s="71" t="s">
        <v>389</v>
      </c>
      <c r="Q600" s="73">
        <v>107.5</v>
      </c>
      <c r="R600" s="71" t="s">
        <v>388</v>
      </c>
      <c r="S600" s="73">
        <v>0</v>
      </c>
      <c r="T600" s="71" t="s">
        <v>390</v>
      </c>
      <c r="U600" s="74">
        <v>1</v>
      </c>
      <c r="V600" s="71" t="s">
        <v>391</v>
      </c>
      <c r="W600" s="130"/>
      <c r="X600" s="72">
        <v>46054.174305555556</v>
      </c>
      <c r="Y600" s="72">
        <v>46060.0625</v>
      </c>
      <c r="Z600" s="104" t="s">
        <v>1391</v>
      </c>
      <c r="AA600" s="104" t="s">
        <v>1388</v>
      </c>
      <c r="AB600" s="105">
        <v>46062.002083333333</v>
      </c>
      <c r="AC600" s="105">
        <v>46062.009027777778</v>
      </c>
    </row>
    <row r="601" s="70" customFormat="1" ht="11.25" customHeight="1">
      <c r="A601" s="87"/>
      <c r="C601" s="43" t="s">
        <v>1392</v>
      </c>
      <c r="D601" s="71" t="s">
        <v>382</v>
      </c>
      <c r="E601" s="71" t="str">
        <f>MID(D601,1,2)</f>
        <v>IL</v>
      </c>
      <c r="F601" s="71" t="s">
        <v>414</v>
      </c>
      <c r="G601" s="71" t="str">
        <f>MID(F601,1,2)</f>
        <v>US</v>
      </c>
      <c r="H601" s="43" t="s">
        <v>1105</v>
      </c>
      <c r="I601" s="71" t="s">
        <v>1393</v>
      </c>
      <c r="J601" s="71" t="s">
        <v>426</v>
      </c>
      <c r="K601" s="43" t="s">
        <v>759</v>
      </c>
      <c r="L601" s="71" t="s">
        <v>105</v>
      </c>
      <c r="M601" s="73">
        <v>1</v>
      </c>
      <c r="N601" s="71" t="s">
        <v>388</v>
      </c>
      <c r="O601" s="73">
        <v>0.009</v>
      </c>
      <c r="P601" s="71" t="s">
        <v>389</v>
      </c>
      <c r="Q601" s="73">
        <v>1.5</v>
      </c>
      <c r="R601" s="71" t="s">
        <v>388</v>
      </c>
      <c r="S601" s="73">
        <v>0</v>
      </c>
      <c r="T601" s="71" t="s">
        <v>390</v>
      </c>
      <c r="U601" s="74">
        <v>1</v>
      </c>
      <c r="V601" s="71" t="s">
        <v>427</v>
      </c>
      <c r="W601" s="130">
        <v>46057.570138888892</v>
      </c>
      <c r="X601" s="72">
        <v>46059.013888888891</v>
      </c>
      <c r="Y601" s="72">
        <v>46059.25</v>
      </c>
      <c r="Z601" s="104" t="s">
        <v>382</v>
      </c>
      <c r="AA601" s="104" t="s">
        <v>414</v>
      </c>
      <c r="AB601" s="105">
        <v>46059.034722222219</v>
      </c>
      <c r="AC601" s="105">
        <v>46059.218055555553</v>
      </c>
    </row>
    <row r="602" s="70" customFormat="1" ht="11.25" customHeight="1">
      <c r="A602" s="87"/>
      <c r="C602" s="43" t="s">
        <v>1394</v>
      </c>
      <c r="D602" s="71" t="s">
        <v>382</v>
      </c>
      <c r="E602" s="71" t="str">
        <f>MID(D602,1,2)</f>
        <v>IL</v>
      </c>
      <c r="F602" s="71" t="s">
        <v>397</v>
      </c>
      <c r="G602" s="71" t="str">
        <f>MID(F602,1,2)</f>
        <v>IN</v>
      </c>
      <c r="H602" s="43" t="s">
        <v>1395</v>
      </c>
      <c r="I602" s="71" t="s">
        <v>1396</v>
      </c>
      <c r="J602" s="71" t="s">
        <v>811</v>
      </c>
      <c r="K602" s="43"/>
      <c r="L602" s="71" t="s">
        <v>105</v>
      </c>
      <c r="M602" s="73">
        <v>21</v>
      </c>
      <c r="N602" s="71" t="s">
        <v>388</v>
      </c>
      <c r="O602" s="73">
        <v>0.062</v>
      </c>
      <c r="P602" s="71" t="s">
        <v>389</v>
      </c>
      <c r="Q602" s="73">
        <v>21</v>
      </c>
      <c r="R602" s="71" t="s">
        <v>388</v>
      </c>
      <c r="S602" s="73">
        <v>0</v>
      </c>
      <c r="T602" s="71" t="s">
        <v>390</v>
      </c>
      <c r="U602" s="74">
        <v>1</v>
      </c>
      <c r="V602" s="71" t="s">
        <v>391</v>
      </c>
      <c r="W602" s="130">
        <v>46057.666666666664</v>
      </c>
      <c r="X602" s="72">
        <v>46058.895833333336</v>
      </c>
      <c r="Y602" s="72">
        <v>46061.646527777775</v>
      </c>
      <c r="Z602" s="104" t="s">
        <v>382</v>
      </c>
      <c r="AA602" s="104" t="s">
        <v>833</v>
      </c>
      <c r="AB602" s="105">
        <v>46058.892361111109</v>
      </c>
      <c r="AC602" s="105">
        <v>46059.54375</v>
      </c>
    </row>
    <row r="603" s="70" customFormat="1" ht="11.25" customHeight="1">
      <c r="A603" s="87"/>
      <c r="C603" s="43" t="s">
        <v>1394</v>
      </c>
      <c r="D603" s="71" t="s">
        <v>382</v>
      </c>
      <c r="E603" s="71" t="str">
        <f>MID(D603,1,2)</f>
        <v>IL</v>
      </c>
      <c r="F603" s="71" t="s">
        <v>397</v>
      </c>
      <c r="G603" s="71" t="str">
        <f>MID(F603,1,2)</f>
        <v>IN</v>
      </c>
      <c r="H603" s="43" t="s">
        <v>1395</v>
      </c>
      <c r="I603" s="71" t="s">
        <v>1396</v>
      </c>
      <c r="J603" s="71" t="s">
        <v>811</v>
      </c>
      <c r="K603" s="43"/>
      <c r="L603" s="71" t="s">
        <v>105</v>
      </c>
      <c r="M603" s="73">
        <v>21</v>
      </c>
      <c r="N603" s="71" t="s">
        <v>388</v>
      </c>
      <c r="O603" s="73">
        <v>0.062</v>
      </c>
      <c r="P603" s="71" t="s">
        <v>389</v>
      </c>
      <c r="Q603" s="73">
        <v>21</v>
      </c>
      <c r="R603" s="71" t="s">
        <v>388</v>
      </c>
      <c r="S603" s="73">
        <v>0</v>
      </c>
      <c r="T603" s="71" t="s">
        <v>390</v>
      </c>
      <c r="U603" s="74">
        <v>1</v>
      </c>
      <c r="V603" s="71" t="s">
        <v>391</v>
      </c>
      <c r="W603" s="130">
        <v>46057.666666666664</v>
      </c>
      <c r="X603" s="72">
        <v>46058.895833333336</v>
      </c>
      <c r="Y603" s="72">
        <v>46061.646527777775</v>
      </c>
      <c r="Z603" s="104" t="s">
        <v>833</v>
      </c>
      <c r="AA603" s="104" t="s">
        <v>397</v>
      </c>
      <c r="AB603" s="105">
        <v>46059.921527777777</v>
      </c>
      <c r="AC603" s="105">
        <v>46059.994444444441</v>
      </c>
    </row>
    <row r="604" s="70" customFormat="1" ht="11.25" customHeight="1">
      <c r="A604" s="87"/>
      <c r="C604" s="43" t="s">
        <v>1397</v>
      </c>
      <c r="D604" s="71" t="s">
        <v>382</v>
      </c>
      <c r="E604" s="71" t="str">
        <f>MID(D604,1,2)</f>
        <v>IL</v>
      </c>
      <c r="F604" s="71" t="s">
        <v>963</v>
      </c>
      <c r="G604" s="71" t="str">
        <f>MID(F604,1,2)</f>
        <v>IN</v>
      </c>
      <c r="H604" s="43" t="s">
        <v>1301</v>
      </c>
      <c r="I604" s="71" t="s">
        <v>1398</v>
      </c>
      <c r="J604" s="71" t="s">
        <v>426</v>
      </c>
      <c r="K604" s="43"/>
      <c r="L604" s="71" t="s">
        <v>105</v>
      </c>
      <c r="M604" s="73">
        <v>1</v>
      </c>
      <c r="N604" s="71" t="s">
        <v>388</v>
      </c>
      <c r="O604" s="73">
        <v>0.011</v>
      </c>
      <c r="P604" s="71" t="s">
        <v>389</v>
      </c>
      <c r="Q604" s="73">
        <v>2</v>
      </c>
      <c r="R604" s="71" t="s">
        <v>388</v>
      </c>
      <c r="S604" s="73">
        <v>0</v>
      </c>
      <c r="T604" s="71" t="s">
        <v>390</v>
      </c>
      <c r="U604" s="74">
        <v>1</v>
      </c>
      <c r="V604" s="71" t="s">
        <v>391</v>
      </c>
      <c r="W604" s="130">
        <v>46057.57708333333</v>
      </c>
      <c r="X604" s="72">
        <v>46060.895833333336</v>
      </c>
      <c r="Y604" s="72">
        <v>46063.003472222219</v>
      </c>
      <c r="Z604" s="104" t="s">
        <v>382</v>
      </c>
      <c r="AA604" s="104" t="s">
        <v>833</v>
      </c>
      <c r="AB604" s="105">
        <v>46060.895833333336</v>
      </c>
      <c r="AC604" s="105">
        <v>46061.576388888891</v>
      </c>
    </row>
    <row r="605" s="70" customFormat="1" ht="11.25" customHeight="1">
      <c r="A605" s="87"/>
      <c r="C605" s="43" t="s">
        <v>1397</v>
      </c>
      <c r="D605" s="71" t="s">
        <v>382</v>
      </c>
      <c r="E605" s="71" t="str">
        <f>MID(D605,1,2)</f>
        <v>IL</v>
      </c>
      <c r="F605" s="71" t="s">
        <v>963</v>
      </c>
      <c r="G605" s="71" t="str">
        <f>MID(F605,1,2)</f>
        <v>IN</v>
      </c>
      <c r="H605" s="43" t="s">
        <v>1301</v>
      </c>
      <c r="I605" s="71" t="s">
        <v>1398</v>
      </c>
      <c r="J605" s="71" t="s">
        <v>426</v>
      </c>
      <c r="K605" s="43"/>
      <c r="L605" s="71" t="s">
        <v>105</v>
      </c>
      <c r="M605" s="73">
        <v>1</v>
      </c>
      <c r="N605" s="71" t="s">
        <v>388</v>
      </c>
      <c r="O605" s="73">
        <v>0.011</v>
      </c>
      <c r="P605" s="71" t="s">
        <v>389</v>
      </c>
      <c r="Q605" s="73">
        <v>2</v>
      </c>
      <c r="R605" s="71" t="s">
        <v>388</v>
      </c>
      <c r="S605" s="73">
        <v>0</v>
      </c>
      <c r="T605" s="71" t="s">
        <v>390</v>
      </c>
      <c r="U605" s="74">
        <v>1</v>
      </c>
      <c r="V605" s="71" t="s">
        <v>391</v>
      </c>
      <c r="W605" s="130">
        <v>46057.57708333333</v>
      </c>
      <c r="X605" s="72">
        <v>46060.895833333336</v>
      </c>
      <c r="Y605" s="72">
        <v>46063.003472222219</v>
      </c>
      <c r="Z605" s="104" t="s">
        <v>833</v>
      </c>
      <c r="AA605" s="104" t="s">
        <v>963</v>
      </c>
      <c r="AB605" s="105">
        <v>46062.469444444447</v>
      </c>
      <c r="AC605" s="105">
        <v>46063.469444444447</v>
      </c>
    </row>
    <row r="606" s="70" customFormat="1" ht="11.25" customHeight="1">
      <c r="A606" s="87"/>
      <c r="C606" s="43" t="s">
        <v>1399</v>
      </c>
      <c r="D606" s="71" t="s">
        <v>382</v>
      </c>
      <c r="E606" s="71" t="str">
        <f>MID(D606,1,2)</f>
        <v>IL</v>
      </c>
      <c r="F606" s="71" t="s">
        <v>963</v>
      </c>
      <c r="G606" s="71" t="str">
        <f>MID(F606,1,2)</f>
        <v>IN</v>
      </c>
      <c r="H606" s="43" t="s">
        <v>1301</v>
      </c>
      <c r="I606" s="71" t="s">
        <v>1400</v>
      </c>
      <c r="J606" s="71" t="s">
        <v>426</v>
      </c>
      <c r="K606" s="43"/>
      <c r="L606" s="71" t="s">
        <v>105</v>
      </c>
      <c r="M606" s="73">
        <v>101</v>
      </c>
      <c r="N606" s="71" t="s">
        <v>388</v>
      </c>
      <c r="O606" s="73">
        <v>0.56</v>
      </c>
      <c r="P606" s="71" t="s">
        <v>389</v>
      </c>
      <c r="Q606" s="73">
        <v>101</v>
      </c>
      <c r="R606" s="71" t="s">
        <v>388</v>
      </c>
      <c r="S606" s="73">
        <v>0</v>
      </c>
      <c r="T606" s="71" t="s">
        <v>390</v>
      </c>
      <c r="U606" s="74">
        <v>2</v>
      </c>
      <c r="V606" s="71" t="s">
        <v>446</v>
      </c>
      <c r="W606" s="130">
        <v>46057.827777777777</v>
      </c>
      <c r="X606" s="72">
        <v>46060.895833333336</v>
      </c>
      <c r="Y606" s="72">
        <v>46063.003472222219</v>
      </c>
      <c r="Z606" s="104" t="s">
        <v>382</v>
      </c>
      <c r="AA606" s="104" t="s">
        <v>833</v>
      </c>
      <c r="AB606" s="105">
        <v>46060.895833333336</v>
      </c>
      <c r="AC606" s="105">
        <v>46061.576388888891</v>
      </c>
    </row>
    <row r="607" s="70" customFormat="1" ht="11.25" customHeight="1">
      <c r="A607" s="87"/>
      <c r="C607" s="43" t="s">
        <v>1399</v>
      </c>
      <c r="D607" s="71" t="s">
        <v>382</v>
      </c>
      <c r="E607" s="71" t="str">
        <f>MID(D607,1,2)</f>
        <v>IL</v>
      </c>
      <c r="F607" s="71" t="s">
        <v>963</v>
      </c>
      <c r="G607" s="71" t="str">
        <f>MID(F607,1,2)</f>
        <v>IN</v>
      </c>
      <c r="H607" s="43" t="s">
        <v>1301</v>
      </c>
      <c r="I607" s="71" t="s">
        <v>1400</v>
      </c>
      <c r="J607" s="71" t="s">
        <v>426</v>
      </c>
      <c r="K607" s="43"/>
      <c r="L607" s="71" t="s">
        <v>105</v>
      </c>
      <c r="M607" s="73">
        <v>101</v>
      </c>
      <c r="N607" s="71" t="s">
        <v>388</v>
      </c>
      <c r="O607" s="73">
        <v>0.56</v>
      </c>
      <c r="P607" s="71" t="s">
        <v>389</v>
      </c>
      <c r="Q607" s="73">
        <v>101</v>
      </c>
      <c r="R607" s="71" t="s">
        <v>388</v>
      </c>
      <c r="S607" s="73">
        <v>0</v>
      </c>
      <c r="T607" s="71" t="s">
        <v>390</v>
      </c>
      <c r="U607" s="74">
        <v>2</v>
      </c>
      <c r="V607" s="71" t="s">
        <v>446</v>
      </c>
      <c r="W607" s="130">
        <v>46057.827777777777</v>
      </c>
      <c r="X607" s="72">
        <v>46060.895833333336</v>
      </c>
      <c r="Y607" s="72">
        <v>46063.003472222219</v>
      </c>
      <c r="Z607" s="104" t="s">
        <v>833</v>
      </c>
      <c r="AA607" s="104" t="s">
        <v>963</v>
      </c>
      <c r="AB607" s="105">
        <v>46062.469444444447</v>
      </c>
      <c r="AC607" s="105">
        <v>46063.469444444447</v>
      </c>
    </row>
    <row r="608" s="70" customFormat="1" ht="11.25" customHeight="1">
      <c r="A608" s="87"/>
      <c r="C608" s="43" t="s">
        <v>1401</v>
      </c>
      <c r="D608" s="71" t="s">
        <v>382</v>
      </c>
      <c r="E608" s="71" t="str">
        <f>MID(D608,1,2)</f>
        <v>IL</v>
      </c>
      <c r="F608" s="71" t="s">
        <v>414</v>
      </c>
      <c r="G608" s="71" t="str">
        <f>MID(F608,1,2)</f>
        <v>US</v>
      </c>
      <c r="H608" s="43" t="s">
        <v>1105</v>
      </c>
      <c r="I608" s="71" t="s">
        <v>1402</v>
      </c>
      <c r="J608" s="71" t="s">
        <v>426</v>
      </c>
      <c r="K608" s="43" t="s">
        <v>759</v>
      </c>
      <c r="L608" s="71" t="s">
        <v>105</v>
      </c>
      <c r="M608" s="73">
        <v>2</v>
      </c>
      <c r="N608" s="71" t="s">
        <v>388</v>
      </c>
      <c r="O608" s="73">
        <v>0.016</v>
      </c>
      <c r="P608" s="71" t="s">
        <v>389</v>
      </c>
      <c r="Q608" s="73">
        <v>3</v>
      </c>
      <c r="R608" s="71" t="s">
        <v>388</v>
      </c>
      <c r="S608" s="73">
        <v>0</v>
      </c>
      <c r="T608" s="71" t="s">
        <v>390</v>
      </c>
      <c r="U608" s="74">
        <v>1</v>
      </c>
      <c r="V608" s="71" t="s">
        <v>427</v>
      </c>
      <c r="W608" s="130">
        <v>46057.584027777775</v>
      </c>
      <c r="X608" s="72">
        <v>46059.013888888891</v>
      </c>
      <c r="Y608" s="72">
        <v>46059.25</v>
      </c>
      <c r="Z608" s="104" t="s">
        <v>382</v>
      </c>
      <c r="AA608" s="104" t="s">
        <v>414</v>
      </c>
      <c r="AB608" s="105">
        <v>46059.034722222219</v>
      </c>
      <c r="AC608" s="105">
        <v>46059.218055555553</v>
      </c>
    </row>
    <row r="609" s="70" customFormat="1" ht="11.25" customHeight="1">
      <c r="A609" s="87"/>
      <c r="C609" s="43" t="s">
        <v>1403</v>
      </c>
      <c r="D609" s="71" t="s">
        <v>382</v>
      </c>
      <c r="E609" s="71" t="str">
        <f>MID(D609,1,2)</f>
        <v>IL</v>
      </c>
      <c r="F609" s="71" t="s">
        <v>383</v>
      </c>
      <c r="G609" s="71" t="str">
        <f>MID(F609,1,2)</f>
        <v>DE</v>
      </c>
      <c r="H609" s="43" t="s">
        <v>746</v>
      </c>
      <c r="I609" s="71" t="s">
        <v>1404</v>
      </c>
      <c r="J609" s="71" t="s">
        <v>386</v>
      </c>
      <c r="K609" s="43"/>
      <c r="L609" s="71" t="s">
        <v>107</v>
      </c>
      <c r="M609" s="73">
        <v>90</v>
      </c>
      <c r="N609" s="71" t="s">
        <v>388</v>
      </c>
      <c r="O609" s="73">
        <v>0.998</v>
      </c>
      <c r="P609" s="71" t="s">
        <v>389</v>
      </c>
      <c r="Q609" s="73">
        <v>166.5</v>
      </c>
      <c r="R609" s="71" t="s">
        <v>388</v>
      </c>
      <c r="S609" s="73">
        <v>0</v>
      </c>
      <c r="T609" s="71" t="s">
        <v>390</v>
      </c>
      <c r="U609" s="74">
        <v>1</v>
      </c>
      <c r="V609" s="71" t="s">
        <v>391</v>
      </c>
      <c r="W609" s="130">
        <v>46061.678923611114</v>
      </c>
      <c r="X609" s="72">
        <v>46064.423611111109</v>
      </c>
      <c r="Y609" s="72">
        <v>46066.625694444447</v>
      </c>
      <c r="Z609" s="104" t="s">
        <v>382</v>
      </c>
      <c r="AA609" s="104" t="s">
        <v>748</v>
      </c>
      <c r="AB609" s="105">
        <v>46064.851388888892</v>
      </c>
      <c r="AC609" s="105">
        <v>46064.980555555558</v>
      </c>
    </row>
    <row r="610" s="70" customFormat="1" ht="11.25" customHeight="1">
      <c r="A610" s="87"/>
      <c r="C610" s="43" t="s">
        <v>1403</v>
      </c>
      <c r="D610" s="71" t="s">
        <v>382</v>
      </c>
      <c r="E610" s="71" t="str">
        <f>MID(D610,1,2)</f>
        <v>IL</v>
      </c>
      <c r="F610" s="71" t="s">
        <v>383</v>
      </c>
      <c r="G610" s="71" t="str">
        <f>MID(F610,1,2)</f>
        <v>DE</v>
      </c>
      <c r="H610" s="43" t="s">
        <v>746</v>
      </c>
      <c r="I610" s="71" t="s">
        <v>1404</v>
      </c>
      <c r="J610" s="71" t="s">
        <v>386</v>
      </c>
      <c r="K610" s="43"/>
      <c r="L610" s="71" t="s">
        <v>107</v>
      </c>
      <c r="M610" s="73">
        <v>90</v>
      </c>
      <c r="N610" s="71" t="s">
        <v>388</v>
      </c>
      <c r="O610" s="73">
        <v>0.998</v>
      </c>
      <c r="P610" s="71" t="s">
        <v>389</v>
      </c>
      <c r="Q610" s="73">
        <v>166.5</v>
      </c>
      <c r="R610" s="71" t="s">
        <v>388</v>
      </c>
      <c r="S610" s="73">
        <v>0</v>
      </c>
      <c r="T610" s="71" t="s">
        <v>390</v>
      </c>
      <c r="U610" s="74">
        <v>1</v>
      </c>
      <c r="V610" s="71" t="s">
        <v>391</v>
      </c>
      <c r="W610" s="130">
        <v>46061.678923611114</v>
      </c>
      <c r="X610" s="72">
        <v>46064.423611111109</v>
      </c>
      <c r="Y610" s="72">
        <v>46066.625694444447</v>
      </c>
      <c r="Z610" s="104" t="s">
        <v>748</v>
      </c>
      <c r="AA610" s="104" t="s">
        <v>383</v>
      </c>
      <c r="AB610" s="105">
        <v>46066.504166666666</v>
      </c>
      <c r="AC610" s="105">
        <v>46066.750694444447</v>
      </c>
    </row>
    <row r="611" s="70" customFormat="1" ht="11.25" customHeight="1">
      <c r="A611" s="87"/>
      <c r="C611" s="43" t="s">
        <v>1405</v>
      </c>
      <c r="D611" s="71" t="s">
        <v>382</v>
      </c>
      <c r="E611" s="71" t="str">
        <f>MID(D611,1,2)</f>
        <v>IL</v>
      </c>
      <c r="F611" s="71" t="s">
        <v>422</v>
      </c>
      <c r="G611" s="71" t="str">
        <f>MID(F611,1,2)</f>
        <v>US</v>
      </c>
      <c r="H611" s="43" t="s">
        <v>1215</v>
      </c>
      <c r="I611" s="71" t="s">
        <v>1406</v>
      </c>
      <c r="J611" s="71" t="s">
        <v>454</v>
      </c>
      <c r="K611" s="43" t="s">
        <v>431</v>
      </c>
      <c r="L611" s="71" t="s">
        <v>107</v>
      </c>
      <c r="M611" s="73">
        <v>7</v>
      </c>
      <c r="N611" s="71" t="s">
        <v>388</v>
      </c>
      <c r="O611" s="73">
        <v>0.013</v>
      </c>
      <c r="P611" s="71" t="s">
        <v>389</v>
      </c>
      <c r="Q611" s="73">
        <v>7</v>
      </c>
      <c r="R611" s="71" t="s">
        <v>388</v>
      </c>
      <c r="S611" s="73">
        <v>0</v>
      </c>
      <c r="T611" s="71" t="s">
        <v>390</v>
      </c>
      <c r="U611" s="74">
        <v>3</v>
      </c>
      <c r="V611" s="71" t="s">
        <v>427</v>
      </c>
      <c r="W611" s="130">
        <v>46057.597916666666</v>
      </c>
      <c r="X611" s="72">
        <v>46060.458333333336</v>
      </c>
      <c r="Y611" s="72">
        <v>46061.690972222219</v>
      </c>
      <c r="Z611" s="104" t="s">
        <v>382</v>
      </c>
      <c r="AA611" s="104" t="s">
        <v>422</v>
      </c>
      <c r="AB611" s="105">
        <v>46061.475694444445</v>
      </c>
      <c r="AC611" s="105">
        <v>46061.673611111109</v>
      </c>
    </row>
    <row r="612" s="70" customFormat="1" ht="11.25" customHeight="1">
      <c r="A612" s="87"/>
      <c r="C612" s="43" t="s">
        <v>1407</v>
      </c>
      <c r="D612" s="71" t="s">
        <v>382</v>
      </c>
      <c r="E612" s="71" t="str">
        <f>MID(D612,1,2)</f>
        <v>IL</v>
      </c>
      <c r="F612" s="71" t="s">
        <v>468</v>
      </c>
      <c r="G612" s="71" t="str">
        <f>MID(F612,1,2)</f>
        <v>US</v>
      </c>
      <c r="H612" s="43" t="s">
        <v>706</v>
      </c>
      <c r="I612" s="71" t="s">
        <v>1408</v>
      </c>
      <c r="J612" s="71" t="s">
        <v>454</v>
      </c>
      <c r="K612" s="43"/>
      <c r="L612" s="71" t="s">
        <v>107</v>
      </c>
      <c r="M612" s="73">
        <v>1</v>
      </c>
      <c r="N612" s="71" t="s">
        <v>388</v>
      </c>
      <c r="O612" s="73">
        <v>0.007</v>
      </c>
      <c r="P612" s="71" t="s">
        <v>389</v>
      </c>
      <c r="Q612" s="73">
        <v>1.5</v>
      </c>
      <c r="R612" s="71" t="s">
        <v>388</v>
      </c>
      <c r="S612" s="73">
        <v>0</v>
      </c>
      <c r="T612" s="71" t="s">
        <v>390</v>
      </c>
      <c r="U612" s="74">
        <v>1</v>
      </c>
      <c r="V612" s="71" t="s">
        <v>391</v>
      </c>
      <c r="W612" s="130"/>
      <c r="X612" s="72">
        <v>46060.958333333336</v>
      </c>
      <c r="Y612" s="72">
        <v>46063.673611111109</v>
      </c>
      <c r="Z612" s="104" t="s">
        <v>382</v>
      </c>
      <c r="AA612" s="104" t="s">
        <v>422</v>
      </c>
      <c r="AB612" s="105">
        <v>46060.963194444441</v>
      </c>
      <c r="AC612" s="105">
        <v>46061.144444444442</v>
      </c>
    </row>
    <row r="613" s="70" customFormat="1" ht="11.25" customHeight="1">
      <c r="A613" s="87"/>
      <c r="C613" s="43" t="s">
        <v>1407</v>
      </c>
      <c r="D613" s="71" t="s">
        <v>382</v>
      </c>
      <c r="E613" s="71" t="str">
        <f>MID(D613,1,2)</f>
        <v>IL</v>
      </c>
      <c r="F613" s="71" t="s">
        <v>468</v>
      </c>
      <c r="G613" s="71" t="str">
        <f>MID(F613,1,2)</f>
        <v>US</v>
      </c>
      <c r="H613" s="43" t="s">
        <v>706</v>
      </c>
      <c r="I613" s="71" t="s">
        <v>1408</v>
      </c>
      <c r="J613" s="71" t="s">
        <v>454</v>
      </c>
      <c r="K613" s="43"/>
      <c r="L613" s="71" t="s">
        <v>107</v>
      </c>
      <c r="M613" s="73">
        <v>1</v>
      </c>
      <c r="N613" s="71" t="s">
        <v>388</v>
      </c>
      <c r="O613" s="73">
        <v>0.007</v>
      </c>
      <c r="P613" s="71" t="s">
        <v>389</v>
      </c>
      <c r="Q613" s="73">
        <v>1.5</v>
      </c>
      <c r="R613" s="71" t="s">
        <v>388</v>
      </c>
      <c r="S613" s="73">
        <v>0</v>
      </c>
      <c r="T613" s="71" t="s">
        <v>390</v>
      </c>
      <c r="U613" s="74">
        <v>1</v>
      </c>
      <c r="V613" s="71" t="s">
        <v>391</v>
      </c>
      <c r="W613" s="130"/>
      <c r="X613" s="72">
        <v>46060.958333333336</v>
      </c>
      <c r="Y613" s="72">
        <v>46063.673611111109</v>
      </c>
      <c r="Z613" s="104" t="s">
        <v>422</v>
      </c>
      <c r="AA613" s="104" t="s">
        <v>468</v>
      </c>
      <c r="AB613" s="105">
        <v>46063.543055555558</v>
      </c>
      <c r="AC613" s="105">
        <v>46063.658333333333</v>
      </c>
    </row>
    <row r="614" s="70" customFormat="1" ht="11.25" customHeight="1">
      <c r="A614" s="87"/>
      <c r="C614" s="43" t="s">
        <v>1409</v>
      </c>
      <c r="D614" s="71" t="s">
        <v>382</v>
      </c>
      <c r="E614" s="71" t="str">
        <f>MID(D614,1,2)</f>
        <v>IL</v>
      </c>
      <c r="F614" s="71" t="s">
        <v>465</v>
      </c>
      <c r="G614" s="71" t="str">
        <f>MID(F614,1,2)</f>
        <v>AZ</v>
      </c>
      <c r="H614" s="43" t="s">
        <v>1410</v>
      </c>
      <c r="I614" s="71"/>
      <c r="J614" s="71" t="s">
        <v>426</v>
      </c>
      <c r="K614" s="43"/>
      <c r="L614" s="71" t="s">
        <v>105</v>
      </c>
      <c r="M614" s="73">
        <v>3</v>
      </c>
      <c r="N614" s="71" t="s">
        <v>388</v>
      </c>
      <c r="O614" s="73">
        <v>0.034</v>
      </c>
      <c r="P614" s="71" t="s">
        <v>389</v>
      </c>
      <c r="Q614" s="73">
        <v>6</v>
      </c>
      <c r="R614" s="71" t="s">
        <v>388</v>
      </c>
      <c r="S614" s="73">
        <v>0</v>
      </c>
      <c r="T614" s="71" t="s">
        <v>390</v>
      </c>
      <c r="U614" s="74">
        <v>1</v>
      </c>
      <c r="V614" s="71" t="s">
        <v>391</v>
      </c>
      <c r="W614" s="130"/>
      <c r="X614" s="72">
        <v>46061.6125</v>
      </c>
      <c r="Y614" s="72">
        <v>46062.6125</v>
      </c>
      <c r="Z614" s="104" t="s">
        <v>382</v>
      </c>
      <c r="AA614" s="104" t="s">
        <v>465</v>
      </c>
      <c r="AB614" s="105">
        <v>46063.006944444445</v>
      </c>
      <c r="AC614" s="105">
        <v>46063.208333333336</v>
      </c>
    </row>
    <row r="615" s="70" customFormat="1" ht="11.25" customHeight="1">
      <c r="A615" s="87"/>
      <c r="C615" s="43" t="s">
        <v>1411</v>
      </c>
      <c r="D615" s="71" t="s">
        <v>382</v>
      </c>
      <c r="E615" s="71" t="str">
        <f>MID(D615,1,2)</f>
        <v>IL</v>
      </c>
      <c r="F615" s="71" t="s">
        <v>496</v>
      </c>
      <c r="G615" s="71" t="str">
        <f>MID(F615,1,2)</f>
        <v>RO</v>
      </c>
      <c r="H615" s="43" t="s">
        <v>1412</v>
      </c>
      <c r="I615" s="71" t="s">
        <v>1413</v>
      </c>
      <c r="J615" s="71" t="s">
        <v>426</v>
      </c>
      <c r="K615" s="43"/>
      <c r="L615" s="71" t="s">
        <v>105</v>
      </c>
      <c r="M615" s="73">
        <v>7</v>
      </c>
      <c r="N615" s="71" t="s">
        <v>388</v>
      </c>
      <c r="O615" s="73">
        <v>0.02</v>
      </c>
      <c r="P615" s="71" t="s">
        <v>389</v>
      </c>
      <c r="Q615" s="73">
        <v>7</v>
      </c>
      <c r="R615" s="71" t="s">
        <v>388</v>
      </c>
      <c r="S615" s="73">
        <v>0</v>
      </c>
      <c r="T615" s="71" t="s">
        <v>390</v>
      </c>
      <c r="U615" s="74">
        <v>1</v>
      </c>
      <c r="V615" s="71" t="s">
        <v>391</v>
      </c>
      <c r="W615" s="130">
        <v>46057.611111111109</v>
      </c>
      <c r="X615" s="72">
        <v>46059.694444444445</v>
      </c>
      <c r="Y615" s="72">
        <v>46059.128472222219</v>
      </c>
      <c r="Z615" s="104" t="s">
        <v>382</v>
      </c>
      <c r="AA615" s="104" t="s">
        <v>496</v>
      </c>
      <c r="AB615" s="105">
        <v>46059.013888888891</v>
      </c>
      <c r="AC615" s="105">
        <v>46059.128472222219</v>
      </c>
    </row>
    <row r="616" s="70" customFormat="1" ht="11.25" customHeight="1">
      <c r="A616" s="87"/>
      <c r="C616" s="43" t="s">
        <v>1414</v>
      </c>
      <c r="D616" s="71" t="s">
        <v>382</v>
      </c>
      <c r="E616" s="71" t="str">
        <f>MID(D616,1,2)</f>
        <v>IL</v>
      </c>
      <c r="F616" s="71" t="s">
        <v>383</v>
      </c>
      <c r="G616" s="71" t="str">
        <f>MID(F616,1,2)</f>
        <v>DE</v>
      </c>
      <c r="H616" s="43"/>
      <c r="I616" s="71" t="s">
        <v>1415</v>
      </c>
      <c r="J616" s="71" t="s">
        <v>400</v>
      </c>
      <c r="K616" s="43" t="s">
        <v>1416</v>
      </c>
      <c r="L616" s="71" t="s">
        <v>105</v>
      </c>
      <c r="M616" s="73">
        <v>0</v>
      </c>
      <c r="N616" s="71" t="s">
        <v>388</v>
      </c>
      <c r="O616" s="73">
        <v>0</v>
      </c>
      <c r="P616" s="71" t="s">
        <v>389</v>
      </c>
      <c r="Q616" s="73">
        <v>0</v>
      </c>
      <c r="R616" s="71" t="s">
        <v>388</v>
      </c>
      <c r="S616" s="73">
        <v>0</v>
      </c>
      <c r="T616" s="71" t="s">
        <v>390</v>
      </c>
      <c r="U616" s="74">
        <v>0</v>
      </c>
      <c r="V616" s="71" t="s">
        <v>391</v>
      </c>
      <c r="W616" s="130">
        <v>46061.456608796296</v>
      </c>
      <c r="X616" s="72">
        <v>46064.623611111114</v>
      </c>
      <c r="Y616" s="72">
        <v>46066.625694444447</v>
      </c>
      <c r="Z616" s="104"/>
      <c r="AA616" s="104"/>
      <c r="AB616" s="105"/>
      <c r="AC616" s="105"/>
    </row>
    <row r="617" s="70" customFormat="1" ht="11.25" customHeight="1">
      <c r="A617" s="87"/>
      <c r="C617" s="43" t="s">
        <v>1417</v>
      </c>
      <c r="D617" s="71" t="s">
        <v>382</v>
      </c>
      <c r="E617" s="71" t="str">
        <f>MID(D617,1,2)</f>
        <v>IL</v>
      </c>
      <c r="F617" s="71" t="s">
        <v>403</v>
      </c>
      <c r="G617" s="71" t="str">
        <f>MID(F617,1,2)</f>
        <v>HK</v>
      </c>
      <c r="H617" s="43" t="s">
        <v>1418</v>
      </c>
      <c r="I617" s="71" t="s">
        <v>1419</v>
      </c>
      <c r="J617" s="71" t="s">
        <v>386</v>
      </c>
      <c r="K617" s="43"/>
      <c r="L617" s="71" t="s">
        <v>107</v>
      </c>
      <c r="M617" s="73">
        <v>48</v>
      </c>
      <c r="N617" s="71" t="s">
        <v>388</v>
      </c>
      <c r="O617" s="73">
        <v>0.442</v>
      </c>
      <c r="P617" s="71" t="s">
        <v>389</v>
      </c>
      <c r="Q617" s="73">
        <v>74</v>
      </c>
      <c r="R617" s="71" t="s">
        <v>388</v>
      </c>
      <c r="S617" s="73">
        <v>0</v>
      </c>
      <c r="T617" s="71" t="s">
        <v>390</v>
      </c>
      <c r="U617" s="74">
        <v>1</v>
      </c>
      <c r="V617" s="71" t="s">
        <v>391</v>
      </c>
      <c r="W617" s="130">
        <v>46058.75818287037</v>
      </c>
      <c r="X617" s="72">
        <v>46061.996527777781</v>
      </c>
      <c r="Y617" s="72">
        <v>46066.954861111109</v>
      </c>
      <c r="Z617" s="104" t="s">
        <v>382</v>
      </c>
      <c r="AA617" s="104" t="s">
        <v>465</v>
      </c>
      <c r="AB617" s="105">
        <v>46063.006944444445</v>
      </c>
      <c r="AC617" s="105">
        <v>46063.208333333336</v>
      </c>
    </row>
    <row r="618" s="70" customFormat="1" ht="11.25" customHeight="1">
      <c r="A618" s="87"/>
      <c r="C618" s="43" t="s">
        <v>1417</v>
      </c>
      <c r="D618" s="71" t="s">
        <v>382</v>
      </c>
      <c r="E618" s="71" t="str">
        <f>MID(D618,1,2)</f>
        <v>IL</v>
      </c>
      <c r="F618" s="71" t="s">
        <v>403</v>
      </c>
      <c r="G618" s="71" t="str">
        <f>MID(F618,1,2)</f>
        <v>HK</v>
      </c>
      <c r="H618" s="43" t="s">
        <v>1418</v>
      </c>
      <c r="I618" s="71" t="s">
        <v>1419</v>
      </c>
      <c r="J618" s="71" t="s">
        <v>386</v>
      </c>
      <c r="K618" s="43"/>
      <c r="L618" s="71" t="s">
        <v>107</v>
      </c>
      <c r="M618" s="73">
        <v>48</v>
      </c>
      <c r="N618" s="71" t="s">
        <v>388</v>
      </c>
      <c r="O618" s="73">
        <v>0.442</v>
      </c>
      <c r="P618" s="71" t="s">
        <v>389</v>
      </c>
      <c r="Q618" s="73">
        <v>74</v>
      </c>
      <c r="R618" s="71" t="s">
        <v>388</v>
      </c>
      <c r="S618" s="73">
        <v>0</v>
      </c>
      <c r="T618" s="71" t="s">
        <v>390</v>
      </c>
      <c r="U618" s="74">
        <v>1</v>
      </c>
      <c r="V618" s="71" t="s">
        <v>391</v>
      </c>
      <c r="W618" s="130">
        <v>46058.75818287037</v>
      </c>
      <c r="X618" s="72">
        <v>46061.996527777781</v>
      </c>
      <c r="Y618" s="72">
        <v>46066.954861111109</v>
      </c>
      <c r="Z618" s="104" t="s">
        <v>465</v>
      </c>
      <c r="AA618" s="104" t="s">
        <v>403</v>
      </c>
      <c r="AB618" s="105">
        <v>46063.655555555553</v>
      </c>
      <c r="AC618" s="105">
        <v>46064.259027777778</v>
      </c>
    </row>
    <row r="619" s="70" customFormat="1" ht="11.25" customHeight="1">
      <c r="A619" s="87"/>
      <c r="C619" s="43" t="s">
        <v>1420</v>
      </c>
      <c r="D619" s="71" t="s">
        <v>382</v>
      </c>
      <c r="E619" s="71" t="str">
        <f>MID(D619,1,2)</f>
        <v>IL</v>
      </c>
      <c r="F619" s="71" t="s">
        <v>383</v>
      </c>
      <c r="G619" s="71" t="str">
        <f>MID(F619,1,2)</f>
        <v>DE</v>
      </c>
      <c r="H619" s="43" t="s">
        <v>1066</v>
      </c>
      <c r="I619" s="71" t="s">
        <v>1421</v>
      </c>
      <c r="J619" s="71" t="s">
        <v>386</v>
      </c>
      <c r="K619" s="43"/>
      <c r="L619" s="71" t="s">
        <v>107</v>
      </c>
      <c r="M619" s="73">
        <v>198</v>
      </c>
      <c r="N619" s="71" t="s">
        <v>388</v>
      </c>
      <c r="O619" s="73">
        <v>1.279</v>
      </c>
      <c r="P619" s="71" t="s">
        <v>389</v>
      </c>
      <c r="Q619" s="73">
        <v>213.5</v>
      </c>
      <c r="R619" s="71" t="s">
        <v>388</v>
      </c>
      <c r="S619" s="73">
        <v>0</v>
      </c>
      <c r="T619" s="71" t="s">
        <v>390</v>
      </c>
      <c r="U619" s="74">
        <v>1</v>
      </c>
      <c r="V619" s="71" t="s">
        <v>391</v>
      </c>
      <c r="W619" s="130">
        <v>46058.827731481484</v>
      </c>
      <c r="X619" s="72">
        <v>46060.386805555558</v>
      </c>
      <c r="Y619" s="72">
        <v>46072.208333333336</v>
      </c>
      <c r="Z619" s="104" t="s">
        <v>383</v>
      </c>
      <c r="AA619" s="104" t="s">
        <v>1422</v>
      </c>
      <c r="AB619" s="105">
        <v>46071.980555555558</v>
      </c>
      <c r="AC619" s="105">
        <v>46072.215277777781</v>
      </c>
    </row>
    <row r="620" s="70" customFormat="1" ht="11.25" customHeight="1">
      <c r="A620" s="87"/>
      <c r="C620" s="43" t="s">
        <v>1420</v>
      </c>
      <c r="D620" s="71" t="s">
        <v>382</v>
      </c>
      <c r="E620" s="71" t="str">
        <f>MID(D620,1,2)</f>
        <v>IL</v>
      </c>
      <c r="F620" s="71" t="s">
        <v>383</v>
      </c>
      <c r="G620" s="71" t="str">
        <f>MID(F620,1,2)</f>
        <v>DE</v>
      </c>
      <c r="H620" s="43" t="s">
        <v>1066</v>
      </c>
      <c r="I620" s="71" t="s">
        <v>1421</v>
      </c>
      <c r="J620" s="71" t="s">
        <v>386</v>
      </c>
      <c r="K620" s="43"/>
      <c r="L620" s="71" t="s">
        <v>107</v>
      </c>
      <c r="M620" s="73">
        <v>198</v>
      </c>
      <c r="N620" s="71" t="s">
        <v>388</v>
      </c>
      <c r="O620" s="73">
        <v>1.279</v>
      </c>
      <c r="P620" s="71" t="s">
        <v>389</v>
      </c>
      <c r="Q620" s="73">
        <v>213.5</v>
      </c>
      <c r="R620" s="71" t="s">
        <v>388</v>
      </c>
      <c r="S620" s="73">
        <v>0</v>
      </c>
      <c r="T620" s="71" t="s">
        <v>390</v>
      </c>
      <c r="U620" s="74">
        <v>1</v>
      </c>
      <c r="V620" s="71" t="s">
        <v>391</v>
      </c>
      <c r="W620" s="130">
        <v>46058.827731481484</v>
      </c>
      <c r="X620" s="72">
        <v>46060.386805555558</v>
      </c>
      <c r="Y620" s="72">
        <v>46072.208333333336</v>
      </c>
      <c r="Z620" s="104" t="s">
        <v>382</v>
      </c>
      <c r="AA620" s="104" t="s">
        <v>748</v>
      </c>
      <c r="AB620" s="105">
        <v>46060.961805555555</v>
      </c>
      <c r="AC620" s="105"/>
    </row>
    <row r="621" s="70" customFormat="1" ht="11.25" customHeight="1">
      <c r="A621" s="87"/>
      <c r="C621" s="43" t="s">
        <v>1420</v>
      </c>
      <c r="D621" s="71" t="s">
        <v>382</v>
      </c>
      <c r="E621" s="71" t="str">
        <f>MID(D621,1,2)</f>
        <v>IL</v>
      </c>
      <c r="F621" s="71" t="s">
        <v>383</v>
      </c>
      <c r="G621" s="71" t="str">
        <f>MID(F621,1,2)</f>
        <v>DE</v>
      </c>
      <c r="H621" s="43" t="s">
        <v>1066</v>
      </c>
      <c r="I621" s="71" t="s">
        <v>1421</v>
      </c>
      <c r="J621" s="71" t="s">
        <v>386</v>
      </c>
      <c r="K621" s="43"/>
      <c r="L621" s="71" t="s">
        <v>107</v>
      </c>
      <c r="M621" s="73">
        <v>198</v>
      </c>
      <c r="N621" s="71" t="s">
        <v>388</v>
      </c>
      <c r="O621" s="73">
        <v>1.279</v>
      </c>
      <c r="P621" s="71" t="s">
        <v>389</v>
      </c>
      <c r="Q621" s="73">
        <v>213.5</v>
      </c>
      <c r="R621" s="71" t="s">
        <v>388</v>
      </c>
      <c r="S621" s="73">
        <v>0</v>
      </c>
      <c r="T621" s="71" t="s">
        <v>390</v>
      </c>
      <c r="U621" s="74">
        <v>1</v>
      </c>
      <c r="V621" s="71" t="s">
        <v>391</v>
      </c>
      <c r="W621" s="130">
        <v>46058.827731481484</v>
      </c>
      <c r="X621" s="72">
        <v>46060.386805555558</v>
      </c>
      <c r="Y621" s="72">
        <v>46072.208333333336</v>
      </c>
      <c r="Z621" s="104" t="s">
        <v>748</v>
      </c>
      <c r="AA621" s="104" t="s">
        <v>383</v>
      </c>
      <c r="AB621" s="105">
        <v>46062.244444444441</v>
      </c>
      <c r="AC621" s="105">
        <v>46062.225</v>
      </c>
    </row>
    <row r="622" s="70" customFormat="1" ht="11.25" customHeight="1">
      <c r="A622" s="87"/>
      <c r="C622" s="43" t="s">
        <v>1423</v>
      </c>
      <c r="D622" s="71" t="s">
        <v>382</v>
      </c>
      <c r="E622" s="71" t="str">
        <f>MID(D622,1,2)</f>
        <v>IL</v>
      </c>
      <c r="F622" s="71" t="s">
        <v>978</v>
      </c>
      <c r="G622" s="71" t="str">
        <f>MID(F622,1,2)</f>
        <v>PL</v>
      </c>
      <c r="H622" s="43" t="s">
        <v>1424</v>
      </c>
      <c r="I622" s="71" t="s">
        <v>1425</v>
      </c>
      <c r="J622" s="71" t="s">
        <v>483</v>
      </c>
      <c r="K622" s="43"/>
      <c r="L622" s="71" t="s">
        <v>105</v>
      </c>
      <c r="M622" s="73">
        <v>2</v>
      </c>
      <c r="N622" s="71" t="s">
        <v>388</v>
      </c>
      <c r="O622" s="73">
        <v>0.027</v>
      </c>
      <c r="P622" s="71" t="s">
        <v>389</v>
      </c>
      <c r="Q622" s="73">
        <v>4.5</v>
      </c>
      <c r="R622" s="71" t="s">
        <v>388</v>
      </c>
      <c r="S622" s="73">
        <v>0</v>
      </c>
      <c r="T622" s="71" t="s">
        <v>390</v>
      </c>
      <c r="U622" s="74">
        <v>1</v>
      </c>
      <c r="V622" s="71" t="s">
        <v>391</v>
      </c>
      <c r="W622" s="130">
        <v>46057.646527777775</v>
      </c>
      <c r="X622" s="72">
        <v>46059.572916666664</v>
      </c>
      <c r="Y622" s="72">
        <v>46060.583333333336</v>
      </c>
      <c r="Z622" s="104" t="s">
        <v>382</v>
      </c>
      <c r="AA622" s="104" t="s">
        <v>383</v>
      </c>
      <c r="AB622" s="105">
        <v>46059.810416666667</v>
      </c>
      <c r="AC622" s="105">
        <v>46059.956944444442</v>
      </c>
    </row>
    <row r="623" s="70" customFormat="1" ht="11.25" customHeight="1">
      <c r="A623" s="87"/>
      <c r="C623" s="43" t="s">
        <v>1423</v>
      </c>
      <c r="D623" s="71" t="s">
        <v>382</v>
      </c>
      <c r="E623" s="71" t="str">
        <f>MID(D623,1,2)</f>
        <v>IL</v>
      </c>
      <c r="F623" s="71" t="s">
        <v>978</v>
      </c>
      <c r="G623" s="71" t="str">
        <f>MID(F623,1,2)</f>
        <v>PL</v>
      </c>
      <c r="H623" s="43" t="s">
        <v>1424</v>
      </c>
      <c r="I623" s="71" t="s">
        <v>1425</v>
      </c>
      <c r="J623" s="71" t="s">
        <v>483</v>
      </c>
      <c r="K623" s="43"/>
      <c r="L623" s="71" t="s">
        <v>105</v>
      </c>
      <c r="M623" s="73">
        <v>2</v>
      </c>
      <c r="N623" s="71" t="s">
        <v>388</v>
      </c>
      <c r="O623" s="73">
        <v>0.027</v>
      </c>
      <c r="P623" s="71" t="s">
        <v>389</v>
      </c>
      <c r="Q623" s="73">
        <v>4.5</v>
      </c>
      <c r="R623" s="71" t="s">
        <v>388</v>
      </c>
      <c r="S623" s="73">
        <v>0</v>
      </c>
      <c r="T623" s="71" t="s">
        <v>390</v>
      </c>
      <c r="U623" s="74">
        <v>1</v>
      </c>
      <c r="V623" s="71" t="s">
        <v>391</v>
      </c>
      <c r="W623" s="130">
        <v>46057.646527777775</v>
      </c>
      <c r="X623" s="72">
        <v>46059.572916666664</v>
      </c>
      <c r="Y623" s="72">
        <v>46060.583333333336</v>
      </c>
      <c r="Z623" s="104" t="s">
        <v>383</v>
      </c>
      <c r="AA623" s="104" t="s">
        <v>978</v>
      </c>
      <c r="AB623" s="105">
        <v>46060.520138888889</v>
      </c>
      <c r="AC623" s="105">
        <v>46060.575694444444</v>
      </c>
    </row>
    <row r="624" s="70" customFormat="1" ht="11.25" customHeight="1">
      <c r="A624" s="87"/>
      <c r="C624" s="43" t="s">
        <v>1423</v>
      </c>
      <c r="D624" s="71" t="s">
        <v>382</v>
      </c>
      <c r="E624" s="71" t="str">
        <f>MID(D624,1,2)</f>
        <v>IL</v>
      </c>
      <c r="F624" s="71" t="s">
        <v>978</v>
      </c>
      <c r="G624" s="71" t="str">
        <f>MID(F624,1,2)</f>
        <v>PL</v>
      </c>
      <c r="H624" s="43" t="s">
        <v>1424</v>
      </c>
      <c r="I624" s="71" t="s">
        <v>1425</v>
      </c>
      <c r="J624" s="71" t="s">
        <v>483</v>
      </c>
      <c r="K624" s="43"/>
      <c r="L624" s="71" t="s">
        <v>105</v>
      </c>
      <c r="M624" s="73">
        <v>2</v>
      </c>
      <c r="N624" s="71" t="s">
        <v>388</v>
      </c>
      <c r="O624" s="73">
        <v>0.027</v>
      </c>
      <c r="P624" s="71" t="s">
        <v>389</v>
      </c>
      <c r="Q624" s="73">
        <v>4.5</v>
      </c>
      <c r="R624" s="71" t="s">
        <v>388</v>
      </c>
      <c r="S624" s="73">
        <v>0</v>
      </c>
      <c r="T624" s="71" t="s">
        <v>390</v>
      </c>
      <c r="U624" s="74">
        <v>1</v>
      </c>
      <c r="V624" s="71" t="s">
        <v>391</v>
      </c>
      <c r="W624" s="130">
        <v>46057.646527777775</v>
      </c>
      <c r="X624" s="72">
        <v>46059.572916666664</v>
      </c>
      <c r="Y624" s="72">
        <v>46060.583333333336</v>
      </c>
      <c r="Z624" s="104" t="s">
        <v>978</v>
      </c>
      <c r="AA624" s="104" t="s">
        <v>1426</v>
      </c>
      <c r="AB624" s="105">
        <v>46064.625</v>
      </c>
      <c r="AC624" s="105">
        <v>46065.416666666664</v>
      </c>
    </row>
    <row r="625" s="70" customFormat="1" ht="11.25" customHeight="1">
      <c r="A625" s="87"/>
      <c r="C625" s="43" t="s">
        <v>1427</v>
      </c>
      <c r="D625" s="71" t="s">
        <v>382</v>
      </c>
      <c r="E625" s="71" t="str">
        <f>MID(D625,1,2)</f>
        <v>IL</v>
      </c>
      <c r="F625" s="71" t="s">
        <v>1428</v>
      </c>
      <c r="G625" s="71" t="str">
        <f>MID(F625,1,2)</f>
        <v>PL</v>
      </c>
      <c r="H625" s="43" t="s">
        <v>1066</v>
      </c>
      <c r="I625" s="71" t="s">
        <v>1429</v>
      </c>
      <c r="J625" s="71" t="s">
        <v>386</v>
      </c>
      <c r="K625" s="43"/>
      <c r="L625" s="71" t="s">
        <v>107</v>
      </c>
      <c r="M625" s="73">
        <v>1082</v>
      </c>
      <c r="N625" s="71" t="s">
        <v>388</v>
      </c>
      <c r="O625" s="73">
        <v>6.791</v>
      </c>
      <c r="P625" s="71" t="s">
        <v>389</v>
      </c>
      <c r="Q625" s="73">
        <v>1132</v>
      </c>
      <c r="R625" s="71" t="s">
        <v>388</v>
      </c>
      <c r="S625" s="73">
        <v>0</v>
      </c>
      <c r="T625" s="71" t="s">
        <v>390</v>
      </c>
      <c r="U625" s="74">
        <v>2</v>
      </c>
      <c r="V625" s="71" t="s">
        <v>391</v>
      </c>
      <c r="W625" s="130"/>
      <c r="X625" s="72">
        <v>46060.386805555558</v>
      </c>
      <c r="Y625" s="72">
        <v>46062.215277777781</v>
      </c>
      <c r="Z625" s="104" t="s">
        <v>382</v>
      </c>
      <c r="AA625" s="104" t="s">
        <v>748</v>
      </c>
      <c r="AB625" s="105">
        <v>46060.961805555555</v>
      </c>
      <c r="AC625" s="105"/>
    </row>
    <row r="626" s="70" customFormat="1" ht="11.25" customHeight="1">
      <c r="A626" s="87"/>
      <c r="C626" s="43" t="s">
        <v>1427</v>
      </c>
      <c r="D626" s="71" t="s">
        <v>382</v>
      </c>
      <c r="E626" s="71" t="str">
        <f>MID(D626,1,2)</f>
        <v>IL</v>
      </c>
      <c r="F626" s="71" t="s">
        <v>1428</v>
      </c>
      <c r="G626" s="71" t="str">
        <f>MID(F626,1,2)</f>
        <v>PL</v>
      </c>
      <c r="H626" s="43" t="s">
        <v>1066</v>
      </c>
      <c r="I626" s="71" t="s">
        <v>1429</v>
      </c>
      <c r="J626" s="71" t="s">
        <v>386</v>
      </c>
      <c r="K626" s="43"/>
      <c r="L626" s="71" t="s">
        <v>107</v>
      </c>
      <c r="M626" s="73">
        <v>1082</v>
      </c>
      <c r="N626" s="71" t="s">
        <v>388</v>
      </c>
      <c r="O626" s="73">
        <v>6.791</v>
      </c>
      <c r="P626" s="71" t="s">
        <v>389</v>
      </c>
      <c r="Q626" s="73">
        <v>1132</v>
      </c>
      <c r="R626" s="71" t="s">
        <v>388</v>
      </c>
      <c r="S626" s="73">
        <v>0</v>
      </c>
      <c r="T626" s="71" t="s">
        <v>390</v>
      </c>
      <c r="U626" s="74">
        <v>2</v>
      </c>
      <c r="V626" s="71" t="s">
        <v>391</v>
      </c>
      <c r="W626" s="130"/>
      <c r="X626" s="72">
        <v>46060.386805555558</v>
      </c>
      <c r="Y626" s="72">
        <v>46062.215277777781</v>
      </c>
      <c r="Z626" s="104" t="s">
        <v>748</v>
      </c>
      <c r="AA626" s="104" t="s">
        <v>383</v>
      </c>
      <c r="AB626" s="105">
        <v>46062.244444444441</v>
      </c>
      <c r="AC626" s="105">
        <v>46062.225</v>
      </c>
    </row>
    <row r="627" s="70" customFormat="1" ht="11.25" customHeight="1">
      <c r="A627" s="87"/>
      <c r="C627" s="43" t="s">
        <v>1427</v>
      </c>
      <c r="D627" s="71" t="s">
        <v>382</v>
      </c>
      <c r="E627" s="71" t="str">
        <f>MID(D627,1,2)</f>
        <v>IL</v>
      </c>
      <c r="F627" s="71" t="s">
        <v>1428</v>
      </c>
      <c r="G627" s="71" t="str">
        <f>MID(F627,1,2)</f>
        <v>PL</v>
      </c>
      <c r="H627" s="43" t="s">
        <v>1066</v>
      </c>
      <c r="I627" s="71" t="s">
        <v>1429</v>
      </c>
      <c r="J627" s="71" t="s">
        <v>386</v>
      </c>
      <c r="K627" s="43"/>
      <c r="L627" s="71" t="s">
        <v>107</v>
      </c>
      <c r="M627" s="73">
        <v>1082</v>
      </c>
      <c r="N627" s="71" t="s">
        <v>388</v>
      </c>
      <c r="O627" s="73">
        <v>6.791</v>
      </c>
      <c r="P627" s="71" t="s">
        <v>389</v>
      </c>
      <c r="Q627" s="73">
        <v>1132</v>
      </c>
      <c r="R627" s="71" t="s">
        <v>388</v>
      </c>
      <c r="S627" s="73">
        <v>0</v>
      </c>
      <c r="T627" s="71" t="s">
        <v>390</v>
      </c>
      <c r="U627" s="74">
        <v>2</v>
      </c>
      <c r="V627" s="71" t="s">
        <v>391</v>
      </c>
      <c r="W627" s="130"/>
      <c r="X627" s="72">
        <v>46060.386805555558</v>
      </c>
      <c r="Y627" s="72">
        <v>46062.215277777781</v>
      </c>
      <c r="Z627" s="104" t="s">
        <v>383</v>
      </c>
      <c r="AA627" s="104" t="s">
        <v>1428</v>
      </c>
      <c r="AB627" s="105">
        <v>46065.840277777781</v>
      </c>
      <c r="AC627" s="105">
        <v>46066.25</v>
      </c>
    </row>
    <row r="628" s="70" customFormat="1" ht="11.25" customHeight="1">
      <c r="A628" s="87"/>
      <c r="C628" s="43" t="s">
        <v>1430</v>
      </c>
      <c r="D628" s="71" t="s">
        <v>382</v>
      </c>
      <c r="E628" s="71" t="str">
        <f>MID(D628,1,2)</f>
        <v>IL</v>
      </c>
      <c r="F628" s="71" t="s">
        <v>774</v>
      </c>
      <c r="G628" s="71" t="str">
        <f>MID(F628,1,2)</f>
        <v>CN</v>
      </c>
      <c r="H628" s="43" t="s">
        <v>1431</v>
      </c>
      <c r="I628" s="71" t="s">
        <v>1432</v>
      </c>
      <c r="J628" s="71" t="s">
        <v>755</v>
      </c>
      <c r="K628" s="43"/>
      <c r="L628" s="71" t="s">
        <v>105</v>
      </c>
      <c r="M628" s="73">
        <v>1</v>
      </c>
      <c r="N628" s="71" t="s">
        <v>388</v>
      </c>
      <c r="O628" s="73">
        <v>0.028</v>
      </c>
      <c r="P628" s="71" t="s">
        <v>389</v>
      </c>
      <c r="Q628" s="73">
        <v>5</v>
      </c>
      <c r="R628" s="71" t="s">
        <v>388</v>
      </c>
      <c r="S628" s="73">
        <v>0</v>
      </c>
      <c r="T628" s="71" t="s">
        <v>390</v>
      </c>
      <c r="U628" s="74">
        <v>1</v>
      </c>
      <c r="V628" s="71" t="s">
        <v>391</v>
      </c>
      <c r="W628" s="130"/>
      <c r="X628" s="72">
        <v>46059.690972222219</v>
      </c>
      <c r="Y628" s="72">
        <v>46062.640972222223</v>
      </c>
      <c r="Z628" s="104" t="s">
        <v>382</v>
      </c>
      <c r="AA628" s="104" t="s">
        <v>383</v>
      </c>
      <c r="AB628" s="105">
        <v>46060.683333333334</v>
      </c>
      <c r="AC628" s="105">
        <v>46060.829861111109</v>
      </c>
    </row>
    <row r="629" s="70" customFormat="1" ht="11.25" customHeight="1">
      <c r="A629" s="87"/>
      <c r="C629" s="43" t="s">
        <v>1430</v>
      </c>
      <c r="D629" s="71" t="s">
        <v>382</v>
      </c>
      <c r="E629" s="71" t="str">
        <f>MID(D629,1,2)</f>
        <v>IL</v>
      </c>
      <c r="F629" s="71" t="s">
        <v>774</v>
      </c>
      <c r="G629" s="71" t="str">
        <f>MID(F629,1,2)</f>
        <v>CN</v>
      </c>
      <c r="H629" s="43" t="s">
        <v>1431</v>
      </c>
      <c r="I629" s="71" t="s">
        <v>1432</v>
      </c>
      <c r="J629" s="71" t="s">
        <v>755</v>
      </c>
      <c r="K629" s="43"/>
      <c r="L629" s="71" t="s">
        <v>105</v>
      </c>
      <c r="M629" s="73">
        <v>1</v>
      </c>
      <c r="N629" s="71" t="s">
        <v>388</v>
      </c>
      <c r="O629" s="73">
        <v>0.028</v>
      </c>
      <c r="P629" s="71" t="s">
        <v>389</v>
      </c>
      <c r="Q629" s="73">
        <v>5</v>
      </c>
      <c r="R629" s="71" t="s">
        <v>388</v>
      </c>
      <c r="S629" s="73">
        <v>0</v>
      </c>
      <c r="T629" s="71" t="s">
        <v>390</v>
      </c>
      <c r="U629" s="74">
        <v>1</v>
      </c>
      <c r="V629" s="71" t="s">
        <v>391</v>
      </c>
      <c r="W629" s="130"/>
      <c r="X629" s="72">
        <v>46059.690972222219</v>
      </c>
      <c r="Y629" s="72">
        <v>46062.640972222223</v>
      </c>
      <c r="Z629" s="104" t="s">
        <v>383</v>
      </c>
      <c r="AA629" s="104" t="s">
        <v>774</v>
      </c>
      <c r="AB629" s="105">
        <v>46061.866666666669</v>
      </c>
      <c r="AC629" s="105">
        <v>46062.644444444442</v>
      </c>
    </row>
    <row r="630" s="70" customFormat="1" ht="11.25" customHeight="1">
      <c r="A630" s="87"/>
      <c r="C630" s="43" t="s">
        <v>1433</v>
      </c>
      <c r="D630" s="71" t="s">
        <v>1434</v>
      </c>
      <c r="E630" s="71" t="str">
        <f>MID(D630,1,2)</f>
        <v>IL</v>
      </c>
      <c r="F630" s="71" t="s">
        <v>1428</v>
      </c>
      <c r="G630" s="71" t="str">
        <f>MID(F630,1,2)</f>
        <v>PL</v>
      </c>
      <c r="H630" s="43" t="s">
        <v>1435</v>
      </c>
      <c r="I630" s="71" t="s">
        <v>1436</v>
      </c>
      <c r="J630" s="71" t="s">
        <v>386</v>
      </c>
      <c r="K630" s="43"/>
      <c r="L630" s="71" t="s">
        <v>107</v>
      </c>
      <c r="M630" s="73">
        <v>574</v>
      </c>
      <c r="N630" s="71" t="s">
        <v>388</v>
      </c>
      <c r="O630" s="73">
        <v>4.458</v>
      </c>
      <c r="P630" s="71" t="s">
        <v>389</v>
      </c>
      <c r="Q630" s="73">
        <v>743</v>
      </c>
      <c r="R630" s="71" t="s">
        <v>388</v>
      </c>
      <c r="S630" s="73">
        <v>0</v>
      </c>
      <c r="T630" s="71" t="s">
        <v>390</v>
      </c>
      <c r="U630" s="74">
        <v>3</v>
      </c>
      <c r="V630" s="71" t="s">
        <v>391</v>
      </c>
      <c r="W630" s="130"/>
      <c r="X630" s="72">
        <v>46059.572916666664</v>
      </c>
      <c r="Y630" s="72">
        <v>46059.960416666669</v>
      </c>
      <c r="Z630" s="104" t="s">
        <v>382</v>
      </c>
      <c r="AA630" s="104" t="s">
        <v>383</v>
      </c>
      <c r="AB630" s="105">
        <v>46059.810416666667</v>
      </c>
      <c r="AC630" s="105">
        <v>46059.956944444442</v>
      </c>
    </row>
    <row r="631" s="70" customFormat="1" ht="11.25" customHeight="1">
      <c r="A631" s="87"/>
      <c r="C631" s="43" t="s">
        <v>1437</v>
      </c>
      <c r="D631" s="71" t="s">
        <v>382</v>
      </c>
      <c r="E631" s="71" t="str">
        <f>MID(D631,1,2)</f>
        <v>IL</v>
      </c>
      <c r="F631" s="71" t="s">
        <v>522</v>
      </c>
      <c r="G631" s="71" t="str">
        <f>MID(F631,1,2)</f>
        <v>CZ</v>
      </c>
      <c r="H631" s="43" t="s">
        <v>1438</v>
      </c>
      <c r="I631" s="71" t="s">
        <v>1439</v>
      </c>
      <c r="J631" s="71" t="s">
        <v>426</v>
      </c>
      <c r="K631" s="43"/>
      <c r="L631" s="71" t="s">
        <v>105</v>
      </c>
      <c r="M631" s="73">
        <v>198</v>
      </c>
      <c r="N631" s="71" t="s">
        <v>388</v>
      </c>
      <c r="O631" s="73">
        <v>0.815</v>
      </c>
      <c r="P631" s="71" t="s">
        <v>389</v>
      </c>
      <c r="Q631" s="73">
        <v>198</v>
      </c>
      <c r="R631" s="71" t="s">
        <v>388</v>
      </c>
      <c r="S631" s="73">
        <v>0</v>
      </c>
      <c r="T631" s="71" t="s">
        <v>390</v>
      </c>
      <c r="U631" s="74">
        <v>2</v>
      </c>
      <c r="V631" s="71" t="s">
        <v>391</v>
      </c>
      <c r="W631" s="130">
        <v>46058.754745370374</v>
      </c>
      <c r="X631" s="72">
        <v>46061.767361111109</v>
      </c>
      <c r="Y631" s="72">
        <v>46065.48333333333</v>
      </c>
      <c r="Z631" s="104" t="s">
        <v>382</v>
      </c>
      <c r="AA631" s="104" t="s">
        <v>573</v>
      </c>
      <c r="AB631" s="105">
        <v>46061.767361111109</v>
      </c>
      <c r="AC631" s="105">
        <v>46061.908333333333</v>
      </c>
    </row>
    <row r="632" s="70" customFormat="1" ht="11.25" customHeight="1">
      <c r="A632" s="87"/>
      <c r="C632" s="43" t="s">
        <v>1437</v>
      </c>
      <c r="D632" s="71" t="s">
        <v>382</v>
      </c>
      <c r="E632" s="71" t="str">
        <f>MID(D632,1,2)</f>
        <v>IL</v>
      </c>
      <c r="F632" s="71" t="s">
        <v>522</v>
      </c>
      <c r="G632" s="71" t="str">
        <f>MID(F632,1,2)</f>
        <v>CZ</v>
      </c>
      <c r="H632" s="43" t="s">
        <v>1438</v>
      </c>
      <c r="I632" s="71" t="s">
        <v>1439</v>
      </c>
      <c r="J632" s="71" t="s">
        <v>426</v>
      </c>
      <c r="K632" s="43"/>
      <c r="L632" s="71" t="s">
        <v>105</v>
      </c>
      <c r="M632" s="73">
        <v>198</v>
      </c>
      <c r="N632" s="71" t="s">
        <v>388</v>
      </c>
      <c r="O632" s="73">
        <v>0.815</v>
      </c>
      <c r="P632" s="71" t="s">
        <v>389</v>
      </c>
      <c r="Q632" s="73">
        <v>198</v>
      </c>
      <c r="R632" s="71" t="s">
        <v>388</v>
      </c>
      <c r="S632" s="73">
        <v>0</v>
      </c>
      <c r="T632" s="71" t="s">
        <v>390</v>
      </c>
      <c r="U632" s="74">
        <v>2</v>
      </c>
      <c r="V632" s="71" t="s">
        <v>391</v>
      </c>
      <c r="W632" s="130">
        <v>46058.754745370374</v>
      </c>
      <c r="X632" s="72">
        <v>46061.767361111109</v>
      </c>
      <c r="Y632" s="72">
        <v>46065.48333333333</v>
      </c>
      <c r="Z632" s="104" t="s">
        <v>573</v>
      </c>
      <c r="AA632" s="104" t="s">
        <v>522</v>
      </c>
      <c r="AB632" s="105">
        <v>46064.816666666666</v>
      </c>
      <c r="AC632" s="105">
        <v>46065.581944444442</v>
      </c>
    </row>
    <row r="633" s="70" customFormat="1" ht="11.25" customHeight="1">
      <c r="A633" s="87"/>
      <c r="C633" s="43" t="s">
        <v>1440</v>
      </c>
      <c r="D633" s="71" t="s">
        <v>382</v>
      </c>
      <c r="E633" s="71" t="str">
        <f>MID(D633,1,2)</f>
        <v>IL</v>
      </c>
      <c r="F633" s="71" t="s">
        <v>468</v>
      </c>
      <c r="G633" s="71" t="str">
        <f>MID(F633,1,2)</f>
        <v>US</v>
      </c>
      <c r="H633" s="43" t="s">
        <v>1441</v>
      </c>
      <c r="I633" s="71" t="s">
        <v>1442</v>
      </c>
      <c r="J633" s="71" t="s">
        <v>386</v>
      </c>
      <c r="K633" s="43"/>
      <c r="L633" s="71" t="s">
        <v>107</v>
      </c>
      <c r="M633" s="73">
        <v>72</v>
      </c>
      <c r="N633" s="71" t="s">
        <v>388</v>
      </c>
      <c r="O633" s="73">
        <v>0.355</v>
      </c>
      <c r="P633" s="71" t="s">
        <v>389</v>
      </c>
      <c r="Q633" s="73">
        <v>72</v>
      </c>
      <c r="R633" s="71" t="s">
        <v>388</v>
      </c>
      <c r="S633" s="73">
        <v>0</v>
      </c>
      <c r="T633" s="71" t="s">
        <v>390</v>
      </c>
      <c r="U633" s="74">
        <v>1</v>
      </c>
      <c r="V633" s="71" t="s">
        <v>391</v>
      </c>
      <c r="W633" s="130">
        <v>46061.563194444447</v>
      </c>
      <c r="X633" s="72">
        <v>46064.965277777781</v>
      </c>
      <c r="Y633" s="72">
        <v>46069.416666666664</v>
      </c>
      <c r="Z633" s="104" t="s">
        <v>382</v>
      </c>
      <c r="AA633" s="104" t="s">
        <v>422</v>
      </c>
      <c r="AB633" s="105">
        <v>46064.963194444441</v>
      </c>
      <c r="AC633" s="105">
        <v>46065.148611111108</v>
      </c>
    </row>
    <row r="634" s="70" customFormat="1" ht="11.25" customHeight="1">
      <c r="A634" s="87"/>
      <c r="C634" s="43" t="s">
        <v>1440</v>
      </c>
      <c r="D634" s="71" t="s">
        <v>382</v>
      </c>
      <c r="E634" s="71" t="str">
        <f>MID(D634,1,2)</f>
        <v>IL</v>
      </c>
      <c r="F634" s="71" t="s">
        <v>468</v>
      </c>
      <c r="G634" s="71" t="str">
        <f>MID(F634,1,2)</f>
        <v>US</v>
      </c>
      <c r="H634" s="43" t="s">
        <v>1441</v>
      </c>
      <c r="I634" s="71" t="s">
        <v>1442</v>
      </c>
      <c r="J634" s="71" t="s">
        <v>386</v>
      </c>
      <c r="K634" s="43"/>
      <c r="L634" s="71" t="s">
        <v>107</v>
      </c>
      <c r="M634" s="73">
        <v>72</v>
      </c>
      <c r="N634" s="71" t="s">
        <v>388</v>
      </c>
      <c r="O634" s="73">
        <v>0.355</v>
      </c>
      <c r="P634" s="71" t="s">
        <v>389</v>
      </c>
      <c r="Q634" s="73">
        <v>72</v>
      </c>
      <c r="R634" s="71" t="s">
        <v>388</v>
      </c>
      <c r="S634" s="73">
        <v>0</v>
      </c>
      <c r="T634" s="71" t="s">
        <v>390</v>
      </c>
      <c r="U634" s="74">
        <v>1</v>
      </c>
      <c r="V634" s="71" t="s">
        <v>391</v>
      </c>
      <c r="W634" s="130">
        <v>46061.563194444447</v>
      </c>
      <c r="X634" s="72">
        <v>46064.965277777781</v>
      </c>
      <c r="Y634" s="72">
        <v>46069.416666666664</v>
      </c>
      <c r="Z634" s="104" t="s">
        <v>422</v>
      </c>
      <c r="AA634" s="104" t="s">
        <v>468</v>
      </c>
      <c r="AB634" s="105">
        <v>46065.590277777781</v>
      </c>
      <c r="AC634" s="105">
        <v>46065.697222222225</v>
      </c>
    </row>
    <row r="635" s="70" customFormat="1" ht="11.25" customHeight="1">
      <c r="A635" s="87"/>
      <c r="C635" s="43" t="s">
        <v>1443</v>
      </c>
      <c r="D635" s="71" t="s">
        <v>382</v>
      </c>
      <c r="E635" s="71" t="str">
        <f>MID(D635,1,2)</f>
        <v>IL</v>
      </c>
      <c r="F635" s="71" t="s">
        <v>1304</v>
      </c>
      <c r="G635" s="71" t="str">
        <f>MID(F635,1,2)</f>
        <v>DE</v>
      </c>
      <c r="H635" s="43" t="s">
        <v>1444</v>
      </c>
      <c r="I635" s="71" t="s">
        <v>1445</v>
      </c>
      <c r="J635" s="71" t="s">
        <v>386</v>
      </c>
      <c r="K635" s="43"/>
      <c r="L635" s="71" t="s">
        <v>107</v>
      </c>
      <c r="M635" s="73">
        <v>640</v>
      </c>
      <c r="N635" s="71" t="s">
        <v>388</v>
      </c>
      <c r="O635" s="73">
        <v>5.323</v>
      </c>
      <c r="P635" s="71" t="s">
        <v>389</v>
      </c>
      <c r="Q635" s="73">
        <v>887.5</v>
      </c>
      <c r="R635" s="71" t="s">
        <v>388</v>
      </c>
      <c r="S635" s="73">
        <v>0</v>
      </c>
      <c r="T635" s="71" t="s">
        <v>390</v>
      </c>
      <c r="U635" s="74">
        <v>19</v>
      </c>
      <c r="V635" s="71" t="s">
        <v>391</v>
      </c>
      <c r="W635" s="130">
        <v>46058.466400462959</v>
      </c>
      <c r="X635" s="72">
        <v>46065.003472222219</v>
      </c>
      <c r="Y635" s="72">
        <v>46067.369444444441</v>
      </c>
      <c r="Z635" s="104" t="s">
        <v>382</v>
      </c>
      <c r="AA635" s="104" t="s">
        <v>383</v>
      </c>
      <c r="AB635" s="105">
        <v>46064.999305555553</v>
      </c>
      <c r="AC635" s="105">
        <v>46065.288194444445</v>
      </c>
    </row>
    <row r="636" s="70" customFormat="1" ht="11.25" customHeight="1">
      <c r="A636" s="87"/>
      <c r="C636" s="43" t="s">
        <v>1443</v>
      </c>
      <c r="D636" s="71" t="s">
        <v>382</v>
      </c>
      <c r="E636" s="71" t="str">
        <f>MID(D636,1,2)</f>
        <v>IL</v>
      </c>
      <c r="F636" s="71" t="s">
        <v>1304</v>
      </c>
      <c r="G636" s="71" t="str">
        <f>MID(F636,1,2)</f>
        <v>DE</v>
      </c>
      <c r="H636" s="43" t="s">
        <v>1444</v>
      </c>
      <c r="I636" s="71" t="s">
        <v>1445</v>
      </c>
      <c r="J636" s="71" t="s">
        <v>386</v>
      </c>
      <c r="K636" s="43"/>
      <c r="L636" s="71" t="s">
        <v>107</v>
      </c>
      <c r="M636" s="73">
        <v>640</v>
      </c>
      <c r="N636" s="71" t="s">
        <v>388</v>
      </c>
      <c r="O636" s="73">
        <v>5.323</v>
      </c>
      <c r="P636" s="71" t="s">
        <v>389</v>
      </c>
      <c r="Q636" s="73">
        <v>887.5</v>
      </c>
      <c r="R636" s="71" t="s">
        <v>388</v>
      </c>
      <c r="S636" s="73">
        <v>0</v>
      </c>
      <c r="T636" s="71" t="s">
        <v>390</v>
      </c>
      <c r="U636" s="74">
        <v>19</v>
      </c>
      <c r="V636" s="71" t="s">
        <v>391</v>
      </c>
      <c r="W636" s="130">
        <v>46058.466400462959</v>
      </c>
      <c r="X636" s="72">
        <v>46065.003472222219</v>
      </c>
      <c r="Y636" s="72">
        <v>46067.369444444441</v>
      </c>
      <c r="Z636" s="104" t="s">
        <v>383</v>
      </c>
      <c r="AA636" s="104" t="s">
        <v>1304</v>
      </c>
      <c r="AB636" s="105">
        <v>46067.084027777775</v>
      </c>
      <c r="AC636" s="105">
        <v>46067.511111111111</v>
      </c>
    </row>
    <row r="637" s="70" customFormat="1" ht="11.25" customHeight="1">
      <c r="A637" s="87"/>
      <c r="C637" s="43" t="s">
        <v>1446</v>
      </c>
      <c r="D637" s="71" t="s">
        <v>382</v>
      </c>
      <c r="E637" s="71" t="str">
        <f>MID(D637,1,2)</f>
        <v>IL</v>
      </c>
      <c r="F637" s="71" t="s">
        <v>405</v>
      </c>
      <c r="G637" s="71" t="str">
        <f>MID(F637,1,2)</f>
        <v>CA</v>
      </c>
      <c r="H637" s="43" t="s">
        <v>1447</v>
      </c>
      <c r="I637" s="71" t="s">
        <v>1448</v>
      </c>
      <c r="J637" s="71" t="s">
        <v>435</v>
      </c>
      <c r="K637" s="43"/>
      <c r="L637" s="71" t="s">
        <v>105</v>
      </c>
      <c r="M637" s="73">
        <v>243</v>
      </c>
      <c r="N637" s="71" t="s">
        <v>388</v>
      </c>
      <c r="O637" s="73">
        <v>0.818</v>
      </c>
      <c r="P637" s="71" t="s">
        <v>389</v>
      </c>
      <c r="Q637" s="73">
        <v>243</v>
      </c>
      <c r="R637" s="71" t="s">
        <v>388</v>
      </c>
      <c r="S637" s="73">
        <v>0</v>
      </c>
      <c r="T637" s="71" t="s">
        <v>390</v>
      </c>
      <c r="U637" s="74">
        <v>1</v>
      </c>
      <c r="V637" s="71" t="s">
        <v>391</v>
      </c>
      <c r="W637" s="130">
        <v>46058.760416666664</v>
      </c>
      <c r="X637" s="72">
        <v>46062.496527777781</v>
      </c>
      <c r="Y637" s="72">
        <v>46062.711805555555</v>
      </c>
      <c r="Z637" s="104" t="s">
        <v>382</v>
      </c>
      <c r="AA637" s="104" t="s">
        <v>405</v>
      </c>
      <c r="AB637" s="105">
        <v>46062.502083333333</v>
      </c>
      <c r="AC637" s="105">
        <v>46062.697222222225</v>
      </c>
    </row>
    <row r="638" s="70" customFormat="1" ht="11.25" customHeight="1">
      <c r="A638" s="87"/>
      <c r="C638" s="43" t="s">
        <v>1449</v>
      </c>
      <c r="D638" s="71" t="s">
        <v>382</v>
      </c>
      <c r="E638" s="71" t="str">
        <f>MID(D638,1,2)</f>
        <v>IL</v>
      </c>
      <c r="F638" s="71" t="s">
        <v>546</v>
      </c>
      <c r="G638" s="71" t="str">
        <f>MID(F638,1,2)</f>
        <v>GB</v>
      </c>
      <c r="H638" s="43" t="s">
        <v>1450</v>
      </c>
      <c r="I638" s="71" t="s">
        <v>1451</v>
      </c>
      <c r="J638" s="71" t="s">
        <v>559</v>
      </c>
      <c r="K638" s="43"/>
      <c r="L638" s="71" t="s">
        <v>107</v>
      </c>
      <c r="M638" s="73">
        <v>34</v>
      </c>
      <c r="N638" s="71" t="s">
        <v>388</v>
      </c>
      <c r="O638" s="73">
        <v>0.265</v>
      </c>
      <c r="P638" s="71" t="s">
        <v>389</v>
      </c>
      <c r="Q638" s="73">
        <v>100</v>
      </c>
      <c r="R638" s="71" t="s">
        <v>388</v>
      </c>
      <c r="S638" s="73">
        <v>0</v>
      </c>
      <c r="T638" s="71" t="s">
        <v>390</v>
      </c>
      <c r="U638" s="74">
        <v>1</v>
      </c>
      <c r="V638" s="71" t="s">
        <v>391</v>
      </c>
      <c r="W638" s="130">
        <v>46057.729166666664</v>
      </c>
      <c r="X638" s="72">
        <v>46061.381944444445</v>
      </c>
      <c r="Y638" s="72">
        <v>46061.524305555555</v>
      </c>
      <c r="Z638" s="104" t="s">
        <v>560</v>
      </c>
      <c r="AA638" s="104" t="s">
        <v>561</v>
      </c>
      <c r="AB638" s="105"/>
      <c r="AC638" s="105"/>
    </row>
    <row r="639" s="70" customFormat="1" ht="11.25" customHeight="1">
      <c r="A639" s="87"/>
      <c r="C639" s="43" t="s">
        <v>1449</v>
      </c>
      <c r="D639" s="71" t="s">
        <v>382</v>
      </c>
      <c r="E639" s="71" t="str">
        <f>MID(D639,1,2)</f>
        <v>IL</v>
      </c>
      <c r="F639" s="71" t="s">
        <v>546</v>
      </c>
      <c r="G639" s="71" t="str">
        <f>MID(F639,1,2)</f>
        <v>GB</v>
      </c>
      <c r="H639" s="43" t="s">
        <v>1450</v>
      </c>
      <c r="I639" s="71" t="s">
        <v>1451</v>
      </c>
      <c r="J639" s="71" t="s">
        <v>559</v>
      </c>
      <c r="K639" s="43"/>
      <c r="L639" s="71" t="s">
        <v>107</v>
      </c>
      <c r="M639" s="73">
        <v>34</v>
      </c>
      <c r="N639" s="71" t="s">
        <v>388</v>
      </c>
      <c r="O639" s="73">
        <v>0.265</v>
      </c>
      <c r="P639" s="71" t="s">
        <v>389</v>
      </c>
      <c r="Q639" s="73">
        <v>100</v>
      </c>
      <c r="R639" s="71" t="s">
        <v>388</v>
      </c>
      <c r="S639" s="73">
        <v>0</v>
      </c>
      <c r="T639" s="71" t="s">
        <v>390</v>
      </c>
      <c r="U639" s="74">
        <v>1</v>
      </c>
      <c r="V639" s="71" t="s">
        <v>391</v>
      </c>
      <c r="W639" s="130">
        <v>46057.729166666664</v>
      </c>
      <c r="X639" s="72">
        <v>46061.381944444445</v>
      </c>
      <c r="Y639" s="72">
        <v>46061.524305555555</v>
      </c>
      <c r="Z639" s="104" t="s">
        <v>382</v>
      </c>
      <c r="AA639" s="104" t="s">
        <v>546</v>
      </c>
      <c r="AB639" s="105">
        <v>46061.37777777778</v>
      </c>
      <c r="AC639" s="105">
        <v>46061.5125</v>
      </c>
    </row>
    <row r="640" s="70" customFormat="1" ht="11.25" customHeight="1">
      <c r="A640" s="87"/>
      <c r="C640" s="43" t="s">
        <v>1452</v>
      </c>
      <c r="D640" s="71" t="s">
        <v>382</v>
      </c>
      <c r="E640" s="71" t="str">
        <f>MID(D640,1,2)</f>
        <v>IL</v>
      </c>
      <c r="F640" s="71" t="s">
        <v>383</v>
      </c>
      <c r="G640" s="71" t="str">
        <f>MID(F640,1,2)</f>
        <v>DE</v>
      </c>
      <c r="H640" s="43" t="s">
        <v>1453</v>
      </c>
      <c r="I640" s="71" t="s">
        <v>1454</v>
      </c>
      <c r="J640" s="71" t="s">
        <v>400</v>
      </c>
      <c r="K640" s="43"/>
      <c r="L640" s="71" t="s">
        <v>105</v>
      </c>
      <c r="M640" s="73">
        <v>48</v>
      </c>
      <c r="N640" s="71" t="s">
        <v>388</v>
      </c>
      <c r="O640" s="73">
        <v>0.371</v>
      </c>
      <c r="P640" s="71" t="s">
        <v>389</v>
      </c>
      <c r="Q640" s="73">
        <v>100</v>
      </c>
      <c r="R640" s="71" t="s">
        <v>388</v>
      </c>
      <c r="S640" s="73">
        <v>0</v>
      </c>
      <c r="T640" s="71" t="s">
        <v>390</v>
      </c>
      <c r="U640" s="74">
        <v>1</v>
      </c>
      <c r="V640" s="71" t="s">
        <v>391</v>
      </c>
      <c r="W640" s="130">
        <v>46058.327615740738</v>
      </c>
      <c r="X640" s="72">
        <v>46059.195138888892</v>
      </c>
      <c r="Y640" s="72">
        <v>46062.625</v>
      </c>
      <c r="Z640" s="104" t="s">
        <v>382</v>
      </c>
      <c r="AA640" s="104" t="s">
        <v>383</v>
      </c>
      <c r="AB640" s="105">
        <v>46061.261111111111</v>
      </c>
      <c r="AC640" s="105">
        <v>46061.419444444444</v>
      </c>
    </row>
    <row r="641" s="70" customFormat="1" ht="11.25" customHeight="1">
      <c r="A641" s="87"/>
      <c r="C641" s="43" t="s">
        <v>1455</v>
      </c>
      <c r="D641" s="71" t="s">
        <v>382</v>
      </c>
      <c r="E641" s="71" t="str">
        <f>MID(D641,1,2)</f>
        <v>IL</v>
      </c>
      <c r="F641" s="71" t="s">
        <v>577</v>
      </c>
      <c r="G641" s="71" t="str">
        <f>MID(F641,1,2)</f>
        <v>FR</v>
      </c>
      <c r="H641" s="43" t="s">
        <v>1456</v>
      </c>
      <c r="I641" s="71" t="s">
        <v>1457</v>
      </c>
      <c r="J641" s="71" t="s">
        <v>454</v>
      </c>
      <c r="K641" s="43"/>
      <c r="L641" s="71" t="s">
        <v>107</v>
      </c>
      <c r="M641" s="73">
        <v>634</v>
      </c>
      <c r="N641" s="71" t="s">
        <v>388</v>
      </c>
      <c r="O641" s="73">
        <v>2.536</v>
      </c>
      <c r="P641" s="71" t="s">
        <v>389</v>
      </c>
      <c r="Q641" s="73">
        <v>634</v>
      </c>
      <c r="R641" s="71" t="s">
        <v>388</v>
      </c>
      <c r="S641" s="73">
        <v>0</v>
      </c>
      <c r="T641" s="71" t="s">
        <v>390</v>
      </c>
      <c r="U641" s="74">
        <v>2</v>
      </c>
      <c r="V641" s="71" t="s">
        <v>391</v>
      </c>
      <c r="W641" s="130">
        <v>46058.752083333333</v>
      </c>
      <c r="X641" s="72">
        <v>46061.375</v>
      </c>
      <c r="Y641" s="72">
        <v>46061.541666666664</v>
      </c>
      <c r="Z641" s="104" t="s">
        <v>382</v>
      </c>
      <c r="AA641" s="104" t="s">
        <v>577</v>
      </c>
      <c r="AB641" s="105">
        <v>46061.37222222222</v>
      </c>
      <c r="AC641" s="105">
        <v>46061.536111111112</v>
      </c>
    </row>
    <row r="642" s="70" customFormat="1" ht="11.25" customHeight="1">
      <c r="A642" s="87"/>
      <c r="C642" s="43" t="s">
        <v>1458</v>
      </c>
      <c r="D642" s="71" t="s">
        <v>382</v>
      </c>
      <c r="E642" s="71" t="str">
        <f>MID(D642,1,2)</f>
        <v>IL</v>
      </c>
      <c r="F642" s="71" t="s">
        <v>443</v>
      </c>
      <c r="G642" s="71" t="str">
        <f>MID(F642,1,2)</f>
        <v>US</v>
      </c>
      <c r="H642" s="43" t="s">
        <v>1459</v>
      </c>
      <c r="I642" s="71" t="s">
        <v>1460</v>
      </c>
      <c r="J642" s="71" t="s">
        <v>386</v>
      </c>
      <c r="K642" s="43"/>
      <c r="L642" s="71" t="s">
        <v>107</v>
      </c>
      <c r="M642" s="73">
        <v>222</v>
      </c>
      <c r="N642" s="71" t="s">
        <v>388</v>
      </c>
      <c r="O642" s="73">
        <v>1.431</v>
      </c>
      <c r="P642" s="71" t="s">
        <v>389</v>
      </c>
      <c r="Q642" s="73">
        <v>238.5</v>
      </c>
      <c r="R642" s="71" t="s">
        <v>388</v>
      </c>
      <c r="S642" s="73">
        <v>0</v>
      </c>
      <c r="T642" s="71" t="s">
        <v>390</v>
      </c>
      <c r="U642" s="74">
        <v>1</v>
      </c>
      <c r="V642" s="71" t="s">
        <v>446</v>
      </c>
      <c r="W642" s="130">
        <v>46062.649594907409</v>
      </c>
      <c r="X642" s="72">
        <v>46063.965277777781</v>
      </c>
      <c r="Y642" s="72">
        <v>46064.797222222223</v>
      </c>
      <c r="Z642" s="104" t="s">
        <v>382</v>
      </c>
      <c r="AA642" s="104" t="s">
        <v>422</v>
      </c>
      <c r="AB642" s="105">
        <v>46063.966666666667</v>
      </c>
      <c r="AC642" s="105">
        <v>46064.147222222222</v>
      </c>
    </row>
    <row r="643" s="70" customFormat="1" ht="11.25" customHeight="1">
      <c r="A643" s="87"/>
      <c r="C643" s="43" t="s">
        <v>1458</v>
      </c>
      <c r="D643" s="71" t="s">
        <v>382</v>
      </c>
      <c r="E643" s="71" t="str">
        <f>MID(D643,1,2)</f>
        <v>IL</v>
      </c>
      <c r="F643" s="71" t="s">
        <v>443</v>
      </c>
      <c r="G643" s="71" t="str">
        <f>MID(F643,1,2)</f>
        <v>US</v>
      </c>
      <c r="H643" s="43" t="s">
        <v>1459</v>
      </c>
      <c r="I643" s="71" t="s">
        <v>1460</v>
      </c>
      <c r="J643" s="71" t="s">
        <v>386</v>
      </c>
      <c r="K643" s="43"/>
      <c r="L643" s="71" t="s">
        <v>107</v>
      </c>
      <c r="M643" s="73">
        <v>222</v>
      </c>
      <c r="N643" s="71" t="s">
        <v>388</v>
      </c>
      <c r="O643" s="73">
        <v>1.431</v>
      </c>
      <c r="P643" s="71" t="s">
        <v>389</v>
      </c>
      <c r="Q643" s="73">
        <v>238.5</v>
      </c>
      <c r="R643" s="71" t="s">
        <v>388</v>
      </c>
      <c r="S643" s="73">
        <v>0</v>
      </c>
      <c r="T643" s="71" t="s">
        <v>390</v>
      </c>
      <c r="U643" s="74">
        <v>1</v>
      </c>
      <c r="V643" s="71" t="s">
        <v>446</v>
      </c>
      <c r="W643" s="130">
        <v>46062.649594907409</v>
      </c>
      <c r="X643" s="72">
        <v>46063.965277777781</v>
      </c>
      <c r="Y643" s="72">
        <v>46064.797222222223</v>
      </c>
      <c r="Z643" s="104" t="s">
        <v>422</v>
      </c>
      <c r="AA643" s="104" t="s">
        <v>443</v>
      </c>
      <c r="AB643" s="105">
        <v>46064.661805555559</v>
      </c>
      <c r="AC643" s="105">
        <v>46064.791666666664</v>
      </c>
    </row>
    <row r="644" s="70" customFormat="1" ht="11.25" customHeight="1">
      <c r="A644" s="87"/>
      <c r="C644" s="43" t="s">
        <v>1461</v>
      </c>
      <c r="D644" s="71" t="s">
        <v>382</v>
      </c>
      <c r="E644" s="71" t="str">
        <f>MID(D644,1,2)</f>
        <v>IL</v>
      </c>
      <c r="F644" s="71" t="s">
        <v>468</v>
      </c>
      <c r="G644" s="71" t="str">
        <f>MID(F644,1,2)</f>
        <v>US</v>
      </c>
      <c r="H644" s="43" t="s">
        <v>1441</v>
      </c>
      <c r="I644" s="71" t="s">
        <v>1462</v>
      </c>
      <c r="J644" s="71" t="s">
        <v>386</v>
      </c>
      <c r="K644" s="43"/>
      <c r="L644" s="71" t="s">
        <v>107</v>
      </c>
      <c r="M644" s="73">
        <v>39</v>
      </c>
      <c r="N644" s="71" t="s">
        <v>388</v>
      </c>
      <c r="O644" s="73">
        <v>0.376</v>
      </c>
      <c r="P644" s="71" t="s">
        <v>389</v>
      </c>
      <c r="Q644" s="73">
        <v>63</v>
      </c>
      <c r="R644" s="71" t="s">
        <v>388</v>
      </c>
      <c r="S644" s="73">
        <v>0</v>
      </c>
      <c r="T644" s="71" t="s">
        <v>390</v>
      </c>
      <c r="U644" s="74">
        <v>1</v>
      </c>
      <c r="V644" s="71" t="s">
        <v>446</v>
      </c>
      <c r="W644" s="130">
        <v>46061.576388888891</v>
      </c>
      <c r="X644" s="72">
        <v>46064.965277777781</v>
      </c>
      <c r="Y644" s="72">
        <v>46069.416666666664</v>
      </c>
      <c r="Z644" s="104" t="s">
        <v>382</v>
      </c>
      <c r="AA644" s="104" t="s">
        <v>422</v>
      </c>
      <c r="AB644" s="105">
        <v>46064.963194444441</v>
      </c>
      <c r="AC644" s="105">
        <v>46065.148611111108</v>
      </c>
    </row>
    <row r="645" s="70" customFormat="1" ht="11.25" customHeight="1">
      <c r="A645" s="87"/>
      <c r="C645" s="43" t="s">
        <v>1461</v>
      </c>
      <c r="D645" s="71" t="s">
        <v>382</v>
      </c>
      <c r="E645" s="71" t="str">
        <f>MID(D645,1,2)</f>
        <v>IL</v>
      </c>
      <c r="F645" s="71" t="s">
        <v>468</v>
      </c>
      <c r="G645" s="71" t="str">
        <f>MID(F645,1,2)</f>
        <v>US</v>
      </c>
      <c r="H645" s="43" t="s">
        <v>1441</v>
      </c>
      <c r="I645" s="71" t="s">
        <v>1462</v>
      </c>
      <c r="J645" s="71" t="s">
        <v>386</v>
      </c>
      <c r="K645" s="43"/>
      <c r="L645" s="71" t="s">
        <v>107</v>
      </c>
      <c r="M645" s="73">
        <v>39</v>
      </c>
      <c r="N645" s="71" t="s">
        <v>388</v>
      </c>
      <c r="O645" s="73">
        <v>0.376</v>
      </c>
      <c r="P645" s="71" t="s">
        <v>389</v>
      </c>
      <c r="Q645" s="73">
        <v>63</v>
      </c>
      <c r="R645" s="71" t="s">
        <v>388</v>
      </c>
      <c r="S645" s="73">
        <v>0</v>
      </c>
      <c r="T645" s="71" t="s">
        <v>390</v>
      </c>
      <c r="U645" s="74">
        <v>1</v>
      </c>
      <c r="V645" s="71" t="s">
        <v>446</v>
      </c>
      <c r="W645" s="130">
        <v>46061.576388888891</v>
      </c>
      <c r="X645" s="72">
        <v>46064.965277777781</v>
      </c>
      <c r="Y645" s="72">
        <v>46069.416666666664</v>
      </c>
      <c r="Z645" s="104" t="s">
        <v>422</v>
      </c>
      <c r="AA645" s="104" t="s">
        <v>468</v>
      </c>
      <c r="AB645" s="105">
        <v>46065.590277777781</v>
      </c>
      <c r="AC645" s="105">
        <v>46065.697222222225</v>
      </c>
    </row>
    <row r="646" s="70" customFormat="1" ht="11.25" customHeight="1">
      <c r="A646" s="87"/>
      <c r="C646" s="43" t="s">
        <v>1463</v>
      </c>
      <c r="D646" s="71" t="s">
        <v>382</v>
      </c>
      <c r="E646" s="71" t="str">
        <f>MID(D646,1,2)</f>
        <v>IL</v>
      </c>
      <c r="F646" s="71" t="s">
        <v>468</v>
      </c>
      <c r="G646" s="71" t="str">
        <f>MID(F646,1,2)</f>
        <v>US</v>
      </c>
      <c r="H646" s="43" t="s">
        <v>1441</v>
      </c>
      <c r="I646" s="71" t="s">
        <v>1464</v>
      </c>
      <c r="J646" s="71" t="s">
        <v>386</v>
      </c>
      <c r="K646" s="43"/>
      <c r="L646" s="71" t="s">
        <v>107</v>
      </c>
      <c r="M646" s="73">
        <v>9</v>
      </c>
      <c r="N646" s="71" t="s">
        <v>388</v>
      </c>
      <c r="O646" s="73">
        <v>0.053</v>
      </c>
      <c r="P646" s="71" t="s">
        <v>389</v>
      </c>
      <c r="Q646" s="73">
        <v>9</v>
      </c>
      <c r="R646" s="71" t="s">
        <v>388</v>
      </c>
      <c r="S646" s="73">
        <v>0</v>
      </c>
      <c r="T646" s="71" t="s">
        <v>390</v>
      </c>
      <c r="U646" s="74">
        <v>1</v>
      </c>
      <c r="V646" s="71" t="s">
        <v>446</v>
      </c>
      <c r="W646" s="130">
        <v>46061.555555555555</v>
      </c>
      <c r="X646" s="72">
        <v>46064.965277777781</v>
      </c>
      <c r="Y646" s="72">
        <v>46069.416666666664</v>
      </c>
      <c r="Z646" s="104" t="s">
        <v>382</v>
      </c>
      <c r="AA646" s="104" t="s">
        <v>422</v>
      </c>
      <c r="AB646" s="105">
        <v>46064.963194444441</v>
      </c>
      <c r="AC646" s="105">
        <v>46065.148611111108</v>
      </c>
    </row>
    <row r="647" s="70" customFormat="1" ht="11.25" customHeight="1">
      <c r="A647" s="87"/>
      <c r="C647" s="43" t="s">
        <v>1463</v>
      </c>
      <c r="D647" s="71" t="s">
        <v>382</v>
      </c>
      <c r="E647" s="71" t="str">
        <f>MID(D647,1,2)</f>
        <v>IL</v>
      </c>
      <c r="F647" s="71" t="s">
        <v>468</v>
      </c>
      <c r="G647" s="71" t="str">
        <f>MID(F647,1,2)</f>
        <v>US</v>
      </c>
      <c r="H647" s="43" t="s">
        <v>1441</v>
      </c>
      <c r="I647" s="71" t="s">
        <v>1464</v>
      </c>
      <c r="J647" s="71" t="s">
        <v>386</v>
      </c>
      <c r="K647" s="43"/>
      <c r="L647" s="71" t="s">
        <v>107</v>
      </c>
      <c r="M647" s="73">
        <v>9</v>
      </c>
      <c r="N647" s="71" t="s">
        <v>388</v>
      </c>
      <c r="O647" s="73">
        <v>0.053</v>
      </c>
      <c r="P647" s="71" t="s">
        <v>389</v>
      </c>
      <c r="Q647" s="73">
        <v>9</v>
      </c>
      <c r="R647" s="71" t="s">
        <v>388</v>
      </c>
      <c r="S647" s="73">
        <v>0</v>
      </c>
      <c r="T647" s="71" t="s">
        <v>390</v>
      </c>
      <c r="U647" s="74">
        <v>1</v>
      </c>
      <c r="V647" s="71" t="s">
        <v>446</v>
      </c>
      <c r="W647" s="130">
        <v>46061.555555555555</v>
      </c>
      <c r="X647" s="72">
        <v>46064.965277777781</v>
      </c>
      <c r="Y647" s="72">
        <v>46069.416666666664</v>
      </c>
      <c r="Z647" s="104" t="s">
        <v>422</v>
      </c>
      <c r="AA647" s="104" t="s">
        <v>468</v>
      </c>
      <c r="AB647" s="105">
        <v>46065.590277777781</v>
      </c>
      <c r="AC647" s="105">
        <v>46065.697222222225</v>
      </c>
    </row>
    <row r="648" s="70" customFormat="1" ht="11.25" customHeight="1">
      <c r="A648" s="87"/>
      <c r="C648" s="43" t="s">
        <v>1465</v>
      </c>
      <c r="D648" s="71" t="s">
        <v>382</v>
      </c>
      <c r="E648" s="71" t="str">
        <f>MID(D648,1,2)</f>
        <v>IL</v>
      </c>
      <c r="F648" s="71" t="s">
        <v>597</v>
      </c>
      <c r="G648" s="71" t="str">
        <f>MID(F648,1,2)</f>
        <v>NL</v>
      </c>
      <c r="H648" s="43" t="s">
        <v>1466</v>
      </c>
      <c r="I648" s="71"/>
      <c r="J648" s="71" t="s">
        <v>435</v>
      </c>
      <c r="K648" s="43"/>
      <c r="L648" s="71" t="s">
        <v>105</v>
      </c>
      <c r="M648" s="73">
        <v>299</v>
      </c>
      <c r="N648" s="71" t="s">
        <v>388</v>
      </c>
      <c r="O648" s="73">
        <v>1.67</v>
      </c>
      <c r="P648" s="71" t="s">
        <v>389</v>
      </c>
      <c r="Q648" s="73">
        <v>299</v>
      </c>
      <c r="R648" s="71" t="s">
        <v>388</v>
      </c>
      <c r="S648" s="73">
        <v>0</v>
      </c>
      <c r="T648" s="71" t="s">
        <v>390</v>
      </c>
      <c r="U648" s="74">
        <v>2</v>
      </c>
      <c r="V648" s="71" t="s">
        <v>391</v>
      </c>
      <c r="W648" s="130"/>
      <c r="X648" s="72">
        <v>46056.866666666669</v>
      </c>
      <c r="Y648" s="72">
        <v>46056.866666666669</v>
      </c>
      <c r="Z648" s="104" t="s">
        <v>382</v>
      </c>
      <c r="AA648" s="104" t="s">
        <v>597</v>
      </c>
      <c r="AB648" s="105">
        <v>46056.494444444441</v>
      </c>
      <c r="AC648" s="105">
        <v>46056.494444444441</v>
      </c>
    </row>
    <row r="649" s="70" customFormat="1" ht="11.25" customHeight="1">
      <c r="A649" s="87"/>
      <c r="C649" s="43" t="s">
        <v>1467</v>
      </c>
      <c r="D649" s="71" t="s">
        <v>382</v>
      </c>
      <c r="E649" s="71" t="str">
        <f>MID(D649,1,2)</f>
        <v>IL</v>
      </c>
      <c r="F649" s="71" t="s">
        <v>597</v>
      </c>
      <c r="G649" s="71" t="str">
        <f>MID(F649,1,2)</f>
        <v>NL</v>
      </c>
      <c r="H649" s="43" t="s">
        <v>1468</v>
      </c>
      <c r="I649" s="71"/>
      <c r="J649" s="71" t="s">
        <v>435</v>
      </c>
      <c r="K649" s="43"/>
      <c r="L649" s="71" t="s">
        <v>105</v>
      </c>
      <c r="M649" s="73">
        <v>16</v>
      </c>
      <c r="N649" s="71" t="s">
        <v>388</v>
      </c>
      <c r="O649" s="73">
        <v>0.088</v>
      </c>
      <c r="P649" s="71" t="s">
        <v>389</v>
      </c>
      <c r="Q649" s="73">
        <v>16</v>
      </c>
      <c r="R649" s="71" t="s">
        <v>388</v>
      </c>
      <c r="S649" s="73">
        <v>0</v>
      </c>
      <c r="T649" s="71" t="s">
        <v>390</v>
      </c>
      <c r="U649" s="74">
        <v>1</v>
      </c>
      <c r="V649" s="71" t="s">
        <v>391</v>
      </c>
      <c r="W649" s="130"/>
      <c r="X649" s="72">
        <v>46054.87222222222</v>
      </c>
      <c r="Y649" s="72">
        <v>46054.872916666667</v>
      </c>
      <c r="Z649" s="104" t="s">
        <v>382</v>
      </c>
      <c r="AA649" s="104" t="s">
        <v>597</v>
      </c>
      <c r="AB649" s="105">
        <v>46054.45208333333</v>
      </c>
      <c r="AC649" s="105">
        <v>46054.451388888891</v>
      </c>
    </row>
    <row r="650" s="70" customFormat="1" ht="11.25" customHeight="1">
      <c r="A650" s="87"/>
      <c r="C650" s="43" t="s">
        <v>1469</v>
      </c>
      <c r="D650" s="71" t="s">
        <v>382</v>
      </c>
      <c r="E650" s="71" t="str">
        <f>MID(D650,1,2)</f>
        <v>IL</v>
      </c>
      <c r="F650" s="71" t="s">
        <v>422</v>
      </c>
      <c r="G650" s="71" t="str">
        <f>MID(F650,1,2)</f>
        <v>US</v>
      </c>
      <c r="H650" s="43" t="s">
        <v>1215</v>
      </c>
      <c r="I650" s="71" t="s">
        <v>1470</v>
      </c>
      <c r="J650" s="71" t="s">
        <v>386</v>
      </c>
      <c r="K650" s="43" t="s">
        <v>431</v>
      </c>
      <c r="L650" s="71" t="s">
        <v>107</v>
      </c>
      <c r="M650" s="73">
        <v>6</v>
      </c>
      <c r="N650" s="71" t="s">
        <v>388</v>
      </c>
      <c r="O650" s="73">
        <v>0.15</v>
      </c>
      <c r="P650" s="71" t="s">
        <v>389</v>
      </c>
      <c r="Q650" s="73">
        <v>25</v>
      </c>
      <c r="R650" s="71" t="s">
        <v>388</v>
      </c>
      <c r="S650" s="73">
        <v>0</v>
      </c>
      <c r="T650" s="71" t="s">
        <v>390</v>
      </c>
      <c r="U650" s="74">
        <v>1</v>
      </c>
      <c r="V650" s="71" t="s">
        <v>427</v>
      </c>
      <c r="W650" s="130">
        <v>46058.334027777775</v>
      </c>
      <c r="X650" s="72">
        <v>46060.458333333336</v>
      </c>
      <c r="Y650" s="72">
        <v>46061.690972222219</v>
      </c>
      <c r="Z650" s="104" t="s">
        <v>382</v>
      </c>
      <c r="AA650" s="104" t="s">
        <v>422</v>
      </c>
      <c r="AB650" s="105">
        <v>46061.475694444445</v>
      </c>
      <c r="AC650" s="105">
        <v>46061.673611111109</v>
      </c>
    </row>
    <row r="651" s="70" customFormat="1" ht="11.25" customHeight="1">
      <c r="A651" s="87"/>
      <c r="C651" s="43" t="s">
        <v>1471</v>
      </c>
      <c r="D651" s="71" t="s">
        <v>382</v>
      </c>
      <c r="E651" s="71" t="str">
        <f>MID(D651,1,2)</f>
        <v>IL</v>
      </c>
      <c r="F651" s="71" t="s">
        <v>422</v>
      </c>
      <c r="G651" s="71" t="str">
        <f>MID(F651,1,2)</f>
        <v>US</v>
      </c>
      <c r="H651" s="43" t="s">
        <v>1215</v>
      </c>
      <c r="I651" s="71" t="s">
        <v>1472</v>
      </c>
      <c r="J651" s="71" t="s">
        <v>386</v>
      </c>
      <c r="K651" s="43" t="s">
        <v>431</v>
      </c>
      <c r="L651" s="71" t="s">
        <v>107</v>
      </c>
      <c r="M651" s="73">
        <v>3</v>
      </c>
      <c r="N651" s="71" t="s">
        <v>388</v>
      </c>
      <c r="O651" s="73">
        <v>0.074</v>
      </c>
      <c r="P651" s="71" t="s">
        <v>389</v>
      </c>
      <c r="Q651" s="73">
        <v>12.5</v>
      </c>
      <c r="R651" s="71" t="s">
        <v>388</v>
      </c>
      <c r="S651" s="73">
        <v>0</v>
      </c>
      <c r="T651" s="71" t="s">
        <v>390</v>
      </c>
      <c r="U651" s="74">
        <v>1</v>
      </c>
      <c r="V651" s="71" t="s">
        <v>427</v>
      </c>
      <c r="W651" s="130">
        <v>46058.340277777781</v>
      </c>
      <c r="X651" s="72">
        <v>46060.458333333336</v>
      </c>
      <c r="Y651" s="72">
        <v>46061.690972222219</v>
      </c>
      <c r="Z651" s="104" t="s">
        <v>382</v>
      </c>
      <c r="AA651" s="104" t="s">
        <v>422</v>
      </c>
      <c r="AB651" s="105">
        <v>46061.475694444445</v>
      </c>
      <c r="AC651" s="105">
        <v>46061.673611111109</v>
      </c>
    </row>
    <row r="652" s="70" customFormat="1" ht="11.25" customHeight="1">
      <c r="A652" s="87"/>
      <c r="C652" s="43" t="s">
        <v>1473</v>
      </c>
      <c r="D652" s="71" t="s">
        <v>382</v>
      </c>
      <c r="E652" s="71" t="str">
        <f>MID(D652,1,2)</f>
        <v>IL</v>
      </c>
      <c r="F652" s="71" t="s">
        <v>496</v>
      </c>
      <c r="G652" s="71" t="str">
        <f>MID(F652,1,2)</f>
        <v>RO</v>
      </c>
      <c r="H652" s="43" t="s">
        <v>1474</v>
      </c>
      <c r="I652" s="71" t="s">
        <v>1475</v>
      </c>
      <c r="J652" s="71" t="s">
        <v>400</v>
      </c>
      <c r="K652" s="43"/>
      <c r="L652" s="71" t="s">
        <v>105</v>
      </c>
      <c r="M652" s="73">
        <v>10</v>
      </c>
      <c r="N652" s="71" t="s">
        <v>388</v>
      </c>
      <c r="O652" s="73">
        <v>0.023</v>
      </c>
      <c r="P652" s="71" t="s">
        <v>389</v>
      </c>
      <c r="Q652" s="73">
        <v>10</v>
      </c>
      <c r="R652" s="71" t="s">
        <v>388</v>
      </c>
      <c r="S652" s="73">
        <v>0</v>
      </c>
      <c r="T652" s="71" t="s">
        <v>390</v>
      </c>
      <c r="U652" s="74">
        <v>1</v>
      </c>
      <c r="V652" s="71" t="s">
        <v>391</v>
      </c>
      <c r="W652" s="130">
        <v>46058.375</v>
      </c>
      <c r="X652" s="72">
        <v>46061.013888888891</v>
      </c>
      <c r="Y652" s="72">
        <v>46061.128472222219</v>
      </c>
      <c r="Z652" s="104" t="s">
        <v>382</v>
      </c>
      <c r="AA652" s="104" t="s">
        <v>496</v>
      </c>
      <c r="AB652" s="105">
        <v>46061.013888888891</v>
      </c>
      <c r="AC652" s="105">
        <v>46061.128472222219</v>
      </c>
    </row>
    <row r="653" s="70" customFormat="1" ht="11.25" customHeight="1">
      <c r="A653" s="87"/>
      <c r="C653" s="43" t="s">
        <v>1476</v>
      </c>
      <c r="D653" s="71" t="s">
        <v>382</v>
      </c>
      <c r="E653" s="71" t="str">
        <f>MID(D653,1,2)</f>
        <v>IL</v>
      </c>
      <c r="F653" s="71" t="s">
        <v>496</v>
      </c>
      <c r="G653" s="71" t="str">
        <f>MID(F653,1,2)</f>
        <v>RO</v>
      </c>
      <c r="H653" s="43" t="s">
        <v>1474</v>
      </c>
      <c r="I653" s="71" t="s">
        <v>1477</v>
      </c>
      <c r="J653" s="71" t="s">
        <v>400</v>
      </c>
      <c r="K653" s="43"/>
      <c r="L653" s="71" t="s">
        <v>105</v>
      </c>
      <c r="M653" s="73">
        <v>1</v>
      </c>
      <c r="N653" s="71" t="s">
        <v>388</v>
      </c>
      <c r="O653" s="73">
        <v>0.012</v>
      </c>
      <c r="P653" s="71" t="s">
        <v>389</v>
      </c>
      <c r="Q653" s="73">
        <v>2</v>
      </c>
      <c r="R653" s="71" t="s">
        <v>388</v>
      </c>
      <c r="S653" s="73">
        <v>0</v>
      </c>
      <c r="T653" s="71" t="s">
        <v>390</v>
      </c>
      <c r="U653" s="74">
        <v>1</v>
      </c>
      <c r="V653" s="71" t="s">
        <v>391</v>
      </c>
      <c r="W653" s="130">
        <v>46058.375</v>
      </c>
      <c r="X653" s="72">
        <v>46061.013888888891</v>
      </c>
      <c r="Y653" s="72">
        <v>46061.128472222219</v>
      </c>
      <c r="Z653" s="104" t="s">
        <v>382</v>
      </c>
      <c r="AA653" s="104" t="s">
        <v>496</v>
      </c>
      <c r="AB653" s="105">
        <v>46061.013888888891</v>
      </c>
      <c r="AC653" s="105">
        <v>46061.128472222219</v>
      </c>
    </row>
    <row r="654" s="70" customFormat="1" ht="11.25" customHeight="1">
      <c r="A654" s="87"/>
      <c r="C654" s="43" t="s">
        <v>1478</v>
      </c>
      <c r="D654" s="71" t="s">
        <v>382</v>
      </c>
      <c r="E654" s="71" t="str">
        <f>MID(D654,1,2)</f>
        <v>IL</v>
      </c>
      <c r="F654" s="71" t="s">
        <v>496</v>
      </c>
      <c r="G654" s="71" t="str">
        <f>MID(F654,1,2)</f>
        <v>RO</v>
      </c>
      <c r="H654" s="43" t="s">
        <v>1474</v>
      </c>
      <c r="I654" s="71" t="s">
        <v>1479</v>
      </c>
      <c r="J654" s="71" t="s">
        <v>400</v>
      </c>
      <c r="K654" s="43"/>
      <c r="L654" s="71" t="s">
        <v>105</v>
      </c>
      <c r="M654" s="73">
        <v>9</v>
      </c>
      <c r="N654" s="71" t="s">
        <v>388</v>
      </c>
      <c r="O654" s="73">
        <v>0.092</v>
      </c>
      <c r="P654" s="71" t="s">
        <v>389</v>
      </c>
      <c r="Q654" s="73">
        <v>15.5</v>
      </c>
      <c r="R654" s="71" t="s">
        <v>388</v>
      </c>
      <c r="S654" s="73">
        <v>0</v>
      </c>
      <c r="T654" s="71" t="s">
        <v>390</v>
      </c>
      <c r="U654" s="74">
        <v>1</v>
      </c>
      <c r="V654" s="71" t="s">
        <v>391</v>
      </c>
      <c r="W654" s="130">
        <v>46058.424305555556</v>
      </c>
      <c r="X654" s="72">
        <v>46061.013888888891</v>
      </c>
      <c r="Y654" s="72">
        <v>46061.128472222219</v>
      </c>
      <c r="Z654" s="104" t="s">
        <v>382</v>
      </c>
      <c r="AA654" s="104" t="s">
        <v>496</v>
      </c>
      <c r="AB654" s="105">
        <v>46061.013888888891</v>
      </c>
      <c r="AC654" s="105">
        <v>46061.128472222219</v>
      </c>
    </row>
    <row r="655" s="70" customFormat="1" ht="11.25" customHeight="1">
      <c r="A655" s="87"/>
      <c r="C655" s="43" t="s">
        <v>1480</v>
      </c>
      <c r="D655" s="71" t="s">
        <v>382</v>
      </c>
      <c r="E655" s="71" t="str">
        <f>MID(D655,1,2)</f>
        <v>IL</v>
      </c>
      <c r="F655" s="71" t="s">
        <v>471</v>
      </c>
      <c r="G655" s="71" t="str">
        <f>MID(F655,1,2)</f>
        <v>US</v>
      </c>
      <c r="H655" s="43" t="s">
        <v>1481</v>
      </c>
      <c r="I655" s="71" t="s">
        <v>1482</v>
      </c>
      <c r="J655" s="71" t="s">
        <v>386</v>
      </c>
      <c r="K655" s="43"/>
      <c r="L655" s="71" t="s">
        <v>107</v>
      </c>
      <c r="M655" s="73">
        <v>42</v>
      </c>
      <c r="N655" s="71" t="s">
        <v>388</v>
      </c>
      <c r="O655" s="73">
        <v>0.099</v>
      </c>
      <c r="P655" s="71" t="s">
        <v>389</v>
      </c>
      <c r="Q655" s="73">
        <v>100</v>
      </c>
      <c r="R655" s="71" t="s">
        <v>388</v>
      </c>
      <c r="S655" s="73">
        <v>0</v>
      </c>
      <c r="T655" s="71" t="s">
        <v>390</v>
      </c>
      <c r="U655" s="74">
        <v>1</v>
      </c>
      <c r="V655" s="71" t="s">
        <v>391</v>
      </c>
      <c r="W655" s="130">
        <v>46058.521527777775</v>
      </c>
      <c r="X655" s="72">
        <v>46060.965277777781</v>
      </c>
      <c r="Y655" s="72">
        <v>46062.713888888888</v>
      </c>
      <c r="Z655" s="104" t="s">
        <v>382</v>
      </c>
      <c r="AA655" s="104" t="s">
        <v>422</v>
      </c>
      <c r="AB655" s="105">
        <v>46060.963194444441</v>
      </c>
      <c r="AC655" s="105">
        <v>46061.144444444442</v>
      </c>
    </row>
    <row r="656" s="70" customFormat="1" ht="11.25" customHeight="1">
      <c r="A656" s="87"/>
      <c r="C656" s="43" t="s">
        <v>1480</v>
      </c>
      <c r="D656" s="71" t="s">
        <v>382</v>
      </c>
      <c r="E656" s="71" t="str">
        <f>MID(D656,1,2)</f>
        <v>IL</v>
      </c>
      <c r="F656" s="71" t="s">
        <v>471</v>
      </c>
      <c r="G656" s="71" t="str">
        <f>MID(F656,1,2)</f>
        <v>US</v>
      </c>
      <c r="H656" s="43" t="s">
        <v>1481</v>
      </c>
      <c r="I656" s="71" t="s">
        <v>1482</v>
      </c>
      <c r="J656" s="71" t="s">
        <v>386</v>
      </c>
      <c r="K656" s="43"/>
      <c r="L656" s="71" t="s">
        <v>107</v>
      </c>
      <c r="M656" s="73">
        <v>42</v>
      </c>
      <c r="N656" s="71" t="s">
        <v>388</v>
      </c>
      <c r="O656" s="73">
        <v>0.099</v>
      </c>
      <c r="P656" s="71" t="s">
        <v>389</v>
      </c>
      <c r="Q656" s="73">
        <v>100</v>
      </c>
      <c r="R656" s="71" t="s">
        <v>388</v>
      </c>
      <c r="S656" s="73">
        <v>0</v>
      </c>
      <c r="T656" s="71" t="s">
        <v>390</v>
      </c>
      <c r="U656" s="74">
        <v>1</v>
      </c>
      <c r="V656" s="71" t="s">
        <v>391</v>
      </c>
      <c r="W656" s="130">
        <v>46058.521527777775</v>
      </c>
      <c r="X656" s="72">
        <v>46060.965277777781</v>
      </c>
      <c r="Y656" s="72">
        <v>46062.713888888888</v>
      </c>
      <c r="Z656" s="104" t="s">
        <v>422</v>
      </c>
      <c r="AA656" s="104" t="s">
        <v>471</v>
      </c>
      <c r="AB656" s="105">
        <v>46062.640277777777</v>
      </c>
      <c r="AC656" s="105">
        <v>46062.699305555558</v>
      </c>
    </row>
    <row r="657" s="70" customFormat="1" ht="11.25" customHeight="1">
      <c r="A657" s="87"/>
      <c r="C657" s="43" t="s">
        <v>1483</v>
      </c>
      <c r="D657" s="71" t="s">
        <v>382</v>
      </c>
      <c r="E657" s="71" t="str">
        <f>MID(D657,1,2)</f>
        <v>IL</v>
      </c>
      <c r="F657" s="71" t="s">
        <v>422</v>
      </c>
      <c r="G657" s="71" t="str">
        <f>MID(F657,1,2)</f>
        <v>US</v>
      </c>
      <c r="H657" s="43" t="s">
        <v>1215</v>
      </c>
      <c r="I657" s="71" t="s">
        <v>1484</v>
      </c>
      <c r="J657" s="71" t="s">
        <v>400</v>
      </c>
      <c r="K657" s="43" t="s">
        <v>431</v>
      </c>
      <c r="L657" s="71" t="s">
        <v>105</v>
      </c>
      <c r="M657" s="73">
        <v>29</v>
      </c>
      <c r="N657" s="71" t="s">
        <v>388</v>
      </c>
      <c r="O657" s="73">
        <v>0.444</v>
      </c>
      <c r="P657" s="71" t="s">
        <v>389</v>
      </c>
      <c r="Q657" s="73">
        <v>74</v>
      </c>
      <c r="R657" s="71" t="s">
        <v>388</v>
      </c>
      <c r="S657" s="73">
        <v>0</v>
      </c>
      <c r="T657" s="71" t="s">
        <v>390</v>
      </c>
      <c r="U657" s="74">
        <v>3</v>
      </c>
      <c r="V657" s="71" t="s">
        <v>427</v>
      </c>
      <c r="W657" s="130">
        <v>46059.043298611112</v>
      </c>
      <c r="X657" s="72">
        <v>46060.458333333336</v>
      </c>
      <c r="Y657" s="72">
        <v>46061.690972222219</v>
      </c>
      <c r="Z657" s="104" t="s">
        <v>382</v>
      </c>
      <c r="AA657" s="104" t="s">
        <v>422</v>
      </c>
      <c r="AB657" s="105">
        <v>46061.475694444445</v>
      </c>
      <c r="AC657" s="105">
        <v>46061.673611111109</v>
      </c>
    </row>
    <row r="658" s="70" customFormat="1" ht="11.25" customHeight="1">
      <c r="A658" s="87"/>
      <c r="C658" s="43" t="s">
        <v>1485</v>
      </c>
      <c r="D658" s="71" t="s">
        <v>382</v>
      </c>
      <c r="E658" s="71" t="str">
        <f>MID(D658,1,2)</f>
        <v>IL</v>
      </c>
      <c r="F658" s="71" t="s">
        <v>573</v>
      </c>
      <c r="G658" s="71" t="str">
        <f>MID(F658,1,2)</f>
        <v>CH</v>
      </c>
      <c r="H658" s="43" t="s">
        <v>1486</v>
      </c>
      <c r="I658" s="71" t="s">
        <v>1487</v>
      </c>
      <c r="J658" s="71" t="s">
        <v>400</v>
      </c>
      <c r="K658" s="43"/>
      <c r="L658" s="71" t="s">
        <v>105</v>
      </c>
      <c r="M658" s="73">
        <v>114</v>
      </c>
      <c r="N658" s="71" t="s">
        <v>388</v>
      </c>
      <c r="O658" s="73">
        <v>0.92</v>
      </c>
      <c r="P658" s="71" t="s">
        <v>389</v>
      </c>
      <c r="Q658" s="73">
        <v>153.5</v>
      </c>
      <c r="R658" s="71" t="s">
        <v>388</v>
      </c>
      <c r="S658" s="73">
        <v>0</v>
      </c>
      <c r="T658" s="71" t="s">
        <v>390</v>
      </c>
      <c r="U658" s="74">
        <v>1</v>
      </c>
      <c r="V658" s="71" t="s">
        <v>391</v>
      </c>
      <c r="W658" s="130">
        <v>46058.671261574076</v>
      </c>
      <c r="X658" s="72">
        <v>46062.565972222219</v>
      </c>
      <c r="Y658" s="72">
        <v>46065.395138888889</v>
      </c>
      <c r="Z658" s="104" t="s">
        <v>382</v>
      </c>
      <c r="AA658" s="104" t="s">
        <v>383</v>
      </c>
      <c r="AB658" s="105">
        <v>46062.561805555553</v>
      </c>
      <c r="AC658" s="105">
        <v>46062.708333333336</v>
      </c>
    </row>
    <row r="659" s="70" customFormat="1" ht="11.25" customHeight="1">
      <c r="A659" s="87"/>
      <c r="C659" s="43" t="s">
        <v>1485</v>
      </c>
      <c r="D659" s="71" t="s">
        <v>382</v>
      </c>
      <c r="E659" s="71" t="str">
        <f>MID(D659,1,2)</f>
        <v>IL</v>
      </c>
      <c r="F659" s="71" t="s">
        <v>573</v>
      </c>
      <c r="G659" s="71" t="str">
        <f>MID(F659,1,2)</f>
        <v>CH</v>
      </c>
      <c r="H659" s="43" t="s">
        <v>1486</v>
      </c>
      <c r="I659" s="71" t="s">
        <v>1487</v>
      </c>
      <c r="J659" s="71" t="s">
        <v>400</v>
      </c>
      <c r="K659" s="43"/>
      <c r="L659" s="71" t="s">
        <v>105</v>
      </c>
      <c r="M659" s="73">
        <v>114</v>
      </c>
      <c r="N659" s="71" t="s">
        <v>388</v>
      </c>
      <c r="O659" s="73">
        <v>0.92</v>
      </c>
      <c r="P659" s="71" t="s">
        <v>389</v>
      </c>
      <c r="Q659" s="73">
        <v>153.5</v>
      </c>
      <c r="R659" s="71" t="s">
        <v>388</v>
      </c>
      <c r="S659" s="73">
        <v>0</v>
      </c>
      <c r="T659" s="71" t="s">
        <v>390</v>
      </c>
      <c r="U659" s="74">
        <v>1</v>
      </c>
      <c r="V659" s="71" t="s">
        <v>391</v>
      </c>
      <c r="W659" s="130">
        <v>46058.671261574076</v>
      </c>
      <c r="X659" s="72">
        <v>46062.565972222219</v>
      </c>
      <c r="Y659" s="72">
        <v>46065.395138888889</v>
      </c>
      <c r="Z659" s="104" t="s">
        <v>383</v>
      </c>
      <c r="AA659" s="104" t="s">
        <v>573</v>
      </c>
      <c r="AB659" s="105">
        <v>46064.972222222219</v>
      </c>
      <c r="AC659" s="105">
        <v>46065.270833333336</v>
      </c>
    </row>
    <row r="660" s="70" customFormat="1" ht="11.25" customHeight="1">
      <c r="A660" s="87"/>
      <c r="C660" s="43" t="s">
        <v>1488</v>
      </c>
      <c r="D660" s="71" t="s">
        <v>382</v>
      </c>
      <c r="E660" s="71" t="str">
        <f>MID(D660,1,2)</f>
        <v>IL</v>
      </c>
      <c r="F660" s="71" t="s">
        <v>1489</v>
      </c>
      <c r="G660" s="71" t="str">
        <f>MID(F660,1,2)</f>
        <v>DE</v>
      </c>
      <c r="H660" s="43" t="s">
        <v>1066</v>
      </c>
      <c r="I660" s="71" t="s">
        <v>1490</v>
      </c>
      <c r="J660" s="71" t="s">
        <v>400</v>
      </c>
      <c r="K660" s="43"/>
      <c r="L660" s="71" t="s">
        <v>105</v>
      </c>
      <c r="M660" s="73">
        <v>385</v>
      </c>
      <c r="N660" s="71" t="s">
        <v>388</v>
      </c>
      <c r="O660" s="73">
        <v>1.925</v>
      </c>
      <c r="P660" s="71" t="s">
        <v>389</v>
      </c>
      <c r="Q660" s="73">
        <v>385</v>
      </c>
      <c r="R660" s="71" t="s">
        <v>388</v>
      </c>
      <c r="S660" s="73">
        <v>0</v>
      </c>
      <c r="T660" s="71" t="s">
        <v>390</v>
      </c>
      <c r="U660" s="74">
        <v>1</v>
      </c>
      <c r="V660" s="71" t="s">
        <v>391</v>
      </c>
      <c r="W660" s="130">
        <v>46058.831064814818</v>
      </c>
      <c r="X660" s="72">
        <v>46060.386805555558</v>
      </c>
      <c r="Y660" s="72">
        <v>46065.125</v>
      </c>
      <c r="Z660" s="104" t="s">
        <v>383</v>
      </c>
      <c r="AA660" s="104" t="s">
        <v>1491</v>
      </c>
      <c r="AB660" s="105">
        <v>46064.916666666664</v>
      </c>
      <c r="AC660" s="105">
        <v>46065.125</v>
      </c>
    </row>
    <row r="661" s="70" customFormat="1" ht="11.25" customHeight="1">
      <c r="A661" s="87"/>
      <c r="C661" s="43" t="s">
        <v>1488</v>
      </c>
      <c r="D661" s="71" t="s">
        <v>382</v>
      </c>
      <c r="E661" s="71" t="str">
        <f>MID(D661,1,2)</f>
        <v>IL</v>
      </c>
      <c r="F661" s="71" t="s">
        <v>1489</v>
      </c>
      <c r="G661" s="71" t="str">
        <f>MID(F661,1,2)</f>
        <v>DE</v>
      </c>
      <c r="H661" s="43" t="s">
        <v>1066</v>
      </c>
      <c r="I661" s="71" t="s">
        <v>1490</v>
      </c>
      <c r="J661" s="71" t="s">
        <v>400</v>
      </c>
      <c r="K661" s="43"/>
      <c r="L661" s="71" t="s">
        <v>105</v>
      </c>
      <c r="M661" s="73">
        <v>385</v>
      </c>
      <c r="N661" s="71" t="s">
        <v>388</v>
      </c>
      <c r="O661" s="73">
        <v>1.925</v>
      </c>
      <c r="P661" s="71" t="s">
        <v>389</v>
      </c>
      <c r="Q661" s="73">
        <v>385</v>
      </c>
      <c r="R661" s="71" t="s">
        <v>388</v>
      </c>
      <c r="S661" s="73">
        <v>0</v>
      </c>
      <c r="T661" s="71" t="s">
        <v>390</v>
      </c>
      <c r="U661" s="74">
        <v>1</v>
      </c>
      <c r="V661" s="71" t="s">
        <v>391</v>
      </c>
      <c r="W661" s="130">
        <v>46058.831064814818</v>
      </c>
      <c r="X661" s="72">
        <v>46060.386805555558</v>
      </c>
      <c r="Y661" s="72">
        <v>46065.125</v>
      </c>
      <c r="Z661" s="104" t="s">
        <v>382</v>
      </c>
      <c r="AA661" s="104" t="s">
        <v>748</v>
      </c>
      <c r="AB661" s="105">
        <v>46060.961805555555</v>
      </c>
      <c r="AC661" s="105"/>
    </row>
    <row r="662" s="70" customFormat="1" ht="11.25" customHeight="1">
      <c r="A662" s="87"/>
      <c r="C662" s="43" t="s">
        <v>1488</v>
      </c>
      <c r="D662" s="71" t="s">
        <v>382</v>
      </c>
      <c r="E662" s="71" t="str">
        <f>MID(D662,1,2)</f>
        <v>IL</v>
      </c>
      <c r="F662" s="71" t="s">
        <v>1489</v>
      </c>
      <c r="G662" s="71" t="str">
        <f>MID(F662,1,2)</f>
        <v>DE</v>
      </c>
      <c r="H662" s="43" t="s">
        <v>1066</v>
      </c>
      <c r="I662" s="71" t="s">
        <v>1490</v>
      </c>
      <c r="J662" s="71" t="s">
        <v>400</v>
      </c>
      <c r="K662" s="43"/>
      <c r="L662" s="71" t="s">
        <v>105</v>
      </c>
      <c r="M662" s="73">
        <v>385</v>
      </c>
      <c r="N662" s="71" t="s">
        <v>388</v>
      </c>
      <c r="O662" s="73">
        <v>1.925</v>
      </c>
      <c r="P662" s="71" t="s">
        <v>389</v>
      </c>
      <c r="Q662" s="73">
        <v>385</v>
      </c>
      <c r="R662" s="71" t="s">
        <v>388</v>
      </c>
      <c r="S662" s="73">
        <v>0</v>
      </c>
      <c r="T662" s="71" t="s">
        <v>390</v>
      </c>
      <c r="U662" s="74">
        <v>1</v>
      </c>
      <c r="V662" s="71" t="s">
        <v>391</v>
      </c>
      <c r="W662" s="130">
        <v>46058.831064814818</v>
      </c>
      <c r="X662" s="72">
        <v>46060.386805555558</v>
      </c>
      <c r="Y662" s="72">
        <v>46065.125</v>
      </c>
      <c r="Z662" s="104" t="s">
        <v>748</v>
      </c>
      <c r="AA662" s="104" t="s">
        <v>383</v>
      </c>
      <c r="AB662" s="105">
        <v>46062.244444444441</v>
      </c>
      <c r="AC662" s="105">
        <v>46062.225</v>
      </c>
    </row>
    <row r="663" s="70" customFormat="1" ht="11.25" customHeight="1">
      <c r="A663" s="87"/>
      <c r="C663" s="43" t="s">
        <v>1492</v>
      </c>
      <c r="D663" s="71" t="s">
        <v>382</v>
      </c>
      <c r="E663" s="71" t="str">
        <f>MID(D663,1,2)</f>
        <v>IL</v>
      </c>
      <c r="F663" s="71" t="s">
        <v>422</v>
      </c>
      <c r="G663" s="71" t="str">
        <f>MID(F663,1,2)</f>
        <v>US</v>
      </c>
      <c r="H663" s="43" t="s">
        <v>1215</v>
      </c>
      <c r="I663" s="71" t="s">
        <v>1493</v>
      </c>
      <c r="J663" s="71" t="s">
        <v>454</v>
      </c>
      <c r="K663" s="43" t="s">
        <v>431</v>
      </c>
      <c r="L663" s="71" t="s">
        <v>107</v>
      </c>
      <c r="M663" s="73">
        <v>2</v>
      </c>
      <c r="N663" s="71" t="s">
        <v>388</v>
      </c>
      <c r="O663" s="73">
        <v>0.027</v>
      </c>
      <c r="P663" s="71" t="s">
        <v>389</v>
      </c>
      <c r="Q663" s="73">
        <v>4.5</v>
      </c>
      <c r="R663" s="71" t="s">
        <v>388</v>
      </c>
      <c r="S663" s="73">
        <v>0</v>
      </c>
      <c r="T663" s="71" t="s">
        <v>390</v>
      </c>
      <c r="U663" s="74">
        <v>1</v>
      </c>
      <c r="V663" s="71" t="s">
        <v>427</v>
      </c>
      <c r="W663" s="130">
        <v>46058.409722222219</v>
      </c>
      <c r="X663" s="72">
        <v>46060.458333333336</v>
      </c>
      <c r="Y663" s="72">
        <v>46061.690972222219</v>
      </c>
      <c r="Z663" s="104" t="s">
        <v>382</v>
      </c>
      <c r="AA663" s="104" t="s">
        <v>422</v>
      </c>
      <c r="AB663" s="105">
        <v>46061.475694444445</v>
      </c>
      <c r="AC663" s="105">
        <v>46061.673611111109</v>
      </c>
    </row>
    <row r="664" s="70" customFormat="1" ht="11.25" customHeight="1">
      <c r="A664" s="87"/>
      <c r="C664" s="43" t="s">
        <v>1494</v>
      </c>
      <c r="D664" s="71" t="s">
        <v>382</v>
      </c>
      <c r="E664" s="71" t="str">
        <f>MID(D664,1,2)</f>
        <v>IL</v>
      </c>
      <c r="F664" s="71" t="s">
        <v>397</v>
      </c>
      <c r="G664" s="71" t="str">
        <f>MID(F664,1,2)</f>
        <v>IN</v>
      </c>
      <c r="H664" s="43" t="s">
        <v>1495</v>
      </c>
      <c r="I664" s="71" t="s">
        <v>1496</v>
      </c>
      <c r="J664" s="71" t="s">
        <v>426</v>
      </c>
      <c r="K664" s="43"/>
      <c r="L664" s="71" t="s">
        <v>105</v>
      </c>
      <c r="M664" s="73">
        <v>3</v>
      </c>
      <c r="N664" s="71" t="s">
        <v>388</v>
      </c>
      <c r="O664" s="73">
        <v>0.021</v>
      </c>
      <c r="P664" s="71" t="s">
        <v>389</v>
      </c>
      <c r="Q664" s="73">
        <v>3.5</v>
      </c>
      <c r="R664" s="71" t="s">
        <v>388</v>
      </c>
      <c r="S664" s="73">
        <v>0</v>
      </c>
      <c r="T664" s="71" t="s">
        <v>390</v>
      </c>
      <c r="U664" s="74">
        <v>1</v>
      </c>
      <c r="V664" s="71" t="s">
        <v>391</v>
      </c>
      <c r="W664" s="130">
        <v>46058.685289351852</v>
      </c>
      <c r="X664" s="72">
        <v>46059.572916666664</v>
      </c>
      <c r="Y664" s="72">
        <v>46061.0125</v>
      </c>
      <c r="Z664" s="104" t="s">
        <v>382</v>
      </c>
      <c r="AA664" s="104" t="s">
        <v>383</v>
      </c>
      <c r="AB664" s="105">
        <v>46059.810416666667</v>
      </c>
      <c r="AC664" s="105">
        <v>46059.956944444442</v>
      </c>
    </row>
    <row r="665" s="70" customFormat="1" ht="11.25" customHeight="1">
      <c r="A665" s="87"/>
      <c r="C665" s="43" t="s">
        <v>1494</v>
      </c>
      <c r="D665" s="71" t="s">
        <v>382</v>
      </c>
      <c r="E665" s="71" t="str">
        <f>MID(D665,1,2)</f>
        <v>IL</v>
      </c>
      <c r="F665" s="71" t="s">
        <v>397</v>
      </c>
      <c r="G665" s="71" t="str">
        <f>MID(F665,1,2)</f>
        <v>IN</v>
      </c>
      <c r="H665" s="43" t="s">
        <v>1495</v>
      </c>
      <c r="I665" s="71" t="s">
        <v>1496</v>
      </c>
      <c r="J665" s="71" t="s">
        <v>426</v>
      </c>
      <c r="K665" s="43"/>
      <c r="L665" s="71" t="s">
        <v>105</v>
      </c>
      <c r="M665" s="73">
        <v>3</v>
      </c>
      <c r="N665" s="71" t="s">
        <v>388</v>
      </c>
      <c r="O665" s="73">
        <v>0.021</v>
      </c>
      <c r="P665" s="71" t="s">
        <v>389</v>
      </c>
      <c r="Q665" s="73">
        <v>3.5</v>
      </c>
      <c r="R665" s="71" t="s">
        <v>388</v>
      </c>
      <c r="S665" s="73">
        <v>0</v>
      </c>
      <c r="T665" s="71" t="s">
        <v>390</v>
      </c>
      <c r="U665" s="74">
        <v>1</v>
      </c>
      <c r="V665" s="71" t="s">
        <v>391</v>
      </c>
      <c r="W665" s="130">
        <v>46058.685289351852</v>
      </c>
      <c r="X665" s="72">
        <v>46059.572916666664</v>
      </c>
      <c r="Y665" s="72">
        <v>46061.0125</v>
      </c>
      <c r="Z665" s="104" t="s">
        <v>383</v>
      </c>
      <c r="AA665" s="104" t="s">
        <v>397</v>
      </c>
      <c r="AB665" s="105">
        <v>46060.45208333333</v>
      </c>
      <c r="AC665" s="105">
        <v>46061.00277777778</v>
      </c>
    </row>
    <row r="666" s="70" customFormat="1" ht="11.25" customHeight="1">
      <c r="A666" s="87"/>
      <c r="C666" s="43" t="s">
        <v>1497</v>
      </c>
      <c r="D666" s="71" t="s">
        <v>382</v>
      </c>
      <c r="E666" s="71" t="str">
        <f>MID(D666,1,2)</f>
        <v>IL</v>
      </c>
      <c r="F666" s="71" t="s">
        <v>476</v>
      </c>
      <c r="G666" s="71" t="str">
        <f>MID(F666,1,2)</f>
        <v>SG</v>
      </c>
      <c r="H666" s="43" t="s">
        <v>1498</v>
      </c>
      <c r="I666" s="71" t="s">
        <v>1499</v>
      </c>
      <c r="J666" s="71" t="s">
        <v>454</v>
      </c>
      <c r="K666" s="43"/>
      <c r="L666" s="71" t="s">
        <v>107</v>
      </c>
      <c r="M666" s="73">
        <v>567</v>
      </c>
      <c r="N666" s="71" t="s">
        <v>388</v>
      </c>
      <c r="O666" s="73">
        <v>6</v>
      </c>
      <c r="P666" s="71" t="s">
        <v>389</v>
      </c>
      <c r="Q666" s="73">
        <v>1000</v>
      </c>
      <c r="R666" s="71" t="s">
        <v>388</v>
      </c>
      <c r="S666" s="73">
        <v>0</v>
      </c>
      <c r="T666" s="71" t="s">
        <v>390</v>
      </c>
      <c r="U666" s="74">
        <v>4</v>
      </c>
      <c r="V666" s="71" t="s">
        <v>391</v>
      </c>
      <c r="W666" s="130"/>
      <c r="X666" s="72">
        <v>46062.788194444445</v>
      </c>
      <c r="Y666" s="72">
        <v>46066.506944444445</v>
      </c>
      <c r="Z666" s="104" t="s">
        <v>382</v>
      </c>
      <c r="AA666" s="104" t="s">
        <v>465</v>
      </c>
      <c r="AB666" s="105">
        <v>46063.006944444445</v>
      </c>
      <c r="AC666" s="105">
        <v>46063.208333333336</v>
      </c>
    </row>
    <row r="667" s="70" customFormat="1" ht="11.25" customHeight="1">
      <c r="A667" s="87"/>
      <c r="C667" s="43" t="s">
        <v>1497</v>
      </c>
      <c r="D667" s="71" t="s">
        <v>382</v>
      </c>
      <c r="E667" s="71" t="str">
        <f>MID(D667,1,2)</f>
        <v>IL</v>
      </c>
      <c r="F667" s="71" t="s">
        <v>476</v>
      </c>
      <c r="G667" s="71" t="str">
        <f>MID(F667,1,2)</f>
        <v>SG</v>
      </c>
      <c r="H667" s="43" t="s">
        <v>1498</v>
      </c>
      <c r="I667" s="71" t="s">
        <v>1499</v>
      </c>
      <c r="J667" s="71" t="s">
        <v>454</v>
      </c>
      <c r="K667" s="43"/>
      <c r="L667" s="71" t="s">
        <v>107</v>
      </c>
      <c r="M667" s="73">
        <v>567</v>
      </c>
      <c r="N667" s="71" t="s">
        <v>388</v>
      </c>
      <c r="O667" s="73">
        <v>6</v>
      </c>
      <c r="P667" s="71" t="s">
        <v>389</v>
      </c>
      <c r="Q667" s="73">
        <v>1000</v>
      </c>
      <c r="R667" s="71" t="s">
        <v>388</v>
      </c>
      <c r="S667" s="73">
        <v>0</v>
      </c>
      <c r="T667" s="71" t="s">
        <v>390</v>
      </c>
      <c r="U667" s="74">
        <v>4</v>
      </c>
      <c r="V667" s="71" t="s">
        <v>391</v>
      </c>
      <c r="W667" s="130"/>
      <c r="X667" s="72">
        <v>46062.788194444445</v>
      </c>
      <c r="Y667" s="72">
        <v>46066.506944444445</v>
      </c>
      <c r="Z667" s="104" t="s">
        <v>465</v>
      </c>
      <c r="AA667" s="104" t="s">
        <v>476</v>
      </c>
      <c r="AB667" s="105">
        <v>46065.805555555555</v>
      </c>
      <c r="AC667" s="105">
        <v>46066.319444444445</v>
      </c>
    </row>
    <row r="668" s="70" customFormat="1" ht="11.25" customHeight="1">
      <c r="A668" s="87"/>
      <c r="C668" s="43" t="s">
        <v>1500</v>
      </c>
      <c r="D668" s="71" t="s">
        <v>382</v>
      </c>
      <c r="E668" s="71" t="str">
        <f>MID(D668,1,2)</f>
        <v>IL</v>
      </c>
      <c r="F668" s="71" t="s">
        <v>774</v>
      </c>
      <c r="G668" s="71" t="str">
        <f>MID(F668,1,2)</f>
        <v>CN</v>
      </c>
      <c r="H668" s="43" t="s">
        <v>1361</v>
      </c>
      <c r="I668" s="71" t="s">
        <v>1501</v>
      </c>
      <c r="J668" s="71" t="s">
        <v>454</v>
      </c>
      <c r="K668" s="43"/>
      <c r="L668" s="71" t="s">
        <v>107</v>
      </c>
      <c r="M668" s="73">
        <v>754</v>
      </c>
      <c r="N668" s="71" t="s">
        <v>388</v>
      </c>
      <c r="O668" s="73">
        <v>5.243</v>
      </c>
      <c r="P668" s="71" t="s">
        <v>389</v>
      </c>
      <c r="Q668" s="73">
        <v>874</v>
      </c>
      <c r="R668" s="71" t="s">
        <v>388</v>
      </c>
      <c r="S668" s="73">
        <v>0</v>
      </c>
      <c r="T668" s="71" t="s">
        <v>390</v>
      </c>
      <c r="U668" s="74">
        <v>5</v>
      </c>
      <c r="V668" s="71" t="s">
        <v>391</v>
      </c>
      <c r="W668" s="130"/>
      <c r="X668" s="72">
        <v>46061.472222222219</v>
      </c>
      <c r="Y668" s="72">
        <v>46064.838888888888</v>
      </c>
      <c r="Z668" s="104" t="s">
        <v>382</v>
      </c>
      <c r="AA668" s="104" t="s">
        <v>1363</v>
      </c>
      <c r="AB668" s="105">
        <v>46061.426388888889</v>
      </c>
      <c r="AC668" s="105"/>
    </row>
    <row r="669" s="70" customFormat="1" ht="11.25" customHeight="1">
      <c r="A669" s="87"/>
      <c r="C669" s="43" t="s">
        <v>1500</v>
      </c>
      <c r="D669" s="71" t="s">
        <v>382</v>
      </c>
      <c r="E669" s="71" t="str">
        <f>MID(D669,1,2)</f>
        <v>IL</v>
      </c>
      <c r="F669" s="71" t="s">
        <v>774</v>
      </c>
      <c r="G669" s="71" t="str">
        <f>MID(F669,1,2)</f>
        <v>CN</v>
      </c>
      <c r="H669" s="43" t="s">
        <v>1361</v>
      </c>
      <c r="I669" s="71" t="s">
        <v>1501</v>
      </c>
      <c r="J669" s="71" t="s">
        <v>454</v>
      </c>
      <c r="K669" s="43"/>
      <c r="L669" s="71" t="s">
        <v>107</v>
      </c>
      <c r="M669" s="73">
        <v>754</v>
      </c>
      <c r="N669" s="71" t="s">
        <v>388</v>
      </c>
      <c r="O669" s="73">
        <v>5.243</v>
      </c>
      <c r="P669" s="71" t="s">
        <v>389</v>
      </c>
      <c r="Q669" s="73">
        <v>874</v>
      </c>
      <c r="R669" s="71" t="s">
        <v>388</v>
      </c>
      <c r="S669" s="73">
        <v>0</v>
      </c>
      <c r="T669" s="71" t="s">
        <v>390</v>
      </c>
      <c r="U669" s="74">
        <v>5</v>
      </c>
      <c r="V669" s="71" t="s">
        <v>391</v>
      </c>
      <c r="W669" s="130"/>
      <c r="X669" s="72">
        <v>46061.472222222219</v>
      </c>
      <c r="Y669" s="72">
        <v>46064.838888888888</v>
      </c>
      <c r="Z669" s="104" t="s">
        <v>1363</v>
      </c>
      <c r="AA669" s="104" t="s">
        <v>774</v>
      </c>
      <c r="AB669" s="105">
        <v>46064.711805555555</v>
      </c>
      <c r="AC669" s="105">
        <v>46064.826388888891</v>
      </c>
    </row>
    <row r="670" s="70" customFormat="1" ht="11.25" customHeight="1">
      <c r="A670" s="87"/>
      <c r="C670" s="43" t="s">
        <v>1502</v>
      </c>
      <c r="D670" s="71" t="s">
        <v>382</v>
      </c>
      <c r="E670" s="71" t="str">
        <f>MID(D670,1,2)</f>
        <v>IL</v>
      </c>
      <c r="F670" s="71" t="s">
        <v>526</v>
      </c>
      <c r="G670" s="71" t="str">
        <f>MID(F670,1,2)</f>
        <v>US</v>
      </c>
      <c r="H670" s="43" t="s">
        <v>1503</v>
      </c>
      <c r="I670" s="71" t="s">
        <v>1504</v>
      </c>
      <c r="J670" s="71" t="s">
        <v>755</v>
      </c>
      <c r="K670" s="43"/>
      <c r="L670" s="71" t="s">
        <v>105</v>
      </c>
      <c r="M670" s="73">
        <v>90</v>
      </c>
      <c r="N670" s="71" t="s">
        <v>388</v>
      </c>
      <c r="O670" s="73">
        <v>0.739</v>
      </c>
      <c r="P670" s="71" t="s">
        <v>389</v>
      </c>
      <c r="Q670" s="73">
        <v>123.5</v>
      </c>
      <c r="R670" s="71" t="s">
        <v>388</v>
      </c>
      <c r="S670" s="73">
        <v>0</v>
      </c>
      <c r="T670" s="71" t="s">
        <v>390</v>
      </c>
      <c r="U670" s="74">
        <v>1</v>
      </c>
      <c r="V670" s="71" t="s">
        <v>391</v>
      </c>
      <c r="W670" s="130">
        <v>46058.430555555555</v>
      </c>
      <c r="X670" s="72">
        <v>46060.458333333336</v>
      </c>
      <c r="Y670" s="72">
        <v>46062.652083333334</v>
      </c>
      <c r="Z670" s="104" t="s">
        <v>382</v>
      </c>
      <c r="AA670" s="104" t="s">
        <v>422</v>
      </c>
      <c r="AB670" s="105">
        <v>46060.963194444441</v>
      </c>
      <c r="AC670" s="105">
        <v>46061.144444444442</v>
      </c>
    </row>
    <row r="671" s="70" customFormat="1" ht="11.25" customHeight="1">
      <c r="A671" s="87"/>
      <c r="C671" s="43" t="s">
        <v>1502</v>
      </c>
      <c r="D671" s="71" t="s">
        <v>382</v>
      </c>
      <c r="E671" s="71" t="str">
        <f>MID(D671,1,2)</f>
        <v>IL</v>
      </c>
      <c r="F671" s="71" t="s">
        <v>526</v>
      </c>
      <c r="G671" s="71" t="str">
        <f>MID(F671,1,2)</f>
        <v>US</v>
      </c>
      <c r="H671" s="43" t="s">
        <v>1503</v>
      </c>
      <c r="I671" s="71" t="s">
        <v>1504</v>
      </c>
      <c r="J671" s="71" t="s">
        <v>755</v>
      </c>
      <c r="K671" s="43"/>
      <c r="L671" s="71" t="s">
        <v>105</v>
      </c>
      <c r="M671" s="73">
        <v>90</v>
      </c>
      <c r="N671" s="71" t="s">
        <v>388</v>
      </c>
      <c r="O671" s="73">
        <v>0.739</v>
      </c>
      <c r="P671" s="71" t="s">
        <v>389</v>
      </c>
      <c r="Q671" s="73">
        <v>123.5</v>
      </c>
      <c r="R671" s="71" t="s">
        <v>388</v>
      </c>
      <c r="S671" s="73">
        <v>0</v>
      </c>
      <c r="T671" s="71" t="s">
        <v>390</v>
      </c>
      <c r="U671" s="74">
        <v>1</v>
      </c>
      <c r="V671" s="71" t="s">
        <v>391</v>
      </c>
      <c r="W671" s="130">
        <v>46058.430555555555</v>
      </c>
      <c r="X671" s="72">
        <v>46060.458333333336</v>
      </c>
      <c r="Y671" s="72">
        <v>46062.652083333334</v>
      </c>
      <c r="Z671" s="104" t="s">
        <v>422</v>
      </c>
      <c r="AA671" s="104" t="s">
        <v>526</v>
      </c>
      <c r="AB671" s="105">
        <v>46062.500694444447</v>
      </c>
      <c r="AC671" s="105">
        <v>46062.603472222225</v>
      </c>
    </row>
    <row r="672" s="70" customFormat="1" ht="11.25" customHeight="1">
      <c r="A672" s="87"/>
      <c r="C672" s="43" t="s">
        <v>1505</v>
      </c>
      <c r="D672" s="71" t="s">
        <v>382</v>
      </c>
      <c r="E672" s="71" t="str">
        <f>MID(D672,1,2)</f>
        <v>IL</v>
      </c>
      <c r="F672" s="71" t="s">
        <v>422</v>
      </c>
      <c r="G672" s="71" t="str">
        <f>MID(F672,1,2)</f>
        <v>US</v>
      </c>
      <c r="H672" s="43" t="s">
        <v>1215</v>
      </c>
      <c r="I672" s="71" t="s">
        <v>1506</v>
      </c>
      <c r="J672" s="71" t="s">
        <v>426</v>
      </c>
      <c r="K672" s="43" t="s">
        <v>431</v>
      </c>
      <c r="L672" s="71" t="s">
        <v>105</v>
      </c>
      <c r="M672" s="73">
        <v>120</v>
      </c>
      <c r="N672" s="71" t="s">
        <v>388</v>
      </c>
      <c r="O672" s="73">
        <v>0.322</v>
      </c>
      <c r="P672" s="71" t="s">
        <v>389</v>
      </c>
      <c r="Q672" s="73">
        <v>120</v>
      </c>
      <c r="R672" s="71" t="s">
        <v>388</v>
      </c>
      <c r="S672" s="73">
        <v>0</v>
      </c>
      <c r="T672" s="71" t="s">
        <v>390</v>
      </c>
      <c r="U672" s="74">
        <v>1</v>
      </c>
      <c r="V672" s="71" t="s">
        <v>391</v>
      </c>
      <c r="W672" s="130">
        <v>46059.043229166666</v>
      </c>
      <c r="X672" s="72">
        <v>46060.458333333336</v>
      </c>
      <c r="Y672" s="72">
        <v>46061.690972222219</v>
      </c>
      <c r="Z672" s="104" t="s">
        <v>382</v>
      </c>
      <c r="AA672" s="104" t="s">
        <v>422</v>
      </c>
      <c r="AB672" s="105">
        <v>46061.475694444445</v>
      </c>
      <c r="AC672" s="105">
        <v>46061.673611111109</v>
      </c>
    </row>
    <row r="673" s="70" customFormat="1" ht="11.25" customHeight="1">
      <c r="A673" s="87"/>
      <c r="C673" s="43" t="s">
        <v>1507</v>
      </c>
      <c r="D673" s="71" t="s">
        <v>382</v>
      </c>
      <c r="E673" s="71" t="str">
        <f>MID(D673,1,2)</f>
        <v>IL</v>
      </c>
      <c r="F673" s="71" t="s">
        <v>774</v>
      </c>
      <c r="G673" s="71" t="str">
        <f>MID(F673,1,2)</f>
        <v>CN</v>
      </c>
      <c r="H673" s="43" t="s">
        <v>1431</v>
      </c>
      <c r="I673" s="71" t="s">
        <v>1508</v>
      </c>
      <c r="J673" s="71" t="s">
        <v>755</v>
      </c>
      <c r="K673" s="43"/>
      <c r="L673" s="71" t="s">
        <v>105</v>
      </c>
      <c r="M673" s="73">
        <v>1.8</v>
      </c>
      <c r="N673" s="71" t="s">
        <v>388</v>
      </c>
      <c r="O673" s="73">
        <v>0.074</v>
      </c>
      <c r="P673" s="71" t="s">
        <v>389</v>
      </c>
      <c r="Q673" s="73">
        <v>12.5</v>
      </c>
      <c r="R673" s="71" t="s">
        <v>388</v>
      </c>
      <c r="S673" s="73">
        <v>0</v>
      </c>
      <c r="T673" s="71" t="s">
        <v>390</v>
      </c>
      <c r="U673" s="74">
        <v>1</v>
      </c>
      <c r="V673" s="71" t="s">
        <v>391</v>
      </c>
      <c r="W673" s="130"/>
      <c r="X673" s="72">
        <v>46059.690972222219</v>
      </c>
      <c r="Y673" s="72">
        <v>46062.640972222223</v>
      </c>
      <c r="Z673" s="104" t="s">
        <v>382</v>
      </c>
      <c r="AA673" s="104" t="s">
        <v>383</v>
      </c>
      <c r="AB673" s="105">
        <v>46060.683333333334</v>
      </c>
      <c r="AC673" s="105">
        <v>46060.829861111109</v>
      </c>
    </row>
    <row r="674" s="70" customFormat="1" ht="11.25" customHeight="1">
      <c r="A674" s="87"/>
      <c r="C674" s="43" t="s">
        <v>1507</v>
      </c>
      <c r="D674" s="71" t="s">
        <v>382</v>
      </c>
      <c r="E674" s="71" t="str">
        <f>MID(D674,1,2)</f>
        <v>IL</v>
      </c>
      <c r="F674" s="71" t="s">
        <v>774</v>
      </c>
      <c r="G674" s="71" t="str">
        <f>MID(F674,1,2)</f>
        <v>CN</v>
      </c>
      <c r="H674" s="43" t="s">
        <v>1431</v>
      </c>
      <c r="I674" s="71" t="s">
        <v>1508</v>
      </c>
      <c r="J674" s="71" t="s">
        <v>755</v>
      </c>
      <c r="K674" s="43"/>
      <c r="L674" s="71" t="s">
        <v>105</v>
      </c>
      <c r="M674" s="73">
        <v>1.8</v>
      </c>
      <c r="N674" s="71" t="s">
        <v>388</v>
      </c>
      <c r="O674" s="73">
        <v>0.074</v>
      </c>
      <c r="P674" s="71" t="s">
        <v>389</v>
      </c>
      <c r="Q674" s="73">
        <v>12.5</v>
      </c>
      <c r="R674" s="71" t="s">
        <v>388</v>
      </c>
      <c r="S674" s="73">
        <v>0</v>
      </c>
      <c r="T674" s="71" t="s">
        <v>390</v>
      </c>
      <c r="U674" s="74">
        <v>1</v>
      </c>
      <c r="V674" s="71" t="s">
        <v>391</v>
      </c>
      <c r="W674" s="130"/>
      <c r="X674" s="72">
        <v>46059.690972222219</v>
      </c>
      <c r="Y674" s="72">
        <v>46062.640972222223</v>
      </c>
      <c r="Z674" s="104" t="s">
        <v>383</v>
      </c>
      <c r="AA674" s="104" t="s">
        <v>774</v>
      </c>
      <c r="AB674" s="105">
        <v>46061.866666666669</v>
      </c>
      <c r="AC674" s="105">
        <v>46062.644444444442</v>
      </c>
    </row>
    <row r="675" s="70" customFormat="1" ht="11.25" customHeight="1">
      <c r="A675" s="87"/>
      <c r="C675" s="43" t="s">
        <v>1509</v>
      </c>
      <c r="D675" s="71" t="s">
        <v>382</v>
      </c>
      <c r="E675" s="71" t="str">
        <f>MID(D675,1,2)</f>
        <v>IL</v>
      </c>
      <c r="F675" s="71" t="s">
        <v>422</v>
      </c>
      <c r="G675" s="71" t="str">
        <f>MID(F675,1,2)</f>
        <v>US</v>
      </c>
      <c r="H675" s="43" t="s">
        <v>1215</v>
      </c>
      <c r="I675" s="71" t="s">
        <v>1510</v>
      </c>
      <c r="J675" s="71" t="s">
        <v>386</v>
      </c>
      <c r="K675" s="43" t="s">
        <v>431</v>
      </c>
      <c r="L675" s="71" t="s">
        <v>107</v>
      </c>
      <c r="M675" s="73">
        <v>10</v>
      </c>
      <c r="N675" s="71" t="s">
        <v>388</v>
      </c>
      <c r="O675" s="73">
        <v>0.107</v>
      </c>
      <c r="P675" s="71" t="s">
        <v>389</v>
      </c>
      <c r="Q675" s="73">
        <v>18</v>
      </c>
      <c r="R675" s="71" t="s">
        <v>388</v>
      </c>
      <c r="S675" s="73">
        <v>0</v>
      </c>
      <c r="T675" s="71" t="s">
        <v>390</v>
      </c>
      <c r="U675" s="74">
        <v>1</v>
      </c>
      <c r="V675" s="71" t="s">
        <v>427</v>
      </c>
      <c r="W675" s="130">
        <v>46058.438194444447</v>
      </c>
      <c r="X675" s="72">
        <v>46060.458333333336</v>
      </c>
      <c r="Y675" s="72">
        <v>46061.690972222219</v>
      </c>
      <c r="Z675" s="104" t="s">
        <v>382</v>
      </c>
      <c r="AA675" s="104" t="s">
        <v>422</v>
      </c>
      <c r="AB675" s="105">
        <v>46061.475694444445</v>
      </c>
      <c r="AC675" s="105">
        <v>46061.673611111109</v>
      </c>
    </row>
    <row r="676" s="70" customFormat="1" ht="11.25" customHeight="1">
      <c r="A676" s="87"/>
      <c r="C676" s="43" t="s">
        <v>1511</v>
      </c>
      <c r="D676" s="71" t="s">
        <v>382</v>
      </c>
      <c r="E676" s="71" t="str">
        <f>MID(D676,1,2)</f>
        <v>IL</v>
      </c>
      <c r="F676" s="71" t="s">
        <v>546</v>
      </c>
      <c r="G676" s="71" t="str">
        <f>MID(F676,1,2)</f>
        <v>GB</v>
      </c>
      <c r="H676" s="43" t="s">
        <v>1512</v>
      </c>
      <c r="I676" s="71" t="s">
        <v>1513</v>
      </c>
      <c r="J676" s="71" t="s">
        <v>386</v>
      </c>
      <c r="K676" s="43"/>
      <c r="L676" s="71" t="s">
        <v>107</v>
      </c>
      <c r="M676" s="73">
        <v>10</v>
      </c>
      <c r="N676" s="71" t="s">
        <v>388</v>
      </c>
      <c r="O676" s="73">
        <v>0.047</v>
      </c>
      <c r="P676" s="71" t="s">
        <v>389</v>
      </c>
      <c r="Q676" s="73">
        <v>10</v>
      </c>
      <c r="R676" s="71" t="s">
        <v>388</v>
      </c>
      <c r="S676" s="73">
        <v>0</v>
      </c>
      <c r="T676" s="71" t="s">
        <v>390</v>
      </c>
      <c r="U676" s="74">
        <v>1</v>
      </c>
      <c r="V676" s="71" t="s">
        <v>446</v>
      </c>
      <c r="W676" s="130">
        <v>46058.438194444447</v>
      </c>
      <c r="X676" s="72">
        <v>46061.381944444445</v>
      </c>
      <c r="Y676" s="72">
        <v>46061.524305555555</v>
      </c>
      <c r="Z676" s="104" t="s">
        <v>382</v>
      </c>
      <c r="AA676" s="104" t="s">
        <v>546</v>
      </c>
      <c r="AB676" s="105">
        <v>46061.37777777778</v>
      </c>
      <c r="AC676" s="105">
        <v>46061.524305555555</v>
      </c>
    </row>
    <row r="677" s="70" customFormat="1" ht="11.25" customHeight="1">
      <c r="A677" s="87"/>
      <c r="C677" s="43" t="s">
        <v>1514</v>
      </c>
      <c r="D677" s="71" t="s">
        <v>382</v>
      </c>
      <c r="E677" s="71" t="str">
        <f>MID(D677,1,2)</f>
        <v>IL</v>
      </c>
      <c r="F677" s="71" t="s">
        <v>597</v>
      </c>
      <c r="G677" s="71" t="str">
        <f>MID(F677,1,2)</f>
        <v>NL</v>
      </c>
      <c r="H677" s="43" t="s">
        <v>1515</v>
      </c>
      <c r="I677" s="71" t="s">
        <v>1516</v>
      </c>
      <c r="J677" s="71" t="s">
        <v>811</v>
      </c>
      <c r="K677" s="43"/>
      <c r="L677" s="71" t="s">
        <v>105</v>
      </c>
      <c r="M677" s="73">
        <v>395</v>
      </c>
      <c r="N677" s="71" t="s">
        <v>388</v>
      </c>
      <c r="O677" s="73">
        <v>1.153</v>
      </c>
      <c r="P677" s="71" t="s">
        <v>389</v>
      </c>
      <c r="Q677" s="73">
        <v>395</v>
      </c>
      <c r="R677" s="71" t="s">
        <v>388</v>
      </c>
      <c r="S677" s="73">
        <v>0</v>
      </c>
      <c r="T677" s="71" t="s">
        <v>390</v>
      </c>
      <c r="U677" s="74">
        <v>2</v>
      </c>
      <c r="V677" s="71" t="s">
        <v>391</v>
      </c>
      <c r="W677" s="130">
        <v>46058.765428240738</v>
      </c>
      <c r="X677" s="72">
        <v>46059.586805555555</v>
      </c>
      <c r="Y677" s="72">
        <v>46062.402777777781</v>
      </c>
      <c r="Z677" s="104" t="s">
        <v>382</v>
      </c>
      <c r="AA677" s="104" t="s">
        <v>590</v>
      </c>
      <c r="AB677" s="105">
        <v>46059.477083333331</v>
      </c>
      <c r="AC677" s="105">
        <v>46060.018055555556</v>
      </c>
    </row>
    <row r="678" s="70" customFormat="1" ht="11.25" customHeight="1">
      <c r="A678" s="87"/>
      <c r="C678" s="43" t="s">
        <v>1514</v>
      </c>
      <c r="D678" s="71" t="s">
        <v>382</v>
      </c>
      <c r="E678" s="71" t="str">
        <f>MID(D678,1,2)</f>
        <v>IL</v>
      </c>
      <c r="F678" s="71" t="s">
        <v>597</v>
      </c>
      <c r="G678" s="71" t="str">
        <f>MID(F678,1,2)</f>
        <v>NL</v>
      </c>
      <c r="H678" s="43" t="s">
        <v>1515</v>
      </c>
      <c r="I678" s="71" t="s">
        <v>1516</v>
      </c>
      <c r="J678" s="71" t="s">
        <v>811</v>
      </c>
      <c r="K678" s="43"/>
      <c r="L678" s="71" t="s">
        <v>105</v>
      </c>
      <c r="M678" s="73">
        <v>395</v>
      </c>
      <c r="N678" s="71" t="s">
        <v>388</v>
      </c>
      <c r="O678" s="73">
        <v>1.153</v>
      </c>
      <c r="P678" s="71" t="s">
        <v>389</v>
      </c>
      <c r="Q678" s="73">
        <v>395</v>
      </c>
      <c r="R678" s="71" t="s">
        <v>388</v>
      </c>
      <c r="S678" s="73">
        <v>0</v>
      </c>
      <c r="T678" s="71" t="s">
        <v>390</v>
      </c>
      <c r="U678" s="74">
        <v>2</v>
      </c>
      <c r="V678" s="71" t="s">
        <v>391</v>
      </c>
      <c r="W678" s="130">
        <v>46058.765428240738</v>
      </c>
      <c r="X678" s="72">
        <v>46059.586805555555</v>
      </c>
      <c r="Y678" s="72">
        <v>46062.402777777781</v>
      </c>
      <c r="Z678" s="104" t="s">
        <v>590</v>
      </c>
      <c r="AA678" s="104" t="s">
        <v>597</v>
      </c>
      <c r="AB678" s="105">
        <v>46062.295138888891</v>
      </c>
      <c r="AC678" s="105">
        <v>46062.390972222223</v>
      </c>
    </row>
    <row r="679" s="70" customFormat="1" ht="11.25" customHeight="1">
      <c r="A679" s="87"/>
      <c r="C679" s="43" t="s">
        <v>1517</v>
      </c>
      <c r="D679" s="71" t="s">
        <v>382</v>
      </c>
      <c r="E679" s="71" t="str">
        <f>MID(D679,1,2)</f>
        <v>IL</v>
      </c>
      <c r="F679" s="71" t="s">
        <v>422</v>
      </c>
      <c r="G679" s="71" t="str">
        <f>MID(F679,1,2)</f>
        <v>US</v>
      </c>
      <c r="H679" s="43" t="s">
        <v>1215</v>
      </c>
      <c r="I679" s="71" t="s">
        <v>1518</v>
      </c>
      <c r="J679" s="71" t="s">
        <v>386</v>
      </c>
      <c r="K679" s="43" t="s">
        <v>431</v>
      </c>
      <c r="L679" s="71" t="s">
        <v>107</v>
      </c>
      <c r="M679" s="73">
        <v>6</v>
      </c>
      <c r="N679" s="71" t="s">
        <v>388</v>
      </c>
      <c r="O679" s="73">
        <v>0.07</v>
      </c>
      <c r="P679" s="71" t="s">
        <v>389</v>
      </c>
      <c r="Q679" s="73">
        <v>12</v>
      </c>
      <c r="R679" s="71" t="s">
        <v>388</v>
      </c>
      <c r="S679" s="73">
        <v>0</v>
      </c>
      <c r="T679" s="71" t="s">
        <v>390</v>
      </c>
      <c r="U679" s="74">
        <v>1</v>
      </c>
      <c r="V679" s="71" t="s">
        <v>427</v>
      </c>
      <c r="W679" s="130">
        <v>46058.438194444447</v>
      </c>
      <c r="X679" s="72">
        <v>46060.458333333336</v>
      </c>
      <c r="Y679" s="72">
        <v>46061.690972222219</v>
      </c>
      <c r="Z679" s="104" t="s">
        <v>382</v>
      </c>
      <c r="AA679" s="104" t="s">
        <v>422</v>
      </c>
      <c r="AB679" s="105">
        <v>46061.475694444445</v>
      </c>
      <c r="AC679" s="105">
        <v>46061.673611111109</v>
      </c>
    </row>
    <row r="680" s="70" customFormat="1" ht="11.25" customHeight="1">
      <c r="A680" s="87"/>
      <c r="C680" s="43" t="s">
        <v>1519</v>
      </c>
      <c r="D680" s="71" t="s">
        <v>382</v>
      </c>
      <c r="E680" s="71" t="str">
        <f>MID(D680,1,2)</f>
        <v>IL</v>
      </c>
      <c r="F680" s="71" t="s">
        <v>476</v>
      </c>
      <c r="G680" s="71" t="str">
        <f>MID(F680,1,2)</f>
        <v>SG</v>
      </c>
      <c r="H680" s="43" t="s">
        <v>1520</v>
      </c>
      <c r="I680" s="71" t="s">
        <v>1521</v>
      </c>
      <c r="J680" s="71" t="s">
        <v>426</v>
      </c>
      <c r="K680" s="43"/>
      <c r="L680" s="71" t="s">
        <v>105</v>
      </c>
      <c r="M680" s="73">
        <v>1</v>
      </c>
      <c r="N680" s="71" t="s">
        <v>388</v>
      </c>
      <c r="O680" s="73">
        <v>0.021</v>
      </c>
      <c r="P680" s="71" t="s">
        <v>389</v>
      </c>
      <c r="Q680" s="73">
        <v>3.5</v>
      </c>
      <c r="R680" s="71" t="s">
        <v>388</v>
      </c>
      <c r="S680" s="73">
        <v>0</v>
      </c>
      <c r="T680" s="71" t="s">
        <v>390</v>
      </c>
      <c r="U680" s="74">
        <v>1</v>
      </c>
      <c r="V680" s="71" t="s">
        <v>391</v>
      </c>
      <c r="W680" s="130">
        <v>46058.66778935185</v>
      </c>
      <c r="X680" s="72">
        <v>46059.572916666664</v>
      </c>
      <c r="Y680" s="72">
        <v>46061.704861111109</v>
      </c>
      <c r="Z680" s="104" t="s">
        <v>382</v>
      </c>
      <c r="AA680" s="104" t="s">
        <v>383</v>
      </c>
      <c r="AB680" s="105">
        <v>46059.810416666667</v>
      </c>
      <c r="AC680" s="105">
        <v>46059.956944444442</v>
      </c>
    </row>
    <row r="681" s="70" customFormat="1" ht="11.25" customHeight="1">
      <c r="A681" s="87"/>
      <c r="C681" s="43" t="s">
        <v>1519</v>
      </c>
      <c r="D681" s="71" t="s">
        <v>382</v>
      </c>
      <c r="E681" s="71" t="str">
        <f>MID(D681,1,2)</f>
        <v>IL</v>
      </c>
      <c r="F681" s="71" t="s">
        <v>476</v>
      </c>
      <c r="G681" s="71" t="str">
        <f>MID(F681,1,2)</f>
        <v>SG</v>
      </c>
      <c r="H681" s="43" t="s">
        <v>1520</v>
      </c>
      <c r="I681" s="71" t="s">
        <v>1521</v>
      </c>
      <c r="J681" s="71" t="s">
        <v>426</v>
      </c>
      <c r="K681" s="43"/>
      <c r="L681" s="71" t="s">
        <v>105</v>
      </c>
      <c r="M681" s="73">
        <v>1</v>
      </c>
      <c r="N681" s="71" t="s">
        <v>388</v>
      </c>
      <c r="O681" s="73">
        <v>0.021</v>
      </c>
      <c r="P681" s="71" t="s">
        <v>389</v>
      </c>
      <c r="Q681" s="73">
        <v>3.5</v>
      </c>
      <c r="R681" s="71" t="s">
        <v>388</v>
      </c>
      <c r="S681" s="73">
        <v>0</v>
      </c>
      <c r="T681" s="71" t="s">
        <v>390</v>
      </c>
      <c r="U681" s="74">
        <v>1</v>
      </c>
      <c r="V681" s="71" t="s">
        <v>391</v>
      </c>
      <c r="W681" s="130">
        <v>46058.66778935185</v>
      </c>
      <c r="X681" s="72">
        <v>46059.572916666664</v>
      </c>
      <c r="Y681" s="72">
        <v>46061.704861111109</v>
      </c>
      <c r="Z681" s="104" t="s">
        <v>383</v>
      </c>
      <c r="AA681" s="104" t="s">
        <v>476</v>
      </c>
      <c r="AB681" s="105">
        <v>46060.906944444447</v>
      </c>
      <c r="AC681" s="105">
        <v>46061.700694444444</v>
      </c>
    </row>
    <row r="682" s="70" customFormat="1" ht="11.25" customHeight="1">
      <c r="A682" s="87"/>
      <c r="C682" s="43" t="s">
        <v>1522</v>
      </c>
      <c r="D682" s="71" t="s">
        <v>382</v>
      </c>
      <c r="E682" s="71" t="str">
        <f>MID(D682,1,2)</f>
        <v>IL</v>
      </c>
      <c r="F682" s="71" t="s">
        <v>383</v>
      </c>
      <c r="G682" s="71" t="str">
        <f>MID(F682,1,2)</f>
        <v>DE</v>
      </c>
      <c r="H682" s="43" t="s">
        <v>746</v>
      </c>
      <c r="I682" s="71" t="s">
        <v>1523</v>
      </c>
      <c r="J682" s="71" t="s">
        <v>386</v>
      </c>
      <c r="K682" s="43"/>
      <c r="L682" s="71" t="s">
        <v>107</v>
      </c>
      <c r="M682" s="73">
        <v>6993</v>
      </c>
      <c r="N682" s="71" t="s">
        <v>388</v>
      </c>
      <c r="O682" s="73">
        <v>18.3</v>
      </c>
      <c r="P682" s="71" t="s">
        <v>389</v>
      </c>
      <c r="Q682" s="73">
        <v>6993</v>
      </c>
      <c r="R682" s="71" t="s">
        <v>388</v>
      </c>
      <c r="S682" s="73">
        <v>0</v>
      </c>
      <c r="T682" s="71" t="s">
        <v>390</v>
      </c>
      <c r="U682" s="74">
        <v>15</v>
      </c>
      <c r="V682" s="71" t="s">
        <v>391</v>
      </c>
      <c r="W682" s="130">
        <v>46062.637592592589</v>
      </c>
      <c r="X682" s="72">
        <v>46064.753472222219</v>
      </c>
      <c r="Y682" s="72">
        <v>46066.625694444447</v>
      </c>
      <c r="Z682" s="104" t="s">
        <v>383</v>
      </c>
      <c r="AA682" s="104" t="s">
        <v>1065</v>
      </c>
      <c r="AB682" s="105">
        <v>46083.958333333336</v>
      </c>
      <c r="AC682" s="105">
        <v>46084.083333333336</v>
      </c>
    </row>
    <row r="683" s="70" customFormat="1" ht="11.25" customHeight="1">
      <c r="A683" s="87"/>
      <c r="C683" s="43" t="s">
        <v>1522</v>
      </c>
      <c r="D683" s="71" t="s">
        <v>382</v>
      </c>
      <c r="E683" s="71" t="str">
        <f>MID(D683,1,2)</f>
        <v>IL</v>
      </c>
      <c r="F683" s="71" t="s">
        <v>383</v>
      </c>
      <c r="G683" s="71" t="str">
        <f>MID(F683,1,2)</f>
        <v>DE</v>
      </c>
      <c r="H683" s="43" t="s">
        <v>746</v>
      </c>
      <c r="I683" s="71" t="s">
        <v>1523</v>
      </c>
      <c r="J683" s="71" t="s">
        <v>386</v>
      </c>
      <c r="K683" s="43"/>
      <c r="L683" s="71" t="s">
        <v>107</v>
      </c>
      <c r="M683" s="73">
        <v>6993</v>
      </c>
      <c r="N683" s="71" t="s">
        <v>388</v>
      </c>
      <c r="O683" s="73">
        <v>18.3</v>
      </c>
      <c r="P683" s="71" t="s">
        <v>389</v>
      </c>
      <c r="Q683" s="73">
        <v>6993</v>
      </c>
      <c r="R683" s="71" t="s">
        <v>388</v>
      </c>
      <c r="S683" s="73">
        <v>0</v>
      </c>
      <c r="T683" s="71" t="s">
        <v>390</v>
      </c>
      <c r="U683" s="74">
        <v>15</v>
      </c>
      <c r="V683" s="71" t="s">
        <v>391</v>
      </c>
      <c r="W683" s="130">
        <v>46062.637592592589</v>
      </c>
      <c r="X683" s="72">
        <v>46064.753472222219</v>
      </c>
      <c r="Y683" s="72">
        <v>46066.625694444447</v>
      </c>
      <c r="Z683" s="104" t="s">
        <v>382</v>
      </c>
      <c r="AA683" s="104" t="s">
        <v>748</v>
      </c>
      <c r="AB683" s="105">
        <v>46064.851388888892</v>
      </c>
      <c r="AC683" s="105">
        <v>46064.980555555558</v>
      </c>
    </row>
    <row r="684" s="70" customFormat="1" ht="11.25" customHeight="1">
      <c r="A684" s="87"/>
      <c r="C684" s="43" t="s">
        <v>1522</v>
      </c>
      <c r="D684" s="71" t="s">
        <v>382</v>
      </c>
      <c r="E684" s="71" t="str">
        <f>MID(D684,1,2)</f>
        <v>IL</v>
      </c>
      <c r="F684" s="71" t="s">
        <v>383</v>
      </c>
      <c r="G684" s="71" t="str">
        <f>MID(F684,1,2)</f>
        <v>DE</v>
      </c>
      <c r="H684" s="43" t="s">
        <v>746</v>
      </c>
      <c r="I684" s="71" t="s">
        <v>1523</v>
      </c>
      <c r="J684" s="71" t="s">
        <v>386</v>
      </c>
      <c r="K684" s="43"/>
      <c r="L684" s="71" t="s">
        <v>107</v>
      </c>
      <c r="M684" s="73">
        <v>6993</v>
      </c>
      <c r="N684" s="71" t="s">
        <v>388</v>
      </c>
      <c r="O684" s="73">
        <v>18.3</v>
      </c>
      <c r="P684" s="71" t="s">
        <v>389</v>
      </c>
      <c r="Q684" s="73">
        <v>6993</v>
      </c>
      <c r="R684" s="71" t="s">
        <v>388</v>
      </c>
      <c r="S684" s="73">
        <v>0</v>
      </c>
      <c r="T684" s="71" t="s">
        <v>390</v>
      </c>
      <c r="U684" s="74">
        <v>15</v>
      </c>
      <c r="V684" s="71" t="s">
        <v>391</v>
      </c>
      <c r="W684" s="130">
        <v>46062.637592592589</v>
      </c>
      <c r="X684" s="72">
        <v>46064.753472222219</v>
      </c>
      <c r="Y684" s="72">
        <v>46066.625694444447</v>
      </c>
      <c r="Z684" s="104" t="s">
        <v>748</v>
      </c>
      <c r="AA684" s="104" t="s">
        <v>383</v>
      </c>
      <c r="AB684" s="105">
        <v>46066.504166666666</v>
      </c>
      <c r="AC684" s="105">
        <v>46066.750694444447</v>
      </c>
    </row>
    <row r="685" s="70" customFormat="1" ht="11.25" customHeight="1">
      <c r="A685" s="87"/>
      <c r="C685" s="43" t="s">
        <v>1524</v>
      </c>
      <c r="D685" s="71" t="s">
        <v>382</v>
      </c>
      <c r="E685" s="71" t="str">
        <f>MID(D685,1,2)</f>
        <v>IL</v>
      </c>
      <c r="F685" s="71" t="s">
        <v>546</v>
      </c>
      <c r="G685" s="71" t="str">
        <f>MID(F685,1,2)</f>
        <v>GB</v>
      </c>
      <c r="H685" s="43" t="s">
        <v>1525</v>
      </c>
      <c r="I685" s="71" t="s">
        <v>1526</v>
      </c>
      <c r="J685" s="71" t="s">
        <v>400</v>
      </c>
      <c r="K685" s="43"/>
      <c r="L685" s="71" t="s">
        <v>105</v>
      </c>
      <c r="M685" s="73">
        <v>5</v>
      </c>
      <c r="N685" s="71" t="s">
        <v>388</v>
      </c>
      <c r="O685" s="73">
        <v>0.037</v>
      </c>
      <c r="P685" s="71" t="s">
        <v>389</v>
      </c>
      <c r="Q685" s="73">
        <v>6.5</v>
      </c>
      <c r="R685" s="71" t="s">
        <v>388</v>
      </c>
      <c r="S685" s="73">
        <v>0</v>
      </c>
      <c r="T685" s="71" t="s">
        <v>390</v>
      </c>
      <c r="U685" s="74">
        <v>1</v>
      </c>
      <c r="V685" s="71" t="s">
        <v>446</v>
      </c>
      <c r="W685" s="130">
        <v>46061.527777777781</v>
      </c>
      <c r="X685" s="72">
        <v>46062.486111111109</v>
      </c>
      <c r="Y685" s="72">
        <v>46064.524305555555</v>
      </c>
      <c r="Z685" s="104" t="s">
        <v>560</v>
      </c>
      <c r="AA685" s="104" t="s">
        <v>561</v>
      </c>
      <c r="AB685" s="105"/>
      <c r="AC685" s="105"/>
    </row>
    <row r="686" s="70" customFormat="1" ht="11.25" customHeight="1">
      <c r="A686" s="87"/>
      <c r="C686" s="43" t="s">
        <v>1524</v>
      </c>
      <c r="D686" s="71" t="s">
        <v>382</v>
      </c>
      <c r="E686" s="71" t="str">
        <f>MID(D686,1,2)</f>
        <v>IL</v>
      </c>
      <c r="F686" s="71" t="s">
        <v>546</v>
      </c>
      <c r="G686" s="71" t="str">
        <f>MID(F686,1,2)</f>
        <v>GB</v>
      </c>
      <c r="H686" s="43" t="s">
        <v>1525</v>
      </c>
      <c r="I686" s="71" t="s">
        <v>1526</v>
      </c>
      <c r="J686" s="71" t="s">
        <v>400</v>
      </c>
      <c r="K686" s="43"/>
      <c r="L686" s="71" t="s">
        <v>105</v>
      </c>
      <c r="M686" s="73">
        <v>5</v>
      </c>
      <c r="N686" s="71" t="s">
        <v>388</v>
      </c>
      <c r="O686" s="73">
        <v>0.037</v>
      </c>
      <c r="P686" s="71" t="s">
        <v>389</v>
      </c>
      <c r="Q686" s="73">
        <v>6.5</v>
      </c>
      <c r="R686" s="71" t="s">
        <v>388</v>
      </c>
      <c r="S686" s="73">
        <v>0</v>
      </c>
      <c r="T686" s="71" t="s">
        <v>390</v>
      </c>
      <c r="U686" s="74">
        <v>1</v>
      </c>
      <c r="V686" s="71" t="s">
        <v>446</v>
      </c>
      <c r="W686" s="130">
        <v>46061.527777777781</v>
      </c>
      <c r="X686" s="72">
        <v>46062.486111111109</v>
      </c>
      <c r="Y686" s="72">
        <v>46064.524305555555</v>
      </c>
      <c r="Z686" s="104" t="s">
        <v>382</v>
      </c>
      <c r="AA686" s="104" t="s">
        <v>546</v>
      </c>
      <c r="AB686" s="105">
        <v>46064.37777777778</v>
      </c>
      <c r="AC686" s="105">
        <v>46064.50277777778</v>
      </c>
    </row>
    <row r="687" s="70" customFormat="1" ht="11.25" customHeight="1">
      <c r="A687" s="87"/>
      <c r="C687" s="43" t="s">
        <v>1527</v>
      </c>
      <c r="D687" s="71" t="s">
        <v>382</v>
      </c>
      <c r="E687" s="71" t="str">
        <f>MID(D687,1,2)</f>
        <v>IL</v>
      </c>
      <c r="F687" s="71" t="s">
        <v>546</v>
      </c>
      <c r="G687" s="71" t="str">
        <f>MID(F687,1,2)</f>
        <v>GB</v>
      </c>
      <c r="H687" s="43" t="s">
        <v>1512</v>
      </c>
      <c r="I687" s="71" t="s">
        <v>1528</v>
      </c>
      <c r="J687" s="71" t="s">
        <v>400</v>
      </c>
      <c r="K687" s="43"/>
      <c r="L687" s="71" t="s">
        <v>105</v>
      </c>
      <c r="M687" s="73">
        <v>164</v>
      </c>
      <c r="N687" s="71" t="s">
        <v>388</v>
      </c>
      <c r="O687" s="73">
        <v>3.656</v>
      </c>
      <c r="P687" s="71" t="s">
        <v>389</v>
      </c>
      <c r="Q687" s="73">
        <v>609.5</v>
      </c>
      <c r="R687" s="71" t="s">
        <v>388</v>
      </c>
      <c r="S687" s="73">
        <v>0</v>
      </c>
      <c r="T687" s="71" t="s">
        <v>390</v>
      </c>
      <c r="U687" s="74">
        <v>2</v>
      </c>
      <c r="V687" s="71" t="s">
        <v>391</v>
      </c>
      <c r="W687" s="130">
        <v>46058.459027777775</v>
      </c>
      <c r="X687" s="72">
        <v>46061.381944444445</v>
      </c>
      <c r="Y687" s="72">
        <v>46061.524305555555</v>
      </c>
      <c r="Z687" s="104" t="s">
        <v>382</v>
      </c>
      <c r="AA687" s="104" t="s">
        <v>546</v>
      </c>
      <c r="AB687" s="105">
        <v>46061.37777777778</v>
      </c>
      <c r="AC687" s="105">
        <v>46061.524305555555</v>
      </c>
    </row>
    <row r="688" s="70" customFormat="1" ht="11.25" customHeight="1">
      <c r="A688" s="87"/>
      <c r="C688" s="43" t="s">
        <v>1529</v>
      </c>
      <c r="D688" s="71" t="s">
        <v>382</v>
      </c>
      <c r="E688" s="71" t="str">
        <f>MID(D688,1,2)</f>
        <v>IL</v>
      </c>
      <c r="F688" s="71" t="s">
        <v>468</v>
      </c>
      <c r="G688" s="71" t="str">
        <f>MID(F688,1,2)</f>
        <v>US</v>
      </c>
      <c r="H688" s="43" t="s">
        <v>1441</v>
      </c>
      <c r="I688" s="71" t="s">
        <v>1530</v>
      </c>
      <c r="J688" s="71" t="s">
        <v>386</v>
      </c>
      <c r="K688" s="43"/>
      <c r="L688" s="71" t="s">
        <v>107</v>
      </c>
      <c r="M688" s="73">
        <v>3</v>
      </c>
      <c r="N688" s="71" t="s">
        <v>388</v>
      </c>
      <c r="O688" s="73">
        <v>0.026</v>
      </c>
      <c r="P688" s="71" t="s">
        <v>389</v>
      </c>
      <c r="Q688" s="73">
        <v>4.5</v>
      </c>
      <c r="R688" s="71" t="s">
        <v>388</v>
      </c>
      <c r="S688" s="73">
        <v>0</v>
      </c>
      <c r="T688" s="71" t="s">
        <v>390</v>
      </c>
      <c r="U688" s="74">
        <v>1</v>
      </c>
      <c r="V688" s="71" t="s">
        <v>446</v>
      </c>
      <c r="W688" s="130">
        <v>46061.666666666664</v>
      </c>
      <c r="X688" s="72">
        <v>46064.965277777781</v>
      </c>
      <c r="Y688" s="72">
        <v>46069.416666666664</v>
      </c>
      <c r="Z688" s="104" t="s">
        <v>382</v>
      </c>
      <c r="AA688" s="104" t="s">
        <v>422</v>
      </c>
      <c r="AB688" s="105">
        <v>46064.963194444441</v>
      </c>
      <c r="AC688" s="105">
        <v>46065.148611111108</v>
      </c>
    </row>
    <row r="689" s="70" customFormat="1" ht="11.25" customHeight="1">
      <c r="A689" s="87"/>
      <c r="C689" s="43" t="s">
        <v>1529</v>
      </c>
      <c r="D689" s="71" t="s">
        <v>382</v>
      </c>
      <c r="E689" s="71" t="str">
        <f>MID(D689,1,2)</f>
        <v>IL</v>
      </c>
      <c r="F689" s="71" t="s">
        <v>468</v>
      </c>
      <c r="G689" s="71" t="str">
        <f>MID(F689,1,2)</f>
        <v>US</v>
      </c>
      <c r="H689" s="43" t="s">
        <v>1441</v>
      </c>
      <c r="I689" s="71" t="s">
        <v>1530</v>
      </c>
      <c r="J689" s="71" t="s">
        <v>386</v>
      </c>
      <c r="K689" s="43"/>
      <c r="L689" s="71" t="s">
        <v>107</v>
      </c>
      <c r="M689" s="73">
        <v>3</v>
      </c>
      <c r="N689" s="71" t="s">
        <v>388</v>
      </c>
      <c r="O689" s="73">
        <v>0.026</v>
      </c>
      <c r="P689" s="71" t="s">
        <v>389</v>
      </c>
      <c r="Q689" s="73">
        <v>4.5</v>
      </c>
      <c r="R689" s="71" t="s">
        <v>388</v>
      </c>
      <c r="S689" s="73">
        <v>0</v>
      </c>
      <c r="T689" s="71" t="s">
        <v>390</v>
      </c>
      <c r="U689" s="74">
        <v>1</v>
      </c>
      <c r="V689" s="71" t="s">
        <v>446</v>
      </c>
      <c r="W689" s="130">
        <v>46061.666666666664</v>
      </c>
      <c r="X689" s="72">
        <v>46064.965277777781</v>
      </c>
      <c r="Y689" s="72">
        <v>46069.416666666664</v>
      </c>
      <c r="Z689" s="104" t="s">
        <v>422</v>
      </c>
      <c r="AA689" s="104" t="s">
        <v>468</v>
      </c>
      <c r="AB689" s="105">
        <v>46065.590277777781</v>
      </c>
      <c r="AC689" s="105">
        <v>46065.697222222225</v>
      </c>
    </row>
    <row r="690" s="70" customFormat="1" ht="11.25" customHeight="1">
      <c r="A690" s="87"/>
      <c r="C690" s="43" t="s">
        <v>1531</v>
      </c>
      <c r="D690" s="71" t="s">
        <v>382</v>
      </c>
      <c r="E690" s="71" t="str">
        <f>MID(D690,1,2)</f>
        <v>IL</v>
      </c>
      <c r="F690" s="71" t="s">
        <v>963</v>
      </c>
      <c r="G690" s="71" t="str">
        <f>MID(F690,1,2)</f>
        <v>IN</v>
      </c>
      <c r="H690" s="43" t="s">
        <v>1301</v>
      </c>
      <c r="I690" s="71" t="s">
        <v>1532</v>
      </c>
      <c r="J690" s="71" t="s">
        <v>426</v>
      </c>
      <c r="K690" s="43"/>
      <c r="L690" s="71" t="s">
        <v>105</v>
      </c>
      <c r="M690" s="73">
        <v>37</v>
      </c>
      <c r="N690" s="71" t="s">
        <v>388</v>
      </c>
      <c r="O690" s="73">
        <v>0.434</v>
      </c>
      <c r="P690" s="71" t="s">
        <v>389</v>
      </c>
      <c r="Q690" s="73">
        <v>72.5</v>
      </c>
      <c r="R690" s="71" t="s">
        <v>388</v>
      </c>
      <c r="S690" s="73">
        <v>0</v>
      </c>
      <c r="T690" s="71" t="s">
        <v>390</v>
      </c>
      <c r="U690" s="74">
        <v>1</v>
      </c>
      <c r="V690" s="71" t="s">
        <v>391</v>
      </c>
      <c r="W690" s="130">
        <v>46058.465277777781</v>
      </c>
      <c r="X690" s="72">
        <v>46060.895833333336</v>
      </c>
      <c r="Y690" s="72">
        <v>46063.003472222219</v>
      </c>
      <c r="Z690" s="104" t="s">
        <v>382</v>
      </c>
      <c r="AA690" s="104" t="s">
        <v>833</v>
      </c>
      <c r="AB690" s="105">
        <v>46060.895833333336</v>
      </c>
      <c r="AC690" s="105">
        <v>46061.576388888891</v>
      </c>
    </row>
    <row r="691" s="70" customFormat="1" ht="11.25" customHeight="1">
      <c r="A691" s="87"/>
      <c r="C691" s="43" t="s">
        <v>1531</v>
      </c>
      <c r="D691" s="71" t="s">
        <v>382</v>
      </c>
      <c r="E691" s="71" t="str">
        <f>MID(D691,1,2)</f>
        <v>IL</v>
      </c>
      <c r="F691" s="71" t="s">
        <v>963</v>
      </c>
      <c r="G691" s="71" t="str">
        <f>MID(F691,1,2)</f>
        <v>IN</v>
      </c>
      <c r="H691" s="43" t="s">
        <v>1301</v>
      </c>
      <c r="I691" s="71" t="s">
        <v>1532</v>
      </c>
      <c r="J691" s="71" t="s">
        <v>426</v>
      </c>
      <c r="K691" s="43"/>
      <c r="L691" s="71" t="s">
        <v>105</v>
      </c>
      <c r="M691" s="73">
        <v>37</v>
      </c>
      <c r="N691" s="71" t="s">
        <v>388</v>
      </c>
      <c r="O691" s="73">
        <v>0.434</v>
      </c>
      <c r="P691" s="71" t="s">
        <v>389</v>
      </c>
      <c r="Q691" s="73">
        <v>72.5</v>
      </c>
      <c r="R691" s="71" t="s">
        <v>388</v>
      </c>
      <c r="S691" s="73">
        <v>0</v>
      </c>
      <c r="T691" s="71" t="s">
        <v>390</v>
      </c>
      <c r="U691" s="74">
        <v>1</v>
      </c>
      <c r="V691" s="71" t="s">
        <v>391</v>
      </c>
      <c r="W691" s="130">
        <v>46058.465277777781</v>
      </c>
      <c r="X691" s="72">
        <v>46060.895833333336</v>
      </c>
      <c r="Y691" s="72">
        <v>46063.003472222219</v>
      </c>
      <c r="Z691" s="104" t="s">
        <v>833</v>
      </c>
      <c r="AA691" s="104" t="s">
        <v>963</v>
      </c>
      <c r="AB691" s="105">
        <v>46062.469444444447</v>
      </c>
      <c r="AC691" s="105">
        <v>46063.469444444447</v>
      </c>
    </row>
    <row r="692" s="70" customFormat="1" ht="11.25" customHeight="1">
      <c r="A692" s="87"/>
      <c r="C692" s="43" t="s">
        <v>1533</v>
      </c>
      <c r="D692" s="71" t="s">
        <v>382</v>
      </c>
      <c r="E692" s="71" t="str">
        <f>MID(D692,1,2)</f>
        <v>IL</v>
      </c>
      <c r="F692" s="71" t="s">
        <v>468</v>
      </c>
      <c r="G692" s="71" t="str">
        <f>MID(F692,1,2)</f>
        <v>US</v>
      </c>
      <c r="H692" s="43" t="s">
        <v>1441</v>
      </c>
      <c r="I692" s="71" t="s">
        <v>1534</v>
      </c>
      <c r="J692" s="71" t="s">
        <v>386</v>
      </c>
      <c r="K692" s="43"/>
      <c r="L692" s="71" t="s">
        <v>107</v>
      </c>
      <c r="M692" s="73">
        <v>2</v>
      </c>
      <c r="N692" s="71" t="s">
        <v>388</v>
      </c>
      <c r="O692" s="73">
        <v>0.026</v>
      </c>
      <c r="P692" s="71" t="s">
        <v>389</v>
      </c>
      <c r="Q692" s="73">
        <v>4.5</v>
      </c>
      <c r="R692" s="71" t="s">
        <v>388</v>
      </c>
      <c r="S692" s="73">
        <v>0</v>
      </c>
      <c r="T692" s="71" t="s">
        <v>390</v>
      </c>
      <c r="U692" s="74">
        <v>1</v>
      </c>
      <c r="V692" s="71" t="s">
        <v>446</v>
      </c>
      <c r="W692" s="130">
        <v>46061.59097222222</v>
      </c>
      <c r="X692" s="72">
        <v>46064.965277777781</v>
      </c>
      <c r="Y692" s="72">
        <v>46069.416666666664</v>
      </c>
      <c r="Z692" s="104" t="s">
        <v>382</v>
      </c>
      <c r="AA692" s="104" t="s">
        <v>422</v>
      </c>
      <c r="AB692" s="105">
        <v>46064.963194444441</v>
      </c>
      <c r="AC692" s="105">
        <v>46065.148611111108</v>
      </c>
    </row>
    <row r="693" s="70" customFormat="1" ht="11.25" customHeight="1">
      <c r="A693" s="87"/>
      <c r="C693" s="43" t="s">
        <v>1533</v>
      </c>
      <c r="D693" s="71" t="s">
        <v>382</v>
      </c>
      <c r="E693" s="71" t="str">
        <f>MID(D693,1,2)</f>
        <v>IL</v>
      </c>
      <c r="F693" s="71" t="s">
        <v>468</v>
      </c>
      <c r="G693" s="71" t="str">
        <f>MID(F693,1,2)</f>
        <v>US</v>
      </c>
      <c r="H693" s="43" t="s">
        <v>1441</v>
      </c>
      <c r="I693" s="71" t="s">
        <v>1534</v>
      </c>
      <c r="J693" s="71" t="s">
        <v>386</v>
      </c>
      <c r="K693" s="43"/>
      <c r="L693" s="71" t="s">
        <v>107</v>
      </c>
      <c r="M693" s="73">
        <v>2</v>
      </c>
      <c r="N693" s="71" t="s">
        <v>388</v>
      </c>
      <c r="O693" s="73">
        <v>0.026</v>
      </c>
      <c r="P693" s="71" t="s">
        <v>389</v>
      </c>
      <c r="Q693" s="73">
        <v>4.5</v>
      </c>
      <c r="R693" s="71" t="s">
        <v>388</v>
      </c>
      <c r="S693" s="73">
        <v>0</v>
      </c>
      <c r="T693" s="71" t="s">
        <v>390</v>
      </c>
      <c r="U693" s="74">
        <v>1</v>
      </c>
      <c r="V693" s="71" t="s">
        <v>446</v>
      </c>
      <c r="W693" s="130">
        <v>46061.59097222222</v>
      </c>
      <c r="X693" s="72">
        <v>46064.965277777781</v>
      </c>
      <c r="Y693" s="72">
        <v>46069.416666666664</v>
      </c>
      <c r="Z693" s="104" t="s">
        <v>422</v>
      </c>
      <c r="AA693" s="104" t="s">
        <v>468</v>
      </c>
      <c r="AB693" s="105">
        <v>46065.590277777781</v>
      </c>
      <c r="AC693" s="105">
        <v>46065.697222222225</v>
      </c>
    </row>
    <row r="694" s="70" customFormat="1" ht="11.25" customHeight="1">
      <c r="A694" s="87"/>
      <c r="C694" s="43" t="s">
        <v>1535</v>
      </c>
      <c r="D694" s="71" t="s">
        <v>382</v>
      </c>
      <c r="E694" s="71" t="str">
        <f>MID(D694,1,2)</f>
        <v>IL</v>
      </c>
      <c r="F694" s="71" t="s">
        <v>468</v>
      </c>
      <c r="G694" s="71" t="str">
        <f>MID(F694,1,2)</f>
        <v>US</v>
      </c>
      <c r="H694" s="43" t="s">
        <v>1441</v>
      </c>
      <c r="I694" s="71" t="s">
        <v>1536</v>
      </c>
      <c r="J694" s="71" t="s">
        <v>386</v>
      </c>
      <c r="K694" s="43"/>
      <c r="L694" s="71" t="s">
        <v>107</v>
      </c>
      <c r="M694" s="73">
        <v>18</v>
      </c>
      <c r="N694" s="71" t="s">
        <v>388</v>
      </c>
      <c r="O694" s="73">
        <v>0.135</v>
      </c>
      <c r="P694" s="71" t="s">
        <v>389</v>
      </c>
      <c r="Q694" s="73">
        <v>22.5</v>
      </c>
      <c r="R694" s="71" t="s">
        <v>388</v>
      </c>
      <c r="S694" s="73">
        <v>0</v>
      </c>
      <c r="T694" s="71" t="s">
        <v>390</v>
      </c>
      <c r="U694" s="74">
        <v>1</v>
      </c>
      <c r="V694" s="71" t="s">
        <v>446</v>
      </c>
      <c r="W694" s="130">
        <v>46061.500694444447</v>
      </c>
      <c r="X694" s="72">
        <v>46064.965277777781</v>
      </c>
      <c r="Y694" s="72">
        <v>46069.416666666664</v>
      </c>
      <c r="Z694" s="104" t="s">
        <v>382</v>
      </c>
      <c r="AA694" s="104" t="s">
        <v>422</v>
      </c>
      <c r="AB694" s="105">
        <v>46064.963194444441</v>
      </c>
      <c r="AC694" s="105">
        <v>46065.148611111108</v>
      </c>
    </row>
    <row r="695" s="70" customFormat="1" ht="11.25" customHeight="1">
      <c r="A695" s="87"/>
      <c r="C695" s="43" t="s">
        <v>1535</v>
      </c>
      <c r="D695" s="71" t="s">
        <v>382</v>
      </c>
      <c r="E695" s="71" t="str">
        <f>MID(D695,1,2)</f>
        <v>IL</v>
      </c>
      <c r="F695" s="71" t="s">
        <v>468</v>
      </c>
      <c r="G695" s="71" t="str">
        <f>MID(F695,1,2)</f>
        <v>US</v>
      </c>
      <c r="H695" s="43" t="s">
        <v>1441</v>
      </c>
      <c r="I695" s="71" t="s">
        <v>1536</v>
      </c>
      <c r="J695" s="71" t="s">
        <v>386</v>
      </c>
      <c r="K695" s="43"/>
      <c r="L695" s="71" t="s">
        <v>107</v>
      </c>
      <c r="M695" s="73">
        <v>18</v>
      </c>
      <c r="N695" s="71" t="s">
        <v>388</v>
      </c>
      <c r="O695" s="73">
        <v>0.135</v>
      </c>
      <c r="P695" s="71" t="s">
        <v>389</v>
      </c>
      <c r="Q695" s="73">
        <v>22.5</v>
      </c>
      <c r="R695" s="71" t="s">
        <v>388</v>
      </c>
      <c r="S695" s="73">
        <v>0</v>
      </c>
      <c r="T695" s="71" t="s">
        <v>390</v>
      </c>
      <c r="U695" s="74">
        <v>1</v>
      </c>
      <c r="V695" s="71" t="s">
        <v>446</v>
      </c>
      <c r="W695" s="130">
        <v>46061.500694444447</v>
      </c>
      <c r="X695" s="72">
        <v>46064.965277777781</v>
      </c>
      <c r="Y695" s="72">
        <v>46069.416666666664</v>
      </c>
      <c r="Z695" s="104" t="s">
        <v>422</v>
      </c>
      <c r="AA695" s="104" t="s">
        <v>468</v>
      </c>
      <c r="AB695" s="105">
        <v>46065.590277777781</v>
      </c>
      <c r="AC695" s="105">
        <v>46065.697222222225</v>
      </c>
    </row>
    <row r="696" s="70" customFormat="1" ht="11.25" customHeight="1">
      <c r="A696" s="87"/>
      <c r="C696" s="43" t="s">
        <v>1537</v>
      </c>
      <c r="D696" s="71" t="s">
        <v>382</v>
      </c>
      <c r="E696" s="71" t="str">
        <f>MID(D696,1,2)</f>
        <v>IL</v>
      </c>
      <c r="F696" s="71" t="s">
        <v>1538</v>
      </c>
      <c r="G696" s="71" t="str">
        <f>MID(F696,1,2)</f>
        <v>KR</v>
      </c>
      <c r="H696" s="43" t="s">
        <v>1539</v>
      </c>
      <c r="I696" s="71" t="s">
        <v>1540</v>
      </c>
      <c r="J696" s="71" t="s">
        <v>483</v>
      </c>
      <c r="K696" s="43"/>
      <c r="L696" s="71" t="s">
        <v>105</v>
      </c>
      <c r="M696" s="73">
        <v>2</v>
      </c>
      <c r="N696" s="71" t="s">
        <v>388</v>
      </c>
      <c r="O696" s="73">
        <v>0.021</v>
      </c>
      <c r="P696" s="71" t="s">
        <v>389</v>
      </c>
      <c r="Q696" s="73">
        <v>3.5</v>
      </c>
      <c r="R696" s="71" t="s">
        <v>388</v>
      </c>
      <c r="S696" s="73">
        <v>0</v>
      </c>
      <c r="T696" s="71" t="s">
        <v>390</v>
      </c>
      <c r="U696" s="74">
        <v>1</v>
      </c>
      <c r="V696" s="71" t="s">
        <v>391</v>
      </c>
      <c r="W696" s="130">
        <v>46061.664965277778</v>
      </c>
      <c r="X696" s="72">
        <v>46064.690972222219</v>
      </c>
      <c r="Y696" s="72">
        <v>46072.451388888891</v>
      </c>
      <c r="Z696" s="104" t="s">
        <v>382</v>
      </c>
      <c r="AA696" s="104" t="s">
        <v>383</v>
      </c>
      <c r="AB696" s="105">
        <v>46064.684027777781</v>
      </c>
      <c r="AC696" s="105">
        <v>46064.824305555558</v>
      </c>
    </row>
    <row r="697" s="70" customFormat="1" ht="11.25" customHeight="1">
      <c r="A697" s="87"/>
      <c r="C697" s="43" t="s">
        <v>1537</v>
      </c>
      <c r="D697" s="71" t="s">
        <v>382</v>
      </c>
      <c r="E697" s="71" t="str">
        <f>MID(D697,1,2)</f>
        <v>IL</v>
      </c>
      <c r="F697" s="71" t="s">
        <v>1538</v>
      </c>
      <c r="G697" s="71" t="str">
        <f>MID(F697,1,2)</f>
        <v>KR</v>
      </c>
      <c r="H697" s="43" t="s">
        <v>1539</v>
      </c>
      <c r="I697" s="71" t="s">
        <v>1540</v>
      </c>
      <c r="J697" s="71" t="s">
        <v>483</v>
      </c>
      <c r="K697" s="43"/>
      <c r="L697" s="71" t="s">
        <v>105</v>
      </c>
      <c r="M697" s="73">
        <v>2</v>
      </c>
      <c r="N697" s="71" t="s">
        <v>388</v>
      </c>
      <c r="O697" s="73">
        <v>0.021</v>
      </c>
      <c r="P697" s="71" t="s">
        <v>389</v>
      </c>
      <c r="Q697" s="73">
        <v>3.5</v>
      </c>
      <c r="R697" s="71" t="s">
        <v>388</v>
      </c>
      <c r="S697" s="73">
        <v>0</v>
      </c>
      <c r="T697" s="71" t="s">
        <v>390</v>
      </c>
      <c r="U697" s="74">
        <v>1</v>
      </c>
      <c r="V697" s="71" t="s">
        <v>391</v>
      </c>
      <c r="W697" s="130">
        <v>46061.664965277778</v>
      </c>
      <c r="X697" s="72">
        <v>46064.690972222219</v>
      </c>
      <c r="Y697" s="72">
        <v>46072.451388888891</v>
      </c>
      <c r="Z697" s="104" t="s">
        <v>383</v>
      </c>
      <c r="AA697" s="104" t="s">
        <v>1538</v>
      </c>
      <c r="AB697" s="105">
        <v>46068.638194444444</v>
      </c>
      <c r="AC697" s="105">
        <v>46069.427777777775</v>
      </c>
    </row>
    <row r="698" s="70" customFormat="1" ht="11.25" customHeight="1">
      <c r="A698" s="87"/>
      <c r="C698" s="43" t="s">
        <v>1541</v>
      </c>
      <c r="D698" s="71" t="s">
        <v>382</v>
      </c>
      <c r="E698" s="71" t="str">
        <f>MID(D698,1,2)</f>
        <v>IL</v>
      </c>
      <c r="F698" s="71" t="s">
        <v>496</v>
      </c>
      <c r="G698" s="71" t="str">
        <f>MID(F698,1,2)</f>
        <v>RO</v>
      </c>
      <c r="H698" s="43" t="s">
        <v>1542</v>
      </c>
      <c r="I698" s="71" t="s">
        <v>1543</v>
      </c>
      <c r="J698" s="71" t="s">
        <v>400</v>
      </c>
      <c r="K698" s="43"/>
      <c r="L698" s="71" t="s">
        <v>105</v>
      </c>
      <c r="M698" s="73">
        <v>232</v>
      </c>
      <c r="N698" s="71" t="s">
        <v>388</v>
      </c>
      <c r="O698" s="73">
        <v>2.77</v>
      </c>
      <c r="P698" s="71" t="s">
        <v>389</v>
      </c>
      <c r="Q698" s="73">
        <v>462</v>
      </c>
      <c r="R698" s="71" t="s">
        <v>388</v>
      </c>
      <c r="S698" s="73">
        <v>0</v>
      </c>
      <c r="T698" s="71" t="s">
        <v>390</v>
      </c>
      <c r="U698" s="74">
        <v>4</v>
      </c>
      <c r="V698" s="71" t="s">
        <v>391</v>
      </c>
      <c r="W698" s="130">
        <v>46058.472916666666</v>
      </c>
      <c r="X698" s="72">
        <v>46061.243055555555</v>
      </c>
      <c r="Y698" s="72">
        <v>46061.857638888891</v>
      </c>
      <c r="Z698" s="104" t="s">
        <v>382</v>
      </c>
      <c r="AA698" s="104" t="s">
        <v>496</v>
      </c>
      <c r="AB698" s="105">
        <v>46062.248611111114</v>
      </c>
      <c r="AC698" s="105">
        <v>46062.4125</v>
      </c>
    </row>
    <row r="699" s="70" customFormat="1" ht="11.25" customHeight="1">
      <c r="A699" s="87"/>
      <c r="C699" s="43" t="s">
        <v>1544</v>
      </c>
      <c r="D699" s="71" t="s">
        <v>382</v>
      </c>
      <c r="E699" s="71" t="str">
        <f>MID(D699,1,2)</f>
        <v>IL</v>
      </c>
      <c r="F699" s="71" t="s">
        <v>1538</v>
      </c>
      <c r="G699" s="71" t="str">
        <f>MID(F699,1,2)</f>
        <v>KR</v>
      </c>
      <c r="H699" s="43" t="s">
        <v>1539</v>
      </c>
      <c r="I699" s="71" t="s">
        <v>1545</v>
      </c>
      <c r="J699" s="71" t="s">
        <v>483</v>
      </c>
      <c r="K699" s="43"/>
      <c r="L699" s="71" t="s">
        <v>105</v>
      </c>
      <c r="M699" s="73">
        <v>34</v>
      </c>
      <c r="N699" s="71" t="s">
        <v>388</v>
      </c>
      <c r="O699" s="73">
        <v>0.45</v>
      </c>
      <c r="P699" s="71" t="s">
        <v>389</v>
      </c>
      <c r="Q699" s="73">
        <v>75</v>
      </c>
      <c r="R699" s="71" t="s">
        <v>388</v>
      </c>
      <c r="S699" s="73">
        <v>0</v>
      </c>
      <c r="T699" s="71" t="s">
        <v>390</v>
      </c>
      <c r="U699" s="74">
        <v>1</v>
      </c>
      <c r="V699" s="71" t="s">
        <v>391</v>
      </c>
      <c r="W699" s="130">
        <v>46061.6719212963</v>
      </c>
      <c r="X699" s="72">
        <v>46064.690972222219</v>
      </c>
      <c r="Y699" s="72">
        <v>46072.451388888891</v>
      </c>
      <c r="Z699" s="104" t="s">
        <v>382</v>
      </c>
      <c r="AA699" s="104" t="s">
        <v>383</v>
      </c>
      <c r="AB699" s="105">
        <v>46064.684027777781</v>
      </c>
      <c r="AC699" s="105">
        <v>46064.824305555558</v>
      </c>
    </row>
    <row r="700" s="70" customFormat="1" ht="11.25" customHeight="1">
      <c r="A700" s="87"/>
      <c r="C700" s="43" t="s">
        <v>1544</v>
      </c>
      <c r="D700" s="71" t="s">
        <v>382</v>
      </c>
      <c r="E700" s="71" t="str">
        <f>MID(D700,1,2)</f>
        <v>IL</v>
      </c>
      <c r="F700" s="71" t="s">
        <v>1538</v>
      </c>
      <c r="G700" s="71" t="str">
        <f>MID(F700,1,2)</f>
        <v>KR</v>
      </c>
      <c r="H700" s="43" t="s">
        <v>1539</v>
      </c>
      <c r="I700" s="71" t="s">
        <v>1545</v>
      </c>
      <c r="J700" s="71" t="s">
        <v>483</v>
      </c>
      <c r="K700" s="43"/>
      <c r="L700" s="71" t="s">
        <v>105</v>
      </c>
      <c r="M700" s="73">
        <v>34</v>
      </c>
      <c r="N700" s="71" t="s">
        <v>388</v>
      </c>
      <c r="O700" s="73">
        <v>0.45</v>
      </c>
      <c r="P700" s="71" t="s">
        <v>389</v>
      </c>
      <c r="Q700" s="73">
        <v>75</v>
      </c>
      <c r="R700" s="71" t="s">
        <v>388</v>
      </c>
      <c r="S700" s="73">
        <v>0</v>
      </c>
      <c r="T700" s="71" t="s">
        <v>390</v>
      </c>
      <c r="U700" s="74">
        <v>1</v>
      </c>
      <c r="V700" s="71" t="s">
        <v>391</v>
      </c>
      <c r="W700" s="130">
        <v>46061.6719212963</v>
      </c>
      <c r="X700" s="72">
        <v>46064.690972222219</v>
      </c>
      <c r="Y700" s="72">
        <v>46072.451388888891</v>
      </c>
      <c r="Z700" s="104" t="s">
        <v>383</v>
      </c>
      <c r="AA700" s="104" t="s">
        <v>1538</v>
      </c>
      <c r="AB700" s="105">
        <v>46068.638194444444</v>
      </c>
      <c r="AC700" s="105">
        <v>46069.427777777775</v>
      </c>
    </row>
    <row r="701" s="70" customFormat="1" ht="11.25" customHeight="1">
      <c r="A701" s="87"/>
      <c r="C701" s="43" t="s">
        <v>1546</v>
      </c>
      <c r="D701" s="71" t="s">
        <v>382</v>
      </c>
      <c r="E701" s="71" t="str">
        <f>MID(D701,1,2)</f>
        <v>IL</v>
      </c>
      <c r="F701" s="71" t="s">
        <v>422</v>
      </c>
      <c r="G701" s="71" t="str">
        <f>MID(F701,1,2)</f>
        <v>US</v>
      </c>
      <c r="H701" s="43" t="s">
        <v>1215</v>
      </c>
      <c r="I701" s="71" t="s">
        <v>1547</v>
      </c>
      <c r="J701" s="71" t="s">
        <v>426</v>
      </c>
      <c r="K701" s="43" t="s">
        <v>431</v>
      </c>
      <c r="L701" s="71" t="s">
        <v>105</v>
      </c>
      <c r="M701" s="73">
        <v>37</v>
      </c>
      <c r="N701" s="71" t="s">
        <v>388</v>
      </c>
      <c r="O701" s="73">
        <v>0.557</v>
      </c>
      <c r="P701" s="71" t="s">
        <v>389</v>
      </c>
      <c r="Q701" s="73">
        <v>93</v>
      </c>
      <c r="R701" s="71" t="s">
        <v>388</v>
      </c>
      <c r="S701" s="73">
        <v>0</v>
      </c>
      <c r="T701" s="71" t="s">
        <v>390</v>
      </c>
      <c r="U701" s="74">
        <v>1</v>
      </c>
      <c r="V701" s="71" t="s">
        <v>391</v>
      </c>
      <c r="W701" s="130">
        <v>46058.479166666664</v>
      </c>
      <c r="X701" s="72">
        <v>46060.458333333336</v>
      </c>
      <c r="Y701" s="72">
        <v>46061.690972222219</v>
      </c>
      <c r="Z701" s="104" t="s">
        <v>382</v>
      </c>
      <c r="AA701" s="104" t="s">
        <v>422</v>
      </c>
      <c r="AB701" s="105">
        <v>46061.475694444445</v>
      </c>
      <c r="AC701" s="105">
        <v>46061.673611111109</v>
      </c>
    </row>
    <row r="702" s="70" customFormat="1" ht="11.25" customHeight="1">
      <c r="A702" s="87"/>
      <c r="C702" s="43" t="s">
        <v>1548</v>
      </c>
      <c r="D702" s="71" t="s">
        <v>382</v>
      </c>
      <c r="E702" s="71" t="str">
        <f>MID(D702,1,2)</f>
        <v>IL</v>
      </c>
      <c r="F702" s="71" t="s">
        <v>422</v>
      </c>
      <c r="G702" s="71" t="str">
        <f>MID(F702,1,2)</f>
        <v>US</v>
      </c>
      <c r="H702" s="43" t="s">
        <v>1215</v>
      </c>
      <c r="I702" s="71" t="s">
        <v>1549</v>
      </c>
      <c r="J702" s="71" t="s">
        <v>426</v>
      </c>
      <c r="K702" s="43" t="s">
        <v>431</v>
      </c>
      <c r="L702" s="71" t="s">
        <v>105</v>
      </c>
      <c r="M702" s="73">
        <v>28</v>
      </c>
      <c r="N702" s="71" t="s">
        <v>388</v>
      </c>
      <c r="O702" s="73">
        <v>0.252</v>
      </c>
      <c r="P702" s="71" t="s">
        <v>389</v>
      </c>
      <c r="Q702" s="73">
        <v>42</v>
      </c>
      <c r="R702" s="71" t="s">
        <v>388</v>
      </c>
      <c r="S702" s="73">
        <v>0</v>
      </c>
      <c r="T702" s="71" t="s">
        <v>390</v>
      </c>
      <c r="U702" s="74">
        <v>1</v>
      </c>
      <c r="V702" s="71" t="s">
        <v>391</v>
      </c>
      <c r="W702" s="130">
        <v>46058.8209375</v>
      </c>
      <c r="X702" s="72">
        <v>46060.458333333336</v>
      </c>
      <c r="Y702" s="72">
        <v>46061.690972222219</v>
      </c>
      <c r="Z702" s="104" t="s">
        <v>382</v>
      </c>
      <c r="AA702" s="104" t="s">
        <v>422</v>
      </c>
      <c r="AB702" s="105">
        <v>46061.475694444445</v>
      </c>
      <c r="AC702" s="105">
        <v>46061.673611111109</v>
      </c>
    </row>
    <row r="703" s="70" customFormat="1" ht="11.25" customHeight="1">
      <c r="A703" s="87"/>
      <c r="C703" s="43" t="s">
        <v>1550</v>
      </c>
      <c r="D703" s="71" t="s">
        <v>382</v>
      </c>
      <c r="E703" s="71" t="str">
        <f>MID(D703,1,2)</f>
        <v>IL</v>
      </c>
      <c r="F703" s="71" t="s">
        <v>480</v>
      </c>
      <c r="G703" s="71" t="str">
        <f>MID(F703,1,2)</f>
        <v>CA</v>
      </c>
      <c r="H703" s="43" t="s">
        <v>1380</v>
      </c>
      <c r="I703" s="71" t="s">
        <v>1551</v>
      </c>
      <c r="J703" s="71" t="s">
        <v>386</v>
      </c>
      <c r="K703" s="43"/>
      <c r="L703" s="71" t="s">
        <v>107</v>
      </c>
      <c r="M703" s="73">
        <v>352</v>
      </c>
      <c r="N703" s="71" t="s">
        <v>388</v>
      </c>
      <c r="O703" s="73">
        <v>0.426</v>
      </c>
      <c r="P703" s="71" t="s">
        <v>389</v>
      </c>
      <c r="Q703" s="73">
        <v>352</v>
      </c>
      <c r="R703" s="71" t="s">
        <v>388</v>
      </c>
      <c r="S703" s="73">
        <v>0</v>
      </c>
      <c r="T703" s="71" t="s">
        <v>390</v>
      </c>
      <c r="U703" s="74">
        <v>2</v>
      </c>
      <c r="V703" s="71" t="s">
        <v>417</v>
      </c>
      <c r="W703" s="130">
        <v>46058.513888888891</v>
      </c>
      <c r="X703" s="72">
        <v>46059.458333333336</v>
      </c>
      <c r="Y703" s="72">
        <v>46061.788194444445</v>
      </c>
      <c r="Z703" s="104" t="s">
        <v>1102</v>
      </c>
      <c r="AA703" s="104" t="s">
        <v>1384</v>
      </c>
      <c r="AB703" s="105"/>
      <c r="AC703" s="105"/>
    </row>
    <row r="704" s="70" customFormat="1" ht="11.25" customHeight="1">
      <c r="A704" s="87"/>
      <c r="C704" s="43" t="s">
        <v>1550</v>
      </c>
      <c r="D704" s="71" t="s">
        <v>382</v>
      </c>
      <c r="E704" s="71" t="str">
        <f>MID(D704,1,2)</f>
        <v>IL</v>
      </c>
      <c r="F704" s="71" t="s">
        <v>480</v>
      </c>
      <c r="G704" s="71" t="str">
        <f>MID(F704,1,2)</f>
        <v>CA</v>
      </c>
      <c r="H704" s="43" t="s">
        <v>1380</v>
      </c>
      <c r="I704" s="71" t="s">
        <v>1551</v>
      </c>
      <c r="J704" s="71" t="s">
        <v>386</v>
      </c>
      <c r="K704" s="43"/>
      <c r="L704" s="71" t="s">
        <v>107</v>
      </c>
      <c r="M704" s="73">
        <v>352</v>
      </c>
      <c r="N704" s="71" t="s">
        <v>388</v>
      </c>
      <c r="O704" s="73">
        <v>0.426</v>
      </c>
      <c r="P704" s="71" t="s">
        <v>389</v>
      </c>
      <c r="Q704" s="73">
        <v>352</v>
      </c>
      <c r="R704" s="71" t="s">
        <v>388</v>
      </c>
      <c r="S704" s="73">
        <v>0</v>
      </c>
      <c r="T704" s="71" t="s">
        <v>390</v>
      </c>
      <c r="U704" s="74">
        <v>2</v>
      </c>
      <c r="V704" s="71" t="s">
        <v>417</v>
      </c>
      <c r="W704" s="130">
        <v>46058.513888888891</v>
      </c>
      <c r="X704" s="72">
        <v>46059.458333333336</v>
      </c>
      <c r="Y704" s="72">
        <v>46061.788194444445</v>
      </c>
      <c r="Z704" s="104" t="s">
        <v>382</v>
      </c>
      <c r="AA704" s="104" t="s">
        <v>405</v>
      </c>
      <c r="AB704" s="105">
        <v>46059.488888888889</v>
      </c>
      <c r="AC704" s="105">
        <v>46059.68125</v>
      </c>
    </row>
    <row r="705" s="70" customFormat="1" ht="11.25" customHeight="1">
      <c r="A705" s="87"/>
      <c r="C705" s="43" t="s">
        <v>1550</v>
      </c>
      <c r="D705" s="71" t="s">
        <v>382</v>
      </c>
      <c r="E705" s="71" t="str">
        <f>MID(D705,1,2)</f>
        <v>IL</v>
      </c>
      <c r="F705" s="71" t="s">
        <v>480</v>
      </c>
      <c r="G705" s="71" t="str">
        <f>MID(F705,1,2)</f>
        <v>CA</v>
      </c>
      <c r="H705" s="43" t="s">
        <v>1380</v>
      </c>
      <c r="I705" s="71" t="s">
        <v>1551</v>
      </c>
      <c r="J705" s="71" t="s">
        <v>386</v>
      </c>
      <c r="K705" s="43"/>
      <c r="L705" s="71" t="s">
        <v>107</v>
      </c>
      <c r="M705" s="73">
        <v>352</v>
      </c>
      <c r="N705" s="71" t="s">
        <v>388</v>
      </c>
      <c r="O705" s="73">
        <v>0.426</v>
      </c>
      <c r="P705" s="71" t="s">
        <v>389</v>
      </c>
      <c r="Q705" s="73">
        <v>352</v>
      </c>
      <c r="R705" s="71" t="s">
        <v>388</v>
      </c>
      <c r="S705" s="73">
        <v>0</v>
      </c>
      <c r="T705" s="71" t="s">
        <v>390</v>
      </c>
      <c r="U705" s="74">
        <v>2</v>
      </c>
      <c r="V705" s="71" t="s">
        <v>417</v>
      </c>
      <c r="W705" s="130">
        <v>46058.513888888891</v>
      </c>
      <c r="X705" s="72">
        <v>46059.458333333336</v>
      </c>
      <c r="Y705" s="72">
        <v>46061.788194444445</v>
      </c>
      <c r="Z705" s="104" t="s">
        <v>405</v>
      </c>
      <c r="AA705" s="104" t="s">
        <v>480</v>
      </c>
      <c r="AB705" s="105">
        <v>46061.743055555555</v>
      </c>
      <c r="AC705" s="105">
        <v>46061.785416666666</v>
      </c>
    </row>
    <row r="706" s="70" customFormat="1" ht="11.25" customHeight="1">
      <c r="A706" s="87"/>
      <c r="C706" s="43" t="s">
        <v>1552</v>
      </c>
      <c r="D706" s="71" t="s">
        <v>382</v>
      </c>
      <c r="E706" s="71" t="str">
        <f>MID(D706,1,2)</f>
        <v>IL</v>
      </c>
      <c r="F706" s="71" t="s">
        <v>573</v>
      </c>
      <c r="G706" s="71" t="str">
        <f>MID(F706,1,2)</f>
        <v>CH</v>
      </c>
      <c r="H706" s="43" t="s">
        <v>1553</v>
      </c>
      <c r="I706" s="71" t="s">
        <v>1554</v>
      </c>
      <c r="J706" s="71" t="s">
        <v>400</v>
      </c>
      <c r="K706" s="43"/>
      <c r="L706" s="71" t="s">
        <v>105</v>
      </c>
      <c r="M706" s="73">
        <v>29</v>
      </c>
      <c r="N706" s="71" t="s">
        <v>388</v>
      </c>
      <c r="O706" s="73">
        <v>0.269</v>
      </c>
      <c r="P706" s="71" t="s">
        <v>389</v>
      </c>
      <c r="Q706" s="73">
        <v>100</v>
      </c>
      <c r="R706" s="71" t="s">
        <v>388</v>
      </c>
      <c r="S706" s="73">
        <v>0</v>
      </c>
      <c r="T706" s="71" t="s">
        <v>390</v>
      </c>
      <c r="U706" s="74">
        <v>1</v>
      </c>
      <c r="V706" s="71" t="s">
        <v>391</v>
      </c>
      <c r="W706" s="130">
        <v>46058.779282407406</v>
      </c>
      <c r="X706" s="72">
        <v>46059.458333333336</v>
      </c>
      <c r="Y706" s="72">
        <v>46059.531944444447</v>
      </c>
      <c r="Z706" s="104" t="s">
        <v>382</v>
      </c>
      <c r="AA706" s="104" t="s">
        <v>573</v>
      </c>
      <c r="AB706" s="105">
        <v>46059.379861111112</v>
      </c>
      <c r="AC706" s="105">
        <v>46059.519444444442</v>
      </c>
    </row>
    <row r="707" s="70" customFormat="1" ht="11.25" customHeight="1">
      <c r="A707" s="87"/>
      <c r="C707" s="43" t="s">
        <v>1555</v>
      </c>
      <c r="D707" s="71" t="s">
        <v>382</v>
      </c>
      <c r="E707" s="71" t="str">
        <f>MID(D707,1,2)</f>
        <v>IL</v>
      </c>
      <c r="F707" s="71" t="s">
        <v>680</v>
      </c>
      <c r="G707" s="71" t="str">
        <f>MID(F707,1,2)</f>
        <v>DE</v>
      </c>
      <c r="H707" s="43" t="s">
        <v>1556</v>
      </c>
      <c r="I707" s="71" t="s">
        <v>1557</v>
      </c>
      <c r="J707" s="71" t="s">
        <v>454</v>
      </c>
      <c r="K707" s="43"/>
      <c r="L707" s="71" t="s">
        <v>107</v>
      </c>
      <c r="M707" s="73">
        <v>11</v>
      </c>
      <c r="N707" s="71" t="s">
        <v>388</v>
      </c>
      <c r="O707" s="73">
        <v>0.064</v>
      </c>
      <c r="P707" s="71" t="s">
        <v>389</v>
      </c>
      <c r="Q707" s="73">
        <v>11</v>
      </c>
      <c r="R707" s="71" t="s">
        <v>388</v>
      </c>
      <c r="S707" s="73">
        <v>0</v>
      </c>
      <c r="T707" s="71" t="s">
        <v>390</v>
      </c>
      <c r="U707" s="74">
        <v>1</v>
      </c>
      <c r="V707" s="71" t="s">
        <v>391</v>
      </c>
      <c r="W707" s="130"/>
      <c r="X707" s="72">
        <v>46063.576388888891</v>
      </c>
      <c r="Y707" s="72">
        <v>46066.954861111109</v>
      </c>
      <c r="Z707" s="104" t="s">
        <v>382</v>
      </c>
      <c r="AA707" s="104" t="s">
        <v>383</v>
      </c>
      <c r="AB707" s="105">
        <v>46064.999305555553</v>
      </c>
      <c r="AC707" s="105">
        <v>46065.288194444445</v>
      </c>
    </row>
    <row r="708" s="70" customFormat="1" ht="11.25" customHeight="1">
      <c r="A708" s="87"/>
      <c r="C708" s="43" t="s">
        <v>1555</v>
      </c>
      <c r="D708" s="71" t="s">
        <v>382</v>
      </c>
      <c r="E708" s="71" t="str">
        <f>MID(D708,1,2)</f>
        <v>IL</v>
      </c>
      <c r="F708" s="71" t="s">
        <v>680</v>
      </c>
      <c r="G708" s="71" t="str">
        <f>MID(F708,1,2)</f>
        <v>DE</v>
      </c>
      <c r="H708" s="43" t="s">
        <v>1556</v>
      </c>
      <c r="I708" s="71" t="s">
        <v>1557</v>
      </c>
      <c r="J708" s="71" t="s">
        <v>454</v>
      </c>
      <c r="K708" s="43"/>
      <c r="L708" s="71" t="s">
        <v>107</v>
      </c>
      <c r="M708" s="73">
        <v>11</v>
      </c>
      <c r="N708" s="71" t="s">
        <v>388</v>
      </c>
      <c r="O708" s="73">
        <v>0.064</v>
      </c>
      <c r="P708" s="71" t="s">
        <v>389</v>
      </c>
      <c r="Q708" s="73">
        <v>11</v>
      </c>
      <c r="R708" s="71" t="s">
        <v>388</v>
      </c>
      <c r="S708" s="73">
        <v>0</v>
      </c>
      <c r="T708" s="71" t="s">
        <v>390</v>
      </c>
      <c r="U708" s="74">
        <v>1</v>
      </c>
      <c r="V708" s="71" t="s">
        <v>391</v>
      </c>
      <c r="W708" s="130"/>
      <c r="X708" s="72">
        <v>46063.576388888891</v>
      </c>
      <c r="Y708" s="72">
        <v>46066.954861111109</v>
      </c>
      <c r="Z708" s="104" t="s">
        <v>383</v>
      </c>
      <c r="AA708" s="104" t="s">
        <v>680</v>
      </c>
      <c r="AB708" s="105">
        <v>46066.922222222223</v>
      </c>
      <c r="AC708" s="105">
        <v>46066.943055555559</v>
      </c>
    </row>
    <row r="709" s="70" customFormat="1" ht="11.25" customHeight="1">
      <c r="A709" s="87"/>
      <c r="C709" s="43" t="s">
        <v>1558</v>
      </c>
      <c r="D709" s="71" t="s">
        <v>382</v>
      </c>
      <c r="E709" s="71" t="str">
        <f>MID(D709,1,2)</f>
        <v>IL</v>
      </c>
      <c r="F709" s="71" t="s">
        <v>419</v>
      </c>
      <c r="G709" s="71" t="str">
        <f>MID(F709,1,2)</f>
        <v>US</v>
      </c>
      <c r="H709" s="43" t="s">
        <v>1295</v>
      </c>
      <c r="I709" s="71" t="s">
        <v>1559</v>
      </c>
      <c r="J709" s="71" t="s">
        <v>426</v>
      </c>
      <c r="K709" s="43"/>
      <c r="L709" s="71" t="s">
        <v>105</v>
      </c>
      <c r="M709" s="73">
        <v>1381</v>
      </c>
      <c r="N709" s="71" t="s">
        <v>388</v>
      </c>
      <c r="O709" s="73">
        <v>6.72</v>
      </c>
      <c r="P709" s="71" t="s">
        <v>389</v>
      </c>
      <c r="Q709" s="73">
        <v>1381</v>
      </c>
      <c r="R709" s="71" t="s">
        <v>388</v>
      </c>
      <c r="S709" s="73">
        <v>0</v>
      </c>
      <c r="T709" s="71" t="s">
        <v>390</v>
      </c>
      <c r="U709" s="74">
        <v>5</v>
      </c>
      <c r="V709" s="71" t="s">
        <v>391</v>
      </c>
      <c r="W709" s="130">
        <v>46063.372048611112</v>
      </c>
      <c r="X709" s="72">
        <v>46064.458333333336</v>
      </c>
      <c r="Y709" s="72">
        <v>46066.711805555555</v>
      </c>
      <c r="Z709" s="104" t="s">
        <v>382</v>
      </c>
      <c r="AA709" s="104" t="s">
        <v>405</v>
      </c>
      <c r="AB709" s="105">
        <v>46064.495138888888</v>
      </c>
      <c r="AC709" s="105">
        <v>46064.700694444444</v>
      </c>
    </row>
    <row r="710" s="70" customFormat="1" ht="11.25" customHeight="1">
      <c r="A710" s="87"/>
      <c r="C710" s="43" t="s">
        <v>1560</v>
      </c>
      <c r="D710" s="71" t="s">
        <v>382</v>
      </c>
      <c r="E710" s="71" t="str">
        <f>MID(D710,1,2)</f>
        <v>IL</v>
      </c>
      <c r="F710" s="71" t="s">
        <v>496</v>
      </c>
      <c r="G710" s="71" t="str">
        <f>MID(F710,1,2)</f>
        <v>RO</v>
      </c>
      <c r="H710" s="43" t="s">
        <v>1474</v>
      </c>
      <c r="I710" s="71" t="s">
        <v>1561</v>
      </c>
      <c r="J710" s="71" t="s">
        <v>400</v>
      </c>
      <c r="K710" s="43"/>
      <c r="L710" s="71" t="s">
        <v>105</v>
      </c>
      <c r="M710" s="73">
        <v>45</v>
      </c>
      <c r="N710" s="71" t="s">
        <v>388</v>
      </c>
      <c r="O710" s="73">
        <v>0.708</v>
      </c>
      <c r="P710" s="71" t="s">
        <v>389</v>
      </c>
      <c r="Q710" s="73">
        <v>118</v>
      </c>
      <c r="R710" s="71" t="s">
        <v>388</v>
      </c>
      <c r="S710" s="73">
        <v>0</v>
      </c>
      <c r="T710" s="71" t="s">
        <v>390</v>
      </c>
      <c r="U710" s="74">
        <v>1</v>
      </c>
      <c r="V710" s="71" t="s">
        <v>391</v>
      </c>
      <c r="W710" s="130">
        <v>46058.5</v>
      </c>
      <c r="X710" s="72">
        <v>46061.013888888891</v>
      </c>
      <c r="Y710" s="72">
        <v>46061.128472222219</v>
      </c>
      <c r="Z710" s="104" t="s">
        <v>382</v>
      </c>
      <c r="AA710" s="104" t="s">
        <v>496</v>
      </c>
      <c r="AB710" s="105">
        <v>46061.013888888891</v>
      </c>
      <c r="AC710" s="105">
        <v>46061.128472222219</v>
      </c>
    </row>
    <row r="711" s="70" customFormat="1" ht="11.25" customHeight="1">
      <c r="A711" s="87"/>
      <c r="C711" s="43" t="s">
        <v>1562</v>
      </c>
      <c r="D711" s="71" t="s">
        <v>382</v>
      </c>
      <c r="E711" s="71" t="str">
        <f>MID(D711,1,2)</f>
        <v>IL</v>
      </c>
      <c r="F711" s="71" t="s">
        <v>443</v>
      </c>
      <c r="G711" s="71" t="str">
        <f>MID(F711,1,2)</f>
        <v>US</v>
      </c>
      <c r="H711" s="43" t="s">
        <v>1563</v>
      </c>
      <c r="I711" s="71" t="s">
        <v>1564</v>
      </c>
      <c r="J711" s="71" t="s">
        <v>386</v>
      </c>
      <c r="K711" s="43"/>
      <c r="L711" s="71" t="s">
        <v>107</v>
      </c>
      <c r="M711" s="73">
        <v>135</v>
      </c>
      <c r="N711" s="71" t="s">
        <v>388</v>
      </c>
      <c r="O711" s="73">
        <v>0.499</v>
      </c>
      <c r="P711" s="71" t="s">
        <v>389</v>
      </c>
      <c r="Q711" s="73">
        <v>135</v>
      </c>
      <c r="R711" s="71" t="s">
        <v>388</v>
      </c>
      <c r="S711" s="73">
        <v>0</v>
      </c>
      <c r="T711" s="71" t="s">
        <v>390</v>
      </c>
      <c r="U711" s="74">
        <v>1</v>
      </c>
      <c r="V711" s="71" t="s">
        <v>391</v>
      </c>
      <c r="W711" s="130">
        <v>46062.396527777775</v>
      </c>
      <c r="X711" s="72">
        <v>46064.965277777781</v>
      </c>
      <c r="Y711" s="72">
        <v>46065.761111111111</v>
      </c>
      <c r="Z711" s="104" t="s">
        <v>382</v>
      </c>
      <c r="AA711" s="104" t="s">
        <v>422</v>
      </c>
      <c r="AB711" s="105">
        <v>46064.963194444441</v>
      </c>
      <c r="AC711" s="105">
        <v>46065.148611111108</v>
      </c>
    </row>
    <row r="712" s="70" customFormat="1" ht="11.25" customHeight="1">
      <c r="A712" s="87"/>
      <c r="C712" s="43" t="s">
        <v>1562</v>
      </c>
      <c r="D712" s="71" t="s">
        <v>382</v>
      </c>
      <c r="E712" s="71" t="str">
        <f>MID(D712,1,2)</f>
        <v>IL</v>
      </c>
      <c r="F712" s="71" t="s">
        <v>443</v>
      </c>
      <c r="G712" s="71" t="str">
        <f>MID(F712,1,2)</f>
        <v>US</v>
      </c>
      <c r="H712" s="43" t="s">
        <v>1563</v>
      </c>
      <c r="I712" s="71" t="s">
        <v>1564</v>
      </c>
      <c r="J712" s="71" t="s">
        <v>386</v>
      </c>
      <c r="K712" s="43"/>
      <c r="L712" s="71" t="s">
        <v>107</v>
      </c>
      <c r="M712" s="73">
        <v>135</v>
      </c>
      <c r="N712" s="71" t="s">
        <v>388</v>
      </c>
      <c r="O712" s="73">
        <v>0.499</v>
      </c>
      <c r="P712" s="71" t="s">
        <v>389</v>
      </c>
      <c r="Q712" s="73">
        <v>135</v>
      </c>
      <c r="R712" s="71" t="s">
        <v>388</v>
      </c>
      <c r="S712" s="73">
        <v>0</v>
      </c>
      <c r="T712" s="71" t="s">
        <v>390</v>
      </c>
      <c r="U712" s="74">
        <v>1</v>
      </c>
      <c r="V712" s="71" t="s">
        <v>391</v>
      </c>
      <c r="W712" s="130">
        <v>46062.396527777775</v>
      </c>
      <c r="X712" s="72">
        <v>46064.965277777781</v>
      </c>
      <c r="Y712" s="72">
        <v>46065.761111111111</v>
      </c>
      <c r="Z712" s="104" t="s">
        <v>422</v>
      </c>
      <c r="AA712" s="104" t="s">
        <v>443</v>
      </c>
      <c r="AB712" s="105">
        <v>46065.622916666667</v>
      </c>
      <c r="AC712" s="105">
        <v>46065.740972222222</v>
      </c>
    </row>
    <row r="713" s="70" customFormat="1" ht="11.25" customHeight="1">
      <c r="A713" s="87"/>
      <c r="C713" s="43" t="s">
        <v>1565</v>
      </c>
      <c r="D713" s="71" t="s">
        <v>382</v>
      </c>
      <c r="E713" s="71" t="str">
        <f>MID(D713,1,2)</f>
        <v>IL</v>
      </c>
      <c r="F713" s="71" t="s">
        <v>1357</v>
      </c>
      <c r="G713" s="71" t="str">
        <f>MID(F713,1,2)</f>
        <v>IN</v>
      </c>
      <c r="H713" s="43" t="s">
        <v>1566</v>
      </c>
      <c r="I713" s="71" t="s">
        <v>1567</v>
      </c>
      <c r="J713" s="71" t="s">
        <v>483</v>
      </c>
      <c r="K713" s="43"/>
      <c r="L713" s="71" t="s">
        <v>105</v>
      </c>
      <c r="M713" s="73">
        <v>1</v>
      </c>
      <c r="N713" s="71" t="s">
        <v>388</v>
      </c>
      <c r="O713" s="73">
        <v>0.011</v>
      </c>
      <c r="P713" s="71" t="s">
        <v>389</v>
      </c>
      <c r="Q713" s="73">
        <v>2</v>
      </c>
      <c r="R713" s="71" t="s">
        <v>388</v>
      </c>
      <c r="S713" s="73">
        <v>0</v>
      </c>
      <c r="T713" s="71" t="s">
        <v>390</v>
      </c>
      <c r="U713" s="74">
        <v>1</v>
      </c>
      <c r="V713" s="71" t="s">
        <v>391</v>
      </c>
      <c r="W713" s="130"/>
      <c r="X713" s="72">
        <v>46060.496527777781</v>
      </c>
      <c r="Y713" s="72">
        <v>46062.061111111114</v>
      </c>
      <c r="Z713" s="104" t="s">
        <v>382</v>
      </c>
      <c r="AA713" s="104" t="s">
        <v>383</v>
      </c>
      <c r="AB713" s="105">
        <v>46060.683333333334</v>
      </c>
      <c r="AC713" s="105">
        <v>46060.829861111109</v>
      </c>
    </row>
    <row r="714" s="70" customFormat="1" ht="11.25" customHeight="1">
      <c r="A714" s="87"/>
      <c r="C714" s="43" t="s">
        <v>1565</v>
      </c>
      <c r="D714" s="71" t="s">
        <v>382</v>
      </c>
      <c r="E714" s="71" t="str">
        <f>MID(D714,1,2)</f>
        <v>IL</v>
      </c>
      <c r="F714" s="71" t="s">
        <v>1357</v>
      </c>
      <c r="G714" s="71" t="str">
        <f>MID(F714,1,2)</f>
        <v>IN</v>
      </c>
      <c r="H714" s="43" t="s">
        <v>1566</v>
      </c>
      <c r="I714" s="71" t="s">
        <v>1567</v>
      </c>
      <c r="J714" s="71" t="s">
        <v>483</v>
      </c>
      <c r="K714" s="43"/>
      <c r="L714" s="71" t="s">
        <v>105</v>
      </c>
      <c r="M714" s="73">
        <v>1</v>
      </c>
      <c r="N714" s="71" t="s">
        <v>388</v>
      </c>
      <c r="O714" s="73">
        <v>0.011</v>
      </c>
      <c r="P714" s="71" t="s">
        <v>389</v>
      </c>
      <c r="Q714" s="73">
        <v>2</v>
      </c>
      <c r="R714" s="71" t="s">
        <v>388</v>
      </c>
      <c r="S714" s="73">
        <v>0</v>
      </c>
      <c r="T714" s="71" t="s">
        <v>390</v>
      </c>
      <c r="U714" s="74">
        <v>1</v>
      </c>
      <c r="V714" s="71" t="s">
        <v>391</v>
      </c>
      <c r="W714" s="130"/>
      <c r="X714" s="72">
        <v>46060.496527777781</v>
      </c>
      <c r="Y714" s="72">
        <v>46062.061111111114</v>
      </c>
      <c r="Z714" s="104" t="s">
        <v>383</v>
      </c>
      <c r="AA714" s="104" t="s">
        <v>1357</v>
      </c>
      <c r="AB714" s="105">
        <v>46061.536111111112</v>
      </c>
      <c r="AC714" s="105">
        <v>46062.061111111114</v>
      </c>
    </row>
    <row r="715" s="70" customFormat="1" ht="11.25" customHeight="1">
      <c r="A715" s="87"/>
      <c r="C715" s="43" t="s">
        <v>1568</v>
      </c>
      <c r="D715" s="71" t="s">
        <v>382</v>
      </c>
      <c r="E715" s="71" t="str">
        <f>MID(D715,1,2)</f>
        <v>IL</v>
      </c>
      <c r="F715" s="71" t="s">
        <v>963</v>
      </c>
      <c r="G715" s="71" t="str">
        <f>MID(F715,1,2)</f>
        <v>IN</v>
      </c>
      <c r="H715" s="43" t="s">
        <v>1301</v>
      </c>
      <c r="I715" s="71" t="s">
        <v>1569</v>
      </c>
      <c r="J715" s="71" t="s">
        <v>426</v>
      </c>
      <c r="K715" s="43"/>
      <c r="L715" s="71" t="s">
        <v>105</v>
      </c>
      <c r="M715" s="73">
        <v>43</v>
      </c>
      <c r="N715" s="71" t="s">
        <v>388</v>
      </c>
      <c r="O715" s="73">
        <v>0.46</v>
      </c>
      <c r="P715" s="71" t="s">
        <v>389</v>
      </c>
      <c r="Q715" s="73">
        <v>77</v>
      </c>
      <c r="R715" s="71" t="s">
        <v>388</v>
      </c>
      <c r="S715" s="73">
        <v>0</v>
      </c>
      <c r="T715" s="71" t="s">
        <v>390</v>
      </c>
      <c r="U715" s="74">
        <v>1</v>
      </c>
      <c r="V715" s="71" t="s">
        <v>391</v>
      </c>
      <c r="W715" s="130">
        <v>46058.52847222222</v>
      </c>
      <c r="X715" s="72">
        <v>46060.895833333336</v>
      </c>
      <c r="Y715" s="72">
        <v>46063.003472222219</v>
      </c>
      <c r="Z715" s="104" t="s">
        <v>382</v>
      </c>
      <c r="AA715" s="104" t="s">
        <v>833</v>
      </c>
      <c r="AB715" s="105">
        <v>46060.895833333336</v>
      </c>
      <c r="AC715" s="105">
        <v>46061.576388888891</v>
      </c>
    </row>
    <row r="716" s="70" customFormat="1" ht="11.25" customHeight="1">
      <c r="A716" s="87"/>
      <c r="C716" s="43" t="s">
        <v>1568</v>
      </c>
      <c r="D716" s="71" t="s">
        <v>382</v>
      </c>
      <c r="E716" s="71" t="str">
        <f>MID(D716,1,2)</f>
        <v>IL</v>
      </c>
      <c r="F716" s="71" t="s">
        <v>963</v>
      </c>
      <c r="G716" s="71" t="str">
        <f>MID(F716,1,2)</f>
        <v>IN</v>
      </c>
      <c r="H716" s="43" t="s">
        <v>1301</v>
      </c>
      <c r="I716" s="71" t="s">
        <v>1569</v>
      </c>
      <c r="J716" s="71" t="s">
        <v>426</v>
      </c>
      <c r="K716" s="43"/>
      <c r="L716" s="71" t="s">
        <v>105</v>
      </c>
      <c r="M716" s="73">
        <v>43</v>
      </c>
      <c r="N716" s="71" t="s">
        <v>388</v>
      </c>
      <c r="O716" s="73">
        <v>0.46</v>
      </c>
      <c r="P716" s="71" t="s">
        <v>389</v>
      </c>
      <c r="Q716" s="73">
        <v>77</v>
      </c>
      <c r="R716" s="71" t="s">
        <v>388</v>
      </c>
      <c r="S716" s="73">
        <v>0</v>
      </c>
      <c r="T716" s="71" t="s">
        <v>390</v>
      </c>
      <c r="U716" s="74">
        <v>1</v>
      </c>
      <c r="V716" s="71" t="s">
        <v>391</v>
      </c>
      <c r="W716" s="130">
        <v>46058.52847222222</v>
      </c>
      <c r="X716" s="72">
        <v>46060.895833333336</v>
      </c>
      <c r="Y716" s="72">
        <v>46063.003472222219</v>
      </c>
      <c r="Z716" s="104" t="s">
        <v>833</v>
      </c>
      <c r="AA716" s="104" t="s">
        <v>963</v>
      </c>
      <c r="AB716" s="105">
        <v>46062.469444444447</v>
      </c>
      <c r="AC716" s="105">
        <v>46063.469444444447</v>
      </c>
    </row>
    <row r="717" s="70" customFormat="1" ht="11.25" customHeight="1">
      <c r="A717" s="87"/>
      <c r="C717" s="43" t="s">
        <v>1570</v>
      </c>
      <c r="D717" s="71" t="s">
        <v>382</v>
      </c>
      <c r="E717" s="71" t="str">
        <f>MID(D717,1,2)</f>
        <v>IL</v>
      </c>
      <c r="F717" s="71" t="s">
        <v>680</v>
      </c>
      <c r="G717" s="71" t="str">
        <f>MID(F717,1,2)</f>
        <v>DE</v>
      </c>
      <c r="H717" s="43" t="s">
        <v>1571</v>
      </c>
      <c r="I717" s="71"/>
      <c r="J717" s="71" t="s">
        <v>426</v>
      </c>
      <c r="K717" s="43"/>
      <c r="L717" s="71" t="s">
        <v>105</v>
      </c>
      <c r="M717" s="73">
        <v>221</v>
      </c>
      <c r="N717" s="71" t="s">
        <v>388</v>
      </c>
      <c r="O717" s="73">
        <v>0.624</v>
      </c>
      <c r="P717" s="71" t="s">
        <v>389</v>
      </c>
      <c r="Q717" s="73">
        <v>221</v>
      </c>
      <c r="R717" s="71" t="s">
        <v>388</v>
      </c>
      <c r="S717" s="73">
        <v>0</v>
      </c>
      <c r="T717" s="71" t="s">
        <v>390</v>
      </c>
      <c r="U717" s="74">
        <v>1</v>
      </c>
      <c r="V717" s="71" t="s">
        <v>391</v>
      </c>
      <c r="W717" s="130"/>
      <c r="X717" s="72">
        <v>46060.386805555558</v>
      </c>
      <c r="Y717" s="72">
        <v>46062.934027777781</v>
      </c>
      <c r="Z717" s="104" t="s">
        <v>382</v>
      </c>
      <c r="AA717" s="104" t="s">
        <v>748</v>
      </c>
      <c r="AB717" s="105">
        <v>46060.961805555555</v>
      </c>
      <c r="AC717" s="105"/>
    </row>
    <row r="718" s="70" customFormat="1" ht="11.25" customHeight="1">
      <c r="A718" s="87"/>
      <c r="C718" s="43" t="s">
        <v>1570</v>
      </c>
      <c r="D718" s="71" t="s">
        <v>382</v>
      </c>
      <c r="E718" s="71" t="str">
        <f>MID(D718,1,2)</f>
        <v>IL</v>
      </c>
      <c r="F718" s="71" t="s">
        <v>680</v>
      </c>
      <c r="G718" s="71" t="str">
        <f>MID(F718,1,2)</f>
        <v>DE</v>
      </c>
      <c r="H718" s="43" t="s">
        <v>1571</v>
      </c>
      <c r="I718" s="71"/>
      <c r="J718" s="71" t="s">
        <v>426</v>
      </c>
      <c r="K718" s="43"/>
      <c r="L718" s="71" t="s">
        <v>105</v>
      </c>
      <c r="M718" s="73">
        <v>221</v>
      </c>
      <c r="N718" s="71" t="s">
        <v>388</v>
      </c>
      <c r="O718" s="73">
        <v>0.624</v>
      </c>
      <c r="P718" s="71" t="s">
        <v>389</v>
      </c>
      <c r="Q718" s="73">
        <v>221</v>
      </c>
      <c r="R718" s="71" t="s">
        <v>388</v>
      </c>
      <c r="S718" s="73">
        <v>0</v>
      </c>
      <c r="T718" s="71" t="s">
        <v>390</v>
      </c>
      <c r="U718" s="74">
        <v>1</v>
      </c>
      <c r="V718" s="71" t="s">
        <v>391</v>
      </c>
      <c r="W718" s="130"/>
      <c r="X718" s="72">
        <v>46060.386805555558</v>
      </c>
      <c r="Y718" s="72">
        <v>46062.934027777781</v>
      </c>
      <c r="Z718" s="104" t="s">
        <v>748</v>
      </c>
      <c r="AA718" s="104" t="s">
        <v>680</v>
      </c>
      <c r="AB718" s="105">
        <v>46063.236805555556</v>
      </c>
      <c r="AC718" s="105">
        <v>46063.272222222222</v>
      </c>
    </row>
    <row r="719" s="70" customFormat="1" ht="11.25" customHeight="1">
      <c r="A719" s="87"/>
      <c r="C719" s="43" t="s">
        <v>1572</v>
      </c>
      <c r="D719" s="71" t="s">
        <v>382</v>
      </c>
      <c r="E719" s="71" t="str">
        <f>MID(D719,1,2)</f>
        <v>IL</v>
      </c>
      <c r="F719" s="71" t="s">
        <v>443</v>
      </c>
      <c r="G719" s="71" t="str">
        <f>MID(F719,1,2)</f>
        <v>US</v>
      </c>
      <c r="H719" s="43" t="s">
        <v>1207</v>
      </c>
      <c r="I719" s="71" t="s">
        <v>1573</v>
      </c>
      <c r="J719" s="71" t="s">
        <v>386</v>
      </c>
      <c r="K719" s="43"/>
      <c r="L719" s="71" t="s">
        <v>107</v>
      </c>
      <c r="M719" s="73">
        <v>70</v>
      </c>
      <c r="N719" s="71" t="s">
        <v>388</v>
      </c>
      <c r="O719" s="73">
        <v>0.9</v>
      </c>
      <c r="P719" s="71" t="s">
        <v>389</v>
      </c>
      <c r="Q719" s="73">
        <v>150</v>
      </c>
      <c r="R719" s="71" t="s">
        <v>388</v>
      </c>
      <c r="S719" s="73">
        <v>0</v>
      </c>
      <c r="T719" s="71" t="s">
        <v>390</v>
      </c>
      <c r="U719" s="74">
        <v>1</v>
      </c>
      <c r="V719" s="71" t="s">
        <v>536</v>
      </c>
      <c r="W719" s="130">
        <v>46059.071030092593</v>
      </c>
      <c r="X719" s="72">
        <v>46061.479166666664</v>
      </c>
      <c r="Y719" s="72">
        <v>46062.432638888888</v>
      </c>
      <c r="Z719" s="104" t="s">
        <v>382</v>
      </c>
      <c r="AA719" s="104" t="s">
        <v>422</v>
      </c>
      <c r="AB719" s="105">
        <v>46061.475694444445</v>
      </c>
      <c r="AC719" s="105">
        <v>46061.673611111109</v>
      </c>
    </row>
    <row r="720" s="70" customFormat="1" ht="11.25" customHeight="1">
      <c r="A720" s="87"/>
      <c r="C720" s="43" t="s">
        <v>1572</v>
      </c>
      <c r="D720" s="71" t="s">
        <v>382</v>
      </c>
      <c r="E720" s="71" t="str">
        <f>MID(D720,1,2)</f>
        <v>IL</v>
      </c>
      <c r="F720" s="71" t="s">
        <v>443</v>
      </c>
      <c r="G720" s="71" t="str">
        <f>MID(F720,1,2)</f>
        <v>US</v>
      </c>
      <c r="H720" s="43" t="s">
        <v>1207</v>
      </c>
      <c r="I720" s="71" t="s">
        <v>1573</v>
      </c>
      <c r="J720" s="71" t="s">
        <v>386</v>
      </c>
      <c r="K720" s="43"/>
      <c r="L720" s="71" t="s">
        <v>107</v>
      </c>
      <c r="M720" s="73">
        <v>70</v>
      </c>
      <c r="N720" s="71" t="s">
        <v>388</v>
      </c>
      <c r="O720" s="73">
        <v>0.9</v>
      </c>
      <c r="P720" s="71" t="s">
        <v>389</v>
      </c>
      <c r="Q720" s="73">
        <v>150</v>
      </c>
      <c r="R720" s="71" t="s">
        <v>388</v>
      </c>
      <c r="S720" s="73">
        <v>0</v>
      </c>
      <c r="T720" s="71" t="s">
        <v>390</v>
      </c>
      <c r="U720" s="74">
        <v>1</v>
      </c>
      <c r="V720" s="71" t="s">
        <v>536</v>
      </c>
      <c r="W720" s="130">
        <v>46059.071030092593</v>
      </c>
      <c r="X720" s="72">
        <v>46061.479166666664</v>
      </c>
      <c r="Y720" s="72">
        <v>46062.432638888888</v>
      </c>
      <c r="Z720" s="104" t="s">
        <v>422</v>
      </c>
      <c r="AA720" s="104" t="s">
        <v>443</v>
      </c>
      <c r="AB720" s="105">
        <v>46062.299305555556</v>
      </c>
      <c r="AC720" s="105">
        <v>46062.42083333333</v>
      </c>
    </row>
    <row r="721" s="70" customFormat="1" ht="11.25" customHeight="1">
      <c r="A721" s="87"/>
      <c r="C721" s="43" t="s">
        <v>1574</v>
      </c>
      <c r="D721" s="71" t="s">
        <v>382</v>
      </c>
      <c r="E721" s="71" t="str">
        <f>MID(D721,1,2)</f>
        <v>IL</v>
      </c>
      <c r="F721" s="71" t="s">
        <v>443</v>
      </c>
      <c r="G721" s="71" t="str">
        <f>MID(F721,1,2)</f>
        <v>US</v>
      </c>
      <c r="H721" s="43" t="s">
        <v>1207</v>
      </c>
      <c r="I721" s="71" t="s">
        <v>1575</v>
      </c>
      <c r="J721" s="71" t="s">
        <v>386</v>
      </c>
      <c r="K721" s="43"/>
      <c r="L721" s="71" t="s">
        <v>107</v>
      </c>
      <c r="M721" s="73">
        <v>70</v>
      </c>
      <c r="N721" s="71" t="s">
        <v>388</v>
      </c>
      <c r="O721" s="73">
        <v>0.9</v>
      </c>
      <c r="P721" s="71" t="s">
        <v>389</v>
      </c>
      <c r="Q721" s="73">
        <v>150</v>
      </c>
      <c r="R721" s="71" t="s">
        <v>388</v>
      </c>
      <c r="S721" s="73">
        <v>0</v>
      </c>
      <c r="T721" s="71" t="s">
        <v>390</v>
      </c>
      <c r="U721" s="74">
        <v>1</v>
      </c>
      <c r="V721" s="71" t="s">
        <v>536</v>
      </c>
      <c r="W721" s="130">
        <v>46058.570138888892</v>
      </c>
      <c r="X721" s="72">
        <v>46061.479166666664</v>
      </c>
      <c r="Y721" s="72">
        <v>46062.432638888888</v>
      </c>
      <c r="Z721" s="104" t="s">
        <v>382</v>
      </c>
      <c r="AA721" s="104" t="s">
        <v>422</v>
      </c>
      <c r="AB721" s="105">
        <v>46061.475694444445</v>
      </c>
      <c r="AC721" s="105">
        <v>46061.673611111109</v>
      </c>
    </row>
    <row r="722" s="70" customFormat="1" ht="11.25" customHeight="1">
      <c r="A722" s="87"/>
      <c r="C722" s="43" t="s">
        <v>1574</v>
      </c>
      <c r="D722" s="71" t="s">
        <v>382</v>
      </c>
      <c r="E722" s="71" t="str">
        <f>MID(D722,1,2)</f>
        <v>IL</v>
      </c>
      <c r="F722" s="71" t="s">
        <v>443</v>
      </c>
      <c r="G722" s="71" t="str">
        <f>MID(F722,1,2)</f>
        <v>US</v>
      </c>
      <c r="H722" s="43" t="s">
        <v>1207</v>
      </c>
      <c r="I722" s="71" t="s">
        <v>1575</v>
      </c>
      <c r="J722" s="71" t="s">
        <v>386</v>
      </c>
      <c r="K722" s="43"/>
      <c r="L722" s="71" t="s">
        <v>107</v>
      </c>
      <c r="M722" s="73">
        <v>70</v>
      </c>
      <c r="N722" s="71" t="s">
        <v>388</v>
      </c>
      <c r="O722" s="73">
        <v>0.9</v>
      </c>
      <c r="P722" s="71" t="s">
        <v>389</v>
      </c>
      <c r="Q722" s="73">
        <v>150</v>
      </c>
      <c r="R722" s="71" t="s">
        <v>388</v>
      </c>
      <c r="S722" s="73">
        <v>0</v>
      </c>
      <c r="T722" s="71" t="s">
        <v>390</v>
      </c>
      <c r="U722" s="74">
        <v>1</v>
      </c>
      <c r="V722" s="71" t="s">
        <v>536</v>
      </c>
      <c r="W722" s="130">
        <v>46058.570138888892</v>
      </c>
      <c r="X722" s="72">
        <v>46061.479166666664</v>
      </c>
      <c r="Y722" s="72">
        <v>46062.432638888888</v>
      </c>
      <c r="Z722" s="104" t="s">
        <v>422</v>
      </c>
      <c r="AA722" s="104" t="s">
        <v>443</v>
      </c>
      <c r="AB722" s="105">
        <v>46062.299305555556</v>
      </c>
      <c r="AC722" s="105">
        <v>46062.42083333333</v>
      </c>
    </row>
    <row r="723" s="70" customFormat="1" ht="11.25" customHeight="1">
      <c r="A723" s="87"/>
      <c r="C723" s="43" t="s">
        <v>1576</v>
      </c>
      <c r="D723" s="71" t="s">
        <v>382</v>
      </c>
      <c r="E723" s="71" t="str">
        <f>MID(D723,1,2)</f>
        <v>IL</v>
      </c>
      <c r="F723" s="71" t="s">
        <v>443</v>
      </c>
      <c r="G723" s="71" t="str">
        <f>MID(F723,1,2)</f>
        <v>US</v>
      </c>
      <c r="H723" s="43" t="s">
        <v>1207</v>
      </c>
      <c r="I723" s="71" t="s">
        <v>1577</v>
      </c>
      <c r="J723" s="71" t="s">
        <v>386</v>
      </c>
      <c r="K723" s="43"/>
      <c r="L723" s="71" t="s">
        <v>107</v>
      </c>
      <c r="M723" s="73">
        <v>70</v>
      </c>
      <c r="N723" s="71" t="s">
        <v>388</v>
      </c>
      <c r="O723" s="73">
        <v>0.9</v>
      </c>
      <c r="P723" s="71" t="s">
        <v>389</v>
      </c>
      <c r="Q723" s="73">
        <v>150</v>
      </c>
      <c r="R723" s="71" t="s">
        <v>388</v>
      </c>
      <c r="S723" s="73">
        <v>0</v>
      </c>
      <c r="T723" s="71" t="s">
        <v>390</v>
      </c>
      <c r="U723" s="74">
        <v>1</v>
      </c>
      <c r="V723" s="71" t="s">
        <v>536</v>
      </c>
      <c r="W723" s="130">
        <v>46059.07104166667</v>
      </c>
      <c r="X723" s="72">
        <v>46061.479166666664</v>
      </c>
      <c r="Y723" s="72">
        <v>46062.432638888888</v>
      </c>
      <c r="Z723" s="104" t="s">
        <v>382</v>
      </c>
      <c r="AA723" s="104" t="s">
        <v>422</v>
      </c>
      <c r="AB723" s="105">
        <v>46061.475694444445</v>
      </c>
      <c r="AC723" s="105">
        <v>46061.673611111109</v>
      </c>
    </row>
    <row r="724" s="70" customFormat="1" ht="11.25" customHeight="1">
      <c r="A724" s="87"/>
      <c r="C724" s="43" t="s">
        <v>1576</v>
      </c>
      <c r="D724" s="71" t="s">
        <v>382</v>
      </c>
      <c r="E724" s="71" t="str">
        <f>MID(D724,1,2)</f>
        <v>IL</v>
      </c>
      <c r="F724" s="71" t="s">
        <v>443</v>
      </c>
      <c r="G724" s="71" t="str">
        <f>MID(F724,1,2)</f>
        <v>US</v>
      </c>
      <c r="H724" s="43" t="s">
        <v>1207</v>
      </c>
      <c r="I724" s="71" t="s">
        <v>1577</v>
      </c>
      <c r="J724" s="71" t="s">
        <v>386</v>
      </c>
      <c r="K724" s="43"/>
      <c r="L724" s="71" t="s">
        <v>107</v>
      </c>
      <c r="M724" s="73">
        <v>70</v>
      </c>
      <c r="N724" s="71" t="s">
        <v>388</v>
      </c>
      <c r="O724" s="73">
        <v>0.9</v>
      </c>
      <c r="P724" s="71" t="s">
        <v>389</v>
      </c>
      <c r="Q724" s="73">
        <v>150</v>
      </c>
      <c r="R724" s="71" t="s">
        <v>388</v>
      </c>
      <c r="S724" s="73">
        <v>0</v>
      </c>
      <c r="T724" s="71" t="s">
        <v>390</v>
      </c>
      <c r="U724" s="74">
        <v>1</v>
      </c>
      <c r="V724" s="71" t="s">
        <v>536</v>
      </c>
      <c r="W724" s="130">
        <v>46059.07104166667</v>
      </c>
      <c r="X724" s="72">
        <v>46061.479166666664</v>
      </c>
      <c r="Y724" s="72">
        <v>46062.432638888888</v>
      </c>
      <c r="Z724" s="104" t="s">
        <v>422</v>
      </c>
      <c r="AA724" s="104" t="s">
        <v>443</v>
      </c>
      <c r="AB724" s="105">
        <v>46062.299305555556</v>
      </c>
      <c r="AC724" s="105">
        <v>46062.42083333333</v>
      </c>
    </row>
    <row r="725" s="70" customFormat="1" ht="11.25" customHeight="1">
      <c r="A725" s="87"/>
      <c r="C725" s="43" t="s">
        <v>1578</v>
      </c>
      <c r="D725" s="71" t="s">
        <v>382</v>
      </c>
      <c r="E725" s="71" t="str">
        <f>MID(D725,1,2)</f>
        <v>IL</v>
      </c>
      <c r="F725" s="71" t="s">
        <v>443</v>
      </c>
      <c r="G725" s="71" t="str">
        <f>MID(F725,1,2)</f>
        <v>US</v>
      </c>
      <c r="H725" s="43" t="s">
        <v>1207</v>
      </c>
      <c r="I725" s="71" t="s">
        <v>1579</v>
      </c>
      <c r="J725" s="71" t="s">
        <v>386</v>
      </c>
      <c r="K725" s="43"/>
      <c r="L725" s="71" t="s">
        <v>107</v>
      </c>
      <c r="M725" s="73">
        <v>140</v>
      </c>
      <c r="N725" s="71" t="s">
        <v>388</v>
      </c>
      <c r="O725" s="73">
        <v>1.8</v>
      </c>
      <c r="P725" s="71" t="s">
        <v>389</v>
      </c>
      <c r="Q725" s="73">
        <v>300</v>
      </c>
      <c r="R725" s="71" t="s">
        <v>388</v>
      </c>
      <c r="S725" s="73">
        <v>0</v>
      </c>
      <c r="T725" s="71" t="s">
        <v>390</v>
      </c>
      <c r="U725" s="74">
        <v>2</v>
      </c>
      <c r="V725" s="71" t="s">
        <v>536</v>
      </c>
      <c r="W725" s="130">
        <v>46058.57708333333</v>
      </c>
      <c r="X725" s="72">
        <v>46061.479166666664</v>
      </c>
      <c r="Y725" s="72">
        <v>46062.432638888888</v>
      </c>
      <c r="Z725" s="104" t="s">
        <v>382</v>
      </c>
      <c r="AA725" s="104" t="s">
        <v>422</v>
      </c>
      <c r="AB725" s="105">
        <v>46061.475694444445</v>
      </c>
      <c r="AC725" s="105">
        <v>46061.673611111109</v>
      </c>
    </row>
    <row r="726" s="70" customFormat="1" ht="11.25" customHeight="1">
      <c r="A726" s="87"/>
      <c r="C726" s="43" t="s">
        <v>1578</v>
      </c>
      <c r="D726" s="71" t="s">
        <v>382</v>
      </c>
      <c r="E726" s="71" t="str">
        <f>MID(D726,1,2)</f>
        <v>IL</v>
      </c>
      <c r="F726" s="71" t="s">
        <v>443</v>
      </c>
      <c r="G726" s="71" t="str">
        <f>MID(F726,1,2)</f>
        <v>US</v>
      </c>
      <c r="H726" s="43" t="s">
        <v>1207</v>
      </c>
      <c r="I726" s="71" t="s">
        <v>1579</v>
      </c>
      <c r="J726" s="71" t="s">
        <v>386</v>
      </c>
      <c r="K726" s="43"/>
      <c r="L726" s="71" t="s">
        <v>107</v>
      </c>
      <c r="M726" s="73">
        <v>140</v>
      </c>
      <c r="N726" s="71" t="s">
        <v>388</v>
      </c>
      <c r="O726" s="73">
        <v>1.8</v>
      </c>
      <c r="P726" s="71" t="s">
        <v>389</v>
      </c>
      <c r="Q726" s="73">
        <v>300</v>
      </c>
      <c r="R726" s="71" t="s">
        <v>388</v>
      </c>
      <c r="S726" s="73">
        <v>0</v>
      </c>
      <c r="T726" s="71" t="s">
        <v>390</v>
      </c>
      <c r="U726" s="74">
        <v>2</v>
      </c>
      <c r="V726" s="71" t="s">
        <v>536</v>
      </c>
      <c r="W726" s="130">
        <v>46058.57708333333</v>
      </c>
      <c r="X726" s="72">
        <v>46061.479166666664</v>
      </c>
      <c r="Y726" s="72">
        <v>46062.432638888888</v>
      </c>
      <c r="Z726" s="104" t="s">
        <v>422</v>
      </c>
      <c r="AA726" s="104" t="s">
        <v>443</v>
      </c>
      <c r="AB726" s="105">
        <v>46062.299305555556</v>
      </c>
      <c r="AC726" s="105">
        <v>46062.42083333333</v>
      </c>
    </row>
    <row r="727" s="70" customFormat="1" ht="11.25" customHeight="1">
      <c r="A727" s="87"/>
      <c r="C727" s="43" t="s">
        <v>1580</v>
      </c>
      <c r="D727" s="71" t="s">
        <v>382</v>
      </c>
      <c r="E727" s="71" t="str">
        <f>MID(D727,1,2)</f>
        <v>IL</v>
      </c>
      <c r="F727" s="71" t="s">
        <v>405</v>
      </c>
      <c r="G727" s="71" t="str">
        <f>MID(F727,1,2)</f>
        <v>CA</v>
      </c>
      <c r="H727" s="43" t="s">
        <v>1447</v>
      </c>
      <c r="I727" s="71" t="s">
        <v>1581</v>
      </c>
      <c r="J727" s="71" t="s">
        <v>454</v>
      </c>
      <c r="K727" s="43"/>
      <c r="L727" s="71" t="s">
        <v>107</v>
      </c>
      <c r="M727" s="73">
        <v>65</v>
      </c>
      <c r="N727" s="71" t="s">
        <v>388</v>
      </c>
      <c r="O727" s="73">
        <v>0.356</v>
      </c>
      <c r="P727" s="71" t="s">
        <v>389</v>
      </c>
      <c r="Q727" s="73">
        <v>65</v>
      </c>
      <c r="R727" s="71" t="s">
        <v>388</v>
      </c>
      <c r="S727" s="73">
        <v>0</v>
      </c>
      <c r="T727" s="71" t="s">
        <v>390</v>
      </c>
      <c r="U727" s="74">
        <v>1</v>
      </c>
      <c r="V727" s="71" t="s">
        <v>391</v>
      </c>
      <c r="W727" s="130">
        <v>46058.632638888892</v>
      </c>
      <c r="X727" s="72">
        <v>46062.496527777781</v>
      </c>
      <c r="Y727" s="72">
        <v>46062.711805555555</v>
      </c>
      <c r="Z727" s="104" t="s">
        <v>382</v>
      </c>
      <c r="AA727" s="104" t="s">
        <v>405</v>
      </c>
      <c r="AB727" s="105">
        <v>46062.502083333333</v>
      </c>
      <c r="AC727" s="105">
        <v>46062.697222222225</v>
      </c>
    </row>
    <row r="728" s="70" customFormat="1" ht="11.25" customHeight="1">
      <c r="A728" s="87"/>
      <c r="C728" s="43" t="s">
        <v>1582</v>
      </c>
      <c r="D728" s="71" t="s">
        <v>382</v>
      </c>
      <c r="E728" s="71" t="str">
        <f>MID(D728,1,2)</f>
        <v>IL</v>
      </c>
      <c r="F728" s="71" t="s">
        <v>1583</v>
      </c>
      <c r="G728" s="71" t="str">
        <f>MID(F728,1,2)</f>
        <v>BR</v>
      </c>
      <c r="H728" s="43" t="s">
        <v>1584</v>
      </c>
      <c r="I728" s="71" t="s">
        <v>1585</v>
      </c>
      <c r="J728" s="71" t="s">
        <v>411</v>
      </c>
      <c r="K728" s="43"/>
      <c r="L728" s="71" t="s">
        <v>105</v>
      </c>
      <c r="M728" s="73">
        <v>48</v>
      </c>
      <c r="N728" s="71" t="s">
        <v>388</v>
      </c>
      <c r="O728" s="73">
        <v>0.048</v>
      </c>
      <c r="P728" s="71" t="s">
        <v>389</v>
      </c>
      <c r="Q728" s="73">
        <v>48</v>
      </c>
      <c r="R728" s="71" t="s">
        <v>388</v>
      </c>
      <c r="S728" s="73">
        <v>0</v>
      </c>
      <c r="T728" s="71" t="s">
        <v>390</v>
      </c>
      <c r="U728" s="74">
        <v>1</v>
      </c>
      <c r="V728" s="71" t="s">
        <v>391</v>
      </c>
      <c r="W728" s="130">
        <v>46058.914444444446</v>
      </c>
      <c r="X728" s="72">
        <v>46059.572916666664</v>
      </c>
      <c r="Y728" s="72">
        <v>46069.454861111109</v>
      </c>
      <c r="Z728" s="104" t="s">
        <v>382</v>
      </c>
      <c r="AA728" s="104" t="s">
        <v>383</v>
      </c>
      <c r="AB728" s="105">
        <v>46059.810416666667</v>
      </c>
      <c r="AC728" s="105">
        <v>46059.956944444442</v>
      </c>
    </row>
    <row r="729" s="70" customFormat="1" ht="11.25" customHeight="1">
      <c r="A729" s="87"/>
      <c r="C729" s="43" t="s">
        <v>1582</v>
      </c>
      <c r="D729" s="71" t="s">
        <v>382</v>
      </c>
      <c r="E729" s="71" t="str">
        <f>MID(D729,1,2)</f>
        <v>IL</v>
      </c>
      <c r="F729" s="71" t="s">
        <v>1583</v>
      </c>
      <c r="G729" s="71" t="str">
        <f>MID(F729,1,2)</f>
        <v>BR</v>
      </c>
      <c r="H729" s="43" t="s">
        <v>1584</v>
      </c>
      <c r="I729" s="71" t="s">
        <v>1585</v>
      </c>
      <c r="J729" s="71" t="s">
        <v>411</v>
      </c>
      <c r="K729" s="43"/>
      <c r="L729" s="71" t="s">
        <v>105</v>
      </c>
      <c r="M729" s="73">
        <v>48</v>
      </c>
      <c r="N729" s="71" t="s">
        <v>388</v>
      </c>
      <c r="O729" s="73">
        <v>0.048</v>
      </c>
      <c r="P729" s="71" t="s">
        <v>389</v>
      </c>
      <c r="Q729" s="73">
        <v>48</v>
      </c>
      <c r="R729" s="71" t="s">
        <v>388</v>
      </c>
      <c r="S729" s="73">
        <v>0</v>
      </c>
      <c r="T729" s="71" t="s">
        <v>390</v>
      </c>
      <c r="U729" s="74">
        <v>1</v>
      </c>
      <c r="V729" s="71" t="s">
        <v>391</v>
      </c>
      <c r="W729" s="130">
        <v>46058.914444444446</v>
      </c>
      <c r="X729" s="72">
        <v>46059.572916666664</v>
      </c>
      <c r="Y729" s="72">
        <v>46069.454861111109</v>
      </c>
      <c r="Z729" s="104" t="s">
        <v>383</v>
      </c>
      <c r="AA729" s="104" t="s">
        <v>1349</v>
      </c>
      <c r="AB729" s="105">
        <v>46061.8375</v>
      </c>
      <c r="AC729" s="105">
        <v>46062.152083333334</v>
      </c>
    </row>
    <row r="730" s="70" customFormat="1" ht="11.25" customHeight="1">
      <c r="A730" s="87"/>
      <c r="C730" s="43" t="s">
        <v>1582</v>
      </c>
      <c r="D730" s="71" t="s">
        <v>382</v>
      </c>
      <c r="E730" s="71" t="str">
        <f>MID(D730,1,2)</f>
        <v>IL</v>
      </c>
      <c r="F730" s="71" t="s">
        <v>1583</v>
      </c>
      <c r="G730" s="71" t="str">
        <f>MID(F730,1,2)</f>
        <v>BR</v>
      </c>
      <c r="H730" s="43" t="s">
        <v>1584</v>
      </c>
      <c r="I730" s="71" t="s">
        <v>1585</v>
      </c>
      <c r="J730" s="71" t="s">
        <v>411</v>
      </c>
      <c r="K730" s="43"/>
      <c r="L730" s="71" t="s">
        <v>105</v>
      </c>
      <c r="M730" s="73">
        <v>48</v>
      </c>
      <c r="N730" s="71" t="s">
        <v>388</v>
      </c>
      <c r="O730" s="73">
        <v>0.048</v>
      </c>
      <c r="P730" s="71" t="s">
        <v>389</v>
      </c>
      <c r="Q730" s="73">
        <v>48</v>
      </c>
      <c r="R730" s="71" t="s">
        <v>388</v>
      </c>
      <c r="S730" s="73">
        <v>0</v>
      </c>
      <c r="T730" s="71" t="s">
        <v>390</v>
      </c>
      <c r="U730" s="74">
        <v>1</v>
      </c>
      <c r="V730" s="71" t="s">
        <v>391</v>
      </c>
      <c r="W730" s="130">
        <v>46058.914444444446</v>
      </c>
      <c r="X730" s="72">
        <v>46059.572916666664</v>
      </c>
      <c r="Y730" s="72">
        <v>46069.454861111109</v>
      </c>
      <c r="Z730" s="104" t="s">
        <v>1349</v>
      </c>
      <c r="AA730" s="104" t="s">
        <v>1583</v>
      </c>
      <c r="AB730" s="105">
        <v>46066.34375</v>
      </c>
      <c r="AC730" s="105">
        <v>46069.302083333336</v>
      </c>
    </row>
    <row r="731" s="70" customFormat="1" ht="11.25" customHeight="1">
      <c r="A731" s="87"/>
      <c r="C731" s="43" t="s">
        <v>1586</v>
      </c>
      <c r="D731" s="71" t="s">
        <v>382</v>
      </c>
      <c r="E731" s="71" t="str">
        <f>MID(D731,1,2)</f>
        <v>IL</v>
      </c>
      <c r="F731" s="71" t="s">
        <v>590</v>
      </c>
      <c r="G731" s="71" t="str">
        <f>MID(F731,1,2)</f>
        <v>ES</v>
      </c>
      <c r="H731" s="43" t="s">
        <v>1587</v>
      </c>
      <c r="I731" s="71"/>
      <c r="J731" s="71" t="s">
        <v>411</v>
      </c>
      <c r="K731" s="43"/>
      <c r="L731" s="71" t="s">
        <v>105</v>
      </c>
      <c r="M731" s="73">
        <v>1</v>
      </c>
      <c r="N731" s="71" t="s">
        <v>388</v>
      </c>
      <c r="O731" s="73">
        <v>0.024</v>
      </c>
      <c r="P731" s="71" t="s">
        <v>389</v>
      </c>
      <c r="Q731" s="73">
        <v>4</v>
      </c>
      <c r="R731" s="71" t="s">
        <v>388</v>
      </c>
      <c r="S731" s="73">
        <v>0</v>
      </c>
      <c r="T731" s="71" t="s">
        <v>390</v>
      </c>
      <c r="U731" s="74">
        <v>1</v>
      </c>
      <c r="V731" s="71" t="s">
        <v>390</v>
      </c>
      <c r="W731" s="130"/>
      <c r="X731" s="72">
        <v>46062.565972222219</v>
      </c>
      <c r="Y731" s="72">
        <v>46063.552083333336</v>
      </c>
      <c r="Z731" s="104" t="s">
        <v>382</v>
      </c>
      <c r="AA731" s="104" t="s">
        <v>451</v>
      </c>
      <c r="AB731" s="105">
        <v>46062.619444444441</v>
      </c>
      <c r="AC731" s="105"/>
    </row>
    <row r="732" s="70" customFormat="1" ht="11.25" customHeight="1">
      <c r="A732" s="87"/>
      <c r="C732" s="43" t="s">
        <v>1586</v>
      </c>
      <c r="D732" s="71" t="s">
        <v>382</v>
      </c>
      <c r="E732" s="71" t="str">
        <f>MID(D732,1,2)</f>
        <v>IL</v>
      </c>
      <c r="F732" s="71" t="s">
        <v>590</v>
      </c>
      <c r="G732" s="71" t="str">
        <f>MID(F732,1,2)</f>
        <v>ES</v>
      </c>
      <c r="H732" s="43" t="s">
        <v>1587</v>
      </c>
      <c r="I732" s="71"/>
      <c r="J732" s="71" t="s">
        <v>411</v>
      </c>
      <c r="K732" s="43"/>
      <c r="L732" s="71" t="s">
        <v>105</v>
      </c>
      <c r="M732" s="73">
        <v>1</v>
      </c>
      <c r="N732" s="71" t="s">
        <v>388</v>
      </c>
      <c r="O732" s="73">
        <v>0.024</v>
      </c>
      <c r="P732" s="71" t="s">
        <v>389</v>
      </c>
      <c r="Q732" s="73">
        <v>4</v>
      </c>
      <c r="R732" s="71" t="s">
        <v>388</v>
      </c>
      <c r="S732" s="73">
        <v>0</v>
      </c>
      <c r="T732" s="71" t="s">
        <v>390</v>
      </c>
      <c r="U732" s="74">
        <v>1</v>
      </c>
      <c r="V732" s="71" t="s">
        <v>390</v>
      </c>
      <c r="W732" s="130"/>
      <c r="X732" s="72">
        <v>46062.565972222219</v>
      </c>
      <c r="Y732" s="72">
        <v>46063.552083333336</v>
      </c>
      <c r="Z732" s="104" t="s">
        <v>451</v>
      </c>
      <c r="AA732" s="104" t="s">
        <v>590</v>
      </c>
      <c r="AB732" s="105">
        <v>46063.352777777778</v>
      </c>
      <c r="AC732" s="105">
        <v>46063.445138888892</v>
      </c>
    </row>
    <row r="733" s="70" customFormat="1" ht="11.25" customHeight="1">
      <c r="A733" s="87"/>
      <c r="C733" s="43" t="s">
        <v>1588</v>
      </c>
      <c r="D733" s="71" t="s">
        <v>382</v>
      </c>
      <c r="E733" s="71" t="str">
        <f>MID(D733,1,2)</f>
        <v>IL</v>
      </c>
      <c r="F733" s="71" t="s">
        <v>1583</v>
      </c>
      <c r="G733" s="71" t="str">
        <f>MID(F733,1,2)</f>
        <v>BR</v>
      </c>
      <c r="H733" s="43" t="s">
        <v>1584</v>
      </c>
      <c r="I733" s="71" t="s">
        <v>1589</v>
      </c>
      <c r="J733" s="71" t="s">
        <v>411</v>
      </c>
      <c r="K733" s="43"/>
      <c r="L733" s="71" t="s">
        <v>105</v>
      </c>
      <c r="M733" s="73">
        <v>2.3</v>
      </c>
      <c r="N733" s="71" t="s">
        <v>388</v>
      </c>
      <c r="O733" s="73">
        <v>0.038</v>
      </c>
      <c r="P733" s="71" t="s">
        <v>389</v>
      </c>
      <c r="Q733" s="73">
        <v>6.5</v>
      </c>
      <c r="R733" s="71" t="s">
        <v>388</v>
      </c>
      <c r="S733" s="73">
        <v>0</v>
      </c>
      <c r="T733" s="71" t="s">
        <v>390</v>
      </c>
      <c r="U733" s="74">
        <v>2</v>
      </c>
      <c r="V733" s="71" t="s">
        <v>391</v>
      </c>
      <c r="W733" s="130">
        <v>46058.910949074074</v>
      </c>
      <c r="X733" s="72">
        <v>46059.572916666664</v>
      </c>
      <c r="Y733" s="72">
        <v>46069.454861111109</v>
      </c>
      <c r="Z733" s="104" t="s">
        <v>382</v>
      </c>
      <c r="AA733" s="104" t="s">
        <v>383</v>
      </c>
      <c r="AB733" s="105">
        <v>46059.810416666667</v>
      </c>
      <c r="AC733" s="105">
        <v>46059.956944444442</v>
      </c>
    </row>
    <row r="734" s="70" customFormat="1" ht="11.25" customHeight="1">
      <c r="A734" s="87"/>
      <c r="C734" s="43" t="s">
        <v>1588</v>
      </c>
      <c r="D734" s="71" t="s">
        <v>382</v>
      </c>
      <c r="E734" s="71" t="str">
        <f>MID(D734,1,2)</f>
        <v>IL</v>
      </c>
      <c r="F734" s="71" t="s">
        <v>1583</v>
      </c>
      <c r="G734" s="71" t="str">
        <f>MID(F734,1,2)</f>
        <v>BR</v>
      </c>
      <c r="H734" s="43" t="s">
        <v>1584</v>
      </c>
      <c r="I734" s="71" t="s">
        <v>1589</v>
      </c>
      <c r="J734" s="71" t="s">
        <v>411</v>
      </c>
      <c r="K734" s="43"/>
      <c r="L734" s="71" t="s">
        <v>105</v>
      </c>
      <c r="M734" s="73">
        <v>2.3</v>
      </c>
      <c r="N734" s="71" t="s">
        <v>388</v>
      </c>
      <c r="O734" s="73">
        <v>0.038</v>
      </c>
      <c r="P734" s="71" t="s">
        <v>389</v>
      </c>
      <c r="Q734" s="73">
        <v>6.5</v>
      </c>
      <c r="R734" s="71" t="s">
        <v>388</v>
      </c>
      <c r="S734" s="73">
        <v>0</v>
      </c>
      <c r="T734" s="71" t="s">
        <v>390</v>
      </c>
      <c r="U734" s="74">
        <v>2</v>
      </c>
      <c r="V734" s="71" t="s">
        <v>391</v>
      </c>
      <c r="W734" s="130">
        <v>46058.910949074074</v>
      </c>
      <c r="X734" s="72">
        <v>46059.572916666664</v>
      </c>
      <c r="Y734" s="72">
        <v>46069.454861111109</v>
      </c>
      <c r="Z734" s="104" t="s">
        <v>383</v>
      </c>
      <c r="AA734" s="104" t="s">
        <v>1349</v>
      </c>
      <c r="AB734" s="105">
        <v>46061.8375</v>
      </c>
      <c r="AC734" s="105">
        <v>46062.152083333334</v>
      </c>
    </row>
    <row r="735" s="70" customFormat="1" ht="11.25" customHeight="1">
      <c r="A735" s="87"/>
      <c r="C735" s="43" t="s">
        <v>1588</v>
      </c>
      <c r="D735" s="71" t="s">
        <v>382</v>
      </c>
      <c r="E735" s="71" t="str">
        <f>MID(D735,1,2)</f>
        <v>IL</v>
      </c>
      <c r="F735" s="71" t="s">
        <v>1583</v>
      </c>
      <c r="G735" s="71" t="str">
        <f>MID(F735,1,2)</f>
        <v>BR</v>
      </c>
      <c r="H735" s="43" t="s">
        <v>1584</v>
      </c>
      <c r="I735" s="71" t="s">
        <v>1589</v>
      </c>
      <c r="J735" s="71" t="s">
        <v>411</v>
      </c>
      <c r="K735" s="43"/>
      <c r="L735" s="71" t="s">
        <v>105</v>
      </c>
      <c r="M735" s="73">
        <v>2.3</v>
      </c>
      <c r="N735" s="71" t="s">
        <v>388</v>
      </c>
      <c r="O735" s="73">
        <v>0.038</v>
      </c>
      <c r="P735" s="71" t="s">
        <v>389</v>
      </c>
      <c r="Q735" s="73">
        <v>6.5</v>
      </c>
      <c r="R735" s="71" t="s">
        <v>388</v>
      </c>
      <c r="S735" s="73">
        <v>0</v>
      </c>
      <c r="T735" s="71" t="s">
        <v>390</v>
      </c>
      <c r="U735" s="74">
        <v>2</v>
      </c>
      <c r="V735" s="71" t="s">
        <v>391</v>
      </c>
      <c r="W735" s="130">
        <v>46058.910949074074</v>
      </c>
      <c r="X735" s="72">
        <v>46059.572916666664</v>
      </c>
      <c r="Y735" s="72">
        <v>46069.454861111109</v>
      </c>
      <c r="Z735" s="104" t="s">
        <v>1349</v>
      </c>
      <c r="AA735" s="104" t="s">
        <v>1583</v>
      </c>
      <c r="AB735" s="105">
        <v>46066.34375</v>
      </c>
      <c r="AC735" s="105">
        <v>46069.302083333336</v>
      </c>
    </row>
    <row r="736" s="70" customFormat="1" ht="11.25" customHeight="1">
      <c r="A736" s="87"/>
      <c r="C736" s="43" t="s">
        <v>1590</v>
      </c>
      <c r="D736" s="71" t="s">
        <v>382</v>
      </c>
      <c r="E736" s="71" t="str">
        <f>MID(D736,1,2)</f>
        <v>IL</v>
      </c>
      <c r="F736" s="71" t="s">
        <v>522</v>
      </c>
      <c r="G736" s="71" t="str">
        <f>MID(F736,1,2)</f>
        <v>CZ</v>
      </c>
      <c r="H736" s="43" t="s">
        <v>1591</v>
      </c>
      <c r="I736" s="71" t="s">
        <v>1592</v>
      </c>
      <c r="J736" s="71" t="s">
        <v>386</v>
      </c>
      <c r="K736" s="43"/>
      <c r="L736" s="71" t="s">
        <v>107</v>
      </c>
      <c r="M736" s="73">
        <v>356</v>
      </c>
      <c r="N736" s="71" t="s">
        <v>388</v>
      </c>
      <c r="O736" s="73">
        <v>3.48</v>
      </c>
      <c r="P736" s="71" t="s">
        <v>389</v>
      </c>
      <c r="Q736" s="73">
        <v>580</v>
      </c>
      <c r="R736" s="71" t="s">
        <v>388</v>
      </c>
      <c r="S736" s="73">
        <v>0</v>
      </c>
      <c r="T736" s="71" t="s">
        <v>390</v>
      </c>
      <c r="U736" s="74">
        <v>2</v>
      </c>
      <c r="V736" s="71" t="s">
        <v>391</v>
      </c>
      <c r="W736" s="130">
        <v>46061.515625</v>
      </c>
      <c r="X736" s="72">
        <v>46063.576388888891</v>
      </c>
      <c r="Y736" s="72">
        <v>46065.644444444442</v>
      </c>
      <c r="Z736" s="104" t="s">
        <v>382</v>
      </c>
      <c r="AA736" s="104" t="s">
        <v>383</v>
      </c>
      <c r="AB736" s="105">
        <v>46063.593055555553</v>
      </c>
      <c r="AC736" s="105">
        <v>46063.7375</v>
      </c>
    </row>
    <row r="737" s="70" customFormat="1" ht="11.25" customHeight="1">
      <c r="A737" s="87"/>
      <c r="C737" s="43" t="s">
        <v>1590</v>
      </c>
      <c r="D737" s="71" t="s">
        <v>382</v>
      </c>
      <c r="E737" s="71" t="str">
        <f>MID(D737,1,2)</f>
        <v>IL</v>
      </c>
      <c r="F737" s="71" t="s">
        <v>522</v>
      </c>
      <c r="G737" s="71" t="str">
        <f>MID(F737,1,2)</f>
        <v>CZ</v>
      </c>
      <c r="H737" s="43" t="s">
        <v>1591</v>
      </c>
      <c r="I737" s="71" t="s">
        <v>1592</v>
      </c>
      <c r="J737" s="71" t="s">
        <v>386</v>
      </c>
      <c r="K737" s="43"/>
      <c r="L737" s="71" t="s">
        <v>107</v>
      </c>
      <c r="M737" s="73">
        <v>356</v>
      </c>
      <c r="N737" s="71" t="s">
        <v>388</v>
      </c>
      <c r="O737" s="73">
        <v>3.48</v>
      </c>
      <c r="P737" s="71" t="s">
        <v>389</v>
      </c>
      <c r="Q737" s="73">
        <v>580</v>
      </c>
      <c r="R737" s="71" t="s">
        <v>388</v>
      </c>
      <c r="S737" s="73">
        <v>0</v>
      </c>
      <c r="T737" s="71" t="s">
        <v>390</v>
      </c>
      <c r="U737" s="74">
        <v>2</v>
      </c>
      <c r="V737" s="71" t="s">
        <v>391</v>
      </c>
      <c r="W737" s="130">
        <v>46061.515625</v>
      </c>
      <c r="X737" s="72">
        <v>46063.576388888891</v>
      </c>
      <c r="Y737" s="72">
        <v>46065.644444444442</v>
      </c>
      <c r="Z737" s="104" t="s">
        <v>383</v>
      </c>
      <c r="AA737" s="104" t="s">
        <v>522</v>
      </c>
      <c r="AB737" s="105">
        <v>46065.097222222219</v>
      </c>
      <c r="AC737" s="105">
        <v>46065.428472222222</v>
      </c>
    </row>
    <row r="738" s="70" customFormat="1" ht="11.25" customHeight="1">
      <c r="A738" s="87"/>
      <c r="C738" s="43" t="s">
        <v>1593</v>
      </c>
      <c r="D738" s="71" t="s">
        <v>382</v>
      </c>
      <c r="E738" s="71" t="str">
        <f>MID(D738,1,2)</f>
        <v>IL</v>
      </c>
      <c r="F738" s="71" t="s">
        <v>422</v>
      </c>
      <c r="G738" s="71" t="str">
        <f>MID(F738,1,2)</f>
        <v>US</v>
      </c>
      <c r="H738" s="43" t="s">
        <v>1215</v>
      </c>
      <c r="I738" s="71" t="s">
        <v>1594</v>
      </c>
      <c r="J738" s="71" t="s">
        <v>386</v>
      </c>
      <c r="K738" s="43" t="s">
        <v>431</v>
      </c>
      <c r="L738" s="71" t="s">
        <v>107</v>
      </c>
      <c r="M738" s="73">
        <v>1</v>
      </c>
      <c r="N738" s="71" t="s">
        <v>388</v>
      </c>
      <c r="O738" s="73">
        <v>0.012</v>
      </c>
      <c r="P738" s="71" t="s">
        <v>389</v>
      </c>
      <c r="Q738" s="73">
        <v>2</v>
      </c>
      <c r="R738" s="71" t="s">
        <v>388</v>
      </c>
      <c r="S738" s="73">
        <v>0</v>
      </c>
      <c r="T738" s="71" t="s">
        <v>390</v>
      </c>
      <c r="U738" s="74">
        <v>1</v>
      </c>
      <c r="V738" s="71" t="s">
        <v>427</v>
      </c>
      <c r="W738" s="130">
        <v>46058.61875</v>
      </c>
      <c r="X738" s="72">
        <v>46060.458333333336</v>
      </c>
      <c r="Y738" s="72">
        <v>46061.690972222219</v>
      </c>
      <c r="Z738" s="104" t="s">
        <v>382</v>
      </c>
      <c r="AA738" s="104" t="s">
        <v>422</v>
      </c>
      <c r="AB738" s="105">
        <v>46061.475694444445</v>
      </c>
      <c r="AC738" s="105">
        <v>46061.673611111109</v>
      </c>
    </row>
    <row r="739" s="70" customFormat="1" ht="11.25" customHeight="1">
      <c r="A739" s="87"/>
      <c r="C739" s="43" t="s">
        <v>1595</v>
      </c>
      <c r="D739" s="71" t="s">
        <v>382</v>
      </c>
      <c r="E739" s="71" t="str">
        <f>MID(D739,1,2)</f>
        <v>IL</v>
      </c>
      <c r="F739" s="71" t="s">
        <v>383</v>
      </c>
      <c r="G739" s="71" t="str">
        <f>MID(F739,1,2)</f>
        <v>DE</v>
      </c>
      <c r="H739" s="43" t="s">
        <v>1596</v>
      </c>
      <c r="I739" s="71" t="s">
        <v>1597</v>
      </c>
      <c r="J739" s="71" t="s">
        <v>386</v>
      </c>
      <c r="K739" s="43"/>
      <c r="L739" s="71" t="s">
        <v>107</v>
      </c>
      <c r="M739" s="73">
        <v>606</v>
      </c>
      <c r="N739" s="71" t="s">
        <v>388</v>
      </c>
      <c r="O739" s="73">
        <v>1.34</v>
      </c>
      <c r="P739" s="71" t="s">
        <v>389</v>
      </c>
      <c r="Q739" s="73">
        <v>606</v>
      </c>
      <c r="R739" s="71" t="s">
        <v>388</v>
      </c>
      <c r="S739" s="73">
        <v>0</v>
      </c>
      <c r="T739" s="71" t="s">
        <v>390</v>
      </c>
      <c r="U739" s="74">
        <v>1</v>
      </c>
      <c r="V739" s="71" t="s">
        <v>391</v>
      </c>
      <c r="W739" s="130">
        <v>46062.637592592589</v>
      </c>
      <c r="X739" s="72">
        <v>46063.309027777781</v>
      </c>
      <c r="Y739" s="72">
        <v>46067.21875</v>
      </c>
      <c r="Z739" s="104" t="s">
        <v>383</v>
      </c>
      <c r="AA739" s="104" t="s">
        <v>1065</v>
      </c>
      <c r="AB739" s="105">
        <v>46083.958333333336</v>
      </c>
      <c r="AC739" s="105">
        <v>46084.083333333336</v>
      </c>
    </row>
    <row r="740" s="70" customFormat="1" ht="11.25" customHeight="1">
      <c r="A740" s="87"/>
      <c r="C740" s="43" t="s">
        <v>1595</v>
      </c>
      <c r="D740" s="71" t="s">
        <v>382</v>
      </c>
      <c r="E740" s="71" t="str">
        <f>MID(D740,1,2)</f>
        <v>IL</v>
      </c>
      <c r="F740" s="71" t="s">
        <v>383</v>
      </c>
      <c r="G740" s="71" t="str">
        <f>MID(F740,1,2)</f>
        <v>DE</v>
      </c>
      <c r="H740" s="43" t="s">
        <v>1596</v>
      </c>
      <c r="I740" s="71" t="s">
        <v>1597</v>
      </c>
      <c r="J740" s="71" t="s">
        <v>386</v>
      </c>
      <c r="K740" s="43"/>
      <c r="L740" s="71" t="s">
        <v>107</v>
      </c>
      <c r="M740" s="73">
        <v>606</v>
      </c>
      <c r="N740" s="71" t="s">
        <v>388</v>
      </c>
      <c r="O740" s="73">
        <v>1.34</v>
      </c>
      <c r="P740" s="71" t="s">
        <v>389</v>
      </c>
      <c r="Q740" s="73">
        <v>606</v>
      </c>
      <c r="R740" s="71" t="s">
        <v>388</v>
      </c>
      <c r="S740" s="73">
        <v>0</v>
      </c>
      <c r="T740" s="71" t="s">
        <v>390</v>
      </c>
      <c r="U740" s="74">
        <v>1</v>
      </c>
      <c r="V740" s="71" t="s">
        <v>391</v>
      </c>
      <c r="W740" s="130">
        <v>46062.637592592589</v>
      </c>
      <c r="X740" s="72">
        <v>46063.309027777781</v>
      </c>
      <c r="Y740" s="72">
        <v>46067.21875</v>
      </c>
      <c r="Z740" s="104" t="s">
        <v>382</v>
      </c>
      <c r="AA740" s="104" t="s">
        <v>748</v>
      </c>
      <c r="AB740" s="105">
        <v>46063.877083333333</v>
      </c>
      <c r="AC740" s="105">
        <v>46063.995138888888</v>
      </c>
    </row>
    <row r="741" s="70" customFormat="1" ht="11.25" customHeight="1">
      <c r="A741" s="87"/>
      <c r="C741" s="43" t="s">
        <v>1595</v>
      </c>
      <c r="D741" s="71" t="s">
        <v>382</v>
      </c>
      <c r="E741" s="71" t="str">
        <f>MID(D741,1,2)</f>
        <v>IL</v>
      </c>
      <c r="F741" s="71" t="s">
        <v>383</v>
      </c>
      <c r="G741" s="71" t="str">
        <f>MID(F741,1,2)</f>
        <v>DE</v>
      </c>
      <c r="H741" s="43" t="s">
        <v>1596</v>
      </c>
      <c r="I741" s="71" t="s">
        <v>1597</v>
      </c>
      <c r="J741" s="71" t="s">
        <v>386</v>
      </c>
      <c r="K741" s="43"/>
      <c r="L741" s="71" t="s">
        <v>107</v>
      </c>
      <c r="M741" s="73">
        <v>606</v>
      </c>
      <c r="N741" s="71" t="s">
        <v>388</v>
      </c>
      <c r="O741" s="73">
        <v>1.34</v>
      </c>
      <c r="P741" s="71" t="s">
        <v>389</v>
      </c>
      <c r="Q741" s="73">
        <v>606</v>
      </c>
      <c r="R741" s="71" t="s">
        <v>388</v>
      </c>
      <c r="S741" s="73">
        <v>0</v>
      </c>
      <c r="T741" s="71" t="s">
        <v>390</v>
      </c>
      <c r="U741" s="74">
        <v>1</v>
      </c>
      <c r="V741" s="71" t="s">
        <v>391</v>
      </c>
      <c r="W741" s="130">
        <v>46062.637592592589</v>
      </c>
      <c r="X741" s="72">
        <v>46063.309027777781</v>
      </c>
      <c r="Y741" s="72">
        <v>46067.21875</v>
      </c>
      <c r="Z741" s="104" t="s">
        <v>748</v>
      </c>
      <c r="AA741" s="104" t="s">
        <v>383</v>
      </c>
      <c r="AB741" s="105">
        <v>46064.348611111112</v>
      </c>
      <c r="AC741" s="105">
        <v>46064.625</v>
      </c>
    </row>
    <row r="742" s="70" customFormat="1" ht="11.25" customHeight="1">
      <c r="A742" s="87"/>
      <c r="C742" s="43" t="s">
        <v>1598</v>
      </c>
      <c r="D742" s="71" t="s">
        <v>382</v>
      </c>
      <c r="E742" s="71" t="str">
        <f>MID(D742,1,2)</f>
        <v>IL</v>
      </c>
      <c r="F742" s="71" t="s">
        <v>774</v>
      </c>
      <c r="G742" s="71" t="str">
        <f>MID(F742,1,2)</f>
        <v>CN</v>
      </c>
      <c r="H742" s="43" t="s">
        <v>1361</v>
      </c>
      <c r="I742" s="71" t="s">
        <v>1599</v>
      </c>
      <c r="J742" s="71" t="s">
        <v>454</v>
      </c>
      <c r="K742" s="43"/>
      <c r="L742" s="71" t="s">
        <v>107</v>
      </c>
      <c r="M742" s="73">
        <v>884</v>
      </c>
      <c r="N742" s="71" t="s">
        <v>388</v>
      </c>
      <c r="O742" s="73">
        <v>5.449</v>
      </c>
      <c r="P742" s="71" t="s">
        <v>389</v>
      </c>
      <c r="Q742" s="73">
        <v>908.5</v>
      </c>
      <c r="R742" s="71" t="s">
        <v>388</v>
      </c>
      <c r="S742" s="73">
        <v>0</v>
      </c>
      <c r="T742" s="71" t="s">
        <v>390</v>
      </c>
      <c r="U742" s="74">
        <v>5</v>
      </c>
      <c r="V742" s="71" t="s">
        <v>391</v>
      </c>
      <c r="W742" s="130">
        <v>46058.66443287037</v>
      </c>
      <c r="X742" s="72">
        <v>46061.472222222219</v>
      </c>
      <c r="Y742" s="72">
        <v>46064.838888888888</v>
      </c>
      <c r="Z742" s="104" t="s">
        <v>382</v>
      </c>
      <c r="AA742" s="104" t="s">
        <v>1363</v>
      </c>
      <c r="AB742" s="105">
        <v>46061.426388888889</v>
      </c>
      <c r="AC742" s="105"/>
    </row>
    <row r="743" s="70" customFormat="1" ht="11.25" customHeight="1">
      <c r="A743" s="87"/>
      <c r="C743" s="43" t="s">
        <v>1598</v>
      </c>
      <c r="D743" s="71" t="s">
        <v>382</v>
      </c>
      <c r="E743" s="71" t="str">
        <f>MID(D743,1,2)</f>
        <v>IL</v>
      </c>
      <c r="F743" s="71" t="s">
        <v>774</v>
      </c>
      <c r="G743" s="71" t="str">
        <f>MID(F743,1,2)</f>
        <v>CN</v>
      </c>
      <c r="H743" s="43" t="s">
        <v>1361</v>
      </c>
      <c r="I743" s="71" t="s">
        <v>1599</v>
      </c>
      <c r="J743" s="71" t="s">
        <v>454</v>
      </c>
      <c r="K743" s="43"/>
      <c r="L743" s="71" t="s">
        <v>107</v>
      </c>
      <c r="M743" s="73">
        <v>884</v>
      </c>
      <c r="N743" s="71" t="s">
        <v>388</v>
      </c>
      <c r="O743" s="73">
        <v>5.449</v>
      </c>
      <c r="P743" s="71" t="s">
        <v>389</v>
      </c>
      <c r="Q743" s="73">
        <v>908.5</v>
      </c>
      <c r="R743" s="71" t="s">
        <v>388</v>
      </c>
      <c r="S743" s="73">
        <v>0</v>
      </c>
      <c r="T743" s="71" t="s">
        <v>390</v>
      </c>
      <c r="U743" s="74">
        <v>5</v>
      </c>
      <c r="V743" s="71" t="s">
        <v>391</v>
      </c>
      <c r="W743" s="130">
        <v>46058.66443287037</v>
      </c>
      <c r="X743" s="72">
        <v>46061.472222222219</v>
      </c>
      <c r="Y743" s="72">
        <v>46064.838888888888</v>
      </c>
      <c r="Z743" s="104" t="s">
        <v>1363</v>
      </c>
      <c r="AA743" s="104" t="s">
        <v>774</v>
      </c>
      <c r="AB743" s="105">
        <v>46064.711805555555</v>
      </c>
      <c r="AC743" s="105">
        <v>46064.826388888891</v>
      </c>
    </row>
    <row r="744" s="70" customFormat="1" ht="11.25" customHeight="1">
      <c r="A744" s="87"/>
      <c r="C744" s="43" t="s">
        <v>1600</v>
      </c>
      <c r="D744" s="71" t="s">
        <v>382</v>
      </c>
      <c r="E744" s="71" t="str">
        <f>MID(D744,1,2)</f>
        <v>IL</v>
      </c>
      <c r="F744" s="71" t="s">
        <v>422</v>
      </c>
      <c r="G744" s="71" t="str">
        <f>MID(F744,1,2)</f>
        <v>US</v>
      </c>
      <c r="H744" s="43" t="s">
        <v>1215</v>
      </c>
      <c r="I744" s="71" t="s">
        <v>1601</v>
      </c>
      <c r="J744" s="71" t="s">
        <v>386</v>
      </c>
      <c r="K744" s="43" t="s">
        <v>431</v>
      </c>
      <c r="L744" s="71" t="s">
        <v>107</v>
      </c>
      <c r="M744" s="73">
        <v>6</v>
      </c>
      <c r="N744" s="71" t="s">
        <v>388</v>
      </c>
      <c r="O744" s="73">
        <v>0.15</v>
      </c>
      <c r="P744" s="71" t="s">
        <v>389</v>
      </c>
      <c r="Q744" s="73">
        <v>25</v>
      </c>
      <c r="R744" s="71" t="s">
        <v>388</v>
      </c>
      <c r="S744" s="73">
        <v>0</v>
      </c>
      <c r="T744" s="71" t="s">
        <v>390</v>
      </c>
      <c r="U744" s="74">
        <v>1</v>
      </c>
      <c r="V744" s="71" t="s">
        <v>427</v>
      </c>
      <c r="W744" s="130">
        <v>46058.625</v>
      </c>
      <c r="X744" s="72">
        <v>46060.458333333336</v>
      </c>
      <c r="Y744" s="72">
        <v>46061.690972222219</v>
      </c>
      <c r="Z744" s="104" t="s">
        <v>382</v>
      </c>
      <c r="AA744" s="104" t="s">
        <v>422</v>
      </c>
      <c r="AB744" s="105">
        <v>46061.475694444445</v>
      </c>
      <c r="AC744" s="105">
        <v>46061.673611111109</v>
      </c>
    </row>
    <row r="745" s="70" customFormat="1" ht="11.25" customHeight="1">
      <c r="A745" s="87"/>
      <c r="C745" s="43" t="s">
        <v>1602</v>
      </c>
      <c r="D745" s="71" t="s">
        <v>382</v>
      </c>
      <c r="E745" s="71" t="str">
        <f>MID(D745,1,2)</f>
        <v>IL</v>
      </c>
      <c r="F745" s="71" t="s">
        <v>863</v>
      </c>
      <c r="G745" s="71" t="str">
        <f>MID(F745,1,2)</f>
        <v>DE</v>
      </c>
      <c r="H745" s="43" t="s">
        <v>1603</v>
      </c>
      <c r="I745" s="71" t="s">
        <v>1604</v>
      </c>
      <c r="J745" s="71" t="s">
        <v>386</v>
      </c>
      <c r="K745" s="43"/>
      <c r="L745" s="71" t="s">
        <v>107</v>
      </c>
      <c r="M745" s="73">
        <v>21</v>
      </c>
      <c r="N745" s="71" t="s">
        <v>388</v>
      </c>
      <c r="O745" s="73">
        <v>0.12</v>
      </c>
      <c r="P745" s="71" t="s">
        <v>389</v>
      </c>
      <c r="Q745" s="73">
        <v>21</v>
      </c>
      <c r="R745" s="71" t="s">
        <v>388</v>
      </c>
      <c r="S745" s="73">
        <v>0</v>
      </c>
      <c r="T745" s="71" t="s">
        <v>390</v>
      </c>
      <c r="U745" s="74">
        <v>1</v>
      </c>
      <c r="V745" s="71" t="s">
        <v>391</v>
      </c>
      <c r="W745" s="130">
        <v>46058.61954861111</v>
      </c>
      <c r="X745" s="72">
        <v>46059.444444444445</v>
      </c>
      <c r="Y745" s="72">
        <v>46069.621527777781</v>
      </c>
      <c r="Z745" s="104" t="s">
        <v>382</v>
      </c>
      <c r="AA745" s="104" t="s">
        <v>466</v>
      </c>
      <c r="AB745" s="105">
        <v>46059.504166666666</v>
      </c>
      <c r="AC745" s="105">
        <v>46059.660416666666</v>
      </c>
    </row>
    <row r="746" s="70" customFormat="1" ht="11.25" customHeight="1">
      <c r="A746" s="87"/>
      <c r="C746" s="43" t="s">
        <v>1602</v>
      </c>
      <c r="D746" s="71" t="s">
        <v>382</v>
      </c>
      <c r="E746" s="71" t="str">
        <f>MID(D746,1,2)</f>
        <v>IL</v>
      </c>
      <c r="F746" s="71" t="s">
        <v>863</v>
      </c>
      <c r="G746" s="71" t="str">
        <f>MID(F746,1,2)</f>
        <v>DE</v>
      </c>
      <c r="H746" s="43" t="s">
        <v>1603</v>
      </c>
      <c r="I746" s="71" t="s">
        <v>1604</v>
      </c>
      <c r="J746" s="71" t="s">
        <v>386</v>
      </c>
      <c r="K746" s="43"/>
      <c r="L746" s="71" t="s">
        <v>107</v>
      </c>
      <c r="M746" s="73">
        <v>21</v>
      </c>
      <c r="N746" s="71" t="s">
        <v>388</v>
      </c>
      <c r="O746" s="73">
        <v>0.12</v>
      </c>
      <c r="P746" s="71" t="s">
        <v>389</v>
      </c>
      <c r="Q746" s="73">
        <v>21</v>
      </c>
      <c r="R746" s="71" t="s">
        <v>388</v>
      </c>
      <c r="S746" s="73">
        <v>0</v>
      </c>
      <c r="T746" s="71" t="s">
        <v>390</v>
      </c>
      <c r="U746" s="74">
        <v>1</v>
      </c>
      <c r="V746" s="71" t="s">
        <v>391</v>
      </c>
      <c r="W746" s="130">
        <v>46058.61954861111</v>
      </c>
      <c r="X746" s="72">
        <v>46059.444444444445</v>
      </c>
      <c r="Y746" s="72">
        <v>46069.621527777781</v>
      </c>
      <c r="Z746" s="104" t="s">
        <v>466</v>
      </c>
      <c r="AA746" s="104" t="s">
        <v>383</v>
      </c>
      <c r="AB746" s="105">
        <v>46061.609027777777</v>
      </c>
      <c r="AC746" s="105"/>
    </row>
    <row r="747" s="70" customFormat="1" ht="11.25" customHeight="1">
      <c r="A747" s="87"/>
      <c r="C747" s="43" t="s">
        <v>1605</v>
      </c>
      <c r="D747" s="71" t="s">
        <v>382</v>
      </c>
      <c r="E747" s="71" t="str">
        <f>MID(D747,1,2)</f>
        <v>IL</v>
      </c>
      <c r="F747" s="71" t="s">
        <v>422</v>
      </c>
      <c r="G747" s="71" t="str">
        <f>MID(F747,1,2)</f>
        <v>US</v>
      </c>
      <c r="H747" s="43" t="s">
        <v>1215</v>
      </c>
      <c r="I747" s="71" t="s">
        <v>1606</v>
      </c>
      <c r="J747" s="71" t="s">
        <v>386</v>
      </c>
      <c r="K747" s="43" t="s">
        <v>431</v>
      </c>
      <c r="L747" s="71" t="s">
        <v>107</v>
      </c>
      <c r="M747" s="73">
        <v>14</v>
      </c>
      <c r="N747" s="71" t="s">
        <v>388</v>
      </c>
      <c r="O747" s="73">
        <v>0.298</v>
      </c>
      <c r="P747" s="71" t="s">
        <v>389</v>
      </c>
      <c r="Q747" s="73">
        <v>50</v>
      </c>
      <c r="R747" s="71" t="s">
        <v>388</v>
      </c>
      <c r="S747" s="73">
        <v>0</v>
      </c>
      <c r="T747" s="71" t="s">
        <v>390</v>
      </c>
      <c r="U747" s="74">
        <v>1</v>
      </c>
      <c r="V747" s="71" t="s">
        <v>427</v>
      </c>
      <c r="W747" s="130">
        <v>46058.625</v>
      </c>
      <c r="X747" s="72">
        <v>46060.458333333336</v>
      </c>
      <c r="Y747" s="72">
        <v>46061.690972222219</v>
      </c>
      <c r="Z747" s="104" t="s">
        <v>382</v>
      </c>
      <c r="AA747" s="104" t="s">
        <v>422</v>
      </c>
      <c r="AB747" s="105">
        <v>46061.475694444445</v>
      </c>
      <c r="AC747" s="105">
        <v>46061.673611111109</v>
      </c>
    </row>
    <row r="748" s="70" customFormat="1" ht="11.25" customHeight="1">
      <c r="A748" s="87"/>
      <c r="C748" s="43" t="s">
        <v>1607</v>
      </c>
      <c r="D748" s="71" t="s">
        <v>382</v>
      </c>
      <c r="E748" s="71" t="str">
        <f>MID(D748,1,2)</f>
        <v>IL</v>
      </c>
      <c r="F748" s="71" t="s">
        <v>526</v>
      </c>
      <c r="G748" s="71" t="str">
        <f>MID(F748,1,2)</f>
        <v>US</v>
      </c>
      <c r="H748" s="43" t="s">
        <v>1608</v>
      </c>
      <c r="I748" s="71" t="s">
        <v>1609</v>
      </c>
      <c r="J748" s="71" t="s">
        <v>400</v>
      </c>
      <c r="K748" s="43"/>
      <c r="L748" s="71" t="s">
        <v>105</v>
      </c>
      <c r="M748" s="73">
        <v>1550</v>
      </c>
      <c r="N748" s="71" t="s">
        <v>388</v>
      </c>
      <c r="O748" s="73">
        <v>6.944</v>
      </c>
      <c r="P748" s="71" t="s">
        <v>389</v>
      </c>
      <c r="Q748" s="73">
        <v>1650</v>
      </c>
      <c r="R748" s="71" t="s">
        <v>388</v>
      </c>
      <c r="S748" s="73">
        <v>0</v>
      </c>
      <c r="T748" s="71" t="s">
        <v>390</v>
      </c>
      <c r="U748" s="74">
        <v>1</v>
      </c>
      <c r="V748" s="71" t="s">
        <v>391</v>
      </c>
      <c r="W748" s="130">
        <v>46062.364664351851</v>
      </c>
      <c r="X748" s="72">
        <v>46063.726388888892</v>
      </c>
      <c r="Y748" s="72">
        <v>46070.89166666667</v>
      </c>
      <c r="Z748" s="104" t="s">
        <v>382</v>
      </c>
      <c r="AA748" s="104" t="s">
        <v>422</v>
      </c>
      <c r="AB748" s="105">
        <v>46068.484722222223</v>
      </c>
      <c r="AC748" s="105">
        <v>46068.679166666669</v>
      </c>
    </row>
    <row r="749" s="70" customFormat="1" ht="11.25" customHeight="1">
      <c r="A749" s="87"/>
      <c r="C749" s="43" t="s">
        <v>1607</v>
      </c>
      <c r="D749" s="71" t="s">
        <v>382</v>
      </c>
      <c r="E749" s="71" t="str">
        <f>MID(D749,1,2)</f>
        <v>IL</v>
      </c>
      <c r="F749" s="71" t="s">
        <v>526</v>
      </c>
      <c r="G749" s="71" t="str">
        <f>MID(F749,1,2)</f>
        <v>US</v>
      </c>
      <c r="H749" s="43" t="s">
        <v>1608</v>
      </c>
      <c r="I749" s="71" t="s">
        <v>1609</v>
      </c>
      <c r="J749" s="71" t="s">
        <v>400</v>
      </c>
      <c r="K749" s="43"/>
      <c r="L749" s="71" t="s">
        <v>105</v>
      </c>
      <c r="M749" s="73">
        <v>1550</v>
      </c>
      <c r="N749" s="71" t="s">
        <v>388</v>
      </c>
      <c r="O749" s="73">
        <v>6.944</v>
      </c>
      <c r="P749" s="71" t="s">
        <v>389</v>
      </c>
      <c r="Q749" s="73">
        <v>1650</v>
      </c>
      <c r="R749" s="71" t="s">
        <v>388</v>
      </c>
      <c r="S749" s="73">
        <v>0</v>
      </c>
      <c r="T749" s="71" t="s">
        <v>390</v>
      </c>
      <c r="U749" s="74">
        <v>1</v>
      </c>
      <c r="V749" s="71" t="s">
        <v>391</v>
      </c>
      <c r="W749" s="130">
        <v>46062.364664351851</v>
      </c>
      <c r="X749" s="72">
        <v>46063.726388888892</v>
      </c>
      <c r="Y749" s="72">
        <v>46070.89166666667</v>
      </c>
      <c r="Z749" s="104" t="s">
        <v>422</v>
      </c>
      <c r="AA749" s="104" t="s">
        <v>526</v>
      </c>
      <c r="AB749" s="105">
        <v>46069.495833333334</v>
      </c>
      <c r="AC749" s="105">
        <v>46069.6125</v>
      </c>
    </row>
    <row r="750" s="70" customFormat="1" ht="11.25" customHeight="1">
      <c r="A750" s="87"/>
      <c r="C750" s="43" t="s">
        <v>1610</v>
      </c>
      <c r="D750" s="71" t="s">
        <v>382</v>
      </c>
      <c r="E750" s="71" t="str">
        <f>MID(D750,1,2)</f>
        <v>IL</v>
      </c>
      <c r="F750" s="71" t="s">
        <v>468</v>
      </c>
      <c r="G750" s="71" t="str">
        <f>MID(F750,1,2)</f>
        <v>US</v>
      </c>
      <c r="H750" s="43" t="s">
        <v>706</v>
      </c>
      <c r="I750" s="71" t="s">
        <v>1611</v>
      </c>
      <c r="J750" s="71" t="s">
        <v>386</v>
      </c>
      <c r="K750" s="43"/>
      <c r="L750" s="71" t="s">
        <v>107</v>
      </c>
      <c r="M750" s="73">
        <v>3</v>
      </c>
      <c r="N750" s="71" t="s">
        <v>388</v>
      </c>
      <c r="O750" s="73">
        <v>0.092</v>
      </c>
      <c r="P750" s="71" t="s">
        <v>389</v>
      </c>
      <c r="Q750" s="73">
        <v>15.5</v>
      </c>
      <c r="R750" s="71" t="s">
        <v>388</v>
      </c>
      <c r="S750" s="73">
        <v>0</v>
      </c>
      <c r="T750" s="71" t="s">
        <v>390</v>
      </c>
      <c r="U750" s="74">
        <v>1</v>
      </c>
      <c r="V750" s="71" t="s">
        <v>427</v>
      </c>
      <c r="W750" s="130">
        <v>46058.646527777775</v>
      </c>
      <c r="X750" s="72">
        <v>46060.958333333336</v>
      </c>
      <c r="Y750" s="72">
        <v>46063.673611111109</v>
      </c>
      <c r="Z750" s="104" t="s">
        <v>382</v>
      </c>
      <c r="AA750" s="104" t="s">
        <v>422</v>
      </c>
      <c r="AB750" s="105">
        <v>46060.963194444441</v>
      </c>
      <c r="AC750" s="105">
        <v>46061.144444444442</v>
      </c>
    </row>
    <row r="751" s="70" customFormat="1" ht="11.25" customHeight="1">
      <c r="A751" s="87"/>
      <c r="C751" s="43" t="s">
        <v>1610</v>
      </c>
      <c r="D751" s="71" t="s">
        <v>382</v>
      </c>
      <c r="E751" s="71" t="str">
        <f>MID(D751,1,2)</f>
        <v>IL</v>
      </c>
      <c r="F751" s="71" t="s">
        <v>468</v>
      </c>
      <c r="G751" s="71" t="str">
        <f>MID(F751,1,2)</f>
        <v>US</v>
      </c>
      <c r="H751" s="43" t="s">
        <v>706</v>
      </c>
      <c r="I751" s="71" t="s">
        <v>1611</v>
      </c>
      <c r="J751" s="71" t="s">
        <v>386</v>
      </c>
      <c r="K751" s="43"/>
      <c r="L751" s="71" t="s">
        <v>107</v>
      </c>
      <c r="M751" s="73">
        <v>3</v>
      </c>
      <c r="N751" s="71" t="s">
        <v>388</v>
      </c>
      <c r="O751" s="73">
        <v>0.092</v>
      </c>
      <c r="P751" s="71" t="s">
        <v>389</v>
      </c>
      <c r="Q751" s="73">
        <v>15.5</v>
      </c>
      <c r="R751" s="71" t="s">
        <v>388</v>
      </c>
      <c r="S751" s="73">
        <v>0</v>
      </c>
      <c r="T751" s="71" t="s">
        <v>390</v>
      </c>
      <c r="U751" s="74">
        <v>1</v>
      </c>
      <c r="V751" s="71" t="s">
        <v>427</v>
      </c>
      <c r="W751" s="130">
        <v>46058.646527777775</v>
      </c>
      <c r="X751" s="72">
        <v>46060.958333333336</v>
      </c>
      <c r="Y751" s="72">
        <v>46063.673611111109</v>
      </c>
      <c r="Z751" s="104" t="s">
        <v>422</v>
      </c>
      <c r="AA751" s="104" t="s">
        <v>468</v>
      </c>
      <c r="AB751" s="105">
        <v>46063.543055555558</v>
      </c>
      <c r="AC751" s="105">
        <v>46063.658333333333</v>
      </c>
    </row>
    <row r="752" s="70" customFormat="1" ht="11.25" customHeight="1">
      <c r="A752" s="87"/>
      <c r="C752" s="43" t="s">
        <v>1612</v>
      </c>
      <c r="D752" s="71" t="s">
        <v>382</v>
      </c>
      <c r="E752" s="71" t="str">
        <f>MID(D752,1,2)</f>
        <v>IL</v>
      </c>
      <c r="F752" s="71" t="s">
        <v>468</v>
      </c>
      <c r="G752" s="71" t="str">
        <f>MID(F752,1,2)</f>
        <v>US</v>
      </c>
      <c r="H752" s="43" t="s">
        <v>1441</v>
      </c>
      <c r="I752" s="71" t="s">
        <v>1613</v>
      </c>
      <c r="J752" s="71" t="s">
        <v>386</v>
      </c>
      <c r="K752" s="43"/>
      <c r="L752" s="71" t="s">
        <v>107</v>
      </c>
      <c r="M752" s="73">
        <v>2</v>
      </c>
      <c r="N752" s="71" t="s">
        <v>388</v>
      </c>
      <c r="O752" s="73">
        <v>0.008</v>
      </c>
      <c r="P752" s="71" t="s">
        <v>389</v>
      </c>
      <c r="Q752" s="73">
        <v>2</v>
      </c>
      <c r="R752" s="71" t="s">
        <v>388</v>
      </c>
      <c r="S752" s="73">
        <v>0</v>
      </c>
      <c r="T752" s="71" t="s">
        <v>390</v>
      </c>
      <c r="U752" s="74">
        <v>1</v>
      </c>
      <c r="V752" s="71" t="s">
        <v>446</v>
      </c>
      <c r="W752" s="130">
        <v>46061.584027777775</v>
      </c>
      <c r="X752" s="72">
        <v>46064.965277777781</v>
      </c>
      <c r="Y752" s="72">
        <v>46069.416666666664</v>
      </c>
      <c r="Z752" s="104" t="s">
        <v>382</v>
      </c>
      <c r="AA752" s="104" t="s">
        <v>422</v>
      </c>
      <c r="AB752" s="105">
        <v>46064.963194444441</v>
      </c>
      <c r="AC752" s="105">
        <v>46065.148611111108</v>
      </c>
    </row>
    <row r="753" s="70" customFormat="1" ht="11.25" customHeight="1">
      <c r="A753" s="87"/>
      <c r="C753" s="43" t="s">
        <v>1612</v>
      </c>
      <c r="D753" s="71" t="s">
        <v>382</v>
      </c>
      <c r="E753" s="71" t="str">
        <f>MID(D753,1,2)</f>
        <v>IL</v>
      </c>
      <c r="F753" s="71" t="s">
        <v>468</v>
      </c>
      <c r="G753" s="71" t="str">
        <f>MID(F753,1,2)</f>
        <v>US</v>
      </c>
      <c r="H753" s="43" t="s">
        <v>1441</v>
      </c>
      <c r="I753" s="71" t="s">
        <v>1613</v>
      </c>
      <c r="J753" s="71" t="s">
        <v>386</v>
      </c>
      <c r="K753" s="43"/>
      <c r="L753" s="71" t="s">
        <v>107</v>
      </c>
      <c r="M753" s="73">
        <v>2</v>
      </c>
      <c r="N753" s="71" t="s">
        <v>388</v>
      </c>
      <c r="O753" s="73">
        <v>0.008</v>
      </c>
      <c r="P753" s="71" t="s">
        <v>389</v>
      </c>
      <c r="Q753" s="73">
        <v>2</v>
      </c>
      <c r="R753" s="71" t="s">
        <v>388</v>
      </c>
      <c r="S753" s="73">
        <v>0</v>
      </c>
      <c r="T753" s="71" t="s">
        <v>390</v>
      </c>
      <c r="U753" s="74">
        <v>1</v>
      </c>
      <c r="V753" s="71" t="s">
        <v>446</v>
      </c>
      <c r="W753" s="130">
        <v>46061.584027777775</v>
      </c>
      <c r="X753" s="72">
        <v>46064.965277777781</v>
      </c>
      <c r="Y753" s="72">
        <v>46069.416666666664</v>
      </c>
      <c r="Z753" s="104" t="s">
        <v>422</v>
      </c>
      <c r="AA753" s="104" t="s">
        <v>468</v>
      </c>
      <c r="AB753" s="105">
        <v>46065.590277777781</v>
      </c>
      <c r="AC753" s="105">
        <v>46065.697222222225</v>
      </c>
    </row>
    <row r="754" s="70" customFormat="1" ht="11.25" customHeight="1">
      <c r="A754" s="87"/>
      <c r="C754" s="43" t="s">
        <v>1614</v>
      </c>
      <c r="D754" s="71" t="s">
        <v>382</v>
      </c>
      <c r="E754" s="71" t="str">
        <f>MID(D754,1,2)</f>
        <v>IL</v>
      </c>
      <c r="F754" s="71" t="s">
        <v>468</v>
      </c>
      <c r="G754" s="71" t="str">
        <f>MID(F754,1,2)</f>
        <v>US</v>
      </c>
      <c r="H754" s="43" t="s">
        <v>1441</v>
      </c>
      <c r="I754" s="71" t="s">
        <v>1615</v>
      </c>
      <c r="J754" s="71" t="s">
        <v>386</v>
      </c>
      <c r="K754" s="43"/>
      <c r="L754" s="71" t="s">
        <v>107</v>
      </c>
      <c r="M754" s="73">
        <v>6</v>
      </c>
      <c r="N754" s="71" t="s">
        <v>388</v>
      </c>
      <c r="O754" s="73">
        <v>0.061</v>
      </c>
      <c r="P754" s="71" t="s">
        <v>389</v>
      </c>
      <c r="Q754" s="73">
        <v>10.5</v>
      </c>
      <c r="R754" s="71" t="s">
        <v>388</v>
      </c>
      <c r="S754" s="73">
        <v>0</v>
      </c>
      <c r="T754" s="71" t="s">
        <v>390</v>
      </c>
      <c r="U754" s="74">
        <v>1</v>
      </c>
      <c r="V754" s="71" t="s">
        <v>446</v>
      </c>
      <c r="W754" s="130">
        <v>46062.542361111111</v>
      </c>
      <c r="X754" s="72">
        <v>46064.965277777781</v>
      </c>
      <c r="Y754" s="72">
        <v>46069.416666666664</v>
      </c>
      <c r="Z754" s="104" t="s">
        <v>382</v>
      </c>
      <c r="AA754" s="104" t="s">
        <v>422</v>
      </c>
      <c r="AB754" s="105">
        <v>46064.963194444441</v>
      </c>
      <c r="AC754" s="105">
        <v>46065.148611111108</v>
      </c>
    </row>
    <row r="755" s="70" customFormat="1" ht="11.25" customHeight="1">
      <c r="A755" s="87"/>
      <c r="C755" s="43" t="s">
        <v>1614</v>
      </c>
      <c r="D755" s="71" t="s">
        <v>382</v>
      </c>
      <c r="E755" s="71" t="str">
        <f>MID(D755,1,2)</f>
        <v>IL</v>
      </c>
      <c r="F755" s="71" t="s">
        <v>468</v>
      </c>
      <c r="G755" s="71" t="str">
        <f>MID(F755,1,2)</f>
        <v>US</v>
      </c>
      <c r="H755" s="43" t="s">
        <v>1441</v>
      </c>
      <c r="I755" s="71" t="s">
        <v>1615</v>
      </c>
      <c r="J755" s="71" t="s">
        <v>386</v>
      </c>
      <c r="K755" s="43"/>
      <c r="L755" s="71" t="s">
        <v>107</v>
      </c>
      <c r="M755" s="73">
        <v>6</v>
      </c>
      <c r="N755" s="71" t="s">
        <v>388</v>
      </c>
      <c r="O755" s="73">
        <v>0.061</v>
      </c>
      <c r="P755" s="71" t="s">
        <v>389</v>
      </c>
      <c r="Q755" s="73">
        <v>10.5</v>
      </c>
      <c r="R755" s="71" t="s">
        <v>388</v>
      </c>
      <c r="S755" s="73">
        <v>0</v>
      </c>
      <c r="T755" s="71" t="s">
        <v>390</v>
      </c>
      <c r="U755" s="74">
        <v>1</v>
      </c>
      <c r="V755" s="71" t="s">
        <v>446</v>
      </c>
      <c r="W755" s="130">
        <v>46062.542361111111</v>
      </c>
      <c r="X755" s="72">
        <v>46064.965277777781</v>
      </c>
      <c r="Y755" s="72">
        <v>46069.416666666664</v>
      </c>
      <c r="Z755" s="104" t="s">
        <v>422</v>
      </c>
      <c r="AA755" s="104" t="s">
        <v>468</v>
      </c>
      <c r="AB755" s="105">
        <v>46065.590277777781</v>
      </c>
      <c r="AC755" s="105">
        <v>46065.697222222225</v>
      </c>
    </row>
    <row r="756" s="70" customFormat="1" ht="11.25" customHeight="1">
      <c r="A756" s="87"/>
      <c r="C756" s="43" t="s">
        <v>1616</v>
      </c>
      <c r="D756" s="71" t="s">
        <v>382</v>
      </c>
      <c r="E756" s="71" t="str">
        <f>MID(D756,1,2)</f>
        <v>IL</v>
      </c>
      <c r="F756" s="71" t="s">
        <v>468</v>
      </c>
      <c r="G756" s="71" t="str">
        <f>MID(F756,1,2)</f>
        <v>US</v>
      </c>
      <c r="H756" s="43" t="s">
        <v>1617</v>
      </c>
      <c r="I756" s="71" t="s">
        <v>1618</v>
      </c>
      <c r="J756" s="71" t="s">
        <v>386</v>
      </c>
      <c r="K756" s="43"/>
      <c r="L756" s="71" t="s">
        <v>107</v>
      </c>
      <c r="M756" s="73">
        <v>6</v>
      </c>
      <c r="N756" s="71" t="s">
        <v>388</v>
      </c>
      <c r="O756" s="73">
        <v>0.061</v>
      </c>
      <c r="P756" s="71" t="s">
        <v>389</v>
      </c>
      <c r="Q756" s="73">
        <v>10.5</v>
      </c>
      <c r="R756" s="71" t="s">
        <v>388</v>
      </c>
      <c r="S756" s="73">
        <v>0</v>
      </c>
      <c r="T756" s="71" t="s">
        <v>390</v>
      </c>
      <c r="U756" s="74">
        <v>1</v>
      </c>
      <c r="V756" s="71" t="s">
        <v>446</v>
      </c>
      <c r="W756" s="130">
        <v>46072.520833333336</v>
      </c>
      <c r="X756" s="72">
        <v>46074.965277777781</v>
      </c>
      <c r="Y756" s="72">
        <v>46104.416666666664</v>
      </c>
      <c r="Z756" s="104" t="s">
        <v>382</v>
      </c>
      <c r="AA756" s="104" t="s">
        <v>422</v>
      </c>
      <c r="AB756" s="105">
        <v>46075.472222222219</v>
      </c>
      <c r="AC756" s="105">
        <v>46075.679861111108</v>
      </c>
    </row>
    <row r="757" s="70" customFormat="1" ht="11.25" customHeight="1">
      <c r="A757" s="87"/>
      <c r="C757" s="43" t="s">
        <v>1616</v>
      </c>
      <c r="D757" s="71" t="s">
        <v>382</v>
      </c>
      <c r="E757" s="71" t="str">
        <f>MID(D757,1,2)</f>
        <v>IL</v>
      </c>
      <c r="F757" s="71" t="s">
        <v>468</v>
      </c>
      <c r="G757" s="71" t="str">
        <f>MID(F757,1,2)</f>
        <v>US</v>
      </c>
      <c r="H757" s="43" t="s">
        <v>1617</v>
      </c>
      <c r="I757" s="71" t="s">
        <v>1618</v>
      </c>
      <c r="J757" s="71" t="s">
        <v>386</v>
      </c>
      <c r="K757" s="43"/>
      <c r="L757" s="71" t="s">
        <v>107</v>
      </c>
      <c r="M757" s="73">
        <v>6</v>
      </c>
      <c r="N757" s="71" t="s">
        <v>388</v>
      </c>
      <c r="O757" s="73">
        <v>0.061</v>
      </c>
      <c r="P757" s="71" t="s">
        <v>389</v>
      </c>
      <c r="Q757" s="73">
        <v>10.5</v>
      </c>
      <c r="R757" s="71" t="s">
        <v>388</v>
      </c>
      <c r="S757" s="73">
        <v>0</v>
      </c>
      <c r="T757" s="71" t="s">
        <v>390</v>
      </c>
      <c r="U757" s="74">
        <v>1</v>
      </c>
      <c r="V757" s="71" t="s">
        <v>446</v>
      </c>
      <c r="W757" s="130">
        <v>46072.520833333336</v>
      </c>
      <c r="X757" s="72">
        <v>46074.965277777781</v>
      </c>
      <c r="Y757" s="72">
        <v>46104.416666666664</v>
      </c>
      <c r="Z757" s="104" t="s">
        <v>422</v>
      </c>
      <c r="AA757" s="104" t="s">
        <v>468</v>
      </c>
      <c r="AB757" s="105"/>
      <c r="AC757" s="105"/>
    </row>
    <row r="758" s="70" customFormat="1" ht="11.25" customHeight="1">
      <c r="A758" s="87"/>
      <c r="C758" s="43" t="s">
        <v>1619</v>
      </c>
      <c r="D758" s="71" t="s">
        <v>382</v>
      </c>
      <c r="E758" s="71" t="str">
        <f>MID(D758,1,2)</f>
        <v>IL</v>
      </c>
      <c r="F758" s="71" t="s">
        <v>468</v>
      </c>
      <c r="G758" s="71" t="str">
        <f>MID(F758,1,2)</f>
        <v>US</v>
      </c>
      <c r="H758" s="43" t="s">
        <v>1441</v>
      </c>
      <c r="I758" s="71" t="s">
        <v>1620</v>
      </c>
      <c r="J758" s="71" t="s">
        <v>386</v>
      </c>
      <c r="K758" s="43"/>
      <c r="L758" s="71" t="s">
        <v>107</v>
      </c>
      <c r="M758" s="73">
        <v>6</v>
      </c>
      <c r="N758" s="71" t="s">
        <v>388</v>
      </c>
      <c r="O758" s="73">
        <v>0.05</v>
      </c>
      <c r="P758" s="71" t="s">
        <v>389</v>
      </c>
      <c r="Q758" s="73">
        <v>8.5</v>
      </c>
      <c r="R758" s="71" t="s">
        <v>388</v>
      </c>
      <c r="S758" s="73">
        <v>0</v>
      </c>
      <c r="T758" s="71" t="s">
        <v>390</v>
      </c>
      <c r="U758" s="74">
        <v>1</v>
      </c>
      <c r="V758" s="71" t="s">
        <v>446</v>
      </c>
      <c r="W758" s="130">
        <v>46061.507638888892</v>
      </c>
      <c r="X758" s="72">
        <v>46064.965277777781</v>
      </c>
      <c r="Y758" s="72">
        <v>46069.416666666664</v>
      </c>
      <c r="Z758" s="104" t="s">
        <v>382</v>
      </c>
      <c r="AA758" s="104" t="s">
        <v>422</v>
      </c>
      <c r="AB758" s="105">
        <v>46064.963194444441</v>
      </c>
      <c r="AC758" s="105">
        <v>46065.148611111108</v>
      </c>
    </row>
    <row r="759" s="70" customFormat="1" ht="11.25" customHeight="1">
      <c r="A759" s="87"/>
      <c r="C759" s="43" t="s">
        <v>1619</v>
      </c>
      <c r="D759" s="71" t="s">
        <v>382</v>
      </c>
      <c r="E759" s="71" t="str">
        <f>MID(D759,1,2)</f>
        <v>IL</v>
      </c>
      <c r="F759" s="71" t="s">
        <v>468</v>
      </c>
      <c r="G759" s="71" t="str">
        <f>MID(F759,1,2)</f>
        <v>US</v>
      </c>
      <c r="H759" s="43" t="s">
        <v>1441</v>
      </c>
      <c r="I759" s="71" t="s">
        <v>1620</v>
      </c>
      <c r="J759" s="71" t="s">
        <v>386</v>
      </c>
      <c r="K759" s="43"/>
      <c r="L759" s="71" t="s">
        <v>107</v>
      </c>
      <c r="M759" s="73">
        <v>6</v>
      </c>
      <c r="N759" s="71" t="s">
        <v>388</v>
      </c>
      <c r="O759" s="73">
        <v>0.05</v>
      </c>
      <c r="P759" s="71" t="s">
        <v>389</v>
      </c>
      <c r="Q759" s="73">
        <v>8.5</v>
      </c>
      <c r="R759" s="71" t="s">
        <v>388</v>
      </c>
      <c r="S759" s="73">
        <v>0</v>
      </c>
      <c r="T759" s="71" t="s">
        <v>390</v>
      </c>
      <c r="U759" s="74">
        <v>1</v>
      </c>
      <c r="V759" s="71" t="s">
        <v>446</v>
      </c>
      <c r="W759" s="130">
        <v>46061.507638888892</v>
      </c>
      <c r="X759" s="72">
        <v>46064.965277777781</v>
      </c>
      <c r="Y759" s="72">
        <v>46069.416666666664</v>
      </c>
      <c r="Z759" s="104" t="s">
        <v>422</v>
      </c>
      <c r="AA759" s="104" t="s">
        <v>468</v>
      </c>
      <c r="AB759" s="105">
        <v>46065.590277777781</v>
      </c>
      <c r="AC759" s="105">
        <v>46065.697222222225</v>
      </c>
    </row>
    <row r="760" s="70" customFormat="1" ht="11.25" customHeight="1">
      <c r="A760" s="87"/>
      <c r="C760" s="43" t="s">
        <v>1621</v>
      </c>
      <c r="D760" s="71" t="s">
        <v>382</v>
      </c>
      <c r="E760" s="71" t="str">
        <f>MID(D760,1,2)</f>
        <v>IL</v>
      </c>
      <c r="F760" s="71" t="s">
        <v>573</v>
      </c>
      <c r="G760" s="71" t="str">
        <f>MID(F760,1,2)</f>
        <v>CH</v>
      </c>
      <c r="H760" s="43" t="s">
        <v>1622</v>
      </c>
      <c r="I760" s="71" t="s">
        <v>1623</v>
      </c>
      <c r="J760" s="71" t="s">
        <v>400</v>
      </c>
      <c r="K760" s="43"/>
      <c r="L760" s="71" t="s">
        <v>105</v>
      </c>
      <c r="M760" s="73">
        <v>1</v>
      </c>
      <c r="N760" s="71" t="s">
        <v>388</v>
      </c>
      <c r="O760" s="73">
        <v>0.021</v>
      </c>
      <c r="P760" s="71" t="s">
        <v>389</v>
      </c>
      <c r="Q760" s="73">
        <v>3.5</v>
      </c>
      <c r="R760" s="71" t="s">
        <v>388</v>
      </c>
      <c r="S760" s="73">
        <v>0</v>
      </c>
      <c r="T760" s="71" t="s">
        <v>390</v>
      </c>
      <c r="U760" s="74">
        <v>1</v>
      </c>
      <c r="V760" s="71" t="s">
        <v>391</v>
      </c>
      <c r="W760" s="130">
        <v>46058.709027777775</v>
      </c>
      <c r="X760" s="72">
        <v>46062.3125</v>
      </c>
      <c r="Y760" s="72">
        <v>46062.836805555555</v>
      </c>
      <c r="Z760" s="104" t="s">
        <v>382</v>
      </c>
      <c r="AA760" s="104" t="s">
        <v>573</v>
      </c>
      <c r="AB760" s="105">
        <v>46062.30972222222</v>
      </c>
      <c r="AC760" s="105">
        <v>46062.461111111108</v>
      </c>
    </row>
    <row r="761" s="70" customFormat="1" ht="11.25" customHeight="1">
      <c r="A761" s="87"/>
      <c r="C761" s="43" t="s">
        <v>1624</v>
      </c>
      <c r="D761" s="71" t="s">
        <v>382</v>
      </c>
      <c r="E761" s="71" t="str">
        <f>MID(D761,1,2)</f>
        <v>IL</v>
      </c>
      <c r="F761" s="71" t="s">
        <v>419</v>
      </c>
      <c r="G761" s="71" t="str">
        <f>MID(F761,1,2)</f>
        <v>US</v>
      </c>
      <c r="H761" s="43" t="s">
        <v>1625</v>
      </c>
      <c r="I761" s="71" t="s">
        <v>1626</v>
      </c>
      <c r="J761" s="71" t="s">
        <v>483</v>
      </c>
      <c r="K761" s="43" t="s">
        <v>759</v>
      </c>
      <c r="L761" s="71" t="s">
        <v>105</v>
      </c>
      <c r="M761" s="73">
        <v>65</v>
      </c>
      <c r="N761" s="71" t="s">
        <v>388</v>
      </c>
      <c r="O761" s="73">
        <v>1.133</v>
      </c>
      <c r="P761" s="71" t="s">
        <v>389</v>
      </c>
      <c r="Q761" s="73">
        <v>189</v>
      </c>
      <c r="R761" s="71" t="s">
        <v>388</v>
      </c>
      <c r="S761" s="73">
        <v>0</v>
      </c>
      <c r="T761" s="71" t="s">
        <v>390</v>
      </c>
      <c r="U761" s="74">
        <v>1</v>
      </c>
      <c r="V761" s="71" t="s">
        <v>391</v>
      </c>
      <c r="W761" s="130">
        <v>46058.71597222222</v>
      </c>
      <c r="X761" s="72">
        <v>46064.352083333331</v>
      </c>
      <c r="Y761" s="72">
        <v>46067.378472222219</v>
      </c>
      <c r="Z761" s="104" t="s">
        <v>382</v>
      </c>
      <c r="AA761" s="104" t="s">
        <v>405</v>
      </c>
      <c r="AB761" s="105">
        <v>46066.491666666669</v>
      </c>
      <c r="AC761" s="105">
        <v>46066.68125</v>
      </c>
    </row>
    <row r="762" s="70" customFormat="1" ht="11.25" customHeight="1">
      <c r="A762" s="87"/>
      <c r="C762" s="43" t="s">
        <v>1624</v>
      </c>
      <c r="D762" s="71" t="s">
        <v>382</v>
      </c>
      <c r="E762" s="71" t="str">
        <f>MID(D762,1,2)</f>
        <v>IL</v>
      </c>
      <c r="F762" s="71" t="s">
        <v>419</v>
      </c>
      <c r="G762" s="71" t="str">
        <f>MID(F762,1,2)</f>
        <v>US</v>
      </c>
      <c r="H762" s="43" t="s">
        <v>1625</v>
      </c>
      <c r="I762" s="71" t="s">
        <v>1626</v>
      </c>
      <c r="J762" s="71" t="s">
        <v>483</v>
      </c>
      <c r="K762" s="43" t="s">
        <v>759</v>
      </c>
      <c r="L762" s="71" t="s">
        <v>105</v>
      </c>
      <c r="M762" s="73">
        <v>65</v>
      </c>
      <c r="N762" s="71" t="s">
        <v>388</v>
      </c>
      <c r="O762" s="73">
        <v>1.133</v>
      </c>
      <c r="P762" s="71" t="s">
        <v>389</v>
      </c>
      <c r="Q762" s="73">
        <v>189</v>
      </c>
      <c r="R762" s="71" t="s">
        <v>388</v>
      </c>
      <c r="S762" s="73">
        <v>0</v>
      </c>
      <c r="T762" s="71" t="s">
        <v>390</v>
      </c>
      <c r="U762" s="74">
        <v>1</v>
      </c>
      <c r="V762" s="71" t="s">
        <v>391</v>
      </c>
      <c r="W762" s="130">
        <v>46058.71597222222</v>
      </c>
      <c r="X762" s="72">
        <v>46064.352083333331</v>
      </c>
      <c r="Y762" s="72">
        <v>46067.378472222219</v>
      </c>
      <c r="Z762" s="104" t="s">
        <v>405</v>
      </c>
      <c r="AA762" s="104" t="s">
        <v>419</v>
      </c>
      <c r="AB762" s="105">
        <v>46067.720833333333</v>
      </c>
      <c r="AC762" s="105">
        <v>46067.8</v>
      </c>
    </row>
    <row r="763" s="70" customFormat="1" ht="11.25" customHeight="1">
      <c r="A763" s="87"/>
      <c r="C763" s="43" t="s">
        <v>1627</v>
      </c>
      <c r="D763" s="71" t="s">
        <v>382</v>
      </c>
      <c r="E763" s="71" t="str">
        <f>MID(D763,1,2)</f>
        <v>IL</v>
      </c>
      <c r="F763" s="71" t="s">
        <v>414</v>
      </c>
      <c r="G763" s="71" t="str">
        <f>MID(F763,1,2)</f>
        <v>US</v>
      </c>
      <c r="H763" s="43" t="s">
        <v>1628</v>
      </c>
      <c r="I763" s="71" t="s">
        <v>1629</v>
      </c>
      <c r="J763" s="71" t="s">
        <v>426</v>
      </c>
      <c r="K763" s="43"/>
      <c r="L763" s="71" t="s">
        <v>105</v>
      </c>
      <c r="M763" s="73">
        <v>263</v>
      </c>
      <c r="N763" s="71" t="s">
        <v>388</v>
      </c>
      <c r="O763" s="73">
        <v>1.323</v>
      </c>
      <c r="P763" s="71" t="s">
        <v>389</v>
      </c>
      <c r="Q763" s="73">
        <v>263</v>
      </c>
      <c r="R763" s="71" t="s">
        <v>388</v>
      </c>
      <c r="S763" s="73">
        <v>0</v>
      </c>
      <c r="T763" s="71" t="s">
        <v>390</v>
      </c>
      <c r="U763" s="74">
        <v>1</v>
      </c>
      <c r="V763" s="71" t="s">
        <v>391</v>
      </c>
      <c r="W763" s="130">
        <v>46058.763888888891</v>
      </c>
      <c r="X763" s="72">
        <v>46061.003472222219</v>
      </c>
      <c r="Y763" s="72">
        <v>46061.211805555555</v>
      </c>
      <c r="Z763" s="104" t="s">
        <v>382</v>
      </c>
      <c r="AA763" s="104" t="s">
        <v>414</v>
      </c>
      <c r="AB763" s="105">
        <v>46061.005555555559</v>
      </c>
      <c r="AC763" s="105">
        <v>46061.201388888891</v>
      </c>
    </row>
    <row r="764" s="70" customFormat="1" ht="11.25" customHeight="1">
      <c r="A764" s="87"/>
      <c r="C764" s="43" t="s">
        <v>1630</v>
      </c>
      <c r="D764" s="71" t="s">
        <v>382</v>
      </c>
      <c r="E764" s="71" t="str">
        <f>MID(D764,1,2)</f>
        <v>IL</v>
      </c>
      <c r="F764" s="71" t="s">
        <v>468</v>
      </c>
      <c r="G764" s="71" t="str">
        <f>MID(F764,1,2)</f>
        <v>US</v>
      </c>
      <c r="H764" s="43" t="s">
        <v>1631</v>
      </c>
      <c r="I764" s="71" t="s">
        <v>1632</v>
      </c>
      <c r="J764" s="71" t="s">
        <v>386</v>
      </c>
      <c r="K764" s="43"/>
      <c r="L764" s="71" t="s">
        <v>107</v>
      </c>
      <c r="M764" s="73">
        <v>6</v>
      </c>
      <c r="N764" s="71" t="s">
        <v>388</v>
      </c>
      <c r="O764" s="73">
        <v>0.054</v>
      </c>
      <c r="P764" s="71" t="s">
        <v>389</v>
      </c>
      <c r="Q764" s="73">
        <v>9</v>
      </c>
      <c r="R764" s="71" t="s">
        <v>388</v>
      </c>
      <c r="S764" s="73">
        <v>0</v>
      </c>
      <c r="T764" s="71" t="s">
        <v>390</v>
      </c>
      <c r="U764" s="74">
        <v>1</v>
      </c>
      <c r="V764" s="71" t="s">
        <v>446</v>
      </c>
      <c r="W764" s="130">
        <v>46064.612129629626</v>
      </c>
      <c r="X764" s="72">
        <v>46066.965277777781</v>
      </c>
      <c r="Y764" s="72">
        <v>46071.416666666664</v>
      </c>
      <c r="Z764" s="104" t="s">
        <v>382</v>
      </c>
      <c r="AA764" s="104" t="s">
        <v>422</v>
      </c>
      <c r="AB764" s="105">
        <v>46066.967361111114</v>
      </c>
      <c r="AC764" s="105">
        <v>46067.170138888891</v>
      </c>
    </row>
    <row r="765" s="70" customFormat="1" ht="11.25" customHeight="1">
      <c r="A765" s="87"/>
      <c r="C765" s="43" t="s">
        <v>1630</v>
      </c>
      <c r="D765" s="71" t="s">
        <v>382</v>
      </c>
      <c r="E765" s="71" t="str">
        <f>MID(D765,1,2)</f>
        <v>IL</v>
      </c>
      <c r="F765" s="71" t="s">
        <v>468</v>
      </c>
      <c r="G765" s="71" t="str">
        <f>MID(F765,1,2)</f>
        <v>US</v>
      </c>
      <c r="H765" s="43" t="s">
        <v>1631</v>
      </c>
      <c r="I765" s="71" t="s">
        <v>1632</v>
      </c>
      <c r="J765" s="71" t="s">
        <v>386</v>
      </c>
      <c r="K765" s="43"/>
      <c r="L765" s="71" t="s">
        <v>107</v>
      </c>
      <c r="M765" s="73">
        <v>6</v>
      </c>
      <c r="N765" s="71" t="s">
        <v>388</v>
      </c>
      <c r="O765" s="73">
        <v>0.054</v>
      </c>
      <c r="P765" s="71" t="s">
        <v>389</v>
      </c>
      <c r="Q765" s="73">
        <v>9</v>
      </c>
      <c r="R765" s="71" t="s">
        <v>388</v>
      </c>
      <c r="S765" s="73">
        <v>0</v>
      </c>
      <c r="T765" s="71" t="s">
        <v>390</v>
      </c>
      <c r="U765" s="74">
        <v>1</v>
      </c>
      <c r="V765" s="71" t="s">
        <v>446</v>
      </c>
      <c r="W765" s="130">
        <v>46064.612129629626</v>
      </c>
      <c r="X765" s="72">
        <v>46066.965277777781</v>
      </c>
      <c r="Y765" s="72">
        <v>46071.416666666664</v>
      </c>
      <c r="Z765" s="104" t="s">
        <v>422</v>
      </c>
      <c r="AA765" s="104" t="s">
        <v>468</v>
      </c>
      <c r="AB765" s="105">
        <v>46069.363888888889</v>
      </c>
      <c r="AC765" s="105">
        <v>46071.509027777778</v>
      </c>
    </row>
    <row r="766" s="70" customFormat="1" ht="11.25" customHeight="1">
      <c r="A766" s="87"/>
      <c r="C766" s="43" t="s">
        <v>1633</v>
      </c>
      <c r="D766" s="71" t="s">
        <v>382</v>
      </c>
      <c r="E766" s="71" t="str">
        <f>MID(D766,1,2)</f>
        <v>IL</v>
      </c>
      <c r="F766" s="71" t="s">
        <v>476</v>
      </c>
      <c r="G766" s="71" t="str">
        <f>MID(F766,1,2)</f>
        <v>SG</v>
      </c>
      <c r="H766" s="43" t="s">
        <v>1634</v>
      </c>
      <c r="I766" s="71" t="s">
        <v>1635</v>
      </c>
      <c r="J766" s="71" t="s">
        <v>454</v>
      </c>
      <c r="K766" s="43"/>
      <c r="L766" s="71" t="s">
        <v>107</v>
      </c>
      <c r="M766" s="73">
        <v>78</v>
      </c>
      <c r="N766" s="71" t="s">
        <v>388</v>
      </c>
      <c r="O766" s="73">
        <v>0.367</v>
      </c>
      <c r="P766" s="71" t="s">
        <v>389</v>
      </c>
      <c r="Q766" s="73">
        <v>78</v>
      </c>
      <c r="R766" s="71" t="s">
        <v>388</v>
      </c>
      <c r="S766" s="73">
        <v>0</v>
      </c>
      <c r="T766" s="71" t="s">
        <v>390</v>
      </c>
      <c r="U766" s="74">
        <v>1</v>
      </c>
      <c r="V766" s="71" t="s">
        <v>391</v>
      </c>
      <c r="W766" s="130">
        <v>46061.727083333331</v>
      </c>
      <c r="X766" s="72">
        <v>46062.590277777781</v>
      </c>
      <c r="Y766" s="72">
        <v>46065.399305555555</v>
      </c>
      <c r="Z766" s="104" t="s">
        <v>382</v>
      </c>
      <c r="AA766" s="104" t="s">
        <v>441</v>
      </c>
      <c r="AB766" s="105">
        <v>46062.584722222222</v>
      </c>
      <c r="AC766" s="105">
        <v>46062.7875</v>
      </c>
    </row>
    <row r="767" s="70" customFormat="1" ht="11.25" customHeight="1">
      <c r="A767" s="87"/>
      <c r="C767" s="43" t="s">
        <v>1633</v>
      </c>
      <c r="D767" s="71" t="s">
        <v>382</v>
      </c>
      <c r="E767" s="71" t="str">
        <f>MID(D767,1,2)</f>
        <v>IL</v>
      </c>
      <c r="F767" s="71" t="s">
        <v>476</v>
      </c>
      <c r="G767" s="71" t="str">
        <f>MID(F767,1,2)</f>
        <v>SG</v>
      </c>
      <c r="H767" s="43" t="s">
        <v>1634</v>
      </c>
      <c r="I767" s="71" t="s">
        <v>1635</v>
      </c>
      <c r="J767" s="71" t="s">
        <v>454</v>
      </c>
      <c r="K767" s="43"/>
      <c r="L767" s="71" t="s">
        <v>107</v>
      </c>
      <c r="M767" s="73">
        <v>78</v>
      </c>
      <c r="N767" s="71" t="s">
        <v>388</v>
      </c>
      <c r="O767" s="73">
        <v>0.367</v>
      </c>
      <c r="P767" s="71" t="s">
        <v>389</v>
      </c>
      <c r="Q767" s="73">
        <v>78</v>
      </c>
      <c r="R767" s="71" t="s">
        <v>388</v>
      </c>
      <c r="S767" s="73">
        <v>0</v>
      </c>
      <c r="T767" s="71" t="s">
        <v>390</v>
      </c>
      <c r="U767" s="74">
        <v>1</v>
      </c>
      <c r="V767" s="71" t="s">
        <v>391</v>
      </c>
      <c r="W767" s="130">
        <v>46061.727083333331</v>
      </c>
      <c r="X767" s="72">
        <v>46062.590277777781</v>
      </c>
      <c r="Y767" s="72">
        <v>46065.399305555555</v>
      </c>
      <c r="Z767" s="104" t="s">
        <v>441</v>
      </c>
      <c r="AA767" s="104" t="s">
        <v>476</v>
      </c>
      <c r="AB767" s="105">
        <v>46063.920138888891</v>
      </c>
      <c r="AC767" s="105">
        <v>46065.3875</v>
      </c>
    </row>
    <row r="768" s="70" customFormat="1" ht="11.25" customHeight="1">
      <c r="A768" s="87"/>
      <c r="C768" s="43" t="s">
        <v>1636</v>
      </c>
      <c r="D768" s="71" t="s">
        <v>382</v>
      </c>
      <c r="E768" s="71" t="str">
        <f>MID(D768,1,2)</f>
        <v>IL</v>
      </c>
      <c r="F768" s="71" t="s">
        <v>1637</v>
      </c>
      <c r="G768" s="71" t="str">
        <f>MID(F768,1,2)</f>
        <v>DE</v>
      </c>
      <c r="H768" s="43" t="s">
        <v>1638</v>
      </c>
      <c r="I768" s="71"/>
      <c r="J768" s="71" t="s">
        <v>435</v>
      </c>
      <c r="K768" s="43"/>
      <c r="L768" s="71" t="s">
        <v>105</v>
      </c>
      <c r="M768" s="73">
        <v>20</v>
      </c>
      <c r="N768" s="71" t="s">
        <v>388</v>
      </c>
      <c r="O768" s="73">
        <v>0.047</v>
      </c>
      <c r="P768" s="71" t="s">
        <v>389</v>
      </c>
      <c r="Q768" s="73">
        <v>20</v>
      </c>
      <c r="R768" s="71" t="s">
        <v>388</v>
      </c>
      <c r="S768" s="73">
        <v>0</v>
      </c>
      <c r="T768" s="71" t="s">
        <v>390</v>
      </c>
      <c r="U768" s="74">
        <v>1</v>
      </c>
      <c r="V768" s="71" t="s">
        <v>391</v>
      </c>
      <c r="W768" s="130"/>
      <c r="X768" s="72">
        <v>46070.576388888891</v>
      </c>
      <c r="Y768" s="72">
        <v>46079.363194444442</v>
      </c>
      <c r="Z768" s="104" t="s">
        <v>382</v>
      </c>
      <c r="AA768" s="104" t="s">
        <v>667</v>
      </c>
      <c r="AB768" s="105">
        <v>46078.73333333333</v>
      </c>
      <c r="AC768" s="105">
        <v>46078.86041666667</v>
      </c>
    </row>
    <row r="769" s="70" customFormat="1" ht="11.25" customHeight="1">
      <c r="A769" s="87"/>
      <c r="C769" s="43" t="s">
        <v>1636</v>
      </c>
      <c r="D769" s="71" t="s">
        <v>382</v>
      </c>
      <c r="E769" s="71" t="str">
        <f>MID(D769,1,2)</f>
        <v>IL</v>
      </c>
      <c r="F769" s="71" t="s">
        <v>1637</v>
      </c>
      <c r="G769" s="71" t="str">
        <f>MID(F769,1,2)</f>
        <v>DE</v>
      </c>
      <c r="H769" s="43" t="s">
        <v>1638</v>
      </c>
      <c r="I769" s="71"/>
      <c r="J769" s="71" t="s">
        <v>435</v>
      </c>
      <c r="K769" s="43"/>
      <c r="L769" s="71" t="s">
        <v>105</v>
      </c>
      <c r="M769" s="73">
        <v>20</v>
      </c>
      <c r="N769" s="71" t="s">
        <v>388</v>
      </c>
      <c r="O769" s="73">
        <v>0.047</v>
      </c>
      <c r="P769" s="71" t="s">
        <v>389</v>
      </c>
      <c r="Q769" s="73">
        <v>20</v>
      </c>
      <c r="R769" s="71" t="s">
        <v>388</v>
      </c>
      <c r="S769" s="73">
        <v>0</v>
      </c>
      <c r="T769" s="71" t="s">
        <v>390</v>
      </c>
      <c r="U769" s="74">
        <v>1</v>
      </c>
      <c r="V769" s="71" t="s">
        <v>391</v>
      </c>
      <c r="W769" s="130"/>
      <c r="X769" s="72">
        <v>46070.576388888891</v>
      </c>
      <c r="Y769" s="72">
        <v>46079.363194444442</v>
      </c>
      <c r="Z769" s="104" t="s">
        <v>667</v>
      </c>
      <c r="AA769" s="104" t="s">
        <v>1637</v>
      </c>
      <c r="AB769" s="105">
        <v>46079.313194444447</v>
      </c>
      <c r="AC769" s="105">
        <v>46079.357638888891</v>
      </c>
    </row>
    <row r="770" s="70" customFormat="1" ht="11.25" customHeight="1">
      <c r="A770" s="87"/>
      <c r="C770" s="43" t="s">
        <v>1639</v>
      </c>
      <c r="D770" s="71" t="s">
        <v>382</v>
      </c>
      <c r="E770" s="71" t="str">
        <f>MID(D770,1,2)</f>
        <v>IL</v>
      </c>
      <c r="F770" s="71" t="s">
        <v>466</v>
      </c>
      <c r="G770" s="71" t="str">
        <f>MID(F770,1,2)</f>
        <v>BE</v>
      </c>
      <c r="H770" s="43" t="s">
        <v>1640</v>
      </c>
      <c r="I770" s="71"/>
      <c r="J770" s="71" t="s">
        <v>426</v>
      </c>
      <c r="K770" s="43"/>
      <c r="L770" s="71" t="s">
        <v>105</v>
      </c>
      <c r="M770" s="73">
        <v>1586</v>
      </c>
      <c r="N770" s="71" t="s">
        <v>388</v>
      </c>
      <c r="O770" s="73">
        <v>10.708</v>
      </c>
      <c r="P770" s="71" t="s">
        <v>389</v>
      </c>
      <c r="Q770" s="73">
        <v>1785</v>
      </c>
      <c r="R770" s="71" t="s">
        <v>388</v>
      </c>
      <c r="S770" s="73">
        <v>0</v>
      </c>
      <c r="T770" s="71" t="s">
        <v>390</v>
      </c>
      <c r="U770" s="74">
        <v>5</v>
      </c>
      <c r="V770" s="71" t="s">
        <v>391</v>
      </c>
      <c r="W770" s="130">
        <v>46061.631944444445</v>
      </c>
      <c r="X770" s="72">
        <v>46064.333333333336</v>
      </c>
      <c r="Y770" s="72">
        <v>46065.3125</v>
      </c>
      <c r="Z770" s="104" t="s">
        <v>382</v>
      </c>
      <c r="AA770" s="104" t="s">
        <v>466</v>
      </c>
      <c r="AB770" s="105">
        <v>46064.476388888892</v>
      </c>
      <c r="AC770" s="105">
        <v>46064.60625</v>
      </c>
    </row>
    <row r="771" s="70" customFormat="1" ht="11.25" customHeight="1">
      <c r="A771" s="87"/>
      <c r="C771" s="43" t="s">
        <v>1641</v>
      </c>
      <c r="D771" s="71" t="s">
        <v>382</v>
      </c>
      <c r="E771" s="71" t="str">
        <f>MID(D771,1,2)</f>
        <v>IL</v>
      </c>
      <c r="F771" s="71" t="s">
        <v>422</v>
      </c>
      <c r="G771" s="71" t="str">
        <f>MID(F771,1,2)</f>
        <v>US</v>
      </c>
      <c r="H771" s="43" t="s">
        <v>1642</v>
      </c>
      <c r="I771" s="71"/>
      <c r="J771" s="71" t="s">
        <v>426</v>
      </c>
      <c r="K771" s="43"/>
      <c r="L771" s="71" t="s">
        <v>105</v>
      </c>
      <c r="M771" s="73">
        <v>5342</v>
      </c>
      <c r="N771" s="71" t="s">
        <v>388</v>
      </c>
      <c r="O771" s="73">
        <v>27.06</v>
      </c>
      <c r="P771" s="71" t="s">
        <v>389</v>
      </c>
      <c r="Q771" s="73">
        <v>5342</v>
      </c>
      <c r="R771" s="71" t="s">
        <v>388</v>
      </c>
      <c r="S771" s="73">
        <v>0</v>
      </c>
      <c r="T771" s="71" t="s">
        <v>390</v>
      </c>
      <c r="U771" s="74">
        <v>17</v>
      </c>
      <c r="V771" s="71" t="s">
        <v>391</v>
      </c>
      <c r="W771" s="130">
        <v>46061.368055555555</v>
      </c>
      <c r="X771" s="72">
        <v>46064.041666666664</v>
      </c>
      <c r="Y771" s="72">
        <v>46064.25</v>
      </c>
      <c r="Z771" s="104" t="s">
        <v>382</v>
      </c>
      <c r="AA771" s="104" t="s">
        <v>422</v>
      </c>
      <c r="AB771" s="105">
        <v>46064.041666666664</v>
      </c>
      <c r="AC771" s="105">
        <v>46064.22152777778</v>
      </c>
    </row>
    <row r="772" s="70" customFormat="1" ht="11.25" customHeight="1">
      <c r="A772" s="87"/>
      <c r="C772" s="43" t="s">
        <v>1643</v>
      </c>
      <c r="D772" s="71" t="s">
        <v>382</v>
      </c>
      <c r="E772" s="71" t="str">
        <f>MID(D772,1,2)</f>
        <v>IL</v>
      </c>
      <c r="F772" s="71" t="s">
        <v>383</v>
      </c>
      <c r="G772" s="71" t="str">
        <f>MID(F772,1,2)</f>
        <v>DE</v>
      </c>
      <c r="H772" s="43" t="s">
        <v>746</v>
      </c>
      <c r="I772" s="71" t="s">
        <v>1644</v>
      </c>
      <c r="J772" s="71" t="s">
        <v>386</v>
      </c>
      <c r="K772" s="43"/>
      <c r="L772" s="71" t="s">
        <v>107</v>
      </c>
      <c r="M772" s="73">
        <v>1478</v>
      </c>
      <c r="N772" s="71" t="s">
        <v>388</v>
      </c>
      <c r="O772" s="73">
        <v>9.708</v>
      </c>
      <c r="P772" s="71" t="s">
        <v>389</v>
      </c>
      <c r="Q772" s="73">
        <v>1618</v>
      </c>
      <c r="R772" s="71" t="s">
        <v>388</v>
      </c>
      <c r="S772" s="73">
        <v>0</v>
      </c>
      <c r="T772" s="71" t="s">
        <v>390</v>
      </c>
      <c r="U772" s="74">
        <v>6</v>
      </c>
      <c r="V772" s="71" t="s">
        <v>391</v>
      </c>
      <c r="W772" s="130">
        <v>46061.717048611114</v>
      </c>
      <c r="X772" s="72">
        <v>46064.753472222219</v>
      </c>
      <c r="Y772" s="72">
        <v>46066.625694444447</v>
      </c>
      <c r="Z772" s="104" t="s">
        <v>383</v>
      </c>
      <c r="AA772" s="104" t="s">
        <v>680</v>
      </c>
      <c r="AB772" s="105">
        <v>46076.979166666664</v>
      </c>
      <c r="AC772" s="105">
        <v>46077.208333333336</v>
      </c>
    </row>
    <row r="773" s="70" customFormat="1" ht="11.25" customHeight="1">
      <c r="A773" s="87"/>
      <c r="C773" s="43" t="s">
        <v>1643</v>
      </c>
      <c r="D773" s="71" t="s">
        <v>382</v>
      </c>
      <c r="E773" s="71" t="str">
        <f>MID(D773,1,2)</f>
        <v>IL</v>
      </c>
      <c r="F773" s="71" t="s">
        <v>383</v>
      </c>
      <c r="G773" s="71" t="str">
        <f>MID(F773,1,2)</f>
        <v>DE</v>
      </c>
      <c r="H773" s="43" t="s">
        <v>746</v>
      </c>
      <c r="I773" s="71" t="s">
        <v>1644</v>
      </c>
      <c r="J773" s="71" t="s">
        <v>386</v>
      </c>
      <c r="K773" s="43"/>
      <c r="L773" s="71" t="s">
        <v>107</v>
      </c>
      <c r="M773" s="73">
        <v>1478</v>
      </c>
      <c r="N773" s="71" t="s">
        <v>388</v>
      </c>
      <c r="O773" s="73">
        <v>9.708</v>
      </c>
      <c r="P773" s="71" t="s">
        <v>389</v>
      </c>
      <c r="Q773" s="73">
        <v>1618</v>
      </c>
      <c r="R773" s="71" t="s">
        <v>388</v>
      </c>
      <c r="S773" s="73">
        <v>0</v>
      </c>
      <c r="T773" s="71" t="s">
        <v>390</v>
      </c>
      <c r="U773" s="74">
        <v>6</v>
      </c>
      <c r="V773" s="71" t="s">
        <v>391</v>
      </c>
      <c r="W773" s="130">
        <v>46061.717048611114</v>
      </c>
      <c r="X773" s="72">
        <v>46064.753472222219</v>
      </c>
      <c r="Y773" s="72">
        <v>46066.625694444447</v>
      </c>
      <c r="Z773" s="104" t="s">
        <v>382</v>
      </c>
      <c r="AA773" s="104" t="s">
        <v>748</v>
      </c>
      <c r="AB773" s="105">
        <v>46064.851388888892</v>
      </c>
      <c r="AC773" s="105">
        <v>46064.980555555558</v>
      </c>
    </row>
    <row r="774" s="70" customFormat="1" ht="11.25" customHeight="1">
      <c r="A774" s="87"/>
      <c r="C774" s="43" t="s">
        <v>1643</v>
      </c>
      <c r="D774" s="71" t="s">
        <v>382</v>
      </c>
      <c r="E774" s="71" t="str">
        <f>MID(D774,1,2)</f>
        <v>IL</v>
      </c>
      <c r="F774" s="71" t="s">
        <v>383</v>
      </c>
      <c r="G774" s="71" t="str">
        <f>MID(F774,1,2)</f>
        <v>DE</v>
      </c>
      <c r="H774" s="43" t="s">
        <v>746</v>
      </c>
      <c r="I774" s="71" t="s">
        <v>1644</v>
      </c>
      <c r="J774" s="71" t="s">
        <v>386</v>
      </c>
      <c r="K774" s="43"/>
      <c r="L774" s="71" t="s">
        <v>107</v>
      </c>
      <c r="M774" s="73">
        <v>1478</v>
      </c>
      <c r="N774" s="71" t="s">
        <v>388</v>
      </c>
      <c r="O774" s="73">
        <v>9.708</v>
      </c>
      <c r="P774" s="71" t="s">
        <v>389</v>
      </c>
      <c r="Q774" s="73">
        <v>1618</v>
      </c>
      <c r="R774" s="71" t="s">
        <v>388</v>
      </c>
      <c r="S774" s="73">
        <v>0</v>
      </c>
      <c r="T774" s="71" t="s">
        <v>390</v>
      </c>
      <c r="U774" s="74">
        <v>6</v>
      </c>
      <c r="V774" s="71" t="s">
        <v>391</v>
      </c>
      <c r="W774" s="130">
        <v>46061.717048611114</v>
      </c>
      <c r="X774" s="72">
        <v>46064.753472222219</v>
      </c>
      <c r="Y774" s="72">
        <v>46066.625694444447</v>
      </c>
      <c r="Z774" s="104" t="s">
        <v>748</v>
      </c>
      <c r="AA774" s="104" t="s">
        <v>383</v>
      </c>
      <c r="AB774" s="105">
        <v>46066.504166666666</v>
      </c>
      <c r="AC774" s="105">
        <v>46066.750694444447</v>
      </c>
    </row>
    <row r="775" s="70" customFormat="1" ht="11.25" customHeight="1">
      <c r="A775" s="87"/>
      <c r="C775" s="43" t="s">
        <v>1645</v>
      </c>
      <c r="D775" s="71" t="s">
        <v>808</v>
      </c>
      <c r="E775" s="71" t="str">
        <f>MID(D775,1,2)</f>
        <v>IL</v>
      </c>
      <c r="F775" s="71" t="s">
        <v>809</v>
      </c>
      <c r="G775" s="71" t="str">
        <f>MID(F775,1,2)</f>
        <v>IN</v>
      </c>
      <c r="H775" s="43"/>
      <c r="I775" s="71" t="s">
        <v>1646</v>
      </c>
      <c r="J775" s="71" t="s">
        <v>811</v>
      </c>
      <c r="K775" s="43"/>
      <c r="L775" s="71" t="s">
        <v>105</v>
      </c>
      <c r="M775" s="73">
        <v>0</v>
      </c>
      <c r="N775" s="71" t="s">
        <v>388</v>
      </c>
      <c r="O775" s="73">
        <v>0</v>
      </c>
      <c r="P775" s="71" t="s">
        <v>389</v>
      </c>
      <c r="Q775" s="73">
        <v>0</v>
      </c>
      <c r="R775" s="71" t="s">
        <v>388</v>
      </c>
      <c r="S775" s="73">
        <v>0</v>
      </c>
      <c r="T775" s="71" t="s">
        <v>390</v>
      </c>
      <c r="U775" s="74">
        <v>0</v>
      </c>
      <c r="V775" s="71" t="s">
        <v>391</v>
      </c>
      <c r="W775" s="130"/>
      <c r="X775" s="72">
        <v>46061.470833333333</v>
      </c>
      <c r="Y775" s="72">
        <v>46062.470833333333</v>
      </c>
      <c r="Z775" s="104"/>
      <c r="AA775" s="104"/>
      <c r="AB775" s="105"/>
      <c r="AC775" s="105"/>
    </row>
    <row r="776" s="70" customFormat="1" ht="11.25" customHeight="1">
      <c r="A776" s="87"/>
      <c r="C776" s="43" t="s">
        <v>1647</v>
      </c>
      <c r="D776" s="71" t="s">
        <v>382</v>
      </c>
      <c r="E776" s="71" t="str">
        <f>MID(D776,1,2)</f>
        <v>IL</v>
      </c>
      <c r="F776" s="71" t="s">
        <v>414</v>
      </c>
      <c r="G776" s="71" t="str">
        <f>MID(F776,1,2)</f>
        <v>US</v>
      </c>
      <c r="H776" s="43" t="s">
        <v>1648</v>
      </c>
      <c r="I776" s="71" t="s">
        <v>1649</v>
      </c>
      <c r="J776" s="71" t="s">
        <v>426</v>
      </c>
      <c r="K776" s="43" t="s">
        <v>759</v>
      </c>
      <c r="L776" s="71" t="s">
        <v>105</v>
      </c>
      <c r="M776" s="73">
        <v>1</v>
      </c>
      <c r="N776" s="71" t="s">
        <v>388</v>
      </c>
      <c r="O776" s="73">
        <v>0.009</v>
      </c>
      <c r="P776" s="71" t="s">
        <v>389</v>
      </c>
      <c r="Q776" s="73">
        <v>1.5</v>
      </c>
      <c r="R776" s="71" t="s">
        <v>388</v>
      </c>
      <c r="S776" s="73">
        <v>0</v>
      </c>
      <c r="T776" s="71" t="s">
        <v>390</v>
      </c>
      <c r="U776" s="74">
        <v>1</v>
      </c>
      <c r="V776" s="71" t="s">
        <v>427</v>
      </c>
      <c r="W776" s="130">
        <v>46061.388888888891</v>
      </c>
      <c r="X776" s="72">
        <v>46064.03125</v>
      </c>
      <c r="Y776" s="72">
        <v>46064.239583333336</v>
      </c>
      <c r="Z776" s="104" t="s">
        <v>382</v>
      </c>
      <c r="AA776" s="104" t="s">
        <v>414</v>
      </c>
      <c r="AB776" s="105">
        <v>46064.034722222219</v>
      </c>
      <c r="AC776" s="105">
        <v>46064.222222222219</v>
      </c>
    </row>
    <row r="777" s="70" customFormat="1" ht="11.25" customHeight="1">
      <c r="A777" s="87"/>
      <c r="C777" s="43" t="s">
        <v>1650</v>
      </c>
      <c r="D777" s="71" t="s">
        <v>382</v>
      </c>
      <c r="E777" s="71" t="str">
        <f>MID(D777,1,2)</f>
        <v>IL</v>
      </c>
      <c r="F777" s="71" t="s">
        <v>443</v>
      </c>
      <c r="G777" s="71" t="str">
        <f>MID(F777,1,2)</f>
        <v>US</v>
      </c>
      <c r="H777" s="43" t="s">
        <v>1651</v>
      </c>
      <c r="I777" s="71" t="s">
        <v>1652</v>
      </c>
      <c r="J777" s="71" t="s">
        <v>400</v>
      </c>
      <c r="K777" s="43"/>
      <c r="L777" s="71" t="s">
        <v>105</v>
      </c>
      <c r="M777" s="73">
        <v>184</v>
      </c>
      <c r="N777" s="71" t="s">
        <v>388</v>
      </c>
      <c r="O777" s="73">
        <v>1.306</v>
      </c>
      <c r="P777" s="71" t="s">
        <v>389</v>
      </c>
      <c r="Q777" s="73">
        <v>218</v>
      </c>
      <c r="R777" s="71" t="s">
        <v>388</v>
      </c>
      <c r="S777" s="73">
        <v>0</v>
      </c>
      <c r="T777" s="71" t="s">
        <v>390</v>
      </c>
      <c r="U777" s="74">
        <v>1</v>
      </c>
      <c r="V777" s="71" t="s">
        <v>391</v>
      </c>
      <c r="W777" s="130">
        <v>46061.459027777775</v>
      </c>
      <c r="X777" s="72">
        <v>46063.479166666664</v>
      </c>
      <c r="Y777" s="72">
        <v>46064.759027777778</v>
      </c>
      <c r="Z777" s="104" t="s">
        <v>382</v>
      </c>
      <c r="AA777" s="104" t="s">
        <v>422</v>
      </c>
      <c r="AB777" s="105">
        <v>46063.475</v>
      </c>
      <c r="AC777" s="105">
        <v>46063.659722222219</v>
      </c>
    </row>
    <row r="778" s="70" customFormat="1" ht="11.25" customHeight="1">
      <c r="A778" s="87"/>
      <c r="C778" s="43" t="s">
        <v>1650</v>
      </c>
      <c r="D778" s="71" t="s">
        <v>382</v>
      </c>
      <c r="E778" s="71" t="str">
        <f>MID(D778,1,2)</f>
        <v>IL</v>
      </c>
      <c r="F778" s="71" t="s">
        <v>443</v>
      </c>
      <c r="G778" s="71" t="str">
        <f>MID(F778,1,2)</f>
        <v>US</v>
      </c>
      <c r="H778" s="43" t="s">
        <v>1651</v>
      </c>
      <c r="I778" s="71" t="s">
        <v>1652</v>
      </c>
      <c r="J778" s="71" t="s">
        <v>400</v>
      </c>
      <c r="K778" s="43"/>
      <c r="L778" s="71" t="s">
        <v>105</v>
      </c>
      <c r="M778" s="73">
        <v>184</v>
      </c>
      <c r="N778" s="71" t="s">
        <v>388</v>
      </c>
      <c r="O778" s="73">
        <v>1.306</v>
      </c>
      <c r="P778" s="71" t="s">
        <v>389</v>
      </c>
      <c r="Q778" s="73">
        <v>218</v>
      </c>
      <c r="R778" s="71" t="s">
        <v>388</v>
      </c>
      <c r="S778" s="73">
        <v>0</v>
      </c>
      <c r="T778" s="71" t="s">
        <v>390</v>
      </c>
      <c r="U778" s="74">
        <v>1</v>
      </c>
      <c r="V778" s="71" t="s">
        <v>391</v>
      </c>
      <c r="W778" s="130">
        <v>46061.459027777775</v>
      </c>
      <c r="X778" s="72">
        <v>46063.479166666664</v>
      </c>
      <c r="Y778" s="72">
        <v>46064.759027777778</v>
      </c>
      <c r="Z778" s="104" t="s">
        <v>422</v>
      </c>
      <c r="AA778" s="104" t="s">
        <v>443</v>
      </c>
      <c r="AB778" s="105">
        <v>46064.2875</v>
      </c>
      <c r="AC778" s="105">
        <v>46064.421527777777</v>
      </c>
    </row>
    <row r="779" s="70" customFormat="1" ht="11.25" customHeight="1">
      <c r="A779" s="87"/>
      <c r="C779" s="43" t="s">
        <v>1653</v>
      </c>
      <c r="D779" s="71" t="s">
        <v>382</v>
      </c>
      <c r="E779" s="71" t="str">
        <f>MID(D779,1,2)</f>
        <v>IL</v>
      </c>
      <c r="F779" s="71" t="s">
        <v>414</v>
      </c>
      <c r="G779" s="71" t="str">
        <f>MID(F779,1,2)</f>
        <v>US</v>
      </c>
      <c r="H779" s="43" t="s">
        <v>1648</v>
      </c>
      <c r="I779" s="71" t="s">
        <v>1654</v>
      </c>
      <c r="J779" s="71" t="s">
        <v>426</v>
      </c>
      <c r="K779" s="43" t="s">
        <v>759</v>
      </c>
      <c r="L779" s="71" t="s">
        <v>105</v>
      </c>
      <c r="M779" s="73">
        <v>1</v>
      </c>
      <c r="N779" s="71" t="s">
        <v>388</v>
      </c>
      <c r="O779" s="73">
        <v>0.009</v>
      </c>
      <c r="P779" s="71" t="s">
        <v>389</v>
      </c>
      <c r="Q779" s="73">
        <v>1.5</v>
      </c>
      <c r="R779" s="71" t="s">
        <v>388</v>
      </c>
      <c r="S779" s="73">
        <v>0</v>
      </c>
      <c r="T779" s="71" t="s">
        <v>390</v>
      </c>
      <c r="U779" s="74">
        <v>1</v>
      </c>
      <c r="V779" s="71" t="s">
        <v>427</v>
      </c>
      <c r="W779" s="130">
        <v>46061.388888888891</v>
      </c>
      <c r="X779" s="72">
        <v>46064.03125</v>
      </c>
      <c r="Y779" s="72">
        <v>46064.239583333336</v>
      </c>
      <c r="Z779" s="104" t="s">
        <v>382</v>
      </c>
      <c r="AA779" s="104" t="s">
        <v>414</v>
      </c>
      <c r="AB779" s="105">
        <v>46064.034722222219</v>
      </c>
      <c r="AC779" s="105">
        <v>46064.222222222219</v>
      </c>
    </row>
    <row r="780" s="70" customFormat="1" ht="11.25" customHeight="1">
      <c r="A780" s="87"/>
      <c r="C780" s="43" t="s">
        <v>1655</v>
      </c>
      <c r="D780" s="71" t="s">
        <v>382</v>
      </c>
      <c r="E780" s="71" t="str">
        <f>MID(D780,1,2)</f>
        <v>IL</v>
      </c>
      <c r="F780" s="71" t="s">
        <v>414</v>
      </c>
      <c r="G780" s="71" t="str">
        <f>MID(F780,1,2)</f>
        <v>US</v>
      </c>
      <c r="H780" s="43" t="s">
        <v>1648</v>
      </c>
      <c r="I780" s="71" t="s">
        <v>1656</v>
      </c>
      <c r="J780" s="71" t="s">
        <v>426</v>
      </c>
      <c r="K780" s="43" t="s">
        <v>759</v>
      </c>
      <c r="L780" s="71" t="s">
        <v>105</v>
      </c>
      <c r="M780" s="73">
        <v>3</v>
      </c>
      <c r="N780" s="71" t="s">
        <v>388</v>
      </c>
      <c r="O780" s="73">
        <v>0.029</v>
      </c>
      <c r="P780" s="71" t="s">
        <v>389</v>
      </c>
      <c r="Q780" s="73">
        <v>5</v>
      </c>
      <c r="R780" s="71" t="s">
        <v>388</v>
      </c>
      <c r="S780" s="73">
        <v>0</v>
      </c>
      <c r="T780" s="71" t="s">
        <v>390</v>
      </c>
      <c r="U780" s="74">
        <v>1</v>
      </c>
      <c r="V780" s="71" t="s">
        <v>427</v>
      </c>
      <c r="W780" s="130">
        <v>46061.395833333336</v>
      </c>
      <c r="X780" s="72">
        <v>46064.03125</v>
      </c>
      <c r="Y780" s="72">
        <v>46064.239583333336</v>
      </c>
      <c r="Z780" s="104" t="s">
        <v>382</v>
      </c>
      <c r="AA780" s="104" t="s">
        <v>414</v>
      </c>
      <c r="AB780" s="105">
        <v>46064.034722222219</v>
      </c>
      <c r="AC780" s="105">
        <v>46064.222222222219</v>
      </c>
    </row>
    <row r="781" s="70" customFormat="1" ht="11.25" customHeight="1">
      <c r="A781" s="87"/>
      <c r="C781" s="43" t="s">
        <v>1657</v>
      </c>
      <c r="D781" s="71" t="s">
        <v>382</v>
      </c>
      <c r="E781" s="71" t="str">
        <f>MID(D781,1,2)</f>
        <v>IL</v>
      </c>
      <c r="F781" s="71" t="s">
        <v>414</v>
      </c>
      <c r="G781" s="71" t="str">
        <f>MID(F781,1,2)</f>
        <v>US</v>
      </c>
      <c r="H781" s="43" t="s">
        <v>1648</v>
      </c>
      <c r="I781" s="71" t="s">
        <v>1658</v>
      </c>
      <c r="J781" s="71" t="s">
        <v>426</v>
      </c>
      <c r="K781" s="43" t="s">
        <v>759</v>
      </c>
      <c r="L781" s="71" t="s">
        <v>105</v>
      </c>
      <c r="M781" s="73">
        <v>7</v>
      </c>
      <c r="N781" s="71" t="s">
        <v>388</v>
      </c>
      <c r="O781" s="73">
        <v>0.298</v>
      </c>
      <c r="P781" s="71" t="s">
        <v>389</v>
      </c>
      <c r="Q781" s="73">
        <v>50</v>
      </c>
      <c r="R781" s="71" t="s">
        <v>388</v>
      </c>
      <c r="S781" s="73">
        <v>0</v>
      </c>
      <c r="T781" s="71" t="s">
        <v>390</v>
      </c>
      <c r="U781" s="74">
        <v>1</v>
      </c>
      <c r="V781" s="71" t="s">
        <v>427</v>
      </c>
      <c r="W781" s="130">
        <v>46061.913078703707</v>
      </c>
      <c r="X781" s="72">
        <v>46064.03125</v>
      </c>
      <c r="Y781" s="72">
        <v>46064.239583333336</v>
      </c>
      <c r="Z781" s="104" t="s">
        <v>382</v>
      </c>
      <c r="AA781" s="104" t="s">
        <v>414</v>
      </c>
      <c r="AB781" s="105">
        <v>46064.034722222219</v>
      </c>
      <c r="AC781" s="105">
        <v>46064.222222222219</v>
      </c>
    </row>
    <row r="782" s="70" customFormat="1" ht="11.25" customHeight="1">
      <c r="A782" s="87"/>
      <c r="C782" s="43" t="s">
        <v>1659</v>
      </c>
      <c r="D782" s="71" t="s">
        <v>382</v>
      </c>
      <c r="E782" s="71" t="str">
        <f>MID(D782,1,2)</f>
        <v>IL</v>
      </c>
      <c r="F782" s="71" t="s">
        <v>419</v>
      </c>
      <c r="G782" s="71" t="str">
        <f>MID(F782,1,2)</f>
        <v>US</v>
      </c>
      <c r="H782" s="43" t="s">
        <v>1660</v>
      </c>
      <c r="I782" s="71" t="s">
        <v>1661</v>
      </c>
      <c r="J782" s="71" t="s">
        <v>454</v>
      </c>
      <c r="K782" s="43" t="s">
        <v>431</v>
      </c>
      <c r="L782" s="71" t="s">
        <v>107</v>
      </c>
      <c r="M782" s="73">
        <v>348</v>
      </c>
      <c r="N782" s="71" t="s">
        <v>388</v>
      </c>
      <c r="O782" s="73">
        <v>1.256</v>
      </c>
      <c r="P782" s="71" t="s">
        <v>389</v>
      </c>
      <c r="Q782" s="73">
        <v>348</v>
      </c>
      <c r="R782" s="71" t="s">
        <v>388</v>
      </c>
      <c r="S782" s="73">
        <v>0</v>
      </c>
      <c r="T782" s="71" t="s">
        <v>390</v>
      </c>
      <c r="U782" s="74">
        <v>1</v>
      </c>
      <c r="V782" s="71" t="s">
        <v>391</v>
      </c>
      <c r="W782" s="130">
        <v>46063.40347222222</v>
      </c>
      <c r="X782" s="72">
        <v>46065.472222222219</v>
      </c>
      <c r="Y782" s="72">
        <v>46065.666666666664</v>
      </c>
      <c r="Z782" s="104" t="s">
        <v>382</v>
      </c>
      <c r="AA782" s="104" t="s">
        <v>422</v>
      </c>
      <c r="AB782" s="105">
        <v>46065.958333333336</v>
      </c>
      <c r="AC782" s="105">
        <v>46066.146527777775</v>
      </c>
    </row>
    <row r="783" s="70" customFormat="1" ht="11.25" customHeight="1">
      <c r="A783" s="87"/>
      <c r="C783" s="43" t="s">
        <v>1659</v>
      </c>
      <c r="D783" s="71" t="s">
        <v>382</v>
      </c>
      <c r="E783" s="71" t="str">
        <f>MID(D783,1,2)</f>
        <v>IL</v>
      </c>
      <c r="F783" s="71" t="s">
        <v>419</v>
      </c>
      <c r="G783" s="71" t="str">
        <f>MID(F783,1,2)</f>
        <v>US</v>
      </c>
      <c r="H783" s="43" t="s">
        <v>1660</v>
      </c>
      <c r="I783" s="71" t="s">
        <v>1661</v>
      </c>
      <c r="J783" s="71" t="s">
        <v>454</v>
      </c>
      <c r="K783" s="43" t="s">
        <v>431</v>
      </c>
      <c r="L783" s="71" t="s">
        <v>107</v>
      </c>
      <c r="M783" s="73">
        <v>348</v>
      </c>
      <c r="N783" s="71" t="s">
        <v>388</v>
      </c>
      <c r="O783" s="73">
        <v>1.256</v>
      </c>
      <c r="P783" s="71" t="s">
        <v>389</v>
      </c>
      <c r="Q783" s="73">
        <v>348</v>
      </c>
      <c r="R783" s="71" t="s">
        <v>388</v>
      </c>
      <c r="S783" s="73">
        <v>0</v>
      </c>
      <c r="T783" s="71" t="s">
        <v>390</v>
      </c>
      <c r="U783" s="74">
        <v>1</v>
      </c>
      <c r="V783" s="71" t="s">
        <v>391</v>
      </c>
      <c r="W783" s="130">
        <v>46063.40347222222</v>
      </c>
      <c r="X783" s="72">
        <v>46065.472222222219</v>
      </c>
      <c r="Y783" s="72">
        <v>46065.666666666664</v>
      </c>
      <c r="Z783" s="104" t="s">
        <v>422</v>
      </c>
      <c r="AA783" s="104" t="s">
        <v>419</v>
      </c>
      <c r="AB783" s="105">
        <v>46066.484027777777</v>
      </c>
      <c r="AC783" s="105">
        <v>46067.328472222223</v>
      </c>
    </row>
    <row r="784" s="70" customFormat="1" ht="11.25" customHeight="1">
      <c r="A784" s="87"/>
      <c r="C784" s="43" t="s">
        <v>1662</v>
      </c>
      <c r="D784" s="71" t="s">
        <v>382</v>
      </c>
      <c r="E784" s="71" t="str">
        <f>MID(D784,1,2)</f>
        <v>IL</v>
      </c>
      <c r="F784" s="71" t="s">
        <v>414</v>
      </c>
      <c r="G784" s="71" t="str">
        <f>MID(F784,1,2)</f>
        <v>US</v>
      </c>
      <c r="H784" s="43" t="s">
        <v>1663</v>
      </c>
      <c r="I784" s="71" t="s">
        <v>1664</v>
      </c>
      <c r="J784" s="71" t="s">
        <v>454</v>
      </c>
      <c r="K784" s="43" t="s">
        <v>759</v>
      </c>
      <c r="L784" s="71" t="s">
        <v>107</v>
      </c>
      <c r="M784" s="73">
        <v>222</v>
      </c>
      <c r="N784" s="71" t="s">
        <v>388</v>
      </c>
      <c r="O784" s="73">
        <v>3.377</v>
      </c>
      <c r="P784" s="71" t="s">
        <v>389</v>
      </c>
      <c r="Q784" s="73">
        <v>563</v>
      </c>
      <c r="R784" s="71" t="s">
        <v>388</v>
      </c>
      <c r="S784" s="73">
        <v>0</v>
      </c>
      <c r="T784" s="71" t="s">
        <v>390</v>
      </c>
      <c r="U784" s="74">
        <v>1</v>
      </c>
      <c r="V784" s="71" t="s">
        <v>391</v>
      </c>
      <c r="W784" s="130">
        <v>46061.409722222219</v>
      </c>
      <c r="X784" s="72">
        <v>46066.03125</v>
      </c>
      <c r="Y784" s="72">
        <v>46066.25</v>
      </c>
      <c r="Z784" s="104" t="s">
        <v>382</v>
      </c>
      <c r="AA784" s="104" t="s">
        <v>414</v>
      </c>
      <c r="AB784" s="105">
        <v>46066.031944444447</v>
      </c>
      <c r="AC784" s="105">
        <v>46066.213888888888</v>
      </c>
    </row>
    <row r="785" s="70" customFormat="1" ht="11.25" customHeight="1">
      <c r="A785" s="87"/>
      <c r="C785" s="43" t="s">
        <v>1665</v>
      </c>
      <c r="D785" s="71" t="s">
        <v>382</v>
      </c>
      <c r="E785" s="71" t="str">
        <f>MID(D785,1,2)</f>
        <v>IL</v>
      </c>
      <c r="F785" s="71" t="s">
        <v>774</v>
      </c>
      <c r="G785" s="71" t="str">
        <f>MID(F785,1,2)</f>
        <v>CN</v>
      </c>
      <c r="H785" s="43" t="s">
        <v>1666</v>
      </c>
      <c r="I785" s="71" t="s">
        <v>1667</v>
      </c>
      <c r="J785" s="71" t="s">
        <v>454</v>
      </c>
      <c r="K785" s="43"/>
      <c r="L785" s="71" t="s">
        <v>107</v>
      </c>
      <c r="M785" s="73">
        <v>2</v>
      </c>
      <c r="N785" s="71" t="s">
        <v>388</v>
      </c>
      <c r="O785" s="73">
        <v>0.045</v>
      </c>
      <c r="P785" s="71" t="s">
        <v>389</v>
      </c>
      <c r="Q785" s="73">
        <v>7.5</v>
      </c>
      <c r="R785" s="71" t="s">
        <v>388</v>
      </c>
      <c r="S785" s="73">
        <v>0</v>
      </c>
      <c r="T785" s="71" t="s">
        <v>390</v>
      </c>
      <c r="U785" s="74">
        <v>1</v>
      </c>
      <c r="V785" s="71" t="s">
        <v>391</v>
      </c>
      <c r="W785" s="130"/>
      <c r="X785" s="72">
        <v>46062.565972222219</v>
      </c>
      <c r="Y785" s="72">
        <v>46064.418055555558</v>
      </c>
      <c r="Z785" s="104" t="s">
        <v>382</v>
      </c>
      <c r="AA785" s="104" t="s">
        <v>383</v>
      </c>
      <c r="AB785" s="105">
        <v>46062.561805555553</v>
      </c>
      <c r="AC785" s="105">
        <v>46062.708333333336</v>
      </c>
    </row>
    <row r="786" s="70" customFormat="1" ht="11.25" customHeight="1">
      <c r="A786" s="87"/>
      <c r="C786" s="43" t="s">
        <v>1665</v>
      </c>
      <c r="D786" s="71" t="s">
        <v>382</v>
      </c>
      <c r="E786" s="71" t="str">
        <f>MID(D786,1,2)</f>
        <v>IL</v>
      </c>
      <c r="F786" s="71" t="s">
        <v>774</v>
      </c>
      <c r="G786" s="71" t="str">
        <f>MID(F786,1,2)</f>
        <v>CN</v>
      </c>
      <c r="H786" s="43" t="s">
        <v>1666</v>
      </c>
      <c r="I786" s="71" t="s">
        <v>1667</v>
      </c>
      <c r="J786" s="71" t="s">
        <v>454</v>
      </c>
      <c r="K786" s="43"/>
      <c r="L786" s="71" t="s">
        <v>107</v>
      </c>
      <c r="M786" s="73">
        <v>2</v>
      </c>
      <c r="N786" s="71" t="s">
        <v>388</v>
      </c>
      <c r="O786" s="73">
        <v>0.045</v>
      </c>
      <c r="P786" s="71" t="s">
        <v>389</v>
      </c>
      <c r="Q786" s="73">
        <v>7.5</v>
      </c>
      <c r="R786" s="71" t="s">
        <v>388</v>
      </c>
      <c r="S786" s="73">
        <v>0</v>
      </c>
      <c r="T786" s="71" t="s">
        <v>390</v>
      </c>
      <c r="U786" s="74">
        <v>1</v>
      </c>
      <c r="V786" s="71" t="s">
        <v>391</v>
      </c>
      <c r="W786" s="130"/>
      <c r="X786" s="72">
        <v>46062.565972222219</v>
      </c>
      <c r="Y786" s="72">
        <v>46064.418055555558</v>
      </c>
      <c r="Z786" s="104" t="s">
        <v>383</v>
      </c>
      <c r="AA786" s="104" t="s">
        <v>774</v>
      </c>
      <c r="AB786" s="105">
        <v>46063.511111111111</v>
      </c>
      <c r="AC786" s="105">
        <v>46064.270138888889</v>
      </c>
    </row>
    <row r="787" s="70" customFormat="1" ht="11.25" customHeight="1">
      <c r="A787" s="87"/>
      <c r="C787" s="43" t="s">
        <v>1668</v>
      </c>
      <c r="D787" s="71" t="s">
        <v>382</v>
      </c>
      <c r="E787" s="71" t="str">
        <f>MID(D787,1,2)</f>
        <v>IL</v>
      </c>
      <c r="F787" s="71" t="s">
        <v>414</v>
      </c>
      <c r="G787" s="71" t="str">
        <f>MID(F787,1,2)</f>
        <v>US</v>
      </c>
      <c r="H787" s="43" t="s">
        <v>1663</v>
      </c>
      <c r="I787" s="71" t="s">
        <v>1669</v>
      </c>
      <c r="J787" s="71" t="s">
        <v>454</v>
      </c>
      <c r="K787" s="43" t="s">
        <v>759</v>
      </c>
      <c r="L787" s="71" t="s">
        <v>107</v>
      </c>
      <c r="M787" s="73">
        <v>138</v>
      </c>
      <c r="N787" s="71" t="s">
        <v>388</v>
      </c>
      <c r="O787" s="73">
        <v>1.432</v>
      </c>
      <c r="P787" s="71" t="s">
        <v>389</v>
      </c>
      <c r="Q787" s="73">
        <v>239</v>
      </c>
      <c r="R787" s="71" t="s">
        <v>388</v>
      </c>
      <c r="S787" s="73">
        <v>0</v>
      </c>
      <c r="T787" s="71" t="s">
        <v>390</v>
      </c>
      <c r="U787" s="74">
        <v>1</v>
      </c>
      <c r="V787" s="71" t="s">
        <v>391</v>
      </c>
      <c r="W787" s="130">
        <v>46061.409722222219</v>
      </c>
      <c r="X787" s="72">
        <v>46066.03125</v>
      </c>
      <c r="Y787" s="72">
        <v>46066.25</v>
      </c>
      <c r="Z787" s="104" t="s">
        <v>382</v>
      </c>
      <c r="AA787" s="104" t="s">
        <v>414</v>
      </c>
      <c r="AB787" s="105">
        <v>46066.031944444447</v>
      </c>
      <c r="AC787" s="105">
        <v>46066.213888888888</v>
      </c>
    </row>
    <row r="788" s="70" customFormat="1" ht="11.25" customHeight="1">
      <c r="A788" s="87"/>
      <c r="C788" s="43" t="s">
        <v>1670</v>
      </c>
      <c r="D788" s="71" t="s">
        <v>382</v>
      </c>
      <c r="E788" s="71" t="str">
        <f>MID(D788,1,2)</f>
        <v>IL</v>
      </c>
      <c r="F788" s="71" t="s">
        <v>414</v>
      </c>
      <c r="G788" s="71" t="str">
        <f>MID(F788,1,2)</f>
        <v>US</v>
      </c>
      <c r="H788" s="43" t="s">
        <v>1648</v>
      </c>
      <c r="I788" s="71" t="s">
        <v>1671</v>
      </c>
      <c r="J788" s="71" t="s">
        <v>426</v>
      </c>
      <c r="K788" s="43" t="s">
        <v>759</v>
      </c>
      <c r="L788" s="71" t="s">
        <v>105</v>
      </c>
      <c r="M788" s="73">
        <v>3</v>
      </c>
      <c r="N788" s="71" t="s">
        <v>388</v>
      </c>
      <c r="O788" s="73">
        <v>0.029</v>
      </c>
      <c r="P788" s="71" t="s">
        <v>389</v>
      </c>
      <c r="Q788" s="73">
        <v>5</v>
      </c>
      <c r="R788" s="71" t="s">
        <v>388</v>
      </c>
      <c r="S788" s="73">
        <v>0</v>
      </c>
      <c r="T788" s="71" t="s">
        <v>390</v>
      </c>
      <c r="U788" s="74">
        <v>1</v>
      </c>
      <c r="V788" s="71" t="s">
        <v>427</v>
      </c>
      <c r="W788" s="130">
        <v>46061.913078703707</v>
      </c>
      <c r="X788" s="72">
        <v>46064.03125</v>
      </c>
      <c r="Y788" s="72">
        <v>46064.239583333336</v>
      </c>
      <c r="Z788" s="104" t="s">
        <v>382</v>
      </c>
      <c r="AA788" s="104" t="s">
        <v>414</v>
      </c>
      <c r="AB788" s="105">
        <v>46064.034722222219</v>
      </c>
      <c r="AC788" s="105">
        <v>46064.222222222219</v>
      </c>
    </row>
    <row r="789" s="70" customFormat="1" ht="11.25" customHeight="1">
      <c r="A789" s="87"/>
      <c r="C789" s="43" t="s">
        <v>1672</v>
      </c>
      <c r="D789" s="71" t="s">
        <v>382</v>
      </c>
      <c r="E789" s="71" t="str">
        <f>MID(D789,1,2)</f>
        <v>IL</v>
      </c>
      <c r="F789" s="71" t="s">
        <v>597</v>
      </c>
      <c r="G789" s="71" t="str">
        <f>MID(F789,1,2)</f>
        <v>NL</v>
      </c>
      <c r="H789" s="43" t="s">
        <v>1673</v>
      </c>
      <c r="I789" s="71"/>
      <c r="J789" s="71" t="s">
        <v>426</v>
      </c>
      <c r="K789" s="43"/>
      <c r="L789" s="71" t="s">
        <v>105</v>
      </c>
      <c r="M789" s="73">
        <v>2</v>
      </c>
      <c r="N789" s="71" t="s">
        <v>388</v>
      </c>
      <c r="O789" s="73">
        <v>0.022</v>
      </c>
      <c r="P789" s="71" t="s">
        <v>389</v>
      </c>
      <c r="Q789" s="73">
        <v>4</v>
      </c>
      <c r="R789" s="71" t="s">
        <v>388</v>
      </c>
      <c r="S789" s="73">
        <v>0</v>
      </c>
      <c r="T789" s="71" t="s">
        <v>390</v>
      </c>
      <c r="U789" s="74">
        <v>2</v>
      </c>
      <c r="V789" s="71" t="s">
        <v>391</v>
      </c>
      <c r="W789" s="130">
        <v>46061.423611111109</v>
      </c>
      <c r="X789" s="72">
        <v>46063.253472222219</v>
      </c>
      <c r="Y789" s="72">
        <v>46064.461805555555</v>
      </c>
      <c r="Z789" s="104" t="s">
        <v>382</v>
      </c>
      <c r="AA789" s="104" t="s">
        <v>597</v>
      </c>
      <c r="AB789" s="105">
        <v>46064.286805555559</v>
      </c>
      <c r="AC789" s="105">
        <v>46064.446527777778</v>
      </c>
    </row>
    <row r="790" s="70" customFormat="1" ht="11.25" customHeight="1">
      <c r="A790" s="87"/>
      <c r="C790" s="43" t="s">
        <v>1674</v>
      </c>
      <c r="D790" s="71" t="s">
        <v>382</v>
      </c>
      <c r="E790" s="71" t="str">
        <f>MID(D790,1,2)</f>
        <v>IL</v>
      </c>
      <c r="F790" s="71" t="s">
        <v>414</v>
      </c>
      <c r="G790" s="71" t="str">
        <f>MID(F790,1,2)</f>
        <v>US</v>
      </c>
      <c r="H790" s="43" t="s">
        <v>1663</v>
      </c>
      <c r="I790" s="71" t="s">
        <v>1675</v>
      </c>
      <c r="J790" s="71" t="s">
        <v>454</v>
      </c>
      <c r="K790" s="43" t="s">
        <v>759</v>
      </c>
      <c r="L790" s="71" t="s">
        <v>107</v>
      </c>
      <c r="M790" s="73">
        <v>32</v>
      </c>
      <c r="N790" s="71" t="s">
        <v>388</v>
      </c>
      <c r="O790" s="73">
        <v>0.266</v>
      </c>
      <c r="P790" s="71" t="s">
        <v>389</v>
      </c>
      <c r="Q790" s="73">
        <v>44.5</v>
      </c>
      <c r="R790" s="71" t="s">
        <v>388</v>
      </c>
      <c r="S790" s="73">
        <v>0</v>
      </c>
      <c r="T790" s="71" t="s">
        <v>390</v>
      </c>
      <c r="U790" s="74">
        <v>1</v>
      </c>
      <c r="V790" s="71" t="s">
        <v>391</v>
      </c>
      <c r="W790" s="130">
        <v>46061.417361111111</v>
      </c>
      <c r="X790" s="72">
        <v>46066.03125</v>
      </c>
      <c r="Y790" s="72">
        <v>46066.25</v>
      </c>
      <c r="Z790" s="104" t="s">
        <v>382</v>
      </c>
      <c r="AA790" s="104" t="s">
        <v>414</v>
      </c>
      <c r="AB790" s="105">
        <v>46066.031944444447</v>
      </c>
      <c r="AC790" s="105">
        <v>46066.213888888888</v>
      </c>
    </row>
    <row r="791" s="70" customFormat="1" ht="11.25" customHeight="1">
      <c r="A791" s="87"/>
      <c r="C791" s="43" t="s">
        <v>1676</v>
      </c>
      <c r="D791" s="71" t="s">
        <v>382</v>
      </c>
      <c r="E791" s="71" t="str">
        <f>MID(D791,1,2)</f>
        <v>IL</v>
      </c>
      <c r="F791" s="71" t="s">
        <v>597</v>
      </c>
      <c r="G791" s="71" t="str">
        <f>MID(F791,1,2)</f>
        <v>NL</v>
      </c>
      <c r="H791" s="43" t="s">
        <v>1677</v>
      </c>
      <c r="I791" s="71" t="s">
        <v>1678</v>
      </c>
      <c r="J791" s="71" t="s">
        <v>400</v>
      </c>
      <c r="K791" s="43"/>
      <c r="L791" s="71" t="s">
        <v>105</v>
      </c>
      <c r="M791" s="73">
        <v>83</v>
      </c>
      <c r="N791" s="71" t="s">
        <v>388</v>
      </c>
      <c r="O791" s="73">
        <v>0.793</v>
      </c>
      <c r="P791" s="71" t="s">
        <v>389</v>
      </c>
      <c r="Q791" s="73">
        <v>132.5</v>
      </c>
      <c r="R791" s="71" t="s">
        <v>388</v>
      </c>
      <c r="S791" s="73">
        <v>0</v>
      </c>
      <c r="T791" s="71" t="s">
        <v>390</v>
      </c>
      <c r="U791" s="74">
        <v>1</v>
      </c>
      <c r="V791" s="71" t="s">
        <v>391</v>
      </c>
      <c r="W791" s="130">
        <v>46061.873333333337</v>
      </c>
      <c r="X791" s="72">
        <v>46062.583333333336</v>
      </c>
      <c r="Y791" s="72">
        <v>46064.989583333336</v>
      </c>
      <c r="Z791" s="104" t="s">
        <v>382</v>
      </c>
      <c r="AA791" s="104" t="s">
        <v>383</v>
      </c>
      <c r="AB791" s="105">
        <v>46063.593055555553</v>
      </c>
      <c r="AC791" s="105">
        <v>46063.7375</v>
      </c>
    </row>
    <row r="792" s="70" customFormat="1" ht="11.25" customHeight="1">
      <c r="A792" s="87"/>
      <c r="C792" s="43" t="s">
        <v>1676</v>
      </c>
      <c r="D792" s="71" t="s">
        <v>382</v>
      </c>
      <c r="E792" s="71" t="str">
        <f>MID(D792,1,2)</f>
        <v>IL</v>
      </c>
      <c r="F792" s="71" t="s">
        <v>597</v>
      </c>
      <c r="G792" s="71" t="str">
        <f>MID(F792,1,2)</f>
        <v>NL</v>
      </c>
      <c r="H792" s="43" t="s">
        <v>1677</v>
      </c>
      <c r="I792" s="71" t="s">
        <v>1678</v>
      </c>
      <c r="J792" s="71" t="s">
        <v>400</v>
      </c>
      <c r="K792" s="43"/>
      <c r="L792" s="71" t="s">
        <v>105</v>
      </c>
      <c r="M792" s="73">
        <v>83</v>
      </c>
      <c r="N792" s="71" t="s">
        <v>388</v>
      </c>
      <c r="O792" s="73">
        <v>0.793</v>
      </c>
      <c r="P792" s="71" t="s">
        <v>389</v>
      </c>
      <c r="Q792" s="73">
        <v>132.5</v>
      </c>
      <c r="R792" s="71" t="s">
        <v>388</v>
      </c>
      <c r="S792" s="73">
        <v>0</v>
      </c>
      <c r="T792" s="71" t="s">
        <v>390</v>
      </c>
      <c r="U792" s="74">
        <v>1</v>
      </c>
      <c r="V792" s="71" t="s">
        <v>391</v>
      </c>
      <c r="W792" s="130">
        <v>46061.873333333337</v>
      </c>
      <c r="X792" s="72">
        <v>46062.583333333336</v>
      </c>
      <c r="Y792" s="72">
        <v>46064.989583333336</v>
      </c>
      <c r="Z792" s="104" t="s">
        <v>383</v>
      </c>
      <c r="AA792" s="104" t="s">
        <v>597</v>
      </c>
      <c r="AB792" s="105">
        <v>46064.6875</v>
      </c>
      <c r="AC792" s="105">
        <v>46064.996527777781</v>
      </c>
    </row>
    <row r="793" s="70" customFormat="1" ht="11.25" customHeight="1">
      <c r="A793" s="87"/>
      <c r="C793" s="43" t="s">
        <v>1679</v>
      </c>
      <c r="D793" s="71" t="s">
        <v>382</v>
      </c>
      <c r="E793" s="71" t="str">
        <f>MID(D793,1,2)</f>
        <v>IL</v>
      </c>
      <c r="F793" s="71" t="s">
        <v>397</v>
      </c>
      <c r="G793" s="71" t="str">
        <f>MID(F793,1,2)</f>
        <v>IN</v>
      </c>
      <c r="H793" s="43" t="s">
        <v>1680</v>
      </c>
      <c r="I793" s="71" t="s">
        <v>1681</v>
      </c>
      <c r="J793" s="71" t="s">
        <v>426</v>
      </c>
      <c r="K793" s="43"/>
      <c r="L793" s="71" t="s">
        <v>105</v>
      </c>
      <c r="M793" s="73">
        <v>2</v>
      </c>
      <c r="N793" s="71" t="s">
        <v>388</v>
      </c>
      <c r="O793" s="73">
        <v>0.027</v>
      </c>
      <c r="P793" s="71" t="s">
        <v>389</v>
      </c>
      <c r="Q793" s="73">
        <v>4.5</v>
      </c>
      <c r="R793" s="71" t="s">
        <v>388</v>
      </c>
      <c r="S793" s="73">
        <v>0</v>
      </c>
      <c r="T793" s="71" t="s">
        <v>390</v>
      </c>
      <c r="U793" s="74">
        <v>1</v>
      </c>
      <c r="V793" s="71" t="s">
        <v>391</v>
      </c>
      <c r="W793" s="130">
        <v>46061.664976851855</v>
      </c>
      <c r="X793" s="72">
        <v>46063.576388888891</v>
      </c>
      <c r="Y793" s="72">
        <v>46065.033333333333</v>
      </c>
      <c r="Z793" s="104" t="s">
        <v>382</v>
      </c>
      <c r="AA793" s="104" t="s">
        <v>383</v>
      </c>
      <c r="AB793" s="105">
        <v>46063.593055555553</v>
      </c>
      <c r="AC793" s="105">
        <v>46063.7375</v>
      </c>
    </row>
    <row r="794" s="70" customFormat="1" ht="11.25" customHeight="1">
      <c r="A794" s="87"/>
      <c r="C794" s="43" t="s">
        <v>1679</v>
      </c>
      <c r="D794" s="71" t="s">
        <v>382</v>
      </c>
      <c r="E794" s="71" t="str">
        <f>MID(D794,1,2)</f>
        <v>IL</v>
      </c>
      <c r="F794" s="71" t="s">
        <v>397</v>
      </c>
      <c r="G794" s="71" t="str">
        <f>MID(F794,1,2)</f>
        <v>IN</v>
      </c>
      <c r="H794" s="43" t="s">
        <v>1680</v>
      </c>
      <c r="I794" s="71" t="s">
        <v>1681</v>
      </c>
      <c r="J794" s="71" t="s">
        <v>426</v>
      </c>
      <c r="K794" s="43"/>
      <c r="L794" s="71" t="s">
        <v>105</v>
      </c>
      <c r="M794" s="73">
        <v>2</v>
      </c>
      <c r="N794" s="71" t="s">
        <v>388</v>
      </c>
      <c r="O794" s="73">
        <v>0.027</v>
      </c>
      <c r="P794" s="71" t="s">
        <v>389</v>
      </c>
      <c r="Q794" s="73">
        <v>4.5</v>
      </c>
      <c r="R794" s="71" t="s">
        <v>388</v>
      </c>
      <c r="S794" s="73">
        <v>0</v>
      </c>
      <c r="T794" s="71" t="s">
        <v>390</v>
      </c>
      <c r="U794" s="74">
        <v>1</v>
      </c>
      <c r="V794" s="71" t="s">
        <v>391</v>
      </c>
      <c r="W794" s="130">
        <v>46061.664976851855</v>
      </c>
      <c r="X794" s="72">
        <v>46063.576388888891</v>
      </c>
      <c r="Y794" s="72">
        <v>46065.033333333333</v>
      </c>
      <c r="Z794" s="104" t="s">
        <v>383</v>
      </c>
      <c r="AA794" s="104" t="s">
        <v>397</v>
      </c>
      <c r="AB794" s="105">
        <v>46064.446527777778</v>
      </c>
      <c r="AC794" s="105">
        <v>46065.011111111111</v>
      </c>
    </row>
    <row r="795" s="70" customFormat="1" ht="11.25" customHeight="1">
      <c r="A795" s="87"/>
      <c r="C795" s="43" t="s">
        <v>1682</v>
      </c>
      <c r="D795" s="71" t="s">
        <v>382</v>
      </c>
      <c r="E795" s="71" t="str">
        <f>MID(D795,1,2)</f>
        <v>IL</v>
      </c>
      <c r="F795" s="71" t="s">
        <v>414</v>
      </c>
      <c r="G795" s="71" t="str">
        <f>MID(F795,1,2)</f>
        <v>US</v>
      </c>
      <c r="H795" s="43" t="s">
        <v>1663</v>
      </c>
      <c r="I795" s="71" t="s">
        <v>1683</v>
      </c>
      <c r="J795" s="71" t="s">
        <v>454</v>
      </c>
      <c r="K795" s="43" t="s">
        <v>759</v>
      </c>
      <c r="L795" s="71" t="s">
        <v>107</v>
      </c>
      <c r="M795" s="73">
        <v>281</v>
      </c>
      <c r="N795" s="71" t="s">
        <v>388</v>
      </c>
      <c r="O795" s="73">
        <v>1.493</v>
      </c>
      <c r="P795" s="71" t="s">
        <v>389</v>
      </c>
      <c r="Q795" s="73">
        <v>281</v>
      </c>
      <c r="R795" s="71" t="s">
        <v>388</v>
      </c>
      <c r="S795" s="73">
        <v>0</v>
      </c>
      <c r="T795" s="71" t="s">
        <v>390</v>
      </c>
      <c r="U795" s="74">
        <v>1</v>
      </c>
      <c r="V795" s="71" t="s">
        <v>391</v>
      </c>
      <c r="W795" s="130">
        <v>46063.75403935185</v>
      </c>
      <c r="X795" s="72">
        <v>46066.03125</v>
      </c>
      <c r="Y795" s="72">
        <v>46066.25</v>
      </c>
      <c r="Z795" s="104" t="s">
        <v>382</v>
      </c>
      <c r="AA795" s="104" t="s">
        <v>414</v>
      </c>
      <c r="AB795" s="105">
        <v>46066.031944444447</v>
      </c>
      <c r="AC795" s="105">
        <v>46066.213888888888</v>
      </c>
    </row>
    <row r="796" s="70" customFormat="1" ht="11.25" customHeight="1">
      <c r="A796" s="87"/>
      <c r="C796" s="43" t="s">
        <v>1684</v>
      </c>
      <c r="D796" s="71" t="s">
        <v>382</v>
      </c>
      <c r="E796" s="71" t="str">
        <f>MID(D796,1,2)</f>
        <v>IL</v>
      </c>
      <c r="F796" s="71" t="s">
        <v>471</v>
      </c>
      <c r="G796" s="71" t="str">
        <f>MID(F796,1,2)</f>
        <v>US</v>
      </c>
      <c r="H796" s="43" t="s">
        <v>1685</v>
      </c>
      <c r="I796" s="71" t="s">
        <v>1686</v>
      </c>
      <c r="J796" s="71" t="s">
        <v>386</v>
      </c>
      <c r="K796" s="43"/>
      <c r="L796" s="71" t="s">
        <v>107</v>
      </c>
      <c r="M796" s="73">
        <v>173</v>
      </c>
      <c r="N796" s="71" t="s">
        <v>388</v>
      </c>
      <c r="O796" s="73">
        <v>0.602</v>
      </c>
      <c r="P796" s="71" t="s">
        <v>389</v>
      </c>
      <c r="Q796" s="73">
        <v>173</v>
      </c>
      <c r="R796" s="71" t="s">
        <v>388</v>
      </c>
      <c r="S796" s="73">
        <v>0</v>
      </c>
      <c r="T796" s="71" t="s">
        <v>390</v>
      </c>
      <c r="U796" s="74">
        <v>2</v>
      </c>
      <c r="V796" s="71" t="s">
        <v>391</v>
      </c>
      <c r="W796" s="130">
        <v>46061.438194444447</v>
      </c>
      <c r="X796" s="72">
        <v>46063.479166666664</v>
      </c>
      <c r="Y796" s="72">
        <v>46067.25</v>
      </c>
      <c r="Z796" s="104" t="s">
        <v>382</v>
      </c>
      <c r="AA796" s="104" t="s">
        <v>422</v>
      </c>
      <c r="AB796" s="105">
        <v>46063.966666666667</v>
      </c>
      <c r="AC796" s="105">
        <v>46064.147222222222</v>
      </c>
    </row>
    <row r="797" s="70" customFormat="1" ht="11.25" customHeight="1">
      <c r="A797" s="87"/>
      <c r="C797" s="43" t="s">
        <v>1684</v>
      </c>
      <c r="D797" s="71" t="s">
        <v>382</v>
      </c>
      <c r="E797" s="71" t="str">
        <f>MID(D797,1,2)</f>
        <v>IL</v>
      </c>
      <c r="F797" s="71" t="s">
        <v>471</v>
      </c>
      <c r="G797" s="71" t="str">
        <f>MID(F797,1,2)</f>
        <v>US</v>
      </c>
      <c r="H797" s="43" t="s">
        <v>1685</v>
      </c>
      <c r="I797" s="71" t="s">
        <v>1686</v>
      </c>
      <c r="J797" s="71" t="s">
        <v>386</v>
      </c>
      <c r="K797" s="43"/>
      <c r="L797" s="71" t="s">
        <v>107</v>
      </c>
      <c r="M797" s="73">
        <v>173</v>
      </c>
      <c r="N797" s="71" t="s">
        <v>388</v>
      </c>
      <c r="O797" s="73">
        <v>0.602</v>
      </c>
      <c r="P797" s="71" t="s">
        <v>389</v>
      </c>
      <c r="Q797" s="73">
        <v>173</v>
      </c>
      <c r="R797" s="71" t="s">
        <v>388</v>
      </c>
      <c r="S797" s="73">
        <v>0</v>
      </c>
      <c r="T797" s="71" t="s">
        <v>390</v>
      </c>
      <c r="U797" s="74">
        <v>2</v>
      </c>
      <c r="V797" s="71" t="s">
        <v>391</v>
      </c>
      <c r="W797" s="130">
        <v>46061.438194444447</v>
      </c>
      <c r="X797" s="72">
        <v>46063.479166666664</v>
      </c>
      <c r="Y797" s="72">
        <v>46067.25</v>
      </c>
      <c r="Z797" s="104" t="s">
        <v>422</v>
      </c>
      <c r="AA797" s="104" t="s">
        <v>471</v>
      </c>
      <c r="AB797" s="105">
        <v>46064.597916666666</v>
      </c>
      <c r="AC797" s="105">
        <v>46067.580555555556</v>
      </c>
    </row>
    <row r="798" s="70" customFormat="1" ht="11.25" customHeight="1">
      <c r="A798" s="87"/>
      <c r="C798" s="43" t="s">
        <v>1687</v>
      </c>
      <c r="D798" s="71" t="s">
        <v>382</v>
      </c>
      <c r="E798" s="71" t="str">
        <f>MID(D798,1,2)</f>
        <v>IL</v>
      </c>
      <c r="F798" s="71" t="s">
        <v>1357</v>
      </c>
      <c r="G798" s="71" t="str">
        <f>MID(F798,1,2)</f>
        <v>IN</v>
      </c>
      <c r="H798" s="43" t="s">
        <v>1688</v>
      </c>
      <c r="I798" s="71" t="s">
        <v>1689</v>
      </c>
      <c r="J798" s="71" t="s">
        <v>426</v>
      </c>
      <c r="K798" s="43"/>
      <c r="L798" s="71" t="s">
        <v>105</v>
      </c>
      <c r="M798" s="73">
        <v>1</v>
      </c>
      <c r="N798" s="71" t="s">
        <v>388</v>
      </c>
      <c r="O798" s="73">
        <v>0.011</v>
      </c>
      <c r="P798" s="71" t="s">
        <v>389</v>
      </c>
      <c r="Q798" s="73">
        <v>2</v>
      </c>
      <c r="R798" s="71" t="s">
        <v>388</v>
      </c>
      <c r="S798" s="73">
        <v>0</v>
      </c>
      <c r="T798" s="71" t="s">
        <v>390</v>
      </c>
      <c r="U798" s="74">
        <v>1</v>
      </c>
      <c r="V798" s="71" t="s">
        <v>391</v>
      </c>
      <c r="W798" s="130"/>
      <c r="X798" s="72">
        <v>46063.576388888891</v>
      </c>
      <c r="Y798" s="72">
        <v>46065.061805555553</v>
      </c>
      <c r="Z798" s="104" t="s">
        <v>382</v>
      </c>
      <c r="AA798" s="104" t="s">
        <v>383</v>
      </c>
      <c r="AB798" s="105">
        <v>46063.593055555553</v>
      </c>
      <c r="AC798" s="105">
        <v>46063.7375</v>
      </c>
    </row>
    <row r="799" s="70" customFormat="1" ht="11.25" customHeight="1">
      <c r="A799" s="87"/>
      <c r="C799" s="43" t="s">
        <v>1687</v>
      </c>
      <c r="D799" s="71" t="s">
        <v>382</v>
      </c>
      <c r="E799" s="71" t="str">
        <f>MID(D799,1,2)</f>
        <v>IL</v>
      </c>
      <c r="F799" s="71" t="s">
        <v>1357</v>
      </c>
      <c r="G799" s="71" t="str">
        <f>MID(F799,1,2)</f>
        <v>IN</v>
      </c>
      <c r="H799" s="43" t="s">
        <v>1688</v>
      </c>
      <c r="I799" s="71" t="s">
        <v>1689</v>
      </c>
      <c r="J799" s="71" t="s">
        <v>426</v>
      </c>
      <c r="K799" s="43"/>
      <c r="L799" s="71" t="s">
        <v>105</v>
      </c>
      <c r="M799" s="73">
        <v>1</v>
      </c>
      <c r="N799" s="71" t="s">
        <v>388</v>
      </c>
      <c r="O799" s="73">
        <v>0.011</v>
      </c>
      <c r="P799" s="71" t="s">
        <v>389</v>
      </c>
      <c r="Q799" s="73">
        <v>2</v>
      </c>
      <c r="R799" s="71" t="s">
        <v>388</v>
      </c>
      <c r="S799" s="73">
        <v>0</v>
      </c>
      <c r="T799" s="71" t="s">
        <v>390</v>
      </c>
      <c r="U799" s="74">
        <v>1</v>
      </c>
      <c r="V799" s="71" t="s">
        <v>391</v>
      </c>
      <c r="W799" s="130"/>
      <c r="X799" s="72">
        <v>46063.576388888891</v>
      </c>
      <c r="Y799" s="72">
        <v>46065.061805555553</v>
      </c>
      <c r="Z799" s="104" t="s">
        <v>383</v>
      </c>
      <c r="AA799" s="104" t="s">
        <v>1357</v>
      </c>
      <c r="AB799" s="105">
        <v>46064.538194444445</v>
      </c>
      <c r="AC799" s="105">
        <v>46065.061805555553</v>
      </c>
    </row>
    <row r="800" s="70" customFormat="1" ht="11.25" customHeight="1">
      <c r="A800" s="87"/>
      <c r="C800" s="43" t="s">
        <v>1690</v>
      </c>
      <c r="D800" s="71" t="s">
        <v>382</v>
      </c>
      <c r="E800" s="71" t="str">
        <f>MID(D800,1,2)</f>
        <v>IL</v>
      </c>
      <c r="F800" s="71" t="s">
        <v>978</v>
      </c>
      <c r="G800" s="71" t="str">
        <f>MID(F800,1,2)</f>
        <v>PL</v>
      </c>
      <c r="H800" s="43" t="s">
        <v>746</v>
      </c>
      <c r="I800" s="71" t="s">
        <v>1691</v>
      </c>
      <c r="J800" s="71" t="s">
        <v>386</v>
      </c>
      <c r="K800" s="43"/>
      <c r="L800" s="71" t="s">
        <v>107</v>
      </c>
      <c r="M800" s="73">
        <v>1257</v>
      </c>
      <c r="N800" s="71" t="s">
        <v>388</v>
      </c>
      <c r="O800" s="73">
        <v>1.533</v>
      </c>
      <c r="P800" s="71" t="s">
        <v>389</v>
      </c>
      <c r="Q800" s="73">
        <v>1257</v>
      </c>
      <c r="R800" s="71" t="s">
        <v>388</v>
      </c>
      <c r="S800" s="73">
        <v>0</v>
      </c>
      <c r="T800" s="71" t="s">
        <v>390</v>
      </c>
      <c r="U800" s="74">
        <v>5</v>
      </c>
      <c r="V800" s="71" t="s">
        <v>391</v>
      </c>
      <c r="W800" s="130"/>
      <c r="X800" s="72">
        <v>46064.753472222219</v>
      </c>
      <c r="Y800" s="72">
        <v>46076.25</v>
      </c>
      <c r="Z800" s="104" t="s">
        <v>382</v>
      </c>
      <c r="AA800" s="104" t="s">
        <v>748</v>
      </c>
      <c r="AB800" s="105">
        <v>46064.851388888892</v>
      </c>
      <c r="AC800" s="105">
        <v>46064.980555555558</v>
      </c>
    </row>
    <row r="801" s="70" customFormat="1" ht="11.25" customHeight="1">
      <c r="A801" s="87"/>
      <c r="C801" s="43" t="s">
        <v>1690</v>
      </c>
      <c r="D801" s="71" t="s">
        <v>382</v>
      </c>
      <c r="E801" s="71" t="str">
        <f>MID(D801,1,2)</f>
        <v>IL</v>
      </c>
      <c r="F801" s="71" t="s">
        <v>978</v>
      </c>
      <c r="G801" s="71" t="str">
        <f>MID(F801,1,2)</f>
        <v>PL</v>
      </c>
      <c r="H801" s="43" t="s">
        <v>746</v>
      </c>
      <c r="I801" s="71" t="s">
        <v>1691</v>
      </c>
      <c r="J801" s="71" t="s">
        <v>386</v>
      </c>
      <c r="K801" s="43"/>
      <c r="L801" s="71" t="s">
        <v>107</v>
      </c>
      <c r="M801" s="73">
        <v>1257</v>
      </c>
      <c r="N801" s="71" t="s">
        <v>388</v>
      </c>
      <c r="O801" s="73">
        <v>1.533</v>
      </c>
      <c r="P801" s="71" t="s">
        <v>389</v>
      </c>
      <c r="Q801" s="73">
        <v>1257</v>
      </c>
      <c r="R801" s="71" t="s">
        <v>388</v>
      </c>
      <c r="S801" s="73">
        <v>0</v>
      </c>
      <c r="T801" s="71" t="s">
        <v>390</v>
      </c>
      <c r="U801" s="74">
        <v>5</v>
      </c>
      <c r="V801" s="71" t="s">
        <v>391</v>
      </c>
      <c r="W801" s="130"/>
      <c r="X801" s="72">
        <v>46064.753472222219</v>
      </c>
      <c r="Y801" s="72">
        <v>46076.25</v>
      </c>
      <c r="Z801" s="104" t="s">
        <v>748</v>
      </c>
      <c r="AA801" s="104" t="s">
        <v>383</v>
      </c>
      <c r="AB801" s="105">
        <v>46066.504166666666</v>
      </c>
      <c r="AC801" s="105">
        <v>46066.750694444447</v>
      </c>
    </row>
    <row r="802" s="70" customFormat="1" ht="11.25" customHeight="1">
      <c r="A802" s="87"/>
      <c r="C802" s="43" t="s">
        <v>1690</v>
      </c>
      <c r="D802" s="71" t="s">
        <v>382</v>
      </c>
      <c r="E802" s="71" t="str">
        <f>MID(D802,1,2)</f>
        <v>IL</v>
      </c>
      <c r="F802" s="71" t="s">
        <v>978</v>
      </c>
      <c r="G802" s="71" t="str">
        <f>MID(F802,1,2)</f>
        <v>PL</v>
      </c>
      <c r="H802" s="43" t="s">
        <v>746</v>
      </c>
      <c r="I802" s="71" t="s">
        <v>1691</v>
      </c>
      <c r="J802" s="71" t="s">
        <v>386</v>
      </c>
      <c r="K802" s="43"/>
      <c r="L802" s="71" t="s">
        <v>107</v>
      </c>
      <c r="M802" s="73">
        <v>1257</v>
      </c>
      <c r="N802" s="71" t="s">
        <v>388</v>
      </c>
      <c r="O802" s="73">
        <v>1.533</v>
      </c>
      <c r="P802" s="71" t="s">
        <v>389</v>
      </c>
      <c r="Q802" s="73">
        <v>1257</v>
      </c>
      <c r="R802" s="71" t="s">
        <v>388</v>
      </c>
      <c r="S802" s="73">
        <v>0</v>
      </c>
      <c r="T802" s="71" t="s">
        <v>390</v>
      </c>
      <c r="U802" s="74">
        <v>5</v>
      </c>
      <c r="V802" s="71" t="s">
        <v>391</v>
      </c>
      <c r="W802" s="130"/>
      <c r="X802" s="72">
        <v>46064.753472222219</v>
      </c>
      <c r="Y802" s="72">
        <v>46076.25</v>
      </c>
      <c r="Z802" s="104" t="s">
        <v>383</v>
      </c>
      <c r="AA802" s="104" t="s">
        <v>1428</v>
      </c>
      <c r="AB802" s="105">
        <v>46075.952777777777</v>
      </c>
      <c r="AC802" s="105">
        <v>46076.272222222222</v>
      </c>
    </row>
    <row r="803" s="70" customFormat="1" ht="11.25" customHeight="1">
      <c r="A803" s="87"/>
      <c r="C803" s="43" t="s">
        <v>1692</v>
      </c>
      <c r="D803" s="71" t="s">
        <v>382</v>
      </c>
      <c r="E803" s="71" t="str">
        <f>MID(D803,1,2)</f>
        <v>IL</v>
      </c>
      <c r="F803" s="71" t="s">
        <v>667</v>
      </c>
      <c r="G803" s="71" t="str">
        <f>MID(F803,1,2)</f>
        <v>DE</v>
      </c>
      <c r="H803" s="43" t="s">
        <v>1693</v>
      </c>
      <c r="I803" s="71" t="s">
        <v>1694</v>
      </c>
      <c r="J803" s="71" t="s">
        <v>559</v>
      </c>
      <c r="K803" s="43"/>
      <c r="L803" s="71" t="s">
        <v>107</v>
      </c>
      <c r="M803" s="73">
        <v>6</v>
      </c>
      <c r="N803" s="71" t="s">
        <v>388</v>
      </c>
      <c r="O803" s="73">
        <v>0.043</v>
      </c>
      <c r="P803" s="71" t="s">
        <v>389</v>
      </c>
      <c r="Q803" s="73">
        <v>7.5</v>
      </c>
      <c r="R803" s="71" t="s">
        <v>388</v>
      </c>
      <c r="S803" s="73">
        <v>0</v>
      </c>
      <c r="T803" s="71" t="s">
        <v>390</v>
      </c>
      <c r="U803" s="74">
        <v>1</v>
      </c>
      <c r="V803" s="71" t="s">
        <v>391</v>
      </c>
      <c r="W803" s="130">
        <v>46061.661493055559</v>
      </c>
      <c r="X803" s="72">
        <v>46063.625</v>
      </c>
      <c r="Y803" s="72">
        <v>46070.541666666664</v>
      </c>
      <c r="Z803" s="104" t="s">
        <v>667</v>
      </c>
      <c r="AA803" s="104" t="s">
        <v>1006</v>
      </c>
      <c r="AB803" s="105"/>
      <c r="AC803" s="105"/>
    </row>
    <row r="804" s="70" customFormat="1" ht="11.25" customHeight="1">
      <c r="A804" s="87"/>
      <c r="C804" s="43" t="s">
        <v>1692</v>
      </c>
      <c r="D804" s="71" t="s">
        <v>382</v>
      </c>
      <c r="E804" s="71" t="str">
        <f>MID(D804,1,2)</f>
        <v>IL</v>
      </c>
      <c r="F804" s="71" t="s">
        <v>667</v>
      </c>
      <c r="G804" s="71" t="str">
        <f>MID(F804,1,2)</f>
        <v>DE</v>
      </c>
      <c r="H804" s="43" t="s">
        <v>1693</v>
      </c>
      <c r="I804" s="71" t="s">
        <v>1694</v>
      </c>
      <c r="J804" s="71" t="s">
        <v>559</v>
      </c>
      <c r="K804" s="43"/>
      <c r="L804" s="71" t="s">
        <v>107</v>
      </c>
      <c r="M804" s="73">
        <v>6</v>
      </c>
      <c r="N804" s="71" t="s">
        <v>388</v>
      </c>
      <c r="O804" s="73">
        <v>0.043</v>
      </c>
      <c r="P804" s="71" t="s">
        <v>389</v>
      </c>
      <c r="Q804" s="73">
        <v>7.5</v>
      </c>
      <c r="R804" s="71" t="s">
        <v>388</v>
      </c>
      <c r="S804" s="73">
        <v>0</v>
      </c>
      <c r="T804" s="71" t="s">
        <v>390</v>
      </c>
      <c r="U804" s="74">
        <v>1</v>
      </c>
      <c r="V804" s="71" t="s">
        <v>391</v>
      </c>
      <c r="W804" s="130">
        <v>46061.661493055559</v>
      </c>
      <c r="X804" s="72">
        <v>46063.625</v>
      </c>
      <c r="Y804" s="72">
        <v>46070.541666666664</v>
      </c>
      <c r="Z804" s="104" t="s">
        <v>382</v>
      </c>
      <c r="AA804" s="104" t="s">
        <v>667</v>
      </c>
      <c r="AB804" s="105">
        <v>46064.029166666667</v>
      </c>
      <c r="AC804" s="105">
        <v>46064.217361111114</v>
      </c>
    </row>
    <row r="805" s="70" customFormat="1" ht="11.25" customHeight="1">
      <c r="A805" s="87"/>
      <c r="C805" s="43" t="s">
        <v>1695</v>
      </c>
      <c r="D805" s="71" t="s">
        <v>382</v>
      </c>
      <c r="E805" s="71" t="str">
        <f>MID(D805,1,2)</f>
        <v>IL</v>
      </c>
      <c r="F805" s="71" t="s">
        <v>597</v>
      </c>
      <c r="G805" s="71" t="str">
        <f>MID(F805,1,2)</f>
        <v>NL</v>
      </c>
      <c r="H805" s="43" t="s">
        <v>1677</v>
      </c>
      <c r="I805" s="71" t="s">
        <v>1696</v>
      </c>
      <c r="J805" s="71" t="s">
        <v>400</v>
      </c>
      <c r="K805" s="43"/>
      <c r="L805" s="71" t="s">
        <v>105</v>
      </c>
      <c r="M805" s="73">
        <v>350</v>
      </c>
      <c r="N805" s="71" t="s">
        <v>388</v>
      </c>
      <c r="O805" s="73">
        <v>2.086</v>
      </c>
      <c r="P805" s="71" t="s">
        <v>389</v>
      </c>
      <c r="Q805" s="73">
        <v>350</v>
      </c>
      <c r="R805" s="71" t="s">
        <v>388</v>
      </c>
      <c r="S805" s="73">
        <v>0</v>
      </c>
      <c r="T805" s="71" t="s">
        <v>390</v>
      </c>
      <c r="U805" s="74">
        <v>1</v>
      </c>
      <c r="V805" s="71" t="s">
        <v>391</v>
      </c>
      <c r="W805" s="130">
        <v>46061.66847222222</v>
      </c>
      <c r="X805" s="72">
        <v>46063.576388888891</v>
      </c>
      <c r="Y805" s="72">
        <v>46064.989583333336</v>
      </c>
      <c r="Z805" s="104" t="s">
        <v>382</v>
      </c>
      <c r="AA805" s="104" t="s">
        <v>383</v>
      </c>
      <c r="AB805" s="105">
        <v>46063.593055555553</v>
      </c>
      <c r="AC805" s="105">
        <v>46063.7375</v>
      </c>
    </row>
    <row r="806" s="70" customFormat="1" ht="11.25" customHeight="1">
      <c r="A806" s="87"/>
      <c r="C806" s="43" t="s">
        <v>1695</v>
      </c>
      <c r="D806" s="71" t="s">
        <v>382</v>
      </c>
      <c r="E806" s="71" t="str">
        <f>MID(D806,1,2)</f>
        <v>IL</v>
      </c>
      <c r="F806" s="71" t="s">
        <v>597</v>
      </c>
      <c r="G806" s="71" t="str">
        <f>MID(F806,1,2)</f>
        <v>NL</v>
      </c>
      <c r="H806" s="43" t="s">
        <v>1677</v>
      </c>
      <c r="I806" s="71" t="s">
        <v>1696</v>
      </c>
      <c r="J806" s="71" t="s">
        <v>400</v>
      </c>
      <c r="K806" s="43"/>
      <c r="L806" s="71" t="s">
        <v>105</v>
      </c>
      <c r="M806" s="73">
        <v>350</v>
      </c>
      <c r="N806" s="71" t="s">
        <v>388</v>
      </c>
      <c r="O806" s="73">
        <v>2.086</v>
      </c>
      <c r="P806" s="71" t="s">
        <v>389</v>
      </c>
      <c r="Q806" s="73">
        <v>350</v>
      </c>
      <c r="R806" s="71" t="s">
        <v>388</v>
      </c>
      <c r="S806" s="73">
        <v>0</v>
      </c>
      <c r="T806" s="71" t="s">
        <v>390</v>
      </c>
      <c r="U806" s="74">
        <v>1</v>
      </c>
      <c r="V806" s="71" t="s">
        <v>391</v>
      </c>
      <c r="W806" s="130">
        <v>46061.66847222222</v>
      </c>
      <c r="X806" s="72">
        <v>46063.576388888891</v>
      </c>
      <c r="Y806" s="72">
        <v>46064.989583333336</v>
      </c>
      <c r="Z806" s="104" t="s">
        <v>383</v>
      </c>
      <c r="AA806" s="104" t="s">
        <v>597</v>
      </c>
      <c r="AB806" s="105">
        <v>46064.6875</v>
      </c>
      <c r="AC806" s="105">
        <v>46064.996527777781</v>
      </c>
    </row>
    <row r="807" s="70" customFormat="1" ht="11.25" customHeight="1">
      <c r="A807" s="87"/>
      <c r="C807" s="43" t="s">
        <v>1697</v>
      </c>
      <c r="D807" s="71" t="s">
        <v>382</v>
      </c>
      <c r="E807" s="71" t="str">
        <f>MID(D807,1,2)</f>
        <v>IL</v>
      </c>
      <c r="F807" s="71" t="s">
        <v>496</v>
      </c>
      <c r="G807" s="71" t="str">
        <f>MID(F807,1,2)</f>
        <v>RO</v>
      </c>
      <c r="H807" s="43" t="s">
        <v>1698</v>
      </c>
      <c r="I807" s="71" t="s">
        <v>1699</v>
      </c>
      <c r="J807" s="71" t="s">
        <v>400</v>
      </c>
      <c r="K807" s="43"/>
      <c r="L807" s="71" t="s">
        <v>105</v>
      </c>
      <c r="M807" s="73">
        <v>270</v>
      </c>
      <c r="N807" s="71" t="s">
        <v>388</v>
      </c>
      <c r="O807" s="73">
        <v>1.129</v>
      </c>
      <c r="P807" s="71" t="s">
        <v>389</v>
      </c>
      <c r="Q807" s="73">
        <v>270</v>
      </c>
      <c r="R807" s="71" t="s">
        <v>388</v>
      </c>
      <c r="S807" s="73">
        <v>0</v>
      </c>
      <c r="T807" s="71" t="s">
        <v>390</v>
      </c>
      <c r="U807" s="74">
        <v>1</v>
      </c>
      <c r="V807" s="71" t="s">
        <v>391</v>
      </c>
      <c r="W807" s="130">
        <v>46062.592488425929</v>
      </c>
      <c r="X807" s="72">
        <v>46063.652777777781</v>
      </c>
      <c r="Y807" s="72">
        <v>46064.520833333336</v>
      </c>
      <c r="Z807" s="104" t="s">
        <v>382</v>
      </c>
      <c r="AA807" s="104" t="s">
        <v>595</v>
      </c>
      <c r="AB807" s="105">
        <v>46063.645833333336</v>
      </c>
      <c r="AC807" s="105">
        <v>46063.754166666666</v>
      </c>
    </row>
    <row r="808" s="70" customFormat="1" ht="11.25" customHeight="1">
      <c r="A808" s="87"/>
      <c r="C808" s="43" t="s">
        <v>1697</v>
      </c>
      <c r="D808" s="71" t="s">
        <v>382</v>
      </c>
      <c r="E808" s="71" t="str">
        <f>MID(D808,1,2)</f>
        <v>IL</v>
      </c>
      <c r="F808" s="71" t="s">
        <v>496</v>
      </c>
      <c r="G808" s="71" t="str">
        <f>MID(F808,1,2)</f>
        <v>RO</v>
      </c>
      <c r="H808" s="43" t="s">
        <v>1698</v>
      </c>
      <c r="I808" s="71" t="s">
        <v>1699</v>
      </c>
      <c r="J808" s="71" t="s">
        <v>400</v>
      </c>
      <c r="K808" s="43"/>
      <c r="L808" s="71" t="s">
        <v>105</v>
      </c>
      <c r="M808" s="73">
        <v>270</v>
      </c>
      <c r="N808" s="71" t="s">
        <v>388</v>
      </c>
      <c r="O808" s="73">
        <v>1.129</v>
      </c>
      <c r="P808" s="71" t="s">
        <v>389</v>
      </c>
      <c r="Q808" s="73">
        <v>270</v>
      </c>
      <c r="R808" s="71" t="s">
        <v>388</v>
      </c>
      <c r="S808" s="73">
        <v>0</v>
      </c>
      <c r="T808" s="71" t="s">
        <v>390</v>
      </c>
      <c r="U808" s="74">
        <v>1</v>
      </c>
      <c r="V808" s="71" t="s">
        <v>391</v>
      </c>
      <c r="W808" s="130">
        <v>46062.592488425929</v>
      </c>
      <c r="X808" s="72">
        <v>46063.652777777781</v>
      </c>
      <c r="Y808" s="72">
        <v>46064.520833333336</v>
      </c>
      <c r="Z808" s="104" t="s">
        <v>595</v>
      </c>
      <c r="AA808" s="104" t="s">
        <v>496</v>
      </c>
      <c r="AB808" s="105">
        <v>46064.413888888892</v>
      </c>
      <c r="AC808" s="105">
        <v>46064.511805555558</v>
      </c>
    </row>
    <row r="809" s="70" customFormat="1" ht="11.25" customHeight="1">
      <c r="A809" s="87"/>
      <c r="C809" s="43" t="s">
        <v>1700</v>
      </c>
      <c r="D809" s="71" t="s">
        <v>382</v>
      </c>
      <c r="E809" s="71" t="str">
        <f>MID(D809,1,2)</f>
        <v>IL</v>
      </c>
      <c r="F809" s="71" t="s">
        <v>414</v>
      </c>
      <c r="G809" s="71" t="str">
        <f>MID(F809,1,2)</f>
        <v>US</v>
      </c>
      <c r="H809" s="43" t="s">
        <v>1648</v>
      </c>
      <c r="I809" s="71" t="s">
        <v>1701</v>
      </c>
      <c r="J809" s="71" t="s">
        <v>386</v>
      </c>
      <c r="K809" s="43" t="s">
        <v>759</v>
      </c>
      <c r="L809" s="71" t="s">
        <v>107</v>
      </c>
      <c r="M809" s="73">
        <v>6</v>
      </c>
      <c r="N809" s="71" t="s">
        <v>388</v>
      </c>
      <c r="O809" s="73">
        <v>0.15</v>
      </c>
      <c r="P809" s="71" t="s">
        <v>389</v>
      </c>
      <c r="Q809" s="73">
        <v>25</v>
      </c>
      <c r="R809" s="71" t="s">
        <v>388</v>
      </c>
      <c r="S809" s="73">
        <v>0</v>
      </c>
      <c r="T809" s="71" t="s">
        <v>390</v>
      </c>
      <c r="U809" s="74">
        <v>1</v>
      </c>
      <c r="V809" s="71" t="s">
        <v>427</v>
      </c>
      <c r="W809" s="130">
        <v>46061.459027777775</v>
      </c>
      <c r="X809" s="72">
        <v>46064.03125</v>
      </c>
      <c r="Y809" s="72">
        <v>46064.239583333336</v>
      </c>
      <c r="Z809" s="104" t="s">
        <v>382</v>
      </c>
      <c r="AA809" s="104" t="s">
        <v>414</v>
      </c>
      <c r="AB809" s="105">
        <v>46064.034722222219</v>
      </c>
      <c r="AC809" s="105">
        <v>46064.222222222219</v>
      </c>
    </row>
    <row r="810" s="70" customFormat="1" ht="11.25" customHeight="1">
      <c r="A810" s="87"/>
      <c r="C810" s="43" t="s">
        <v>1702</v>
      </c>
      <c r="D810" s="71" t="s">
        <v>382</v>
      </c>
      <c r="E810" s="71" t="str">
        <f>MID(D810,1,2)</f>
        <v>IL</v>
      </c>
      <c r="F810" s="71" t="s">
        <v>414</v>
      </c>
      <c r="G810" s="71" t="str">
        <f>MID(F810,1,2)</f>
        <v>US</v>
      </c>
      <c r="H810" s="43" t="s">
        <v>1648</v>
      </c>
      <c r="I810" s="71" t="s">
        <v>1703</v>
      </c>
      <c r="J810" s="71" t="s">
        <v>386</v>
      </c>
      <c r="K810" s="43" t="s">
        <v>759</v>
      </c>
      <c r="L810" s="71" t="s">
        <v>107</v>
      </c>
      <c r="M810" s="73">
        <v>63</v>
      </c>
      <c r="N810" s="71" t="s">
        <v>388</v>
      </c>
      <c r="O810" s="73">
        <v>0.816</v>
      </c>
      <c r="P810" s="71" t="s">
        <v>389</v>
      </c>
      <c r="Q810" s="73">
        <v>136</v>
      </c>
      <c r="R810" s="71" t="s">
        <v>388</v>
      </c>
      <c r="S810" s="73">
        <v>0</v>
      </c>
      <c r="T810" s="71" t="s">
        <v>390</v>
      </c>
      <c r="U810" s="74">
        <v>1</v>
      </c>
      <c r="V810" s="71" t="s">
        <v>391</v>
      </c>
      <c r="W810" s="130">
        <v>46061.739363425928</v>
      </c>
      <c r="X810" s="72">
        <v>46064.03125</v>
      </c>
      <c r="Y810" s="72">
        <v>46064.239583333336</v>
      </c>
      <c r="Z810" s="104" t="s">
        <v>382</v>
      </c>
      <c r="AA810" s="104" t="s">
        <v>414</v>
      </c>
      <c r="AB810" s="105">
        <v>46064.034722222219</v>
      </c>
      <c r="AC810" s="105">
        <v>46064.222222222219</v>
      </c>
    </row>
    <row r="811" s="70" customFormat="1" ht="11.25" customHeight="1">
      <c r="A811" s="87"/>
      <c r="C811" s="43" t="s">
        <v>1704</v>
      </c>
      <c r="D811" s="71" t="s">
        <v>382</v>
      </c>
      <c r="E811" s="71" t="str">
        <f>MID(D811,1,2)</f>
        <v>IL</v>
      </c>
      <c r="F811" s="71" t="s">
        <v>595</v>
      </c>
      <c r="G811" s="71" t="str">
        <f>MID(F811,1,2)</f>
        <v>AT</v>
      </c>
      <c r="H811" s="43" t="s">
        <v>1705</v>
      </c>
      <c r="I811" s="71" t="s">
        <v>1706</v>
      </c>
      <c r="J811" s="71" t="s">
        <v>400</v>
      </c>
      <c r="K811" s="43"/>
      <c r="L811" s="71" t="s">
        <v>105</v>
      </c>
      <c r="M811" s="73">
        <v>86</v>
      </c>
      <c r="N811" s="71" t="s">
        <v>388</v>
      </c>
      <c r="O811" s="73">
        <v>0.04</v>
      </c>
      <c r="P811" s="71" t="s">
        <v>389</v>
      </c>
      <c r="Q811" s="73">
        <v>86</v>
      </c>
      <c r="R811" s="71" t="s">
        <v>388</v>
      </c>
      <c r="S811" s="73">
        <v>0</v>
      </c>
      <c r="T811" s="71" t="s">
        <v>390</v>
      </c>
      <c r="U811" s="74">
        <v>1</v>
      </c>
      <c r="V811" s="71" t="s">
        <v>391</v>
      </c>
      <c r="W811" s="130"/>
      <c r="X811" s="72">
        <v>46063.246527777781</v>
      </c>
      <c r="Y811" s="72">
        <v>46063.361111111109</v>
      </c>
      <c r="Z811" s="104" t="s">
        <v>382</v>
      </c>
      <c r="AA811" s="104" t="s">
        <v>595</v>
      </c>
      <c r="AB811" s="105">
        <v>46063.243055555555</v>
      </c>
      <c r="AC811" s="105">
        <v>46063.354861111111</v>
      </c>
    </row>
    <row r="812" s="70" customFormat="1" ht="11.25" customHeight="1">
      <c r="A812" s="87"/>
      <c r="C812" s="43" t="s">
        <v>1707</v>
      </c>
      <c r="D812" s="71" t="s">
        <v>382</v>
      </c>
      <c r="E812" s="71" t="str">
        <f>MID(D812,1,2)</f>
        <v>IL</v>
      </c>
      <c r="F812" s="71" t="s">
        <v>383</v>
      </c>
      <c r="G812" s="71" t="str">
        <f>MID(F812,1,2)</f>
        <v>DE</v>
      </c>
      <c r="H812" s="43" t="s">
        <v>1708</v>
      </c>
      <c r="I812" s="71" t="s">
        <v>1709</v>
      </c>
      <c r="J812" s="71" t="s">
        <v>386</v>
      </c>
      <c r="K812" s="43"/>
      <c r="L812" s="71" t="s">
        <v>107</v>
      </c>
      <c r="M812" s="73">
        <v>1130</v>
      </c>
      <c r="N812" s="71" t="s">
        <v>388</v>
      </c>
      <c r="O812" s="73">
        <v>10.015</v>
      </c>
      <c r="P812" s="71" t="s">
        <v>389</v>
      </c>
      <c r="Q812" s="73">
        <v>1669.5</v>
      </c>
      <c r="R812" s="71" t="s">
        <v>388</v>
      </c>
      <c r="S812" s="73">
        <v>0</v>
      </c>
      <c r="T812" s="71" t="s">
        <v>390</v>
      </c>
      <c r="U812" s="74">
        <v>8</v>
      </c>
      <c r="V812" s="71" t="s">
        <v>391</v>
      </c>
      <c r="W812" s="130"/>
      <c r="X812" s="72">
        <v>46063.477083333331</v>
      </c>
      <c r="Y812" s="72">
        <v>46065.260416666664</v>
      </c>
      <c r="Z812" s="104" t="s">
        <v>382</v>
      </c>
      <c r="AA812" s="104" t="s">
        <v>748</v>
      </c>
      <c r="AB812" s="105">
        <v>46063.477777777778</v>
      </c>
      <c r="AC812" s="105">
        <v>46063.607638888891</v>
      </c>
    </row>
    <row r="813" s="70" customFormat="1" ht="11.25" customHeight="1">
      <c r="A813" s="87"/>
      <c r="C813" s="43" t="s">
        <v>1707</v>
      </c>
      <c r="D813" s="71" t="s">
        <v>382</v>
      </c>
      <c r="E813" s="71" t="str">
        <f>MID(D813,1,2)</f>
        <v>IL</v>
      </c>
      <c r="F813" s="71" t="s">
        <v>383</v>
      </c>
      <c r="G813" s="71" t="str">
        <f>MID(F813,1,2)</f>
        <v>DE</v>
      </c>
      <c r="H813" s="43" t="s">
        <v>1708</v>
      </c>
      <c r="I813" s="71" t="s">
        <v>1709</v>
      </c>
      <c r="J813" s="71" t="s">
        <v>386</v>
      </c>
      <c r="K813" s="43"/>
      <c r="L813" s="71" t="s">
        <v>107</v>
      </c>
      <c r="M813" s="73">
        <v>1130</v>
      </c>
      <c r="N813" s="71" t="s">
        <v>388</v>
      </c>
      <c r="O813" s="73">
        <v>10.015</v>
      </c>
      <c r="P813" s="71" t="s">
        <v>389</v>
      </c>
      <c r="Q813" s="73">
        <v>1669.5</v>
      </c>
      <c r="R813" s="71" t="s">
        <v>388</v>
      </c>
      <c r="S813" s="73">
        <v>0</v>
      </c>
      <c r="T813" s="71" t="s">
        <v>390</v>
      </c>
      <c r="U813" s="74">
        <v>8</v>
      </c>
      <c r="V813" s="71" t="s">
        <v>391</v>
      </c>
      <c r="W813" s="130"/>
      <c r="X813" s="72">
        <v>46063.477083333331</v>
      </c>
      <c r="Y813" s="72">
        <v>46065.260416666664</v>
      </c>
      <c r="Z813" s="104" t="s">
        <v>748</v>
      </c>
      <c r="AA813" s="104" t="s">
        <v>383</v>
      </c>
      <c r="AB813" s="105">
        <v>46064.635416666664</v>
      </c>
      <c r="AC813" s="105">
        <v>46065.042361111111</v>
      </c>
    </row>
    <row r="814" s="70" customFormat="1" ht="11.25" customHeight="1">
      <c r="A814" s="87"/>
      <c r="C814" s="43" t="s">
        <v>1710</v>
      </c>
      <c r="D814" s="71" t="s">
        <v>382</v>
      </c>
      <c r="E814" s="71" t="str">
        <f>MID(D814,1,2)</f>
        <v>IL</v>
      </c>
      <c r="F814" s="71" t="s">
        <v>1711</v>
      </c>
      <c r="G814" s="71" t="str">
        <f>MID(F814,1,2)</f>
        <v>RS</v>
      </c>
      <c r="H814" s="43" t="s">
        <v>1712</v>
      </c>
      <c r="I814" s="71" t="s">
        <v>1713</v>
      </c>
      <c r="J814" s="71" t="s">
        <v>426</v>
      </c>
      <c r="K814" s="43"/>
      <c r="L814" s="71" t="s">
        <v>105</v>
      </c>
      <c r="M814" s="73">
        <v>90</v>
      </c>
      <c r="N814" s="71" t="s">
        <v>388</v>
      </c>
      <c r="O814" s="73">
        <v>1.44</v>
      </c>
      <c r="P814" s="71" t="s">
        <v>389</v>
      </c>
      <c r="Q814" s="73">
        <v>240</v>
      </c>
      <c r="R814" s="71" t="s">
        <v>388</v>
      </c>
      <c r="S814" s="73">
        <v>0</v>
      </c>
      <c r="T814" s="71" t="s">
        <v>390</v>
      </c>
      <c r="U814" s="74">
        <v>3</v>
      </c>
      <c r="V814" s="71" t="s">
        <v>391</v>
      </c>
      <c r="W814" s="130"/>
      <c r="X814" s="72">
        <v>46077.455555555556</v>
      </c>
      <c r="Y814" s="72">
        <v>46112.625</v>
      </c>
      <c r="Z814" s="104" t="s">
        <v>382</v>
      </c>
      <c r="AA814" s="104" t="s">
        <v>408</v>
      </c>
      <c r="AB814" s="105"/>
      <c r="AC814" s="105"/>
    </row>
    <row r="815" s="70" customFormat="1" ht="11.25" customHeight="1">
      <c r="A815" s="87"/>
      <c r="C815" s="43" t="s">
        <v>1710</v>
      </c>
      <c r="D815" s="71" t="s">
        <v>382</v>
      </c>
      <c r="E815" s="71" t="str">
        <f>MID(D815,1,2)</f>
        <v>IL</v>
      </c>
      <c r="F815" s="71" t="s">
        <v>1711</v>
      </c>
      <c r="G815" s="71" t="str">
        <f>MID(F815,1,2)</f>
        <v>RS</v>
      </c>
      <c r="H815" s="43" t="s">
        <v>1712</v>
      </c>
      <c r="I815" s="71" t="s">
        <v>1713</v>
      </c>
      <c r="J815" s="71" t="s">
        <v>426</v>
      </c>
      <c r="K815" s="43"/>
      <c r="L815" s="71" t="s">
        <v>105</v>
      </c>
      <c r="M815" s="73">
        <v>90</v>
      </c>
      <c r="N815" s="71" t="s">
        <v>388</v>
      </c>
      <c r="O815" s="73">
        <v>1.44</v>
      </c>
      <c r="P815" s="71" t="s">
        <v>389</v>
      </c>
      <c r="Q815" s="73">
        <v>240</v>
      </c>
      <c r="R815" s="71" t="s">
        <v>388</v>
      </c>
      <c r="S815" s="73">
        <v>0</v>
      </c>
      <c r="T815" s="71" t="s">
        <v>390</v>
      </c>
      <c r="U815" s="74">
        <v>3</v>
      </c>
      <c r="V815" s="71" t="s">
        <v>391</v>
      </c>
      <c r="W815" s="130"/>
      <c r="X815" s="72">
        <v>46077.455555555556</v>
      </c>
      <c r="Y815" s="72">
        <v>46112.625</v>
      </c>
      <c r="Z815" s="104" t="s">
        <v>408</v>
      </c>
      <c r="AA815" s="104" t="s">
        <v>1711</v>
      </c>
      <c r="AB815" s="105"/>
      <c r="AC815" s="105"/>
    </row>
    <row r="816" s="70" customFormat="1" ht="11.25" customHeight="1">
      <c r="A816" s="87"/>
      <c r="C816" s="43" t="s">
        <v>1714</v>
      </c>
      <c r="D816" s="71" t="s">
        <v>382</v>
      </c>
      <c r="E816" s="71" t="str">
        <f>MID(D816,1,2)</f>
        <v>IL</v>
      </c>
      <c r="F816" s="71" t="s">
        <v>414</v>
      </c>
      <c r="G816" s="71" t="str">
        <f>MID(F816,1,2)</f>
        <v>US</v>
      </c>
      <c r="H816" s="43" t="s">
        <v>1648</v>
      </c>
      <c r="I816" s="71" t="s">
        <v>1715</v>
      </c>
      <c r="J816" s="71" t="s">
        <v>426</v>
      </c>
      <c r="K816" s="43" t="s">
        <v>759</v>
      </c>
      <c r="L816" s="71" t="s">
        <v>105</v>
      </c>
      <c r="M816" s="73">
        <v>99</v>
      </c>
      <c r="N816" s="71" t="s">
        <v>388</v>
      </c>
      <c r="O816" s="73">
        <v>0.793</v>
      </c>
      <c r="P816" s="71" t="s">
        <v>389</v>
      </c>
      <c r="Q816" s="73">
        <v>132.5</v>
      </c>
      <c r="R816" s="71" t="s">
        <v>388</v>
      </c>
      <c r="S816" s="73">
        <v>0</v>
      </c>
      <c r="T816" s="71" t="s">
        <v>390</v>
      </c>
      <c r="U816" s="74">
        <v>4</v>
      </c>
      <c r="V816" s="71" t="s">
        <v>446</v>
      </c>
      <c r="W816" s="130">
        <v>46061.46597222222</v>
      </c>
      <c r="X816" s="72">
        <v>46064.03125</v>
      </c>
      <c r="Y816" s="72">
        <v>46064.239583333336</v>
      </c>
      <c r="Z816" s="104" t="s">
        <v>382</v>
      </c>
      <c r="AA816" s="104" t="s">
        <v>414</v>
      </c>
      <c r="AB816" s="105">
        <v>46064.034722222219</v>
      </c>
      <c r="AC816" s="105">
        <v>46064.222222222219</v>
      </c>
    </row>
    <row r="817" s="70" customFormat="1" ht="11.25" customHeight="1">
      <c r="A817" s="87"/>
      <c r="C817" s="43" t="s">
        <v>1716</v>
      </c>
      <c r="D817" s="71" t="s">
        <v>382</v>
      </c>
      <c r="E817" s="71" t="str">
        <f>MID(D817,1,2)</f>
        <v>IL</v>
      </c>
      <c r="F817" s="71" t="s">
        <v>573</v>
      </c>
      <c r="G817" s="71" t="str">
        <f>MID(F817,1,2)</f>
        <v>CH</v>
      </c>
      <c r="H817" s="43" t="s">
        <v>1717</v>
      </c>
      <c r="I817" s="71" t="s">
        <v>1718</v>
      </c>
      <c r="J817" s="71" t="s">
        <v>426</v>
      </c>
      <c r="K817" s="43"/>
      <c r="L817" s="71" t="s">
        <v>105</v>
      </c>
      <c r="M817" s="73">
        <v>471</v>
      </c>
      <c r="N817" s="71" t="s">
        <v>388</v>
      </c>
      <c r="O817" s="73">
        <v>2.836</v>
      </c>
      <c r="P817" s="71" t="s">
        <v>389</v>
      </c>
      <c r="Q817" s="73">
        <v>473</v>
      </c>
      <c r="R817" s="71" t="s">
        <v>388</v>
      </c>
      <c r="S817" s="73">
        <v>0</v>
      </c>
      <c r="T817" s="71" t="s">
        <v>390</v>
      </c>
      <c r="U817" s="74">
        <v>3</v>
      </c>
      <c r="V817" s="71" t="s">
        <v>391</v>
      </c>
      <c r="W817" s="130">
        <v>46063.849629629629</v>
      </c>
      <c r="X817" s="72">
        <v>46066.572916666664</v>
      </c>
      <c r="Y817" s="72">
        <v>46069.325</v>
      </c>
      <c r="Z817" s="104" t="s">
        <v>382</v>
      </c>
      <c r="AA817" s="104" t="s">
        <v>383</v>
      </c>
      <c r="AB817" s="105">
        <v>46066.5625</v>
      </c>
      <c r="AC817" s="105">
        <v>46066.709722222222</v>
      </c>
    </row>
    <row r="818" s="70" customFormat="1" ht="11.25" customHeight="1">
      <c r="A818" s="87"/>
      <c r="C818" s="43" t="s">
        <v>1716</v>
      </c>
      <c r="D818" s="71" t="s">
        <v>382</v>
      </c>
      <c r="E818" s="71" t="str">
        <f>MID(D818,1,2)</f>
        <v>IL</v>
      </c>
      <c r="F818" s="71" t="s">
        <v>573</v>
      </c>
      <c r="G818" s="71" t="str">
        <f>MID(F818,1,2)</f>
        <v>CH</v>
      </c>
      <c r="H818" s="43" t="s">
        <v>1717</v>
      </c>
      <c r="I818" s="71" t="s">
        <v>1718</v>
      </c>
      <c r="J818" s="71" t="s">
        <v>426</v>
      </c>
      <c r="K818" s="43"/>
      <c r="L818" s="71" t="s">
        <v>105</v>
      </c>
      <c r="M818" s="73">
        <v>471</v>
      </c>
      <c r="N818" s="71" t="s">
        <v>388</v>
      </c>
      <c r="O818" s="73">
        <v>2.836</v>
      </c>
      <c r="P818" s="71" t="s">
        <v>389</v>
      </c>
      <c r="Q818" s="73">
        <v>473</v>
      </c>
      <c r="R818" s="71" t="s">
        <v>388</v>
      </c>
      <c r="S818" s="73">
        <v>0</v>
      </c>
      <c r="T818" s="71" t="s">
        <v>390</v>
      </c>
      <c r="U818" s="74">
        <v>3</v>
      </c>
      <c r="V818" s="71" t="s">
        <v>391</v>
      </c>
      <c r="W818" s="130">
        <v>46063.849629629629</v>
      </c>
      <c r="X818" s="72">
        <v>46066.572916666664</v>
      </c>
      <c r="Y818" s="72">
        <v>46069.325</v>
      </c>
      <c r="Z818" s="104" t="s">
        <v>383</v>
      </c>
      <c r="AA818" s="104" t="s">
        <v>573</v>
      </c>
      <c r="AB818" s="105">
        <v>46068.981944444444</v>
      </c>
      <c r="AC818" s="105">
        <v>46069.270833333336</v>
      </c>
    </row>
    <row r="819" s="70" customFormat="1" ht="11.25" customHeight="1">
      <c r="A819" s="87"/>
      <c r="C819" s="43" t="s">
        <v>1719</v>
      </c>
      <c r="D819" s="71" t="s">
        <v>382</v>
      </c>
      <c r="E819" s="71" t="str">
        <f>MID(D819,1,2)</f>
        <v>IL</v>
      </c>
      <c r="F819" s="71" t="s">
        <v>383</v>
      </c>
      <c r="G819" s="71" t="str">
        <f>MID(F819,1,2)</f>
        <v>DE</v>
      </c>
      <c r="H819" s="43" t="s">
        <v>1720</v>
      </c>
      <c r="I819" s="71" t="s">
        <v>1721</v>
      </c>
      <c r="J819" s="71" t="s">
        <v>400</v>
      </c>
      <c r="K819" s="43" t="s">
        <v>1722</v>
      </c>
      <c r="L819" s="71" t="s">
        <v>105</v>
      </c>
      <c r="M819" s="73">
        <v>186</v>
      </c>
      <c r="N819" s="71" t="s">
        <v>388</v>
      </c>
      <c r="O819" s="73">
        <v>1.968</v>
      </c>
      <c r="P819" s="71" t="s">
        <v>389</v>
      </c>
      <c r="Q819" s="73">
        <v>328</v>
      </c>
      <c r="R819" s="71" t="s">
        <v>388</v>
      </c>
      <c r="S819" s="73">
        <v>0</v>
      </c>
      <c r="T819" s="71" t="s">
        <v>390</v>
      </c>
      <c r="U819" s="74">
        <v>2</v>
      </c>
      <c r="V819" s="71" t="s">
        <v>391</v>
      </c>
      <c r="W819" s="130"/>
      <c r="X819" s="72">
        <v>46064.753472222219</v>
      </c>
      <c r="Y819" s="72">
        <v>46066.21875</v>
      </c>
      <c r="Z819" s="104" t="s">
        <v>383</v>
      </c>
      <c r="AA819" s="104" t="s">
        <v>383</v>
      </c>
      <c r="AB819" s="105">
        <v>46076.645833333336</v>
      </c>
      <c r="AC819" s="105">
        <v>46076.6875</v>
      </c>
    </row>
    <row r="820" s="70" customFormat="1" ht="11.25" customHeight="1">
      <c r="A820" s="87"/>
      <c r="C820" s="43" t="s">
        <v>1719</v>
      </c>
      <c r="D820" s="71" t="s">
        <v>382</v>
      </c>
      <c r="E820" s="71" t="str">
        <f>MID(D820,1,2)</f>
        <v>IL</v>
      </c>
      <c r="F820" s="71" t="s">
        <v>383</v>
      </c>
      <c r="G820" s="71" t="str">
        <f>MID(F820,1,2)</f>
        <v>DE</v>
      </c>
      <c r="H820" s="43" t="s">
        <v>1720</v>
      </c>
      <c r="I820" s="71" t="s">
        <v>1721</v>
      </c>
      <c r="J820" s="71" t="s">
        <v>400</v>
      </c>
      <c r="K820" s="43" t="s">
        <v>1722</v>
      </c>
      <c r="L820" s="71" t="s">
        <v>105</v>
      </c>
      <c r="M820" s="73">
        <v>186</v>
      </c>
      <c r="N820" s="71" t="s">
        <v>388</v>
      </c>
      <c r="O820" s="73">
        <v>1.968</v>
      </c>
      <c r="P820" s="71" t="s">
        <v>389</v>
      </c>
      <c r="Q820" s="73">
        <v>328</v>
      </c>
      <c r="R820" s="71" t="s">
        <v>388</v>
      </c>
      <c r="S820" s="73">
        <v>0</v>
      </c>
      <c r="T820" s="71" t="s">
        <v>390</v>
      </c>
      <c r="U820" s="74">
        <v>2</v>
      </c>
      <c r="V820" s="71" t="s">
        <v>391</v>
      </c>
      <c r="W820" s="130"/>
      <c r="X820" s="72">
        <v>46064.753472222219</v>
      </c>
      <c r="Y820" s="72">
        <v>46066.21875</v>
      </c>
      <c r="Z820" s="104" t="s">
        <v>382</v>
      </c>
      <c r="AA820" s="104" t="s">
        <v>748</v>
      </c>
      <c r="AB820" s="105">
        <v>46065.826388888891</v>
      </c>
      <c r="AC820" s="105">
        <v>46065.955555555556</v>
      </c>
    </row>
    <row r="821" s="70" customFormat="1" ht="11.25" customHeight="1">
      <c r="A821" s="87"/>
      <c r="C821" s="43" t="s">
        <v>1719</v>
      </c>
      <c r="D821" s="71" t="s">
        <v>382</v>
      </c>
      <c r="E821" s="71" t="str">
        <f>MID(D821,1,2)</f>
        <v>IL</v>
      </c>
      <c r="F821" s="71" t="s">
        <v>383</v>
      </c>
      <c r="G821" s="71" t="str">
        <f>MID(F821,1,2)</f>
        <v>DE</v>
      </c>
      <c r="H821" s="43" t="s">
        <v>1720</v>
      </c>
      <c r="I821" s="71" t="s">
        <v>1721</v>
      </c>
      <c r="J821" s="71" t="s">
        <v>400</v>
      </c>
      <c r="K821" s="43" t="s">
        <v>1722</v>
      </c>
      <c r="L821" s="71" t="s">
        <v>105</v>
      </c>
      <c r="M821" s="73">
        <v>186</v>
      </c>
      <c r="N821" s="71" t="s">
        <v>388</v>
      </c>
      <c r="O821" s="73">
        <v>1.968</v>
      </c>
      <c r="P821" s="71" t="s">
        <v>389</v>
      </c>
      <c r="Q821" s="73">
        <v>328</v>
      </c>
      <c r="R821" s="71" t="s">
        <v>388</v>
      </c>
      <c r="S821" s="73">
        <v>0</v>
      </c>
      <c r="T821" s="71" t="s">
        <v>390</v>
      </c>
      <c r="U821" s="74">
        <v>2</v>
      </c>
      <c r="V821" s="71" t="s">
        <v>391</v>
      </c>
      <c r="W821" s="130"/>
      <c r="X821" s="72">
        <v>46064.753472222219</v>
      </c>
      <c r="Y821" s="72">
        <v>46066.21875</v>
      </c>
      <c r="Z821" s="104" t="s">
        <v>748</v>
      </c>
      <c r="AA821" s="104" t="s">
        <v>383</v>
      </c>
      <c r="AB821" s="105">
        <v>46066.535416666666</v>
      </c>
      <c r="AC821" s="105">
        <v>46066.558333333334</v>
      </c>
    </row>
    <row r="822" s="70" customFormat="1" ht="11.25" customHeight="1">
      <c r="A822" s="87"/>
      <c r="C822" s="43" t="s">
        <v>1723</v>
      </c>
      <c r="D822" s="71" t="s">
        <v>382</v>
      </c>
      <c r="E822" s="71" t="str">
        <f>MID(D822,1,2)</f>
        <v>IL</v>
      </c>
      <c r="F822" s="71" t="s">
        <v>414</v>
      </c>
      <c r="G822" s="71" t="str">
        <f>MID(F822,1,2)</f>
        <v>US</v>
      </c>
      <c r="H822" s="43" t="s">
        <v>1648</v>
      </c>
      <c r="I822" s="71" t="s">
        <v>1724</v>
      </c>
      <c r="J822" s="71" t="s">
        <v>454</v>
      </c>
      <c r="K822" s="43" t="s">
        <v>759</v>
      </c>
      <c r="L822" s="71" t="s">
        <v>107</v>
      </c>
      <c r="M822" s="73">
        <v>27</v>
      </c>
      <c r="N822" s="71" t="s">
        <v>388</v>
      </c>
      <c r="O822" s="73">
        <v>0.456</v>
      </c>
      <c r="P822" s="71" t="s">
        <v>389</v>
      </c>
      <c r="Q822" s="73">
        <v>76</v>
      </c>
      <c r="R822" s="71" t="s">
        <v>388</v>
      </c>
      <c r="S822" s="73">
        <v>0</v>
      </c>
      <c r="T822" s="71" t="s">
        <v>390</v>
      </c>
      <c r="U822" s="74">
        <v>1</v>
      </c>
      <c r="V822" s="71" t="s">
        <v>391</v>
      </c>
      <c r="W822" s="130">
        <v>46061.520833333336</v>
      </c>
      <c r="X822" s="72">
        <v>46064.03125</v>
      </c>
      <c r="Y822" s="72">
        <v>46064.239583333336</v>
      </c>
      <c r="Z822" s="104" t="s">
        <v>382</v>
      </c>
      <c r="AA822" s="104" t="s">
        <v>414</v>
      </c>
      <c r="AB822" s="105">
        <v>46064.034722222219</v>
      </c>
      <c r="AC822" s="105">
        <v>46064.222222222219</v>
      </c>
    </row>
    <row r="823" s="70" customFormat="1" ht="11.25" customHeight="1">
      <c r="A823" s="87"/>
      <c r="C823" s="43" t="s">
        <v>1725</v>
      </c>
      <c r="D823" s="71" t="s">
        <v>382</v>
      </c>
      <c r="E823" s="71" t="str">
        <f>MID(D823,1,2)</f>
        <v>IL</v>
      </c>
      <c r="F823" s="71" t="s">
        <v>414</v>
      </c>
      <c r="G823" s="71" t="str">
        <f>MID(F823,1,2)</f>
        <v>US</v>
      </c>
      <c r="H823" s="43" t="s">
        <v>1648</v>
      </c>
      <c r="I823" s="71" t="s">
        <v>1726</v>
      </c>
      <c r="J823" s="71" t="s">
        <v>386</v>
      </c>
      <c r="K823" s="43" t="s">
        <v>759</v>
      </c>
      <c r="L823" s="71" t="s">
        <v>107</v>
      </c>
      <c r="M823" s="73">
        <v>1</v>
      </c>
      <c r="N823" s="71" t="s">
        <v>388</v>
      </c>
      <c r="O823" s="73">
        <v>0.009</v>
      </c>
      <c r="P823" s="71" t="s">
        <v>389</v>
      </c>
      <c r="Q823" s="73">
        <v>1.5</v>
      </c>
      <c r="R823" s="71" t="s">
        <v>388</v>
      </c>
      <c r="S823" s="73">
        <v>0</v>
      </c>
      <c r="T823" s="71" t="s">
        <v>390</v>
      </c>
      <c r="U823" s="74">
        <v>1</v>
      </c>
      <c r="V823" s="71" t="s">
        <v>427</v>
      </c>
      <c r="W823" s="130">
        <v>46061.472916666666</v>
      </c>
      <c r="X823" s="72">
        <v>46064.03125</v>
      </c>
      <c r="Y823" s="72">
        <v>46064.239583333336</v>
      </c>
      <c r="Z823" s="104" t="s">
        <v>382</v>
      </c>
      <c r="AA823" s="104" t="s">
        <v>414</v>
      </c>
      <c r="AB823" s="105">
        <v>46064.034722222219</v>
      </c>
      <c r="AC823" s="105">
        <v>46064.222222222219</v>
      </c>
    </row>
    <row r="824" s="70" customFormat="1" ht="11.25" customHeight="1">
      <c r="A824" s="87"/>
      <c r="C824" s="43" t="s">
        <v>1727</v>
      </c>
      <c r="D824" s="71" t="s">
        <v>382</v>
      </c>
      <c r="E824" s="71" t="str">
        <f>MID(D824,1,2)</f>
        <v>IL</v>
      </c>
      <c r="F824" s="71" t="s">
        <v>383</v>
      </c>
      <c r="G824" s="71" t="str">
        <f>MID(F824,1,2)</f>
        <v>DE</v>
      </c>
      <c r="H824" s="43" t="s">
        <v>1720</v>
      </c>
      <c r="I824" s="71" t="s">
        <v>1728</v>
      </c>
      <c r="J824" s="71" t="s">
        <v>400</v>
      </c>
      <c r="K824" s="43" t="s">
        <v>1729</v>
      </c>
      <c r="L824" s="71" t="s">
        <v>105</v>
      </c>
      <c r="M824" s="73">
        <v>456</v>
      </c>
      <c r="N824" s="71" t="s">
        <v>388</v>
      </c>
      <c r="O824" s="73">
        <v>3.7</v>
      </c>
      <c r="P824" s="71" t="s">
        <v>389</v>
      </c>
      <c r="Q824" s="73">
        <v>617</v>
      </c>
      <c r="R824" s="71" t="s">
        <v>388</v>
      </c>
      <c r="S824" s="73">
        <v>0</v>
      </c>
      <c r="T824" s="71" t="s">
        <v>390</v>
      </c>
      <c r="U824" s="74">
        <v>5</v>
      </c>
      <c r="V824" s="71" t="s">
        <v>391</v>
      </c>
      <c r="W824" s="130">
        <v>46063.839282407411</v>
      </c>
      <c r="X824" s="72">
        <v>46064.753472222219</v>
      </c>
      <c r="Y824" s="72">
        <v>46070.541666666664</v>
      </c>
      <c r="Z824" s="104" t="s">
        <v>383</v>
      </c>
      <c r="AA824" s="104" t="s">
        <v>383</v>
      </c>
      <c r="AB824" s="105">
        <v>46069.708333333336</v>
      </c>
      <c r="AC824" s="105">
        <v>46069.75</v>
      </c>
    </row>
    <row r="825" s="70" customFormat="1" ht="11.25" customHeight="1">
      <c r="A825" s="87"/>
      <c r="C825" s="43" t="s">
        <v>1727</v>
      </c>
      <c r="D825" s="71" t="s">
        <v>382</v>
      </c>
      <c r="E825" s="71" t="str">
        <f>MID(D825,1,2)</f>
        <v>IL</v>
      </c>
      <c r="F825" s="71" t="s">
        <v>383</v>
      </c>
      <c r="G825" s="71" t="str">
        <f>MID(F825,1,2)</f>
        <v>DE</v>
      </c>
      <c r="H825" s="43" t="s">
        <v>1720</v>
      </c>
      <c r="I825" s="71" t="s">
        <v>1728</v>
      </c>
      <c r="J825" s="71" t="s">
        <v>400</v>
      </c>
      <c r="K825" s="43" t="s">
        <v>1729</v>
      </c>
      <c r="L825" s="71" t="s">
        <v>105</v>
      </c>
      <c r="M825" s="73">
        <v>456</v>
      </c>
      <c r="N825" s="71" t="s">
        <v>388</v>
      </c>
      <c r="O825" s="73">
        <v>3.7</v>
      </c>
      <c r="P825" s="71" t="s">
        <v>389</v>
      </c>
      <c r="Q825" s="73">
        <v>617</v>
      </c>
      <c r="R825" s="71" t="s">
        <v>388</v>
      </c>
      <c r="S825" s="73">
        <v>0</v>
      </c>
      <c r="T825" s="71" t="s">
        <v>390</v>
      </c>
      <c r="U825" s="74">
        <v>5</v>
      </c>
      <c r="V825" s="71" t="s">
        <v>391</v>
      </c>
      <c r="W825" s="130">
        <v>46063.839282407411</v>
      </c>
      <c r="X825" s="72">
        <v>46064.753472222219</v>
      </c>
      <c r="Y825" s="72">
        <v>46070.541666666664</v>
      </c>
      <c r="Z825" s="104" t="s">
        <v>382</v>
      </c>
      <c r="AA825" s="104" t="s">
        <v>748</v>
      </c>
      <c r="AB825" s="105">
        <v>46065.826388888891</v>
      </c>
      <c r="AC825" s="105">
        <v>46065.955555555556</v>
      </c>
    </row>
    <row r="826" s="70" customFormat="1" ht="11.25" customHeight="1">
      <c r="A826" s="87"/>
      <c r="C826" s="43" t="s">
        <v>1727</v>
      </c>
      <c r="D826" s="71" t="s">
        <v>382</v>
      </c>
      <c r="E826" s="71" t="str">
        <f>MID(D826,1,2)</f>
        <v>IL</v>
      </c>
      <c r="F826" s="71" t="s">
        <v>383</v>
      </c>
      <c r="G826" s="71" t="str">
        <f>MID(F826,1,2)</f>
        <v>DE</v>
      </c>
      <c r="H826" s="43" t="s">
        <v>1720</v>
      </c>
      <c r="I826" s="71" t="s">
        <v>1728</v>
      </c>
      <c r="J826" s="71" t="s">
        <v>400</v>
      </c>
      <c r="K826" s="43" t="s">
        <v>1729</v>
      </c>
      <c r="L826" s="71" t="s">
        <v>105</v>
      </c>
      <c r="M826" s="73">
        <v>456</v>
      </c>
      <c r="N826" s="71" t="s">
        <v>388</v>
      </c>
      <c r="O826" s="73">
        <v>3.7</v>
      </c>
      <c r="P826" s="71" t="s">
        <v>389</v>
      </c>
      <c r="Q826" s="73">
        <v>617</v>
      </c>
      <c r="R826" s="71" t="s">
        <v>388</v>
      </c>
      <c r="S826" s="73">
        <v>0</v>
      </c>
      <c r="T826" s="71" t="s">
        <v>390</v>
      </c>
      <c r="U826" s="74">
        <v>5</v>
      </c>
      <c r="V826" s="71" t="s">
        <v>391</v>
      </c>
      <c r="W826" s="130">
        <v>46063.839282407411</v>
      </c>
      <c r="X826" s="72">
        <v>46064.753472222219</v>
      </c>
      <c r="Y826" s="72">
        <v>46070.541666666664</v>
      </c>
      <c r="Z826" s="104" t="s">
        <v>748</v>
      </c>
      <c r="AA826" s="104" t="s">
        <v>383</v>
      </c>
      <c r="AB826" s="105">
        <v>46066.535416666666</v>
      </c>
      <c r="AC826" s="105">
        <v>46066.558333333334</v>
      </c>
    </row>
    <row r="827" s="70" customFormat="1" ht="11.25" customHeight="1">
      <c r="A827" s="87"/>
      <c r="C827" s="43" t="s">
        <v>1730</v>
      </c>
      <c r="D827" s="71" t="s">
        <v>382</v>
      </c>
      <c r="E827" s="71" t="str">
        <f>MID(D827,1,2)</f>
        <v>IL</v>
      </c>
      <c r="F827" s="71" t="s">
        <v>573</v>
      </c>
      <c r="G827" s="71" t="str">
        <f>MID(F827,1,2)</f>
        <v>CH</v>
      </c>
      <c r="H827" s="43" t="s">
        <v>1717</v>
      </c>
      <c r="I827" s="71" t="s">
        <v>1731</v>
      </c>
      <c r="J827" s="71" t="s">
        <v>426</v>
      </c>
      <c r="K827" s="43"/>
      <c r="L827" s="71" t="s">
        <v>105</v>
      </c>
      <c r="M827" s="73">
        <v>150</v>
      </c>
      <c r="N827" s="71" t="s">
        <v>388</v>
      </c>
      <c r="O827" s="73">
        <v>0.878</v>
      </c>
      <c r="P827" s="71" t="s">
        <v>389</v>
      </c>
      <c r="Q827" s="73">
        <v>150</v>
      </c>
      <c r="R827" s="71" t="s">
        <v>388</v>
      </c>
      <c r="S827" s="73">
        <v>0</v>
      </c>
      <c r="T827" s="71" t="s">
        <v>390</v>
      </c>
      <c r="U827" s="74">
        <v>1</v>
      </c>
      <c r="V827" s="71" t="s">
        <v>391</v>
      </c>
      <c r="W827" s="130">
        <v>46063.853148148148</v>
      </c>
      <c r="X827" s="72">
        <v>46066.572916666664</v>
      </c>
      <c r="Y827" s="72">
        <v>46069.325</v>
      </c>
      <c r="Z827" s="104" t="s">
        <v>382</v>
      </c>
      <c r="AA827" s="104" t="s">
        <v>383</v>
      </c>
      <c r="AB827" s="105">
        <v>46066.5625</v>
      </c>
      <c r="AC827" s="105">
        <v>46066.709722222222</v>
      </c>
    </row>
    <row r="828" s="70" customFormat="1" ht="11.25" customHeight="1">
      <c r="A828" s="87"/>
      <c r="C828" s="43" t="s">
        <v>1730</v>
      </c>
      <c r="D828" s="71" t="s">
        <v>382</v>
      </c>
      <c r="E828" s="71" t="str">
        <f>MID(D828,1,2)</f>
        <v>IL</v>
      </c>
      <c r="F828" s="71" t="s">
        <v>573</v>
      </c>
      <c r="G828" s="71" t="str">
        <f>MID(F828,1,2)</f>
        <v>CH</v>
      </c>
      <c r="H828" s="43" t="s">
        <v>1717</v>
      </c>
      <c r="I828" s="71" t="s">
        <v>1731</v>
      </c>
      <c r="J828" s="71" t="s">
        <v>426</v>
      </c>
      <c r="K828" s="43"/>
      <c r="L828" s="71" t="s">
        <v>105</v>
      </c>
      <c r="M828" s="73">
        <v>150</v>
      </c>
      <c r="N828" s="71" t="s">
        <v>388</v>
      </c>
      <c r="O828" s="73">
        <v>0.878</v>
      </c>
      <c r="P828" s="71" t="s">
        <v>389</v>
      </c>
      <c r="Q828" s="73">
        <v>150</v>
      </c>
      <c r="R828" s="71" t="s">
        <v>388</v>
      </c>
      <c r="S828" s="73">
        <v>0</v>
      </c>
      <c r="T828" s="71" t="s">
        <v>390</v>
      </c>
      <c r="U828" s="74">
        <v>1</v>
      </c>
      <c r="V828" s="71" t="s">
        <v>391</v>
      </c>
      <c r="W828" s="130">
        <v>46063.853148148148</v>
      </c>
      <c r="X828" s="72">
        <v>46066.572916666664</v>
      </c>
      <c r="Y828" s="72">
        <v>46069.325</v>
      </c>
      <c r="Z828" s="104" t="s">
        <v>383</v>
      </c>
      <c r="AA828" s="104" t="s">
        <v>573</v>
      </c>
      <c r="AB828" s="105">
        <v>46068.981944444444</v>
      </c>
      <c r="AC828" s="105">
        <v>46069.270833333336</v>
      </c>
    </row>
    <row r="829" s="70" customFormat="1" ht="11.25" customHeight="1">
      <c r="A829" s="87"/>
      <c r="C829" s="43" t="s">
        <v>1732</v>
      </c>
      <c r="D829" s="71" t="s">
        <v>382</v>
      </c>
      <c r="E829" s="71" t="str">
        <f>MID(D829,1,2)</f>
        <v>IL</v>
      </c>
      <c r="F829" s="71" t="s">
        <v>383</v>
      </c>
      <c r="G829" s="71" t="str">
        <f>MID(F829,1,2)</f>
        <v>DE</v>
      </c>
      <c r="H829" s="43" t="s">
        <v>746</v>
      </c>
      <c r="I829" s="71" t="s">
        <v>1733</v>
      </c>
      <c r="J829" s="71" t="s">
        <v>454</v>
      </c>
      <c r="K829" s="43"/>
      <c r="L829" s="71" t="s">
        <v>107</v>
      </c>
      <c r="M829" s="73">
        <v>20</v>
      </c>
      <c r="N829" s="71" t="s">
        <v>388</v>
      </c>
      <c r="O829" s="73">
        <v>0.115</v>
      </c>
      <c r="P829" s="71" t="s">
        <v>389</v>
      </c>
      <c r="Q829" s="73">
        <v>20</v>
      </c>
      <c r="R829" s="71" t="s">
        <v>388</v>
      </c>
      <c r="S829" s="73">
        <v>0</v>
      </c>
      <c r="T829" s="71" t="s">
        <v>390</v>
      </c>
      <c r="U829" s="74">
        <v>1</v>
      </c>
      <c r="V829" s="71" t="s">
        <v>391</v>
      </c>
      <c r="W829" s="130">
        <v>46062.950104166666</v>
      </c>
      <c r="X829" s="72">
        <v>46064.753472222219</v>
      </c>
      <c r="Y829" s="72">
        <v>46066.625694444447</v>
      </c>
      <c r="Z829" s="104" t="s">
        <v>383</v>
      </c>
      <c r="AA829" s="104" t="s">
        <v>680</v>
      </c>
      <c r="AB829" s="105">
        <v>46072.185416666667</v>
      </c>
      <c r="AC829" s="105">
        <v>46072.3125</v>
      </c>
    </row>
    <row r="830" s="70" customFormat="1" ht="11.25" customHeight="1">
      <c r="A830" s="87"/>
      <c r="C830" s="43" t="s">
        <v>1732</v>
      </c>
      <c r="D830" s="71" t="s">
        <v>382</v>
      </c>
      <c r="E830" s="71" t="str">
        <f>MID(D830,1,2)</f>
        <v>IL</v>
      </c>
      <c r="F830" s="71" t="s">
        <v>383</v>
      </c>
      <c r="G830" s="71" t="str">
        <f>MID(F830,1,2)</f>
        <v>DE</v>
      </c>
      <c r="H830" s="43" t="s">
        <v>746</v>
      </c>
      <c r="I830" s="71" t="s">
        <v>1733</v>
      </c>
      <c r="J830" s="71" t="s">
        <v>454</v>
      </c>
      <c r="K830" s="43"/>
      <c r="L830" s="71" t="s">
        <v>107</v>
      </c>
      <c r="M830" s="73">
        <v>20</v>
      </c>
      <c r="N830" s="71" t="s">
        <v>388</v>
      </c>
      <c r="O830" s="73">
        <v>0.115</v>
      </c>
      <c r="P830" s="71" t="s">
        <v>389</v>
      </c>
      <c r="Q830" s="73">
        <v>20</v>
      </c>
      <c r="R830" s="71" t="s">
        <v>388</v>
      </c>
      <c r="S830" s="73">
        <v>0</v>
      </c>
      <c r="T830" s="71" t="s">
        <v>390</v>
      </c>
      <c r="U830" s="74">
        <v>1</v>
      </c>
      <c r="V830" s="71" t="s">
        <v>391</v>
      </c>
      <c r="W830" s="130">
        <v>46062.950104166666</v>
      </c>
      <c r="X830" s="72">
        <v>46064.753472222219</v>
      </c>
      <c r="Y830" s="72">
        <v>46066.625694444447</v>
      </c>
      <c r="Z830" s="104" t="s">
        <v>382</v>
      </c>
      <c r="AA830" s="104" t="s">
        <v>748</v>
      </c>
      <c r="AB830" s="105">
        <v>46064.851388888892</v>
      </c>
      <c r="AC830" s="105">
        <v>46064.980555555558</v>
      </c>
    </row>
    <row r="831" s="70" customFormat="1" ht="11.25" customHeight="1">
      <c r="A831" s="87"/>
      <c r="C831" s="43" t="s">
        <v>1732</v>
      </c>
      <c r="D831" s="71" t="s">
        <v>382</v>
      </c>
      <c r="E831" s="71" t="str">
        <f>MID(D831,1,2)</f>
        <v>IL</v>
      </c>
      <c r="F831" s="71" t="s">
        <v>383</v>
      </c>
      <c r="G831" s="71" t="str">
        <f>MID(F831,1,2)</f>
        <v>DE</v>
      </c>
      <c r="H831" s="43" t="s">
        <v>746</v>
      </c>
      <c r="I831" s="71" t="s">
        <v>1733</v>
      </c>
      <c r="J831" s="71" t="s">
        <v>454</v>
      </c>
      <c r="K831" s="43"/>
      <c r="L831" s="71" t="s">
        <v>107</v>
      </c>
      <c r="M831" s="73">
        <v>20</v>
      </c>
      <c r="N831" s="71" t="s">
        <v>388</v>
      </c>
      <c r="O831" s="73">
        <v>0.115</v>
      </c>
      <c r="P831" s="71" t="s">
        <v>389</v>
      </c>
      <c r="Q831" s="73">
        <v>20</v>
      </c>
      <c r="R831" s="71" t="s">
        <v>388</v>
      </c>
      <c r="S831" s="73">
        <v>0</v>
      </c>
      <c r="T831" s="71" t="s">
        <v>390</v>
      </c>
      <c r="U831" s="74">
        <v>1</v>
      </c>
      <c r="V831" s="71" t="s">
        <v>391</v>
      </c>
      <c r="W831" s="130">
        <v>46062.950104166666</v>
      </c>
      <c r="X831" s="72">
        <v>46064.753472222219</v>
      </c>
      <c r="Y831" s="72">
        <v>46066.625694444447</v>
      </c>
      <c r="Z831" s="104" t="s">
        <v>748</v>
      </c>
      <c r="AA831" s="104" t="s">
        <v>383</v>
      </c>
      <c r="AB831" s="105">
        <v>46066.504166666666</v>
      </c>
      <c r="AC831" s="105">
        <v>46066.750694444447</v>
      </c>
    </row>
    <row r="832" s="70" customFormat="1" ht="11.25" customHeight="1">
      <c r="A832" s="87"/>
      <c r="C832" s="43" t="s">
        <v>1734</v>
      </c>
      <c r="D832" s="71" t="s">
        <v>382</v>
      </c>
      <c r="E832" s="71" t="str">
        <f>MID(D832,1,2)</f>
        <v>IL</v>
      </c>
      <c r="F832" s="71" t="s">
        <v>471</v>
      </c>
      <c r="G832" s="71" t="str">
        <f>MID(F832,1,2)</f>
        <v>US</v>
      </c>
      <c r="H832" s="43" t="s">
        <v>1685</v>
      </c>
      <c r="I832" s="71" t="s">
        <v>1735</v>
      </c>
      <c r="J832" s="71" t="s">
        <v>386</v>
      </c>
      <c r="K832" s="43"/>
      <c r="L832" s="71" t="s">
        <v>107</v>
      </c>
      <c r="M832" s="73">
        <v>198</v>
      </c>
      <c r="N832" s="71" t="s">
        <v>388</v>
      </c>
      <c r="O832" s="73">
        <v>0.915</v>
      </c>
      <c r="P832" s="71" t="s">
        <v>389</v>
      </c>
      <c r="Q832" s="73">
        <v>198</v>
      </c>
      <c r="R832" s="71" t="s">
        <v>388</v>
      </c>
      <c r="S832" s="73">
        <v>0</v>
      </c>
      <c r="T832" s="71" t="s">
        <v>390</v>
      </c>
      <c r="U832" s="74">
        <v>3</v>
      </c>
      <c r="V832" s="71" t="s">
        <v>391</v>
      </c>
      <c r="W832" s="130">
        <v>46061.563194444447</v>
      </c>
      <c r="X832" s="72">
        <v>46063.479166666664</v>
      </c>
      <c r="Y832" s="72">
        <v>46067.25</v>
      </c>
      <c r="Z832" s="104" t="s">
        <v>382</v>
      </c>
      <c r="AA832" s="104" t="s">
        <v>422</v>
      </c>
      <c r="AB832" s="105">
        <v>46063.966666666667</v>
      </c>
      <c r="AC832" s="105">
        <v>46064.147222222222</v>
      </c>
    </row>
    <row r="833" s="70" customFormat="1" ht="11.25" customHeight="1">
      <c r="A833" s="87"/>
      <c r="C833" s="43" t="s">
        <v>1734</v>
      </c>
      <c r="D833" s="71" t="s">
        <v>382</v>
      </c>
      <c r="E833" s="71" t="str">
        <f>MID(D833,1,2)</f>
        <v>IL</v>
      </c>
      <c r="F833" s="71" t="s">
        <v>471</v>
      </c>
      <c r="G833" s="71" t="str">
        <f>MID(F833,1,2)</f>
        <v>US</v>
      </c>
      <c r="H833" s="43" t="s">
        <v>1685</v>
      </c>
      <c r="I833" s="71" t="s">
        <v>1735</v>
      </c>
      <c r="J833" s="71" t="s">
        <v>386</v>
      </c>
      <c r="K833" s="43"/>
      <c r="L833" s="71" t="s">
        <v>107</v>
      </c>
      <c r="M833" s="73">
        <v>198</v>
      </c>
      <c r="N833" s="71" t="s">
        <v>388</v>
      </c>
      <c r="O833" s="73">
        <v>0.915</v>
      </c>
      <c r="P833" s="71" t="s">
        <v>389</v>
      </c>
      <c r="Q833" s="73">
        <v>198</v>
      </c>
      <c r="R833" s="71" t="s">
        <v>388</v>
      </c>
      <c r="S833" s="73">
        <v>0</v>
      </c>
      <c r="T833" s="71" t="s">
        <v>390</v>
      </c>
      <c r="U833" s="74">
        <v>3</v>
      </c>
      <c r="V833" s="71" t="s">
        <v>391</v>
      </c>
      <c r="W833" s="130">
        <v>46061.563194444447</v>
      </c>
      <c r="X833" s="72">
        <v>46063.479166666664</v>
      </c>
      <c r="Y833" s="72">
        <v>46067.25</v>
      </c>
      <c r="Z833" s="104" t="s">
        <v>422</v>
      </c>
      <c r="AA833" s="104" t="s">
        <v>471</v>
      </c>
      <c r="AB833" s="105">
        <v>46064.597916666666</v>
      </c>
      <c r="AC833" s="105">
        <v>46067.580555555556</v>
      </c>
    </row>
    <row r="834" s="70" customFormat="1" ht="11.25" customHeight="1">
      <c r="A834" s="87"/>
      <c r="C834" s="43" t="s">
        <v>1736</v>
      </c>
      <c r="D834" s="71" t="s">
        <v>382</v>
      </c>
      <c r="E834" s="71" t="str">
        <f>MID(D834,1,2)</f>
        <v>IL</v>
      </c>
      <c r="F834" s="71" t="s">
        <v>383</v>
      </c>
      <c r="G834" s="71" t="str">
        <f>MID(F834,1,2)</f>
        <v>DE</v>
      </c>
      <c r="H834" s="43" t="s">
        <v>1737</v>
      </c>
      <c r="I834" s="71" t="s">
        <v>1738</v>
      </c>
      <c r="J834" s="71" t="s">
        <v>454</v>
      </c>
      <c r="K834" s="43"/>
      <c r="L834" s="71" t="s">
        <v>107</v>
      </c>
      <c r="M834" s="73">
        <v>674</v>
      </c>
      <c r="N834" s="71" t="s">
        <v>388</v>
      </c>
      <c r="O834" s="73">
        <v>4.525</v>
      </c>
      <c r="P834" s="71" t="s">
        <v>389</v>
      </c>
      <c r="Q834" s="73">
        <v>754.5</v>
      </c>
      <c r="R834" s="71" t="s">
        <v>388</v>
      </c>
      <c r="S834" s="73">
        <v>0</v>
      </c>
      <c r="T834" s="71" t="s">
        <v>390</v>
      </c>
      <c r="U834" s="74">
        <v>5</v>
      </c>
      <c r="V834" s="71" t="s">
        <v>391</v>
      </c>
      <c r="W834" s="130"/>
      <c r="X834" s="72">
        <v>46063.916666666664</v>
      </c>
      <c r="Y834" s="72">
        <v>46064.083333333336</v>
      </c>
      <c r="Z834" s="104" t="s">
        <v>382</v>
      </c>
      <c r="AA834" s="104" t="s">
        <v>383</v>
      </c>
      <c r="AB834" s="105"/>
      <c r="AC834" s="105"/>
    </row>
    <row r="835" s="70" customFormat="1" ht="11.25" customHeight="1">
      <c r="A835" s="87"/>
      <c r="C835" s="43" t="s">
        <v>1739</v>
      </c>
      <c r="D835" s="71" t="s">
        <v>382</v>
      </c>
      <c r="E835" s="71" t="str">
        <f>MID(D835,1,2)</f>
        <v>IL</v>
      </c>
      <c r="F835" s="71" t="s">
        <v>919</v>
      </c>
      <c r="G835" s="71" t="str">
        <f>MID(F835,1,2)</f>
        <v>CN</v>
      </c>
      <c r="H835" s="43" t="s">
        <v>1740</v>
      </c>
      <c r="I835" s="71" t="s">
        <v>1741</v>
      </c>
      <c r="J835" s="71" t="s">
        <v>755</v>
      </c>
      <c r="K835" s="43"/>
      <c r="L835" s="71" t="s">
        <v>105</v>
      </c>
      <c r="M835" s="73">
        <v>2.1</v>
      </c>
      <c r="N835" s="71" t="s">
        <v>388</v>
      </c>
      <c r="O835" s="73">
        <v>0.013</v>
      </c>
      <c r="P835" s="71" t="s">
        <v>389</v>
      </c>
      <c r="Q835" s="73">
        <v>2.5</v>
      </c>
      <c r="R835" s="71" t="s">
        <v>388</v>
      </c>
      <c r="S835" s="73">
        <v>0</v>
      </c>
      <c r="T835" s="71" t="s">
        <v>390</v>
      </c>
      <c r="U835" s="74">
        <v>1</v>
      </c>
      <c r="V835" s="71" t="s">
        <v>391</v>
      </c>
      <c r="W835" s="130">
        <v>46062.616678240738</v>
      </c>
      <c r="X835" s="72">
        <v>46063.690972222219</v>
      </c>
      <c r="Y835" s="72">
        <v>46069.128472222219</v>
      </c>
      <c r="Z835" s="104" t="s">
        <v>382</v>
      </c>
      <c r="AA835" s="104" t="s">
        <v>383</v>
      </c>
      <c r="AB835" s="105">
        <v>46063.71875</v>
      </c>
      <c r="AC835" s="105">
        <v>46063.859027777777</v>
      </c>
    </row>
    <row r="836" s="70" customFormat="1" ht="11.25" customHeight="1">
      <c r="A836" s="87"/>
      <c r="C836" s="43" t="s">
        <v>1739</v>
      </c>
      <c r="D836" s="71" t="s">
        <v>382</v>
      </c>
      <c r="E836" s="71" t="str">
        <f>MID(D836,1,2)</f>
        <v>IL</v>
      </c>
      <c r="F836" s="71" t="s">
        <v>919</v>
      </c>
      <c r="G836" s="71" t="str">
        <f>MID(F836,1,2)</f>
        <v>CN</v>
      </c>
      <c r="H836" s="43" t="s">
        <v>1740</v>
      </c>
      <c r="I836" s="71" t="s">
        <v>1741</v>
      </c>
      <c r="J836" s="71" t="s">
        <v>755</v>
      </c>
      <c r="K836" s="43"/>
      <c r="L836" s="71" t="s">
        <v>105</v>
      </c>
      <c r="M836" s="73">
        <v>2.1</v>
      </c>
      <c r="N836" s="71" t="s">
        <v>388</v>
      </c>
      <c r="O836" s="73">
        <v>0.013</v>
      </c>
      <c r="P836" s="71" t="s">
        <v>389</v>
      </c>
      <c r="Q836" s="73">
        <v>2.5</v>
      </c>
      <c r="R836" s="71" t="s">
        <v>388</v>
      </c>
      <c r="S836" s="73">
        <v>0</v>
      </c>
      <c r="T836" s="71" t="s">
        <v>390</v>
      </c>
      <c r="U836" s="74">
        <v>1</v>
      </c>
      <c r="V836" s="71" t="s">
        <v>391</v>
      </c>
      <c r="W836" s="130">
        <v>46062.616678240738</v>
      </c>
      <c r="X836" s="72">
        <v>46063.690972222219</v>
      </c>
      <c r="Y836" s="72">
        <v>46069.128472222219</v>
      </c>
      <c r="Z836" s="104" t="s">
        <v>383</v>
      </c>
      <c r="AA836" s="104" t="s">
        <v>919</v>
      </c>
      <c r="AB836" s="105">
        <v>46068.379861111112</v>
      </c>
      <c r="AC836" s="105">
        <v>46069.091666666667</v>
      </c>
    </row>
    <row r="837" s="70" customFormat="1" ht="11.25" customHeight="1">
      <c r="A837" s="87"/>
      <c r="C837" s="43" t="s">
        <v>1742</v>
      </c>
      <c r="D837" s="71" t="s">
        <v>382</v>
      </c>
      <c r="E837" s="71" t="str">
        <f>MID(D837,1,2)</f>
        <v>IL</v>
      </c>
      <c r="F837" s="71" t="s">
        <v>774</v>
      </c>
      <c r="G837" s="71" t="str">
        <f>MID(F837,1,2)</f>
        <v>CN</v>
      </c>
      <c r="H837" s="43" t="s">
        <v>1743</v>
      </c>
      <c r="I837" s="71" t="s">
        <v>1744</v>
      </c>
      <c r="J837" s="71" t="s">
        <v>454</v>
      </c>
      <c r="K837" s="43"/>
      <c r="L837" s="71" t="s">
        <v>107</v>
      </c>
      <c r="M837" s="73">
        <v>35</v>
      </c>
      <c r="N837" s="71" t="s">
        <v>388</v>
      </c>
      <c r="O837" s="73">
        <v>0.661</v>
      </c>
      <c r="P837" s="71" t="s">
        <v>389</v>
      </c>
      <c r="Q837" s="73">
        <v>110.5</v>
      </c>
      <c r="R837" s="71" t="s">
        <v>388</v>
      </c>
      <c r="S837" s="73">
        <v>0</v>
      </c>
      <c r="T837" s="71" t="s">
        <v>390</v>
      </c>
      <c r="U837" s="74">
        <v>1</v>
      </c>
      <c r="V837" s="71" t="s">
        <v>391</v>
      </c>
      <c r="W837" s="130"/>
      <c r="X837" s="72">
        <v>46063.25</v>
      </c>
      <c r="Y837" s="72">
        <v>46065.477777777778</v>
      </c>
      <c r="Z837" s="104" t="s">
        <v>382</v>
      </c>
      <c r="AA837" s="104" t="s">
        <v>465</v>
      </c>
      <c r="AB837" s="105">
        <v>46063.222222222219</v>
      </c>
      <c r="AC837" s="105">
        <v>46063.42083333333</v>
      </c>
    </row>
    <row r="838" s="70" customFormat="1" ht="11.25" customHeight="1">
      <c r="A838" s="87"/>
      <c r="C838" s="43" t="s">
        <v>1742</v>
      </c>
      <c r="D838" s="71" t="s">
        <v>382</v>
      </c>
      <c r="E838" s="71" t="str">
        <f>MID(D838,1,2)</f>
        <v>IL</v>
      </c>
      <c r="F838" s="71" t="s">
        <v>774</v>
      </c>
      <c r="G838" s="71" t="str">
        <f>MID(F838,1,2)</f>
        <v>CN</v>
      </c>
      <c r="H838" s="43" t="s">
        <v>1743</v>
      </c>
      <c r="I838" s="71" t="s">
        <v>1744</v>
      </c>
      <c r="J838" s="71" t="s">
        <v>454</v>
      </c>
      <c r="K838" s="43"/>
      <c r="L838" s="71" t="s">
        <v>107</v>
      </c>
      <c r="M838" s="73">
        <v>35</v>
      </c>
      <c r="N838" s="71" t="s">
        <v>388</v>
      </c>
      <c r="O838" s="73">
        <v>0.661</v>
      </c>
      <c r="P838" s="71" t="s">
        <v>389</v>
      </c>
      <c r="Q838" s="73">
        <v>110.5</v>
      </c>
      <c r="R838" s="71" t="s">
        <v>388</v>
      </c>
      <c r="S838" s="73">
        <v>0</v>
      </c>
      <c r="T838" s="71" t="s">
        <v>390</v>
      </c>
      <c r="U838" s="74">
        <v>1</v>
      </c>
      <c r="V838" s="71" t="s">
        <v>391</v>
      </c>
      <c r="W838" s="130"/>
      <c r="X838" s="72">
        <v>46063.25</v>
      </c>
      <c r="Y838" s="72">
        <v>46065.477777777778</v>
      </c>
      <c r="Z838" s="104" t="s">
        <v>465</v>
      </c>
      <c r="AA838" s="104" t="s">
        <v>774</v>
      </c>
      <c r="AB838" s="105">
        <v>46064.202777777777</v>
      </c>
      <c r="AC838" s="105">
        <v>46064.7</v>
      </c>
    </row>
    <row r="839" s="70" customFormat="1" ht="11.25" customHeight="1">
      <c r="A839" s="87"/>
      <c r="C839" s="43" t="s">
        <v>1745</v>
      </c>
      <c r="D839" s="71" t="s">
        <v>382</v>
      </c>
      <c r="E839" s="71" t="str">
        <f>MID(D839,1,2)</f>
        <v>IL</v>
      </c>
      <c r="F839" s="71" t="s">
        <v>919</v>
      </c>
      <c r="G839" s="71" t="str">
        <f>MID(F839,1,2)</f>
        <v>CN</v>
      </c>
      <c r="H839" s="43" t="s">
        <v>1740</v>
      </c>
      <c r="I839" s="71" t="s">
        <v>1746</v>
      </c>
      <c r="J839" s="71" t="s">
        <v>755</v>
      </c>
      <c r="K839" s="43"/>
      <c r="L839" s="71" t="s">
        <v>105</v>
      </c>
      <c r="M839" s="73">
        <v>1</v>
      </c>
      <c r="N839" s="71" t="s">
        <v>388</v>
      </c>
      <c r="O839" s="73">
        <v>0.01</v>
      </c>
      <c r="P839" s="71" t="s">
        <v>389</v>
      </c>
      <c r="Q839" s="73">
        <v>2</v>
      </c>
      <c r="R839" s="71" t="s">
        <v>388</v>
      </c>
      <c r="S839" s="73">
        <v>0</v>
      </c>
      <c r="T839" s="71" t="s">
        <v>390</v>
      </c>
      <c r="U839" s="74">
        <v>1</v>
      </c>
      <c r="V839" s="71" t="s">
        <v>391</v>
      </c>
      <c r="W839" s="130">
        <v>46062.616701388892</v>
      </c>
      <c r="X839" s="72">
        <v>46063.690972222219</v>
      </c>
      <c r="Y839" s="72">
        <v>46069.128472222219</v>
      </c>
      <c r="Z839" s="104" t="s">
        <v>382</v>
      </c>
      <c r="AA839" s="104" t="s">
        <v>383</v>
      </c>
      <c r="AB839" s="105">
        <v>46063.71875</v>
      </c>
      <c r="AC839" s="105">
        <v>46063.859027777777</v>
      </c>
    </row>
    <row r="840" s="70" customFormat="1" ht="11.25" customHeight="1">
      <c r="A840" s="87"/>
      <c r="C840" s="43" t="s">
        <v>1745</v>
      </c>
      <c r="D840" s="71" t="s">
        <v>382</v>
      </c>
      <c r="E840" s="71" t="str">
        <f>MID(D840,1,2)</f>
        <v>IL</v>
      </c>
      <c r="F840" s="71" t="s">
        <v>919</v>
      </c>
      <c r="G840" s="71" t="str">
        <f>MID(F840,1,2)</f>
        <v>CN</v>
      </c>
      <c r="H840" s="43" t="s">
        <v>1740</v>
      </c>
      <c r="I840" s="71" t="s">
        <v>1746</v>
      </c>
      <c r="J840" s="71" t="s">
        <v>755</v>
      </c>
      <c r="K840" s="43"/>
      <c r="L840" s="71" t="s">
        <v>105</v>
      </c>
      <c r="M840" s="73">
        <v>1</v>
      </c>
      <c r="N840" s="71" t="s">
        <v>388</v>
      </c>
      <c r="O840" s="73">
        <v>0.01</v>
      </c>
      <c r="P840" s="71" t="s">
        <v>389</v>
      </c>
      <c r="Q840" s="73">
        <v>2</v>
      </c>
      <c r="R840" s="71" t="s">
        <v>388</v>
      </c>
      <c r="S840" s="73">
        <v>0</v>
      </c>
      <c r="T840" s="71" t="s">
        <v>390</v>
      </c>
      <c r="U840" s="74">
        <v>1</v>
      </c>
      <c r="V840" s="71" t="s">
        <v>391</v>
      </c>
      <c r="W840" s="130">
        <v>46062.616701388892</v>
      </c>
      <c r="X840" s="72">
        <v>46063.690972222219</v>
      </c>
      <c r="Y840" s="72">
        <v>46069.128472222219</v>
      </c>
      <c r="Z840" s="104" t="s">
        <v>383</v>
      </c>
      <c r="AA840" s="104" t="s">
        <v>919</v>
      </c>
      <c r="AB840" s="105">
        <v>46068.379861111112</v>
      </c>
      <c r="AC840" s="105">
        <v>46069.091666666667</v>
      </c>
    </row>
    <row r="841" s="70" customFormat="1" ht="11.25" customHeight="1">
      <c r="A841" s="87"/>
      <c r="C841" s="43" t="s">
        <v>1747</v>
      </c>
      <c r="D841" s="71" t="s">
        <v>382</v>
      </c>
      <c r="E841" s="71" t="str">
        <f>MID(D841,1,2)</f>
        <v>IL</v>
      </c>
      <c r="F841" s="71" t="s">
        <v>546</v>
      </c>
      <c r="G841" s="71" t="str">
        <f>MID(F841,1,2)</f>
        <v>GB</v>
      </c>
      <c r="H841" s="43" t="s">
        <v>1748</v>
      </c>
      <c r="I841" s="71" t="s">
        <v>1749</v>
      </c>
      <c r="J841" s="71" t="s">
        <v>400</v>
      </c>
      <c r="K841" s="43"/>
      <c r="L841" s="71" t="s">
        <v>105</v>
      </c>
      <c r="M841" s="73">
        <v>235</v>
      </c>
      <c r="N841" s="71" t="s">
        <v>388</v>
      </c>
      <c r="O841" s="73">
        <v>1.631</v>
      </c>
      <c r="P841" s="71" t="s">
        <v>389</v>
      </c>
      <c r="Q841" s="73">
        <v>272</v>
      </c>
      <c r="R841" s="71" t="s">
        <v>388</v>
      </c>
      <c r="S841" s="73">
        <v>0</v>
      </c>
      <c r="T841" s="71" t="s">
        <v>390</v>
      </c>
      <c r="U841" s="74">
        <v>2</v>
      </c>
      <c r="V841" s="71" t="s">
        <v>391</v>
      </c>
      <c r="W841" s="130">
        <v>46062.614745370367</v>
      </c>
      <c r="X841" s="72">
        <v>46064.375</v>
      </c>
      <c r="Y841" s="72">
        <v>46064.534722222219</v>
      </c>
      <c r="Z841" s="104" t="s">
        <v>1750</v>
      </c>
      <c r="AA841" s="104" t="s">
        <v>1751</v>
      </c>
      <c r="AB841" s="105"/>
      <c r="AC841" s="105"/>
    </row>
    <row r="842" s="70" customFormat="1" ht="11.25" customHeight="1">
      <c r="A842" s="87"/>
      <c r="C842" s="43" t="s">
        <v>1747</v>
      </c>
      <c r="D842" s="71" t="s">
        <v>382</v>
      </c>
      <c r="E842" s="71" t="str">
        <f>MID(D842,1,2)</f>
        <v>IL</v>
      </c>
      <c r="F842" s="71" t="s">
        <v>546</v>
      </c>
      <c r="G842" s="71" t="str">
        <f>MID(F842,1,2)</f>
        <v>GB</v>
      </c>
      <c r="H842" s="43" t="s">
        <v>1748</v>
      </c>
      <c r="I842" s="71" t="s">
        <v>1749</v>
      </c>
      <c r="J842" s="71" t="s">
        <v>400</v>
      </c>
      <c r="K842" s="43"/>
      <c r="L842" s="71" t="s">
        <v>105</v>
      </c>
      <c r="M842" s="73">
        <v>235</v>
      </c>
      <c r="N842" s="71" t="s">
        <v>388</v>
      </c>
      <c r="O842" s="73">
        <v>1.631</v>
      </c>
      <c r="P842" s="71" t="s">
        <v>389</v>
      </c>
      <c r="Q842" s="73">
        <v>272</v>
      </c>
      <c r="R842" s="71" t="s">
        <v>388</v>
      </c>
      <c r="S842" s="73">
        <v>0</v>
      </c>
      <c r="T842" s="71" t="s">
        <v>390</v>
      </c>
      <c r="U842" s="74">
        <v>2</v>
      </c>
      <c r="V842" s="71" t="s">
        <v>391</v>
      </c>
      <c r="W842" s="130">
        <v>46062.614745370367</v>
      </c>
      <c r="X842" s="72">
        <v>46064.375</v>
      </c>
      <c r="Y842" s="72">
        <v>46064.534722222219</v>
      </c>
      <c r="Z842" s="104" t="s">
        <v>382</v>
      </c>
      <c r="AA842" s="104" t="s">
        <v>546</v>
      </c>
      <c r="AB842" s="105">
        <v>46064.37777777778</v>
      </c>
      <c r="AC842" s="105">
        <v>46064.50277777778</v>
      </c>
    </row>
    <row r="843" s="70" customFormat="1" ht="11.25" customHeight="1">
      <c r="A843" s="87"/>
      <c r="C843" s="43" t="s">
        <v>1752</v>
      </c>
      <c r="D843" s="71" t="s">
        <v>382</v>
      </c>
      <c r="E843" s="71" t="str">
        <f>MID(D843,1,2)</f>
        <v>IL</v>
      </c>
      <c r="F843" s="71" t="s">
        <v>480</v>
      </c>
      <c r="G843" s="71" t="str">
        <f>MID(F843,1,2)</f>
        <v>CA</v>
      </c>
      <c r="H843" s="43" t="s">
        <v>1753</v>
      </c>
      <c r="I843" s="71" t="s">
        <v>1754</v>
      </c>
      <c r="J843" s="71" t="s">
        <v>386</v>
      </c>
      <c r="K843" s="43"/>
      <c r="L843" s="71" t="s">
        <v>107</v>
      </c>
      <c r="M843" s="73">
        <v>358</v>
      </c>
      <c r="N843" s="71" t="s">
        <v>388</v>
      </c>
      <c r="O843" s="73">
        <v>3.492</v>
      </c>
      <c r="P843" s="71" t="s">
        <v>389</v>
      </c>
      <c r="Q843" s="73">
        <v>582</v>
      </c>
      <c r="R843" s="71" t="s">
        <v>388</v>
      </c>
      <c r="S843" s="73">
        <v>0</v>
      </c>
      <c r="T843" s="71" t="s">
        <v>390</v>
      </c>
      <c r="U843" s="74">
        <v>3</v>
      </c>
      <c r="V843" s="71" t="s">
        <v>417</v>
      </c>
      <c r="W843" s="130">
        <v>46061.768055555556</v>
      </c>
      <c r="X843" s="72">
        <v>46064.458333333336</v>
      </c>
      <c r="Y843" s="72">
        <v>46066.083333333336</v>
      </c>
      <c r="Z843" s="104" t="s">
        <v>1102</v>
      </c>
      <c r="AA843" s="104" t="s">
        <v>1103</v>
      </c>
      <c r="AB843" s="105"/>
      <c r="AC843" s="105"/>
    </row>
    <row r="844" s="70" customFormat="1" ht="11.25" customHeight="1">
      <c r="A844" s="87"/>
      <c r="C844" s="43" t="s">
        <v>1752</v>
      </c>
      <c r="D844" s="71" t="s">
        <v>382</v>
      </c>
      <c r="E844" s="71" t="str">
        <f>MID(D844,1,2)</f>
        <v>IL</v>
      </c>
      <c r="F844" s="71" t="s">
        <v>480</v>
      </c>
      <c r="G844" s="71" t="str">
        <f>MID(F844,1,2)</f>
        <v>CA</v>
      </c>
      <c r="H844" s="43" t="s">
        <v>1753</v>
      </c>
      <c r="I844" s="71" t="s">
        <v>1754</v>
      </c>
      <c r="J844" s="71" t="s">
        <v>386</v>
      </c>
      <c r="K844" s="43"/>
      <c r="L844" s="71" t="s">
        <v>107</v>
      </c>
      <c r="M844" s="73">
        <v>358</v>
      </c>
      <c r="N844" s="71" t="s">
        <v>388</v>
      </c>
      <c r="O844" s="73">
        <v>3.492</v>
      </c>
      <c r="P844" s="71" t="s">
        <v>389</v>
      </c>
      <c r="Q844" s="73">
        <v>582</v>
      </c>
      <c r="R844" s="71" t="s">
        <v>388</v>
      </c>
      <c r="S844" s="73">
        <v>0</v>
      </c>
      <c r="T844" s="71" t="s">
        <v>390</v>
      </c>
      <c r="U844" s="74">
        <v>3</v>
      </c>
      <c r="V844" s="71" t="s">
        <v>417</v>
      </c>
      <c r="W844" s="130">
        <v>46061.768055555556</v>
      </c>
      <c r="X844" s="72">
        <v>46064.458333333336</v>
      </c>
      <c r="Y844" s="72">
        <v>46066.083333333336</v>
      </c>
      <c r="Z844" s="104" t="s">
        <v>382</v>
      </c>
      <c r="AA844" s="104" t="s">
        <v>405</v>
      </c>
      <c r="AB844" s="105">
        <v>46064.495138888888</v>
      </c>
      <c r="AC844" s="105">
        <v>46064.700694444444</v>
      </c>
    </row>
    <row r="845" s="70" customFormat="1" ht="11.25" customHeight="1">
      <c r="A845" s="87"/>
      <c r="C845" s="43" t="s">
        <v>1752</v>
      </c>
      <c r="D845" s="71" t="s">
        <v>382</v>
      </c>
      <c r="E845" s="71" t="str">
        <f>MID(D845,1,2)</f>
        <v>IL</v>
      </c>
      <c r="F845" s="71" t="s">
        <v>480</v>
      </c>
      <c r="G845" s="71" t="str">
        <f>MID(F845,1,2)</f>
        <v>CA</v>
      </c>
      <c r="H845" s="43" t="s">
        <v>1753</v>
      </c>
      <c r="I845" s="71" t="s">
        <v>1754</v>
      </c>
      <c r="J845" s="71" t="s">
        <v>386</v>
      </c>
      <c r="K845" s="43"/>
      <c r="L845" s="71" t="s">
        <v>107</v>
      </c>
      <c r="M845" s="73">
        <v>358</v>
      </c>
      <c r="N845" s="71" t="s">
        <v>388</v>
      </c>
      <c r="O845" s="73">
        <v>3.492</v>
      </c>
      <c r="P845" s="71" t="s">
        <v>389</v>
      </c>
      <c r="Q845" s="73">
        <v>582</v>
      </c>
      <c r="R845" s="71" t="s">
        <v>388</v>
      </c>
      <c r="S845" s="73">
        <v>0</v>
      </c>
      <c r="T845" s="71" t="s">
        <v>390</v>
      </c>
      <c r="U845" s="74">
        <v>3</v>
      </c>
      <c r="V845" s="71" t="s">
        <v>417</v>
      </c>
      <c r="W845" s="130">
        <v>46061.768055555556</v>
      </c>
      <c r="X845" s="72">
        <v>46064.458333333336</v>
      </c>
      <c r="Y845" s="72">
        <v>46066.083333333336</v>
      </c>
      <c r="Z845" s="104" t="s">
        <v>405</v>
      </c>
      <c r="AA845" s="104" t="s">
        <v>480</v>
      </c>
      <c r="AB845" s="105">
        <v>46065.621527777781</v>
      </c>
      <c r="AC845" s="105">
        <v>46066.340277777781</v>
      </c>
    </row>
    <row r="846" s="70" customFormat="1" ht="11.25" customHeight="1">
      <c r="A846" s="87"/>
      <c r="C846" s="43" t="s">
        <v>1755</v>
      </c>
      <c r="D846" s="71" t="s">
        <v>382</v>
      </c>
      <c r="E846" s="71" t="str">
        <f>MID(D846,1,2)</f>
        <v>IL</v>
      </c>
      <c r="F846" s="71" t="s">
        <v>414</v>
      </c>
      <c r="G846" s="71" t="str">
        <f>MID(F846,1,2)</f>
        <v>US</v>
      </c>
      <c r="H846" s="43" t="s">
        <v>1648</v>
      </c>
      <c r="I846" s="71" t="s">
        <v>1756</v>
      </c>
      <c r="J846" s="71" t="s">
        <v>426</v>
      </c>
      <c r="K846" s="43" t="s">
        <v>759</v>
      </c>
      <c r="L846" s="71" t="s">
        <v>105</v>
      </c>
      <c r="M846" s="73">
        <v>9</v>
      </c>
      <c r="N846" s="71" t="s">
        <v>388</v>
      </c>
      <c r="O846" s="73">
        <v>0.033</v>
      </c>
      <c r="P846" s="71" t="s">
        <v>389</v>
      </c>
      <c r="Q846" s="73">
        <v>9</v>
      </c>
      <c r="R846" s="71" t="s">
        <v>388</v>
      </c>
      <c r="S846" s="73">
        <v>0</v>
      </c>
      <c r="T846" s="71" t="s">
        <v>390</v>
      </c>
      <c r="U846" s="74">
        <v>1</v>
      </c>
      <c r="V846" s="71" t="s">
        <v>427</v>
      </c>
      <c r="W846" s="130">
        <v>46061.527777777781</v>
      </c>
      <c r="X846" s="72">
        <v>46064.03125</v>
      </c>
      <c r="Y846" s="72">
        <v>46064.239583333336</v>
      </c>
      <c r="Z846" s="104" t="s">
        <v>382</v>
      </c>
      <c r="AA846" s="104" t="s">
        <v>414</v>
      </c>
      <c r="AB846" s="105">
        <v>46064.034722222219</v>
      </c>
      <c r="AC846" s="105">
        <v>46064.222222222219</v>
      </c>
    </row>
    <row r="847" s="70" customFormat="1" ht="11.25" customHeight="1">
      <c r="A847" s="87"/>
      <c r="C847" s="43" t="s">
        <v>1757</v>
      </c>
      <c r="D847" s="71" t="s">
        <v>382</v>
      </c>
      <c r="E847" s="71" t="str">
        <f>MID(D847,1,2)</f>
        <v>IL</v>
      </c>
      <c r="F847" s="71" t="s">
        <v>651</v>
      </c>
      <c r="G847" s="71" t="str">
        <f>MID(F847,1,2)</f>
        <v>BR</v>
      </c>
      <c r="H847" s="43" t="s">
        <v>1758</v>
      </c>
      <c r="I847" s="71" t="s">
        <v>1759</v>
      </c>
      <c r="J847" s="71" t="s">
        <v>386</v>
      </c>
      <c r="K847" s="43"/>
      <c r="L847" s="71" t="s">
        <v>107</v>
      </c>
      <c r="M847" s="73">
        <v>44</v>
      </c>
      <c r="N847" s="71" t="s">
        <v>388</v>
      </c>
      <c r="O847" s="73">
        <v>0.284</v>
      </c>
      <c r="P847" s="71" t="s">
        <v>389</v>
      </c>
      <c r="Q847" s="73">
        <v>47.5</v>
      </c>
      <c r="R847" s="71" t="s">
        <v>388</v>
      </c>
      <c r="S847" s="73">
        <v>0</v>
      </c>
      <c r="T847" s="71" t="s">
        <v>390</v>
      </c>
      <c r="U847" s="74">
        <v>2</v>
      </c>
      <c r="V847" s="71" t="s">
        <v>391</v>
      </c>
      <c r="W847" s="130">
        <v>46062.732766203706</v>
      </c>
      <c r="X847" s="72">
        <v>46064.586805555555</v>
      </c>
      <c r="Y847" s="72">
        <v>46066.395833333336</v>
      </c>
      <c r="Z847" s="104" t="s">
        <v>382</v>
      </c>
      <c r="AA847" s="104" t="s">
        <v>590</v>
      </c>
      <c r="AB847" s="105">
        <v>46064.625694444447</v>
      </c>
      <c r="AC847" s="105">
        <v>46064.961805555555</v>
      </c>
    </row>
    <row r="848" s="70" customFormat="1" ht="11.25" customHeight="1">
      <c r="A848" s="87"/>
      <c r="C848" s="43" t="s">
        <v>1757</v>
      </c>
      <c r="D848" s="71" t="s">
        <v>382</v>
      </c>
      <c r="E848" s="71" t="str">
        <f>MID(D848,1,2)</f>
        <v>IL</v>
      </c>
      <c r="F848" s="71" t="s">
        <v>651</v>
      </c>
      <c r="G848" s="71" t="str">
        <f>MID(F848,1,2)</f>
        <v>BR</v>
      </c>
      <c r="H848" s="43" t="s">
        <v>1758</v>
      </c>
      <c r="I848" s="71" t="s">
        <v>1759</v>
      </c>
      <c r="J848" s="71" t="s">
        <v>386</v>
      </c>
      <c r="K848" s="43"/>
      <c r="L848" s="71" t="s">
        <v>107</v>
      </c>
      <c r="M848" s="73">
        <v>44</v>
      </c>
      <c r="N848" s="71" t="s">
        <v>388</v>
      </c>
      <c r="O848" s="73">
        <v>0.284</v>
      </c>
      <c r="P848" s="71" t="s">
        <v>389</v>
      </c>
      <c r="Q848" s="73">
        <v>47.5</v>
      </c>
      <c r="R848" s="71" t="s">
        <v>388</v>
      </c>
      <c r="S848" s="73">
        <v>0</v>
      </c>
      <c r="T848" s="71" t="s">
        <v>390</v>
      </c>
      <c r="U848" s="74">
        <v>2</v>
      </c>
      <c r="V848" s="71" t="s">
        <v>391</v>
      </c>
      <c r="W848" s="130">
        <v>46062.732766203706</v>
      </c>
      <c r="X848" s="72">
        <v>46064.586805555555</v>
      </c>
      <c r="Y848" s="72">
        <v>46066.395833333336</v>
      </c>
      <c r="Z848" s="104" t="s">
        <v>590</v>
      </c>
      <c r="AA848" s="104" t="s">
        <v>651</v>
      </c>
      <c r="AB848" s="105">
        <v>46065.998611111114</v>
      </c>
      <c r="AC848" s="105">
        <v>46066.265277777777</v>
      </c>
    </row>
    <row r="849" s="70" customFormat="1" ht="11.25" customHeight="1">
      <c r="A849" s="87"/>
      <c r="C849" s="43" t="s">
        <v>1760</v>
      </c>
      <c r="D849" s="71" t="s">
        <v>382</v>
      </c>
      <c r="E849" s="71" t="str">
        <f>MID(D849,1,2)</f>
        <v>IL</v>
      </c>
      <c r="F849" s="71" t="s">
        <v>651</v>
      </c>
      <c r="G849" s="71" t="str">
        <f>MID(F849,1,2)</f>
        <v>BR</v>
      </c>
      <c r="H849" s="43" t="s">
        <v>1758</v>
      </c>
      <c r="I849" s="71" t="s">
        <v>1761</v>
      </c>
      <c r="J849" s="71" t="s">
        <v>386</v>
      </c>
      <c r="K849" s="43"/>
      <c r="L849" s="71" t="s">
        <v>107</v>
      </c>
      <c r="M849" s="73">
        <v>38</v>
      </c>
      <c r="N849" s="71" t="s">
        <v>388</v>
      </c>
      <c r="O849" s="73">
        <v>0.217</v>
      </c>
      <c r="P849" s="71" t="s">
        <v>389</v>
      </c>
      <c r="Q849" s="73">
        <v>38</v>
      </c>
      <c r="R849" s="71" t="s">
        <v>388</v>
      </c>
      <c r="S849" s="73">
        <v>0</v>
      </c>
      <c r="T849" s="71" t="s">
        <v>390</v>
      </c>
      <c r="U849" s="74">
        <v>1</v>
      </c>
      <c r="V849" s="71" t="s">
        <v>391</v>
      </c>
      <c r="W849" s="130">
        <v>46061.535416666666</v>
      </c>
      <c r="X849" s="72">
        <v>46064.586805555555</v>
      </c>
      <c r="Y849" s="72">
        <v>46066.395833333336</v>
      </c>
      <c r="Z849" s="104" t="s">
        <v>382</v>
      </c>
      <c r="AA849" s="104" t="s">
        <v>590</v>
      </c>
      <c r="AB849" s="105">
        <v>46064.625694444447</v>
      </c>
      <c r="AC849" s="105">
        <v>46064.961805555555</v>
      </c>
    </row>
    <row r="850" s="70" customFormat="1" ht="11.25" customHeight="1">
      <c r="A850" s="87"/>
      <c r="C850" s="43" t="s">
        <v>1760</v>
      </c>
      <c r="D850" s="71" t="s">
        <v>382</v>
      </c>
      <c r="E850" s="71" t="str">
        <f>MID(D850,1,2)</f>
        <v>IL</v>
      </c>
      <c r="F850" s="71" t="s">
        <v>651</v>
      </c>
      <c r="G850" s="71" t="str">
        <f>MID(F850,1,2)</f>
        <v>BR</v>
      </c>
      <c r="H850" s="43" t="s">
        <v>1758</v>
      </c>
      <c r="I850" s="71" t="s">
        <v>1761</v>
      </c>
      <c r="J850" s="71" t="s">
        <v>386</v>
      </c>
      <c r="K850" s="43"/>
      <c r="L850" s="71" t="s">
        <v>107</v>
      </c>
      <c r="M850" s="73">
        <v>38</v>
      </c>
      <c r="N850" s="71" t="s">
        <v>388</v>
      </c>
      <c r="O850" s="73">
        <v>0.217</v>
      </c>
      <c r="P850" s="71" t="s">
        <v>389</v>
      </c>
      <c r="Q850" s="73">
        <v>38</v>
      </c>
      <c r="R850" s="71" t="s">
        <v>388</v>
      </c>
      <c r="S850" s="73">
        <v>0</v>
      </c>
      <c r="T850" s="71" t="s">
        <v>390</v>
      </c>
      <c r="U850" s="74">
        <v>1</v>
      </c>
      <c r="V850" s="71" t="s">
        <v>391</v>
      </c>
      <c r="W850" s="130">
        <v>46061.535416666666</v>
      </c>
      <c r="X850" s="72">
        <v>46064.586805555555</v>
      </c>
      <c r="Y850" s="72">
        <v>46066.395833333336</v>
      </c>
      <c r="Z850" s="104" t="s">
        <v>590</v>
      </c>
      <c r="AA850" s="104" t="s">
        <v>651</v>
      </c>
      <c r="AB850" s="105">
        <v>46065.998611111114</v>
      </c>
      <c r="AC850" s="105">
        <v>46066.265277777777</v>
      </c>
    </row>
    <row r="851" s="70" customFormat="1" ht="11.25" customHeight="1">
      <c r="A851" s="87"/>
      <c r="C851" s="43" t="s">
        <v>1762</v>
      </c>
      <c r="D851" s="71" t="s">
        <v>382</v>
      </c>
      <c r="E851" s="71" t="str">
        <f>MID(D851,1,2)</f>
        <v>IL</v>
      </c>
      <c r="F851" s="71" t="s">
        <v>651</v>
      </c>
      <c r="G851" s="71" t="str">
        <f>MID(F851,1,2)</f>
        <v>BR</v>
      </c>
      <c r="H851" s="43" t="s">
        <v>1758</v>
      </c>
      <c r="I851" s="71" t="s">
        <v>1763</v>
      </c>
      <c r="J851" s="71" t="s">
        <v>386</v>
      </c>
      <c r="K851" s="43"/>
      <c r="L851" s="71" t="s">
        <v>107</v>
      </c>
      <c r="M851" s="73">
        <v>9</v>
      </c>
      <c r="N851" s="71" t="s">
        <v>388</v>
      </c>
      <c r="O851" s="73">
        <v>0.256</v>
      </c>
      <c r="P851" s="71" t="s">
        <v>389</v>
      </c>
      <c r="Q851" s="73">
        <v>43</v>
      </c>
      <c r="R851" s="71" t="s">
        <v>388</v>
      </c>
      <c r="S851" s="73">
        <v>0</v>
      </c>
      <c r="T851" s="71" t="s">
        <v>390</v>
      </c>
      <c r="U851" s="74">
        <v>1</v>
      </c>
      <c r="V851" s="71" t="s">
        <v>391</v>
      </c>
      <c r="W851" s="130">
        <v>46062.68408564815</v>
      </c>
      <c r="X851" s="72">
        <v>46064.586805555555</v>
      </c>
      <c r="Y851" s="72">
        <v>46066.395833333336</v>
      </c>
      <c r="Z851" s="104" t="s">
        <v>382</v>
      </c>
      <c r="AA851" s="104" t="s">
        <v>590</v>
      </c>
      <c r="AB851" s="105">
        <v>46064.625694444447</v>
      </c>
      <c r="AC851" s="105">
        <v>46064.961805555555</v>
      </c>
    </row>
    <row r="852" s="70" customFormat="1" ht="11.25" customHeight="1">
      <c r="A852" s="87"/>
      <c r="C852" s="43" t="s">
        <v>1762</v>
      </c>
      <c r="D852" s="71" t="s">
        <v>382</v>
      </c>
      <c r="E852" s="71" t="str">
        <f>MID(D852,1,2)</f>
        <v>IL</v>
      </c>
      <c r="F852" s="71" t="s">
        <v>651</v>
      </c>
      <c r="G852" s="71" t="str">
        <f>MID(F852,1,2)</f>
        <v>BR</v>
      </c>
      <c r="H852" s="43" t="s">
        <v>1758</v>
      </c>
      <c r="I852" s="71" t="s">
        <v>1763</v>
      </c>
      <c r="J852" s="71" t="s">
        <v>386</v>
      </c>
      <c r="K852" s="43"/>
      <c r="L852" s="71" t="s">
        <v>107</v>
      </c>
      <c r="M852" s="73">
        <v>9</v>
      </c>
      <c r="N852" s="71" t="s">
        <v>388</v>
      </c>
      <c r="O852" s="73">
        <v>0.256</v>
      </c>
      <c r="P852" s="71" t="s">
        <v>389</v>
      </c>
      <c r="Q852" s="73">
        <v>43</v>
      </c>
      <c r="R852" s="71" t="s">
        <v>388</v>
      </c>
      <c r="S852" s="73">
        <v>0</v>
      </c>
      <c r="T852" s="71" t="s">
        <v>390</v>
      </c>
      <c r="U852" s="74">
        <v>1</v>
      </c>
      <c r="V852" s="71" t="s">
        <v>391</v>
      </c>
      <c r="W852" s="130">
        <v>46062.68408564815</v>
      </c>
      <c r="X852" s="72">
        <v>46064.586805555555</v>
      </c>
      <c r="Y852" s="72">
        <v>46066.395833333336</v>
      </c>
      <c r="Z852" s="104" t="s">
        <v>590</v>
      </c>
      <c r="AA852" s="104" t="s">
        <v>651</v>
      </c>
      <c r="AB852" s="105">
        <v>46065.998611111114</v>
      </c>
      <c r="AC852" s="105">
        <v>46066.265277777777</v>
      </c>
    </row>
    <row r="853" s="70" customFormat="1" ht="11.25" customHeight="1">
      <c r="A853" s="87"/>
      <c r="C853" s="43" t="s">
        <v>1764</v>
      </c>
      <c r="D853" s="71" t="s">
        <v>382</v>
      </c>
      <c r="E853" s="71" t="str">
        <f>MID(D853,1,2)</f>
        <v>IL</v>
      </c>
      <c r="F853" s="71" t="s">
        <v>651</v>
      </c>
      <c r="G853" s="71" t="str">
        <f>MID(F853,1,2)</f>
        <v>BR</v>
      </c>
      <c r="H853" s="43" t="s">
        <v>1758</v>
      </c>
      <c r="I853" s="71" t="s">
        <v>1765</v>
      </c>
      <c r="J853" s="71" t="s">
        <v>386</v>
      </c>
      <c r="K853" s="43"/>
      <c r="L853" s="71" t="s">
        <v>107</v>
      </c>
      <c r="M853" s="73">
        <v>22</v>
      </c>
      <c r="N853" s="71" t="s">
        <v>388</v>
      </c>
      <c r="O853" s="73">
        <v>0.142</v>
      </c>
      <c r="P853" s="71" t="s">
        <v>389</v>
      </c>
      <c r="Q853" s="73">
        <v>24</v>
      </c>
      <c r="R853" s="71" t="s">
        <v>388</v>
      </c>
      <c r="S853" s="73">
        <v>0</v>
      </c>
      <c r="T853" s="71" t="s">
        <v>390</v>
      </c>
      <c r="U853" s="74">
        <v>1</v>
      </c>
      <c r="V853" s="71" t="s">
        <v>391</v>
      </c>
      <c r="W853" s="130">
        <v>46061.542361111111</v>
      </c>
      <c r="X853" s="72">
        <v>46064.586805555555</v>
      </c>
      <c r="Y853" s="72">
        <v>46066.395833333336</v>
      </c>
      <c r="Z853" s="104" t="s">
        <v>382</v>
      </c>
      <c r="AA853" s="104" t="s">
        <v>590</v>
      </c>
      <c r="AB853" s="105">
        <v>46064.625694444447</v>
      </c>
      <c r="AC853" s="105">
        <v>46064.961805555555</v>
      </c>
    </row>
    <row r="854" s="70" customFormat="1" ht="11.25" customHeight="1">
      <c r="A854" s="87"/>
      <c r="C854" s="43" t="s">
        <v>1764</v>
      </c>
      <c r="D854" s="71" t="s">
        <v>382</v>
      </c>
      <c r="E854" s="71" t="str">
        <f>MID(D854,1,2)</f>
        <v>IL</v>
      </c>
      <c r="F854" s="71" t="s">
        <v>651</v>
      </c>
      <c r="G854" s="71" t="str">
        <f>MID(F854,1,2)</f>
        <v>BR</v>
      </c>
      <c r="H854" s="43" t="s">
        <v>1758</v>
      </c>
      <c r="I854" s="71" t="s">
        <v>1765</v>
      </c>
      <c r="J854" s="71" t="s">
        <v>386</v>
      </c>
      <c r="K854" s="43"/>
      <c r="L854" s="71" t="s">
        <v>107</v>
      </c>
      <c r="M854" s="73">
        <v>22</v>
      </c>
      <c r="N854" s="71" t="s">
        <v>388</v>
      </c>
      <c r="O854" s="73">
        <v>0.142</v>
      </c>
      <c r="P854" s="71" t="s">
        <v>389</v>
      </c>
      <c r="Q854" s="73">
        <v>24</v>
      </c>
      <c r="R854" s="71" t="s">
        <v>388</v>
      </c>
      <c r="S854" s="73">
        <v>0</v>
      </c>
      <c r="T854" s="71" t="s">
        <v>390</v>
      </c>
      <c r="U854" s="74">
        <v>1</v>
      </c>
      <c r="V854" s="71" t="s">
        <v>391</v>
      </c>
      <c r="W854" s="130">
        <v>46061.542361111111</v>
      </c>
      <c r="X854" s="72">
        <v>46064.586805555555</v>
      </c>
      <c r="Y854" s="72">
        <v>46066.395833333336</v>
      </c>
      <c r="Z854" s="104" t="s">
        <v>590</v>
      </c>
      <c r="AA854" s="104" t="s">
        <v>651</v>
      </c>
      <c r="AB854" s="105">
        <v>46065.998611111114</v>
      </c>
      <c r="AC854" s="105">
        <v>46066.265277777777</v>
      </c>
    </row>
    <row r="855" s="70" customFormat="1" ht="11.25" customHeight="1">
      <c r="A855" s="87"/>
      <c r="C855" s="43" t="s">
        <v>1766</v>
      </c>
      <c r="D855" s="71" t="s">
        <v>382</v>
      </c>
      <c r="E855" s="71" t="str">
        <f>MID(D855,1,2)</f>
        <v>IL</v>
      </c>
      <c r="F855" s="71" t="s">
        <v>651</v>
      </c>
      <c r="G855" s="71" t="str">
        <f>MID(F855,1,2)</f>
        <v>BR</v>
      </c>
      <c r="H855" s="43" t="s">
        <v>1758</v>
      </c>
      <c r="I855" s="71" t="s">
        <v>1767</v>
      </c>
      <c r="J855" s="71" t="s">
        <v>386</v>
      </c>
      <c r="K855" s="43"/>
      <c r="L855" s="71" t="s">
        <v>107</v>
      </c>
      <c r="M855" s="73">
        <v>9</v>
      </c>
      <c r="N855" s="71" t="s">
        <v>388</v>
      </c>
      <c r="O855" s="73">
        <v>0.256</v>
      </c>
      <c r="P855" s="71" t="s">
        <v>389</v>
      </c>
      <c r="Q855" s="73">
        <v>43</v>
      </c>
      <c r="R855" s="71" t="s">
        <v>388</v>
      </c>
      <c r="S855" s="73">
        <v>0</v>
      </c>
      <c r="T855" s="71" t="s">
        <v>390</v>
      </c>
      <c r="U855" s="74">
        <v>1</v>
      </c>
      <c r="V855" s="71" t="s">
        <v>391</v>
      </c>
      <c r="W855" s="130">
        <v>46061.549305555556</v>
      </c>
      <c r="X855" s="72">
        <v>46064.586805555555</v>
      </c>
      <c r="Y855" s="72">
        <v>46066.395833333336</v>
      </c>
      <c r="Z855" s="104" t="s">
        <v>382</v>
      </c>
      <c r="AA855" s="104" t="s">
        <v>590</v>
      </c>
      <c r="AB855" s="105">
        <v>46064.625694444447</v>
      </c>
      <c r="AC855" s="105">
        <v>46064.961805555555</v>
      </c>
    </row>
    <row r="856" s="70" customFormat="1" ht="11.25" customHeight="1">
      <c r="A856" s="87"/>
      <c r="C856" s="43" t="s">
        <v>1766</v>
      </c>
      <c r="D856" s="71" t="s">
        <v>382</v>
      </c>
      <c r="E856" s="71" t="str">
        <f>MID(D856,1,2)</f>
        <v>IL</v>
      </c>
      <c r="F856" s="71" t="s">
        <v>651</v>
      </c>
      <c r="G856" s="71" t="str">
        <f>MID(F856,1,2)</f>
        <v>BR</v>
      </c>
      <c r="H856" s="43" t="s">
        <v>1758</v>
      </c>
      <c r="I856" s="71" t="s">
        <v>1767</v>
      </c>
      <c r="J856" s="71" t="s">
        <v>386</v>
      </c>
      <c r="K856" s="43"/>
      <c r="L856" s="71" t="s">
        <v>107</v>
      </c>
      <c r="M856" s="73">
        <v>9</v>
      </c>
      <c r="N856" s="71" t="s">
        <v>388</v>
      </c>
      <c r="O856" s="73">
        <v>0.256</v>
      </c>
      <c r="P856" s="71" t="s">
        <v>389</v>
      </c>
      <c r="Q856" s="73">
        <v>43</v>
      </c>
      <c r="R856" s="71" t="s">
        <v>388</v>
      </c>
      <c r="S856" s="73">
        <v>0</v>
      </c>
      <c r="T856" s="71" t="s">
        <v>390</v>
      </c>
      <c r="U856" s="74">
        <v>1</v>
      </c>
      <c r="V856" s="71" t="s">
        <v>391</v>
      </c>
      <c r="W856" s="130">
        <v>46061.549305555556</v>
      </c>
      <c r="X856" s="72">
        <v>46064.586805555555</v>
      </c>
      <c r="Y856" s="72">
        <v>46066.395833333336</v>
      </c>
      <c r="Z856" s="104" t="s">
        <v>590</v>
      </c>
      <c r="AA856" s="104" t="s">
        <v>651</v>
      </c>
      <c r="AB856" s="105">
        <v>46065.998611111114</v>
      </c>
      <c r="AC856" s="105">
        <v>46066.265277777777</v>
      </c>
    </row>
    <row r="857" s="70" customFormat="1" ht="11.25" customHeight="1">
      <c r="A857" s="87"/>
      <c r="C857" s="43" t="s">
        <v>1768</v>
      </c>
      <c r="D857" s="71" t="s">
        <v>382</v>
      </c>
      <c r="E857" s="71" t="str">
        <f>MID(D857,1,2)</f>
        <v>IL</v>
      </c>
      <c r="F857" s="71" t="s">
        <v>963</v>
      </c>
      <c r="G857" s="71" t="str">
        <f>MID(F857,1,2)</f>
        <v>IN</v>
      </c>
      <c r="H857" s="43" t="s">
        <v>1769</v>
      </c>
      <c r="I857" s="71" t="s">
        <v>1770</v>
      </c>
      <c r="J857" s="71" t="s">
        <v>483</v>
      </c>
      <c r="K857" s="43"/>
      <c r="L857" s="71" t="s">
        <v>105</v>
      </c>
      <c r="M857" s="73">
        <v>57</v>
      </c>
      <c r="N857" s="71" t="s">
        <v>388</v>
      </c>
      <c r="O857" s="73">
        <v>0.288</v>
      </c>
      <c r="P857" s="71" t="s">
        <v>389</v>
      </c>
      <c r="Q857" s="73">
        <v>57</v>
      </c>
      <c r="R857" s="71" t="s">
        <v>388</v>
      </c>
      <c r="S857" s="73">
        <v>0</v>
      </c>
      <c r="T857" s="71" t="s">
        <v>390</v>
      </c>
      <c r="U857" s="74">
        <v>1</v>
      </c>
      <c r="V857" s="71" t="s">
        <v>391</v>
      </c>
      <c r="W857" s="130">
        <v>46061.66847222222</v>
      </c>
      <c r="X857" s="72">
        <v>46063.548611111109</v>
      </c>
      <c r="Y857" s="72">
        <v>46064.075694444444</v>
      </c>
      <c r="Z857" s="104" t="s">
        <v>382</v>
      </c>
      <c r="AA857" s="104" t="s">
        <v>383</v>
      </c>
      <c r="AB857" s="105">
        <v>46063.030555555553</v>
      </c>
      <c r="AC857" s="105">
        <v>46063.230555555558</v>
      </c>
    </row>
    <row r="858" s="70" customFormat="1" ht="11.25" customHeight="1">
      <c r="A858" s="87"/>
      <c r="C858" s="43" t="s">
        <v>1768</v>
      </c>
      <c r="D858" s="71" t="s">
        <v>382</v>
      </c>
      <c r="E858" s="71" t="str">
        <f>MID(D858,1,2)</f>
        <v>IL</v>
      </c>
      <c r="F858" s="71" t="s">
        <v>963</v>
      </c>
      <c r="G858" s="71" t="str">
        <f>MID(F858,1,2)</f>
        <v>IN</v>
      </c>
      <c r="H858" s="43" t="s">
        <v>1769</v>
      </c>
      <c r="I858" s="71" t="s">
        <v>1770</v>
      </c>
      <c r="J858" s="71" t="s">
        <v>483</v>
      </c>
      <c r="K858" s="43"/>
      <c r="L858" s="71" t="s">
        <v>105</v>
      </c>
      <c r="M858" s="73">
        <v>57</v>
      </c>
      <c r="N858" s="71" t="s">
        <v>388</v>
      </c>
      <c r="O858" s="73">
        <v>0.288</v>
      </c>
      <c r="P858" s="71" t="s">
        <v>389</v>
      </c>
      <c r="Q858" s="73">
        <v>57</v>
      </c>
      <c r="R858" s="71" t="s">
        <v>388</v>
      </c>
      <c r="S858" s="73">
        <v>0</v>
      </c>
      <c r="T858" s="71" t="s">
        <v>390</v>
      </c>
      <c r="U858" s="74">
        <v>1</v>
      </c>
      <c r="V858" s="71" t="s">
        <v>391</v>
      </c>
      <c r="W858" s="130">
        <v>46061.66847222222</v>
      </c>
      <c r="X858" s="72">
        <v>46063.548611111109</v>
      </c>
      <c r="Y858" s="72">
        <v>46064.075694444444</v>
      </c>
      <c r="Z858" s="104" t="s">
        <v>383</v>
      </c>
      <c r="AA858" s="104" t="s">
        <v>963</v>
      </c>
      <c r="AB858" s="105">
        <v>46063.525694444441</v>
      </c>
      <c r="AC858" s="105">
        <v>46064.072222222225</v>
      </c>
    </row>
    <row r="859" s="70" customFormat="1" ht="11.25" customHeight="1">
      <c r="A859" s="87"/>
      <c r="C859" s="43" t="s">
        <v>1771</v>
      </c>
      <c r="D859" s="71" t="s">
        <v>382</v>
      </c>
      <c r="E859" s="71" t="str">
        <f>MID(D859,1,2)</f>
        <v>IL</v>
      </c>
      <c r="F859" s="71" t="s">
        <v>471</v>
      </c>
      <c r="G859" s="71" t="str">
        <f>MID(F859,1,2)</f>
        <v>US</v>
      </c>
      <c r="H859" s="43" t="s">
        <v>1772</v>
      </c>
      <c r="I859" s="71" t="s">
        <v>1773</v>
      </c>
      <c r="J859" s="71" t="s">
        <v>386</v>
      </c>
      <c r="K859" s="43"/>
      <c r="L859" s="71" t="s">
        <v>107</v>
      </c>
      <c r="M859" s="73">
        <v>228</v>
      </c>
      <c r="N859" s="71" t="s">
        <v>388</v>
      </c>
      <c r="O859" s="73">
        <v>2.296</v>
      </c>
      <c r="P859" s="71" t="s">
        <v>389</v>
      </c>
      <c r="Q859" s="73">
        <v>383</v>
      </c>
      <c r="R859" s="71" t="s">
        <v>388</v>
      </c>
      <c r="S859" s="73">
        <v>0</v>
      </c>
      <c r="T859" s="71" t="s">
        <v>390</v>
      </c>
      <c r="U859" s="74">
        <v>4</v>
      </c>
      <c r="V859" s="71" t="s">
        <v>391</v>
      </c>
      <c r="W859" s="130">
        <v>46064.6171875</v>
      </c>
      <c r="X859" s="72">
        <v>46066.663194444445</v>
      </c>
      <c r="Y859" s="72">
        <v>46068.048611111109</v>
      </c>
      <c r="Z859" s="104" t="s">
        <v>382</v>
      </c>
      <c r="AA859" s="104" t="s">
        <v>577</v>
      </c>
      <c r="AB859" s="105">
        <v>46066.659722222219</v>
      </c>
      <c r="AC859" s="105">
        <v>46066.811805555553</v>
      </c>
    </row>
    <row r="860" s="70" customFormat="1" ht="11.25" customHeight="1">
      <c r="A860" s="87"/>
      <c r="C860" s="43" t="s">
        <v>1771</v>
      </c>
      <c r="D860" s="71" t="s">
        <v>382</v>
      </c>
      <c r="E860" s="71" t="str">
        <f>MID(D860,1,2)</f>
        <v>IL</v>
      </c>
      <c r="F860" s="71" t="s">
        <v>471</v>
      </c>
      <c r="G860" s="71" t="str">
        <f>MID(F860,1,2)</f>
        <v>US</v>
      </c>
      <c r="H860" s="43" t="s">
        <v>1772</v>
      </c>
      <c r="I860" s="71" t="s">
        <v>1773</v>
      </c>
      <c r="J860" s="71" t="s">
        <v>386</v>
      </c>
      <c r="K860" s="43"/>
      <c r="L860" s="71" t="s">
        <v>107</v>
      </c>
      <c r="M860" s="73">
        <v>228</v>
      </c>
      <c r="N860" s="71" t="s">
        <v>388</v>
      </c>
      <c r="O860" s="73">
        <v>2.296</v>
      </c>
      <c r="P860" s="71" t="s">
        <v>389</v>
      </c>
      <c r="Q860" s="73">
        <v>383</v>
      </c>
      <c r="R860" s="71" t="s">
        <v>388</v>
      </c>
      <c r="S860" s="73">
        <v>0</v>
      </c>
      <c r="T860" s="71" t="s">
        <v>390</v>
      </c>
      <c r="U860" s="74">
        <v>4</v>
      </c>
      <c r="V860" s="71" t="s">
        <v>391</v>
      </c>
      <c r="W860" s="130">
        <v>46064.6171875</v>
      </c>
      <c r="X860" s="72">
        <v>46066.663194444445</v>
      </c>
      <c r="Y860" s="72">
        <v>46068.048611111109</v>
      </c>
      <c r="Z860" s="104" t="s">
        <v>577</v>
      </c>
      <c r="AA860" s="104" t="s">
        <v>471</v>
      </c>
      <c r="AB860" s="105">
        <v>46067.957638888889</v>
      </c>
      <c r="AC860" s="105">
        <v>46068.04375</v>
      </c>
    </row>
    <row r="861" s="70" customFormat="1" ht="11.25" customHeight="1">
      <c r="A861" s="87"/>
      <c r="C861" s="43" t="s">
        <v>1774</v>
      </c>
      <c r="D861" s="71" t="s">
        <v>382</v>
      </c>
      <c r="E861" s="71" t="str">
        <f>MID(D861,1,2)</f>
        <v>IL</v>
      </c>
      <c r="F861" s="71" t="s">
        <v>471</v>
      </c>
      <c r="G861" s="71" t="str">
        <f>MID(F861,1,2)</f>
        <v>US</v>
      </c>
      <c r="H861" s="43" t="s">
        <v>1775</v>
      </c>
      <c r="I861" s="71" t="s">
        <v>1776</v>
      </c>
      <c r="J861" s="71" t="s">
        <v>386</v>
      </c>
      <c r="K861" s="43"/>
      <c r="L861" s="71" t="s">
        <v>107</v>
      </c>
      <c r="M861" s="73">
        <v>80</v>
      </c>
      <c r="N861" s="71" t="s">
        <v>388</v>
      </c>
      <c r="O861" s="73">
        <v>1.636</v>
      </c>
      <c r="P861" s="71" t="s">
        <v>389</v>
      </c>
      <c r="Q861" s="73">
        <v>273</v>
      </c>
      <c r="R861" s="71" t="s">
        <v>388</v>
      </c>
      <c r="S861" s="73">
        <v>0</v>
      </c>
      <c r="T861" s="71" t="s">
        <v>390</v>
      </c>
      <c r="U861" s="74">
        <v>2</v>
      </c>
      <c r="V861" s="71" t="s">
        <v>391</v>
      </c>
      <c r="W861" s="130">
        <v>46064.620648148149</v>
      </c>
      <c r="X861" s="72">
        <v>46066.563888888886</v>
      </c>
      <c r="Y861" s="72">
        <v>46070.631944444445</v>
      </c>
      <c r="Z861" s="104" t="s">
        <v>382</v>
      </c>
      <c r="AA861" s="104" t="s">
        <v>577</v>
      </c>
      <c r="AB861" s="105">
        <v>46066.659722222219</v>
      </c>
      <c r="AC861" s="105">
        <v>46066.811805555553</v>
      </c>
    </row>
    <row r="862" s="70" customFormat="1" ht="11.25" customHeight="1">
      <c r="A862" s="87"/>
      <c r="C862" s="43" t="s">
        <v>1774</v>
      </c>
      <c r="D862" s="71" t="s">
        <v>382</v>
      </c>
      <c r="E862" s="71" t="str">
        <f>MID(D862,1,2)</f>
        <v>IL</v>
      </c>
      <c r="F862" s="71" t="s">
        <v>471</v>
      </c>
      <c r="G862" s="71" t="str">
        <f>MID(F862,1,2)</f>
        <v>US</v>
      </c>
      <c r="H862" s="43" t="s">
        <v>1775</v>
      </c>
      <c r="I862" s="71" t="s">
        <v>1776</v>
      </c>
      <c r="J862" s="71" t="s">
        <v>386</v>
      </c>
      <c r="K862" s="43"/>
      <c r="L862" s="71" t="s">
        <v>107</v>
      </c>
      <c r="M862" s="73">
        <v>80</v>
      </c>
      <c r="N862" s="71" t="s">
        <v>388</v>
      </c>
      <c r="O862" s="73">
        <v>1.636</v>
      </c>
      <c r="P862" s="71" t="s">
        <v>389</v>
      </c>
      <c r="Q862" s="73">
        <v>273</v>
      </c>
      <c r="R862" s="71" t="s">
        <v>388</v>
      </c>
      <c r="S862" s="73">
        <v>0</v>
      </c>
      <c r="T862" s="71" t="s">
        <v>390</v>
      </c>
      <c r="U862" s="74">
        <v>2</v>
      </c>
      <c r="V862" s="71" t="s">
        <v>391</v>
      </c>
      <c r="W862" s="130">
        <v>46064.620648148149</v>
      </c>
      <c r="X862" s="72">
        <v>46066.563888888886</v>
      </c>
      <c r="Y862" s="72">
        <v>46070.631944444445</v>
      </c>
      <c r="Z862" s="104" t="s">
        <v>577</v>
      </c>
      <c r="AA862" s="104" t="s">
        <v>471</v>
      </c>
      <c r="AB862" s="105">
        <v>46069.574305555558</v>
      </c>
      <c r="AC862" s="105">
        <v>46069.64375</v>
      </c>
    </row>
    <row r="863" s="70" customFormat="1" ht="11.25" customHeight="1">
      <c r="A863" s="87"/>
      <c r="C863" s="43" t="s">
        <v>1777</v>
      </c>
      <c r="D863" s="71" t="s">
        <v>382</v>
      </c>
      <c r="E863" s="71" t="str">
        <f>MID(D863,1,2)</f>
        <v>IL</v>
      </c>
      <c r="F863" s="71" t="s">
        <v>667</v>
      </c>
      <c r="G863" s="71" t="str">
        <f>MID(F863,1,2)</f>
        <v>DE</v>
      </c>
      <c r="H863" s="43" t="s">
        <v>1778</v>
      </c>
      <c r="I863" s="71" t="s">
        <v>1779</v>
      </c>
      <c r="J863" s="71" t="s">
        <v>386</v>
      </c>
      <c r="K863" s="43"/>
      <c r="L863" s="71" t="s">
        <v>107</v>
      </c>
      <c r="M863" s="73">
        <v>165</v>
      </c>
      <c r="N863" s="71" t="s">
        <v>388</v>
      </c>
      <c r="O863" s="73">
        <v>1.75</v>
      </c>
      <c r="P863" s="71" t="s">
        <v>389</v>
      </c>
      <c r="Q863" s="73">
        <v>292</v>
      </c>
      <c r="R863" s="71" t="s">
        <v>388</v>
      </c>
      <c r="S863" s="73">
        <v>0</v>
      </c>
      <c r="T863" s="71" t="s">
        <v>390</v>
      </c>
      <c r="U863" s="74">
        <v>3</v>
      </c>
      <c r="V863" s="71" t="s">
        <v>391</v>
      </c>
      <c r="W863" s="130">
        <v>46064.620659722219</v>
      </c>
      <c r="X863" s="72">
        <v>46066.572916666664</v>
      </c>
      <c r="Y863" s="72">
        <v>46067.9375</v>
      </c>
      <c r="Z863" s="104" t="s">
        <v>667</v>
      </c>
      <c r="AA863" s="104" t="s">
        <v>677</v>
      </c>
      <c r="AB863" s="105">
        <v>46071.375</v>
      </c>
      <c r="AC863" s="105">
        <v>46071.5</v>
      </c>
    </row>
    <row r="864" s="70" customFormat="1" ht="11.25" customHeight="1">
      <c r="A864" s="87"/>
      <c r="C864" s="43" t="s">
        <v>1777</v>
      </c>
      <c r="D864" s="71" t="s">
        <v>382</v>
      </c>
      <c r="E864" s="71" t="str">
        <f>MID(D864,1,2)</f>
        <v>IL</v>
      </c>
      <c r="F864" s="71" t="s">
        <v>667</v>
      </c>
      <c r="G864" s="71" t="str">
        <f>MID(F864,1,2)</f>
        <v>DE</v>
      </c>
      <c r="H864" s="43" t="s">
        <v>1778</v>
      </c>
      <c r="I864" s="71" t="s">
        <v>1779</v>
      </c>
      <c r="J864" s="71" t="s">
        <v>386</v>
      </c>
      <c r="K864" s="43"/>
      <c r="L864" s="71" t="s">
        <v>107</v>
      </c>
      <c r="M864" s="73">
        <v>165</v>
      </c>
      <c r="N864" s="71" t="s">
        <v>388</v>
      </c>
      <c r="O864" s="73">
        <v>1.75</v>
      </c>
      <c r="P864" s="71" t="s">
        <v>389</v>
      </c>
      <c r="Q864" s="73">
        <v>292</v>
      </c>
      <c r="R864" s="71" t="s">
        <v>388</v>
      </c>
      <c r="S864" s="73">
        <v>0</v>
      </c>
      <c r="T864" s="71" t="s">
        <v>390</v>
      </c>
      <c r="U864" s="74">
        <v>3</v>
      </c>
      <c r="V864" s="71" t="s">
        <v>391</v>
      </c>
      <c r="W864" s="130">
        <v>46064.620659722219</v>
      </c>
      <c r="X864" s="72">
        <v>46066.572916666664</v>
      </c>
      <c r="Y864" s="72">
        <v>46067.9375</v>
      </c>
      <c r="Z864" s="104" t="s">
        <v>382</v>
      </c>
      <c r="AA864" s="104" t="s">
        <v>383</v>
      </c>
      <c r="AB864" s="105">
        <v>46066.5625</v>
      </c>
      <c r="AC864" s="105">
        <v>46066.709722222222</v>
      </c>
    </row>
    <row r="865" s="70" customFormat="1" ht="11.25" customHeight="1">
      <c r="A865" s="87"/>
      <c r="C865" s="43" t="s">
        <v>1777</v>
      </c>
      <c r="D865" s="71" t="s">
        <v>382</v>
      </c>
      <c r="E865" s="71" t="str">
        <f>MID(D865,1,2)</f>
        <v>IL</v>
      </c>
      <c r="F865" s="71" t="s">
        <v>667</v>
      </c>
      <c r="G865" s="71" t="str">
        <f>MID(F865,1,2)</f>
        <v>DE</v>
      </c>
      <c r="H865" s="43" t="s">
        <v>1778</v>
      </c>
      <c r="I865" s="71" t="s">
        <v>1779</v>
      </c>
      <c r="J865" s="71" t="s">
        <v>386</v>
      </c>
      <c r="K865" s="43"/>
      <c r="L865" s="71" t="s">
        <v>107</v>
      </c>
      <c r="M865" s="73">
        <v>165</v>
      </c>
      <c r="N865" s="71" t="s">
        <v>388</v>
      </c>
      <c r="O865" s="73">
        <v>1.75</v>
      </c>
      <c r="P865" s="71" t="s">
        <v>389</v>
      </c>
      <c r="Q865" s="73">
        <v>292</v>
      </c>
      <c r="R865" s="71" t="s">
        <v>388</v>
      </c>
      <c r="S865" s="73">
        <v>0</v>
      </c>
      <c r="T865" s="71" t="s">
        <v>390</v>
      </c>
      <c r="U865" s="74">
        <v>3</v>
      </c>
      <c r="V865" s="71" t="s">
        <v>391</v>
      </c>
      <c r="W865" s="130">
        <v>46064.620659722219</v>
      </c>
      <c r="X865" s="72">
        <v>46066.572916666664</v>
      </c>
      <c r="Y865" s="72">
        <v>46067.9375</v>
      </c>
      <c r="Z865" s="104" t="s">
        <v>383</v>
      </c>
      <c r="AA865" s="104" t="s">
        <v>667</v>
      </c>
      <c r="AB865" s="105">
        <v>46067.680555555555</v>
      </c>
      <c r="AC865" s="105">
        <v>46067.947916666664</v>
      </c>
    </row>
    <row r="866" s="70" customFormat="1" ht="11.25" customHeight="1">
      <c r="A866" s="87"/>
      <c r="C866" s="43" t="s">
        <v>1780</v>
      </c>
      <c r="D866" s="71" t="s">
        <v>382</v>
      </c>
      <c r="E866" s="71" t="str">
        <f>MID(D866,1,2)</f>
        <v>IL</v>
      </c>
      <c r="F866" s="71" t="s">
        <v>667</v>
      </c>
      <c r="G866" s="71" t="str">
        <f>MID(F866,1,2)</f>
        <v>DE</v>
      </c>
      <c r="H866" s="43" t="s">
        <v>1781</v>
      </c>
      <c r="I866" s="71" t="s">
        <v>1782</v>
      </c>
      <c r="J866" s="71" t="s">
        <v>386</v>
      </c>
      <c r="K866" s="43"/>
      <c r="L866" s="71" t="s">
        <v>107</v>
      </c>
      <c r="M866" s="73">
        <v>126</v>
      </c>
      <c r="N866" s="71" t="s">
        <v>388</v>
      </c>
      <c r="O866" s="73">
        <v>1.12</v>
      </c>
      <c r="P866" s="71" t="s">
        <v>389</v>
      </c>
      <c r="Q866" s="73">
        <v>187</v>
      </c>
      <c r="R866" s="71" t="s">
        <v>388</v>
      </c>
      <c r="S866" s="73">
        <v>0</v>
      </c>
      <c r="T866" s="71" t="s">
        <v>390</v>
      </c>
      <c r="U866" s="74">
        <v>2</v>
      </c>
      <c r="V866" s="71" t="s">
        <v>391</v>
      </c>
      <c r="W866" s="130">
        <v>46064.620682870373</v>
      </c>
      <c r="X866" s="72">
        <v>46066.622916666667</v>
      </c>
      <c r="Y866" s="72">
        <v>46066.84375</v>
      </c>
      <c r="Z866" s="104" t="s">
        <v>667</v>
      </c>
      <c r="AA866" s="104" t="s">
        <v>677</v>
      </c>
      <c r="AB866" s="105">
        <v>46071.375</v>
      </c>
      <c r="AC866" s="105">
        <v>46071.5</v>
      </c>
    </row>
    <row r="867" s="70" customFormat="1" ht="11.25" customHeight="1">
      <c r="A867" s="87"/>
      <c r="C867" s="43" t="s">
        <v>1780</v>
      </c>
      <c r="D867" s="71" t="s">
        <v>382</v>
      </c>
      <c r="E867" s="71" t="str">
        <f>MID(D867,1,2)</f>
        <v>IL</v>
      </c>
      <c r="F867" s="71" t="s">
        <v>667</v>
      </c>
      <c r="G867" s="71" t="str">
        <f>MID(F867,1,2)</f>
        <v>DE</v>
      </c>
      <c r="H867" s="43" t="s">
        <v>1781</v>
      </c>
      <c r="I867" s="71" t="s">
        <v>1782</v>
      </c>
      <c r="J867" s="71" t="s">
        <v>386</v>
      </c>
      <c r="K867" s="43"/>
      <c r="L867" s="71" t="s">
        <v>107</v>
      </c>
      <c r="M867" s="73">
        <v>126</v>
      </c>
      <c r="N867" s="71" t="s">
        <v>388</v>
      </c>
      <c r="O867" s="73">
        <v>1.12</v>
      </c>
      <c r="P867" s="71" t="s">
        <v>389</v>
      </c>
      <c r="Q867" s="73">
        <v>187</v>
      </c>
      <c r="R867" s="71" t="s">
        <v>388</v>
      </c>
      <c r="S867" s="73">
        <v>0</v>
      </c>
      <c r="T867" s="71" t="s">
        <v>390</v>
      </c>
      <c r="U867" s="74">
        <v>2</v>
      </c>
      <c r="V867" s="71" t="s">
        <v>391</v>
      </c>
      <c r="W867" s="130">
        <v>46064.620682870373</v>
      </c>
      <c r="X867" s="72">
        <v>46066.622916666667</v>
      </c>
      <c r="Y867" s="72">
        <v>46066.84375</v>
      </c>
      <c r="Z867" s="104" t="s">
        <v>382</v>
      </c>
      <c r="AA867" s="104" t="s">
        <v>667</v>
      </c>
      <c r="AB867" s="105">
        <v>46066.705555555556</v>
      </c>
      <c r="AC867" s="105">
        <v>46066.835416666669</v>
      </c>
    </row>
    <row r="868" s="70" customFormat="1" ht="11.25" customHeight="1">
      <c r="A868" s="87"/>
      <c r="C868" s="43" t="s">
        <v>1783</v>
      </c>
      <c r="D868" s="71" t="s">
        <v>382</v>
      </c>
      <c r="E868" s="71" t="str">
        <f>MID(D868,1,2)</f>
        <v>IL</v>
      </c>
      <c r="F868" s="71" t="s">
        <v>1363</v>
      </c>
      <c r="G868" s="71" t="str">
        <f>MID(F868,1,2)</f>
        <v>CN</v>
      </c>
      <c r="H868" s="43" t="s">
        <v>1784</v>
      </c>
      <c r="I868" s="71" t="s">
        <v>1785</v>
      </c>
      <c r="J868" s="71" t="s">
        <v>755</v>
      </c>
      <c r="K868" s="43" t="s">
        <v>1786</v>
      </c>
      <c r="L868" s="71" t="s">
        <v>105</v>
      </c>
      <c r="M868" s="73">
        <v>1.5</v>
      </c>
      <c r="N868" s="71" t="s">
        <v>388</v>
      </c>
      <c r="O868" s="73">
        <v>0.034</v>
      </c>
      <c r="P868" s="71" t="s">
        <v>389</v>
      </c>
      <c r="Q868" s="73">
        <v>6</v>
      </c>
      <c r="R868" s="71" t="s">
        <v>388</v>
      </c>
      <c r="S868" s="73">
        <v>0</v>
      </c>
      <c r="T868" s="71" t="s">
        <v>390</v>
      </c>
      <c r="U868" s="74">
        <v>1</v>
      </c>
      <c r="V868" s="71" t="s">
        <v>391</v>
      </c>
      <c r="W868" s="130">
        <v>46062.616712962961</v>
      </c>
      <c r="X868" s="72">
        <v>46062.565972222219</v>
      </c>
      <c r="Y868" s="72">
        <v>46068.654166666667</v>
      </c>
      <c r="Z868" s="104" t="s">
        <v>382</v>
      </c>
      <c r="AA868" s="104" t="s">
        <v>667</v>
      </c>
      <c r="AB868" s="105">
        <v>46064.718055555553</v>
      </c>
      <c r="AC868" s="105">
        <v>46064.84652777778</v>
      </c>
    </row>
    <row r="869" s="70" customFormat="1" ht="11.25" customHeight="1">
      <c r="A869" s="87"/>
      <c r="C869" s="43" t="s">
        <v>1783</v>
      </c>
      <c r="D869" s="71" t="s">
        <v>382</v>
      </c>
      <c r="E869" s="71" t="str">
        <f>MID(D869,1,2)</f>
        <v>IL</v>
      </c>
      <c r="F869" s="71" t="s">
        <v>1363</v>
      </c>
      <c r="G869" s="71" t="str">
        <f>MID(F869,1,2)</f>
        <v>CN</v>
      </c>
      <c r="H869" s="43" t="s">
        <v>1784</v>
      </c>
      <c r="I869" s="71" t="s">
        <v>1785</v>
      </c>
      <c r="J869" s="71" t="s">
        <v>755</v>
      </c>
      <c r="K869" s="43" t="s">
        <v>1786</v>
      </c>
      <c r="L869" s="71" t="s">
        <v>105</v>
      </c>
      <c r="M869" s="73">
        <v>1.5</v>
      </c>
      <c r="N869" s="71" t="s">
        <v>388</v>
      </c>
      <c r="O869" s="73">
        <v>0.034</v>
      </c>
      <c r="P869" s="71" t="s">
        <v>389</v>
      </c>
      <c r="Q869" s="73">
        <v>6</v>
      </c>
      <c r="R869" s="71" t="s">
        <v>388</v>
      </c>
      <c r="S869" s="73">
        <v>0</v>
      </c>
      <c r="T869" s="71" t="s">
        <v>390</v>
      </c>
      <c r="U869" s="74">
        <v>1</v>
      </c>
      <c r="V869" s="71" t="s">
        <v>391</v>
      </c>
      <c r="W869" s="130">
        <v>46062.616712962961</v>
      </c>
      <c r="X869" s="72">
        <v>46062.565972222219</v>
      </c>
      <c r="Y869" s="72">
        <v>46068.654166666667</v>
      </c>
      <c r="Z869" s="104" t="s">
        <v>667</v>
      </c>
      <c r="AA869" s="104" t="s">
        <v>383</v>
      </c>
      <c r="AB869" s="105">
        <v>46066.290972222225</v>
      </c>
      <c r="AC869" s="105">
        <v>46066.323611111111</v>
      </c>
    </row>
    <row r="870" s="70" customFormat="1" ht="11.25" customHeight="1">
      <c r="A870" s="87"/>
      <c r="C870" s="43" t="s">
        <v>1783</v>
      </c>
      <c r="D870" s="71" t="s">
        <v>382</v>
      </c>
      <c r="E870" s="71" t="str">
        <f>MID(D870,1,2)</f>
        <v>IL</v>
      </c>
      <c r="F870" s="71" t="s">
        <v>1363</v>
      </c>
      <c r="G870" s="71" t="str">
        <f>MID(F870,1,2)</f>
        <v>CN</v>
      </c>
      <c r="H870" s="43" t="s">
        <v>1784</v>
      </c>
      <c r="I870" s="71" t="s">
        <v>1785</v>
      </c>
      <c r="J870" s="71" t="s">
        <v>755</v>
      </c>
      <c r="K870" s="43" t="s">
        <v>1786</v>
      </c>
      <c r="L870" s="71" t="s">
        <v>105</v>
      </c>
      <c r="M870" s="73">
        <v>1.5</v>
      </c>
      <c r="N870" s="71" t="s">
        <v>388</v>
      </c>
      <c r="O870" s="73">
        <v>0.034</v>
      </c>
      <c r="P870" s="71" t="s">
        <v>389</v>
      </c>
      <c r="Q870" s="73">
        <v>6</v>
      </c>
      <c r="R870" s="71" t="s">
        <v>388</v>
      </c>
      <c r="S870" s="73">
        <v>0</v>
      </c>
      <c r="T870" s="71" t="s">
        <v>390</v>
      </c>
      <c r="U870" s="74">
        <v>1</v>
      </c>
      <c r="V870" s="71" t="s">
        <v>391</v>
      </c>
      <c r="W870" s="130">
        <v>46062.616712962961</v>
      </c>
      <c r="X870" s="72">
        <v>46062.565972222219</v>
      </c>
      <c r="Y870" s="72">
        <v>46068.654166666667</v>
      </c>
      <c r="Z870" s="104" t="s">
        <v>383</v>
      </c>
      <c r="AA870" s="104" t="s">
        <v>1363</v>
      </c>
      <c r="AB870" s="105">
        <v>46067.892361111109</v>
      </c>
      <c r="AC870" s="105">
        <v>46068.652777777781</v>
      </c>
    </row>
    <row r="871" s="70" customFormat="1" ht="11.25" customHeight="1">
      <c r="A871" s="87"/>
      <c r="C871" s="43" t="s">
        <v>1787</v>
      </c>
      <c r="D871" s="71" t="s">
        <v>382</v>
      </c>
      <c r="E871" s="71" t="str">
        <f>MID(D871,1,2)</f>
        <v>IL</v>
      </c>
      <c r="F871" s="71" t="s">
        <v>667</v>
      </c>
      <c r="G871" s="71" t="str">
        <f>MID(F871,1,2)</f>
        <v>DE</v>
      </c>
      <c r="H871" s="43" t="s">
        <v>1788</v>
      </c>
      <c r="I871" s="71" t="s">
        <v>1789</v>
      </c>
      <c r="J871" s="71" t="s">
        <v>386</v>
      </c>
      <c r="K871" s="43"/>
      <c r="L871" s="71" t="s">
        <v>107</v>
      </c>
      <c r="M871" s="73">
        <v>20</v>
      </c>
      <c r="N871" s="71" t="s">
        <v>388</v>
      </c>
      <c r="O871" s="73">
        <v>0.2</v>
      </c>
      <c r="P871" s="71" t="s">
        <v>389</v>
      </c>
      <c r="Q871" s="73">
        <v>33.5</v>
      </c>
      <c r="R871" s="71" t="s">
        <v>388</v>
      </c>
      <c r="S871" s="73">
        <v>0</v>
      </c>
      <c r="T871" s="71" t="s">
        <v>390</v>
      </c>
      <c r="U871" s="74">
        <v>2</v>
      </c>
      <c r="V871" s="71" t="s">
        <v>391</v>
      </c>
      <c r="W871" s="130">
        <v>46064.617199074077</v>
      </c>
      <c r="X871" s="72">
        <v>46066.622916666667</v>
      </c>
      <c r="Y871" s="72">
        <v>46076.498611111114</v>
      </c>
      <c r="Z871" s="104" t="s">
        <v>667</v>
      </c>
      <c r="AA871" s="104" t="s">
        <v>677</v>
      </c>
      <c r="AB871" s="105">
        <v>46076.375</v>
      </c>
      <c r="AC871" s="105">
        <v>46076.498611111114</v>
      </c>
    </row>
    <row r="872" s="70" customFormat="1" ht="11.25" customHeight="1">
      <c r="A872" s="87"/>
      <c r="C872" s="43" t="s">
        <v>1787</v>
      </c>
      <c r="D872" s="71" t="s">
        <v>382</v>
      </c>
      <c r="E872" s="71" t="str">
        <f>MID(D872,1,2)</f>
        <v>IL</v>
      </c>
      <c r="F872" s="71" t="s">
        <v>667</v>
      </c>
      <c r="G872" s="71" t="str">
        <f>MID(F872,1,2)</f>
        <v>DE</v>
      </c>
      <c r="H872" s="43" t="s">
        <v>1788</v>
      </c>
      <c r="I872" s="71" t="s">
        <v>1789</v>
      </c>
      <c r="J872" s="71" t="s">
        <v>386</v>
      </c>
      <c r="K872" s="43"/>
      <c r="L872" s="71" t="s">
        <v>107</v>
      </c>
      <c r="M872" s="73">
        <v>20</v>
      </c>
      <c r="N872" s="71" t="s">
        <v>388</v>
      </c>
      <c r="O872" s="73">
        <v>0.2</v>
      </c>
      <c r="P872" s="71" t="s">
        <v>389</v>
      </c>
      <c r="Q872" s="73">
        <v>33.5</v>
      </c>
      <c r="R872" s="71" t="s">
        <v>388</v>
      </c>
      <c r="S872" s="73">
        <v>0</v>
      </c>
      <c r="T872" s="71" t="s">
        <v>390</v>
      </c>
      <c r="U872" s="74">
        <v>2</v>
      </c>
      <c r="V872" s="71" t="s">
        <v>391</v>
      </c>
      <c r="W872" s="130">
        <v>46064.617199074077</v>
      </c>
      <c r="X872" s="72">
        <v>46066.622916666667</v>
      </c>
      <c r="Y872" s="72">
        <v>46076.498611111114</v>
      </c>
      <c r="Z872" s="104" t="s">
        <v>382</v>
      </c>
      <c r="AA872" s="104" t="s">
        <v>667</v>
      </c>
      <c r="AB872" s="105">
        <v>46066.705555555556</v>
      </c>
      <c r="AC872" s="105">
        <v>46066.835416666669</v>
      </c>
    </row>
    <row r="873" s="70" customFormat="1" ht="11.25" customHeight="1">
      <c r="A873" s="87"/>
      <c r="C873" s="43" t="s">
        <v>1790</v>
      </c>
      <c r="D873" s="71" t="s">
        <v>382</v>
      </c>
      <c r="E873" s="71" t="str">
        <f>MID(D873,1,2)</f>
        <v>IL</v>
      </c>
      <c r="F873" s="71" t="s">
        <v>546</v>
      </c>
      <c r="G873" s="71" t="str">
        <f>MID(F873,1,2)</f>
        <v>GB</v>
      </c>
      <c r="H873" s="43" t="s">
        <v>1791</v>
      </c>
      <c r="I873" s="71" t="s">
        <v>1792</v>
      </c>
      <c r="J873" s="71" t="s">
        <v>435</v>
      </c>
      <c r="K873" s="43" t="s">
        <v>1793</v>
      </c>
      <c r="L873" s="71" t="s">
        <v>105</v>
      </c>
      <c r="M873" s="73">
        <v>22</v>
      </c>
      <c r="N873" s="71" t="s">
        <v>388</v>
      </c>
      <c r="O873" s="73">
        <v>0.12</v>
      </c>
      <c r="P873" s="71" t="s">
        <v>389</v>
      </c>
      <c r="Q873" s="73">
        <v>22</v>
      </c>
      <c r="R873" s="71" t="s">
        <v>388</v>
      </c>
      <c r="S873" s="73">
        <v>0</v>
      </c>
      <c r="T873" s="71" t="s">
        <v>390</v>
      </c>
      <c r="U873" s="74">
        <v>1</v>
      </c>
      <c r="V873" s="71" t="s">
        <v>391</v>
      </c>
      <c r="W873" s="130">
        <v>46062.40347222222</v>
      </c>
      <c r="X873" s="72">
        <v>46064.381944444445</v>
      </c>
      <c r="Y873" s="72">
        <v>46064.524305555555</v>
      </c>
      <c r="Z873" s="104" t="s">
        <v>382</v>
      </c>
      <c r="AA873" s="104" t="s">
        <v>546</v>
      </c>
      <c r="AB873" s="105">
        <v>46064.37777777778</v>
      </c>
      <c r="AC873" s="105">
        <v>46064.50277777778</v>
      </c>
    </row>
    <row r="874" s="70" customFormat="1" ht="11.25" customHeight="1">
      <c r="A874" s="87"/>
      <c r="C874" s="43" t="s">
        <v>1794</v>
      </c>
      <c r="D874" s="71" t="s">
        <v>382</v>
      </c>
      <c r="E874" s="71" t="str">
        <f>MID(D874,1,2)</f>
        <v>IL</v>
      </c>
      <c r="F874" s="71" t="s">
        <v>595</v>
      </c>
      <c r="G874" s="71" t="str">
        <f>MID(F874,1,2)</f>
        <v>AT</v>
      </c>
      <c r="H874" s="43" t="s">
        <v>1795</v>
      </c>
      <c r="I874" s="71" t="s">
        <v>1796</v>
      </c>
      <c r="J874" s="71" t="s">
        <v>426</v>
      </c>
      <c r="K874" s="43"/>
      <c r="L874" s="71" t="s">
        <v>105</v>
      </c>
      <c r="M874" s="73">
        <v>76</v>
      </c>
      <c r="N874" s="71" t="s">
        <v>388</v>
      </c>
      <c r="O874" s="73">
        <v>0.344</v>
      </c>
      <c r="P874" s="71" t="s">
        <v>389</v>
      </c>
      <c r="Q874" s="73">
        <v>76</v>
      </c>
      <c r="R874" s="71" t="s">
        <v>388</v>
      </c>
      <c r="S874" s="73">
        <v>0</v>
      </c>
      <c r="T874" s="71" t="s">
        <v>390</v>
      </c>
      <c r="U874" s="74">
        <v>1</v>
      </c>
      <c r="V874" s="71" t="s">
        <v>391</v>
      </c>
      <c r="W874" s="130"/>
      <c r="X874" s="72">
        <v>46064.246527777781</v>
      </c>
      <c r="Y874" s="72">
        <v>46064.767361111109</v>
      </c>
      <c r="Z874" s="104" t="s">
        <v>382</v>
      </c>
      <c r="AA874" s="104" t="s">
        <v>595</v>
      </c>
      <c r="AB874" s="105">
        <v>46064.246527777781</v>
      </c>
      <c r="AC874" s="105">
        <v>46064.356944444444</v>
      </c>
    </row>
    <row r="875" s="70" customFormat="1" ht="11.25" customHeight="1">
      <c r="A875" s="87"/>
      <c r="C875" s="43" t="s">
        <v>1797</v>
      </c>
      <c r="D875" s="71" t="s">
        <v>382</v>
      </c>
      <c r="E875" s="71" t="str">
        <f>MID(D875,1,2)</f>
        <v>IL</v>
      </c>
      <c r="F875" s="71" t="s">
        <v>774</v>
      </c>
      <c r="G875" s="71" t="str">
        <f>MID(F875,1,2)</f>
        <v>CN</v>
      </c>
      <c r="H875" s="43" t="s">
        <v>1743</v>
      </c>
      <c r="I875" s="71" t="s">
        <v>1798</v>
      </c>
      <c r="J875" s="71" t="s">
        <v>454</v>
      </c>
      <c r="K875" s="43"/>
      <c r="L875" s="71" t="s">
        <v>107</v>
      </c>
      <c r="M875" s="73">
        <v>24</v>
      </c>
      <c r="N875" s="71" t="s">
        <v>388</v>
      </c>
      <c r="O875" s="73">
        <v>0.227</v>
      </c>
      <c r="P875" s="71" t="s">
        <v>389</v>
      </c>
      <c r="Q875" s="73">
        <v>38</v>
      </c>
      <c r="R875" s="71" t="s">
        <v>388</v>
      </c>
      <c r="S875" s="73">
        <v>0</v>
      </c>
      <c r="T875" s="71" t="s">
        <v>390</v>
      </c>
      <c r="U875" s="74">
        <v>4</v>
      </c>
      <c r="V875" s="71" t="s">
        <v>391</v>
      </c>
      <c r="W875" s="130">
        <v>46061.612881944442</v>
      </c>
      <c r="X875" s="72">
        <v>46063.25</v>
      </c>
      <c r="Y875" s="72">
        <v>46065.477777777778</v>
      </c>
      <c r="Z875" s="104" t="s">
        <v>382</v>
      </c>
      <c r="AA875" s="104" t="s">
        <v>465</v>
      </c>
      <c r="AB875" s="105">
        <v>46063.222222222219</v>
      </c>
      <c r="AC875" s="105">
        <v>46063.42083333333</v>
      </c>
    </row>
    <row r="876" s="70" customFormat="1" ht="11.25" customHeight="1">
      <c r="A876" s="87"/>
      <c r="C876" s="43" t="s">
        <v>1797</v>
      </c>
      <c r="D876" s="71" t="s">
        <v>382</v>
      </c>
      <c r="E876" s="71" t="str">
        <f>MID(D876,1,2)</f>
        <v>IL</v>
      </c>
      <c r="F876" s="71" t="s">
        <v>774</v>
      </c>
      <c r="G876" s="71" t="str">
        <f>MID(F876,1,2)</f>
        <v>CN</v>
      </c>
      <c r="H876" s="43" t="s">
        <v>1743</v>
      </c>
      <c r="I876" s="71" t="s">
        <v>1798</v>
      </c>
      <c r="J876" s="71" t="s">
        <v>454</v>
      </c>
      <c r="K876" s="43"/>
      <c r="L876" s="71" t="s">
        <v>107</v>
      </c>
      <c r="M876" s="73">
        <v>24</v>
      </c>
      <c r="N876" s="71" t="s">
        <v>388</v>
      </c>
      <c r="O876" s="73">
        <v>0.227</v>
      </c>
      <c r="P876" s="71" t="s">
        <v>389</v>
      </c>
      <c r="Q876" s="73">
        <v>38</v>
      </c>
      <c r="R876" s="71" t="s">
        <v>388</v>
      </c>
      <c r="S876" s="73">
        <v>0</v>
      </c>
      <c r="T876" s="71" t="s">
        <v>390</v>
      </c>
      <c r="U876" s="74">
        <v>4</v>
      </c>
      <c r="V876" s="71" t="s">
        <v>391</v>
      </c>
      <c r="W876" s="130">
        <v>46061.612881944442</v>
      </c>
      <c r="X876" s="72">
        <v>46063.25</v>
      </c>
      <c r="Y876" s="72">
        <v>46065.477777777778</v>
      </c>
      <c r="Z876" s="104" t="s">
        <v>465</v>
      </c>
      <c r="AA876" s="104" t="s">
        <v>774</v>
      </c>
      <c r="AB876" s="105">
        <v>46064.202777777777</v>
      </c>
      <c r="AC876" s="105">
        <v>46064.7</v>
      </c>
    </row>
    <row r="877" s="70" customFormat="1" ht="11.25" customHeight="1">
      <c r="A877" s="87"/>
      <c r="C877" s="43" t="s">
        <v>1799</v>
      </c>
      <c r="D877" s="71" t="s">
        <v>382</v>
      </c>
      <c r="E877" s="71" t="str">
        <f>MID(D877,1,2)</f>
        <v>IL</v>
      </c>
      <c r="F877" s="71" t="s">
        <v>468</v>
      </c>
      <c r="G877" s="71" t="str">
        <f>MID(F877,1,2)</f>
        <v>US</v>
      </c>
      <c r="H877" s="43" t="s">
        <v>1441</v>
      </c>
      <c r="I877" s="71" t="s">
        <v>1800</v>
      </c>
      <c r="J877" s="71" t="s">
        <v>386</v>
      </c>
      <c r="K877" s="43"/>
      <c r="L877" s="71" t="s">
        <v>107</v>
      </c>
      <c r="M877" s="73">
        <v>3</v>
      </c>
      <c r="N877" s="71" t="s">
        <v>388</v>
      </c>
      <c r="O877" s="73">
        <v>0.053</v>
      </c>
      <c r="P877" s="71" t="s">
        <v>389</v>
      </c>
      <c r="Q877" s="73">
        <v>9</v>
      </c>
      <c r="R877" s="71" t="s">
        <v>388</v>
      </c>
      <c r="S877" s="73">
        <v>0</v>
      </c>
      <c r="T877" s="71" t="s">
        <v>390</v>
      </c>
      <c r="U877" s="74">
        <v>1</v>
      </c>
      <c r="V877" s="71" t="s">
        <v>446</v>
      </c>
      <c r="W877" s="130">
        <v>46061.646527777775</v>
      </c>
      <c r="X877" s="72">
        <v>46064.965277777781</v>
      </c>
      <c r="Y877" s="72">
        <v>46069.416666666664</v>
      </c>
      <c r="Z877" s="104" t="s">
        <v>382</v>
      </c>
      <c r="AA877" s="104" t="s">
        <v>422</v>
      </c>
      <c r="AB877" s="105">
        <v>46064.963194444441</v>
      </c>
      <c r="AC877" s="105">
        <v>46065.148611111108</v>
      </c>
    </row>
    <row r="878" s="70" customFormat="1" ht="11.25" customHeight="1">
      <c r="A878" s="87"/>
      <c r="C878" s="43" t="s">
        <v>1799</v>
      </c>
      <c r="D878" s="71" t="s">
        <v>382</v>
      </c>
      <c r="E878" s="71" t="str">
        <f>MID(D878,1,2)</f>
        <v>IL</v>
      </c>
      <c r="F878" s="71" t="s">
        <v>468</v>
      </c>
      <c r="G878" s="71" t="str">
        <f>MID(F878,1,2)</f>
        <v>US</v>
      </c>
      <c r="H878" s="43" t="s">
        <v>1441</v>
      </c>
      <c r="I878" s="71" t="s">
        <v>1800</v>
      </c>
      <c r="J878" s="71" t="s">
        <v>386</v>
      </c>
      <c r="K878" s="43"/>
      <c r="L878" s="71" t="s">
        <v>107</v>
      </c>
      <c r="M878" s="73">
        <v>3</v>
      </c>
      <c r="N878" s="71" t="s">
        <v>388</v>
      </c>
      <c r="O878" s="73">
        <v>0.053</v>
      </c>
      <c r="P878" s="71" t="s">
        <v>389</v>
      </c>
      <c r="Q878" s="73">
        <v>9</v>
      </c>
      <c r="R878" s="71" t="s">
        <v>388</v>
      </c>
      <c r="S878" s="73">
        <v>0</v>
      </c>
      <c r="T878" s="71" t="s">
        <v>390</v>
      </c>
      <c r="U878" s="74">
        <v>1</v>
      </c>
      <c r="V878" s="71" t="s">
        <v>446</v>
      </c>
      <c r="W878" s="130">
        <v>46061.646527777775</v>
      </c>
      <c r="X878" s="72">
        <v>46064.965277777781</v>
      </c>
      <c r="Y878" s="72">
        <v>46069.416666666664</v>
      </c>
      <c r="Z878" s="104" t="s">
        <v>422</v>
      </c>
      <c r="AA878" s="104" t="s">
        <v>468</v>
      </c>
      <c r="AB878" s="105">
        <v>46065.590277777781</v>
      </c>
      <c r="AC878" s="105">
        <v>46065.697222222225</v>
      </c>
    </row>
    <row r="879" s="70" customFormat="1" ht="11.25" customHeight="1">
      <c r="A879" s="87"/>
      <c r="C879" s="43" t="s">
        <v>1801</v>
      </c>
      <c r="D879" s="71" t="s">
        <v>382</v>
      </c>
      <c r="E879" s="71" t="str">
        <f>MID(D879,1,2)</f>
        <v>IL</v>
      </c>
      <c r="F879" s="71" t="s">
        <v>468</v>
      </c>
      <c r="G879" s="71" t="str">
        <f>MID(F879,1,2)</f>
        <v>US</v>
      </c>
      <c r="H879" s="43" t="s">
        <v>1441</v>
      </c>
      <c r="I879" s="71" t="s">
        <v>1802</v>
      </c>
      <c r="J879" s="71" t="s">
        <v>386</v>
      </c>
      <c r="K879" s="43"/>
      <c r="L879" s="71" t="s">
        <v>107</v>
      </c>
      <c r="M879" s="73">
        <v>6</v>
      </c>
      <c r="N879" s="71" t="s">
        <v>388</v>
      </c>
      <c r="O879" s="73">
        <v>0.107</v>
      </c>
      <c r="P879" s="71" t="s">
        <v>389</v>
      </c>
      <c r="Q879" s="73">
        <v>18</v>
      </c>
      <c r="R879" s="71" t="s">
        <v>388</v>
      </c>
      <c r="S879" s="73">
        <v>0</v>
      </c>
      <c r="T879" s="71" t="s">
        <v>390</v>
      </c>
      <c r="U879" s="74">
        <v>2</v>
      </c>
      <c r="V879" s="71" t="s">
        <v>427</v>
      </c>
      <c r="W879" s="130">
        <v>46062.836967592593</v>
      </c>
      <c r="X879" s="72">
        <v>46064.965277777781</v>
      </c>
      <c r="Y879" s="72">
        <v>46069.416666666664</v>
      </c>
      <c r="Z879" s="104" t="s">
        <v>382</v>
      </c>
      <c r="AA879" s="104" t="s">
        <v>422</v>
      </c>
      <c r="AB879" s="105">
        <v>46064.963194444441</v>
      </c>
      <c r="AC879" s="105">
        <v>46065.148611111108</v>
      </c>
    </row>
    <row r="880" s="70" customFormat="1" ht="11.25" customHeight="1">
      <c r="A880" s="87"/>
      <c r="C880" s="43" t="s">
        <v>1801</v>
      </c>
      <c r="D880" s="71" t="s">
        <v>382</v>
      </c>
      <c r="E880" s="71" t="str">
        <f>MID(D880,1,2)</f>
        <v>IL</v>
      </c>
      <c r="F880" s="71" t="s">
        <v>468</v>
      </c>
      <c r="G880" s="71" t="str">
        <f>MID(F880,1,2)</f>
        <v>US</v>
      </c>
      <c r="H880" s="43" t="s">
        <v>1441</v>
      </c>
      <c r="I880" s="71" t="s">
        <v>1802</v>
      </c>
      <c r="J880" s="71" t="s">
        <v>386</v>
      </c>
      <c r="K880" s="43"/>
      <c r="L880" s="71" t="s">
        <v>107</v>
      </c>
      <c r="M880" s="73">
        <v>6</v>
      </c>
      <c r="N880" s="71" t="s">
        <v>388</v>
      </c>
      <c r="O880" s="73">
        <v>0.107</v>
      </c>
      <c r="P880" s="71" t="s">
        <v>389</v>
      </c>
      <c r="Q880" s="73">
        <v>18</v>
      </c>
      <c r="R880" s="71" t="s">
        <v>388</v>
      </c>
      <c r="S880" s="73">
        <v>0</v>
      </c>
      <c r="T880" s="71" t="s">
        <v>390</v>
      </c>
      <c r="U880" s="74">
        <v>2</v>
      </c>
      <c r="V880" s="71" t="s">
        <v>427</v>
      </c>
      <c r="W880" s="130">
        <v>46062.836967592593</v>
      </c>
      <c r="X880" s="72">
        <v>46064.965277777781</v>
      </c>
      <c r="Y880" s="72">
        <v>46069.416666666664</v>
      </c>
      <c r="Z880" s="104" t="s">
        <v>422</v>
      </c>
      <c r="AA880" s="104" t="s">
        <v>468</v>
      </c>
      <c r="AB880" s="105">
        <v>46065.590277777781</v>
      </c>
      <c r="AC880" s="105">
        <v>46065.697222222225</v>
      </c>
    </row>
    <row r="881" s="70" customFormat="1" ht="11.25" customHeight="1">
      <c r="A881" s="87"/>
      <c r="C881" s="43" t="s">
        <v>1803</v>
      </c>
      <c r="D881" s="71" t="s">
        <v>382</v>
      </c>
      <c r="E881" s="71" t="str">
        <f>MID(D881,1,2)</f>
        <v>IL</v>
      </c>
      <c r="F881" s="71" t="s">
        <v>468</v>
      </c>
      <c r="G881" s="71" t="str">
        <f>MID(F881,1,2)</f>
        <v>US</v>
      </c>
      <c r="H881" s="43" t="s">
        <v>1441</v>
      </c>
      <c r="I881" s="71" t="s">
        <v>1804</v>
      </c>
      <c r="J881" s="71" t="s">
        <v>386</v>
      </c>
      <c r="K881" s="43"/>
      <c r="L881" s="71" t="s">
        <v>107</v>
      </c>
      <c r="M881" s="73">
        <v>72</v>
      </c>
      <c r="N881" s="71" t="s">
        <v>388</v>
      </c>
      <c r="O881" s="73">
        <v>0.333</v>
      </c>
      <c r="P881" s="71" t="s">
        <v>389</v>
      </c>
      <c r="Q881" s="73">
        <v>72</v>
      </c>
      <c r="R881" s="71" t="s">
        <v>388</v>
      </c>
      <c r="S881" s="73">
        <v>0</v>
      </c>
      <c r="T881" s="71" t="s">
        <v>390</v>
      </c>
      <c r="U881" s="74">
        <v>6</v>
      </c>
      <c r="V881" s="71" t="s">
        <v>446</v>
      </c>
      <c r="W881" s="130">
        <v>46063.618055555555</v>
      </c>
      <c r="X881" s="72">
        <v>46064.965277777781</v>
      </c>
      <c r="Y881" s="72">
        <v>46069.416666666664</v>
      </c>
      <c r="Z881" s="104" t="s">
        <v>382</v>
      </c>
      <c r="AA881" s="104" t="s">
        <v>422</v>
      </c>
      <c r="AB881" s="105">
        <v>46064.963194444441</v>
      </c>
      <c r="AC881" s="105">
        <v>46065.148611111108</v>
      </c>
    </row>
    <row r="882" s="70" customFormat="1" ht="11.25" customHeight="1">
      <c r="A882" s="87"/>
      <c r="C882" s="43" t="s">
        <v>1803</v>
      </c>
      <c r="D882" s="71" t="s">
        <v>382</v>
      </c>
      <c r="E882" s="71" t="str">
        <f>MID(D882,1,2)</f>
        <v>IL</v>
      </c>
      <c r="F882" s="71" t="s">
        <v>468</v>
      </c>
      <c r="G882" s="71" t="str">
        <f>MID(F882,1,2)</f>
        <v>US</v>
      </c>
      <c r="H882" s="43" t="s">
        <v>1441</v>
      </c>
      <c r="I882" s="71" t="s">
        <v>1804</v>
      </c>
      <c r="J882" s="71" t="s">
        <v>386</v>
      </c>
      <c r="K882" s="43"/>
      <c r="L882" s="71" t="s">
        <v>107</v>
      </c>
      <c r="M882" s="73">
        <v>72</v>
      </c>
      <c r="N882" s="71" t="s">
        <v>388</v>
      </c>
      <c r="O882" s="73">
        <v>0.333</v>
      </c>
      <c r="P882" s="71" t="s">
        <v>389</v>
      </c>
      <c r="Q882" s="73">
        <v>72</v>
      </c>
      <c r="R882" s="71" t="s">
        <v>388</v>
      </c>
      <c r="S882" s="73">
        <v>0</v>
      </c>
      <c r="T882" s="71" t="s">
        <v>390</v>
      </c>
      <c r="U882" s="74">
        <v>6</v>
      </c>
      <c r="V882" s="71" t="s">
        <v>446</v>
      </c>
      <c r="W882" s="130">
        <v>46063.618055555555</v>
      </c>
      <c r="X882" s="72">
        <v>46064.965277777781</v>
      </c>
      <c r="Y882" s="72">
        <v>46069.416666666664</v>
      </c>
      <c r="Z882" s="104" t="s">
        <v>422</v>
      </c>
      <c r="AA882" s="104" t="s">
        <v>468</v>
      </c>
      <c r="AB882" s="105">
        <v>46065.590277777781</v>
      </c>
      <c r="AC882" s="105">
        <v>46065.697222222225</v>
      </c>
    </row>
    <row r="883" s="70" customFormat="1" ht="11.25" customHeight="1">
      <c r="A883" s="87"/>
      <c r="C883" s="43" t="s">
        <v>1805</v>
      </c>
      <c r="D883" s="71" t="s">
        <v>1806</v>
      </c>
      <c r="E883" s="71" t="str">
        <f>MID(D883,1,2)</f>
        <v>IL</v>
      </c>
      <c r="F883" s="71" t="s">
        <v>1807</v>
      </c>
      <c r="G883" s="71" t="str">
        <f>MID(F883,1,2)</f>
        <v>KZ</v>
      </c>
      <c r="H883" s="43" t="s">
        <v>1808</v>
      </c>
      <c r="I883" s="71" t="s">
        <v>1809</v>
      </c>
      <c r="J883" s="71" t="s">
        <v>426</v>
      </c>
      <c r="K883" s="43"/>
      <c r="L883" s="71" t="s">
        <v>105</v>
      </c>
      <c r="M883" s="73">
        <v>587</v>
      </c>
      <c r="N883" s="71" t="s">
        <v>388</v>
      </c>
      <c r="O883" s="73">
        <v>1.793</v>
      </c>
      <c r="P883" s="71" t="s">
        <v>389</v>
      </c>
      <c r="Q883" s="73">
        <v>587</v>
      </c>
      <c r="R883" s="71" t="s">
        <v>388</v>
      </c>
      <c r="S883" s="73">
        <v>0</v>
      </c>
      <c r="T883" s="71" t="s">
        <v>390</v>
      </c>
      <c r="U883" s="74">
        <v>29</v>
      </c>
      <c r="V883" s="71" t="s">
        <v>391</v>
      </c>
      <c r="W883" s="130"/>
      <c r="X883" s="72">
        <v>46063.588888888888</v>
      </c>
      <c r="Y883" s="72">
        <v>46066.592361111114</v>
      </c>
      <c r="Z883" s="104" t="s">
        <v>382</v>
      </c>
      <c r="AA883" s="104" t="s">
        <v>1175</v>
      </c>
      <c r="AB883" s="105"/>
      <c r="AC883" s="105"/>
    </row>
    <row r="884" s="70" customFormat="1" ht="11.25" customHeight="1">
      <c r="A884" s="87"/>
      <c r="C884" s="43" t="s">
        <v>1805</v>
      </c>
      <c r="D884" s="71" t="s">
        <v>1806</v>
      </c>
      <c r="E884" s="71" t="str">
        <f>MID(D884,1,2)</f>
        <v>IL</v>
      </c>
      <c r="F884" s="71" t="s">
        <v>1807</v>
      </c>
      <c r="G884" s="71" t="str">
        <f>MID(F884,1,2)</f>
        <v>KZ</v>
      </c>
      <c r="H884" s="43" t="s">
        <v>1808</v>
      </c>
      <c r="I884" s="71" t="s">
        <v>1809</v>
      </c>
      <c r="J884" s="71" t="s">
        <v>426</v>
      </c>
      <c r="K884" s="43"/>
      <c r="L884" s="71" t="s">
        <v>105</v>
      </c>
      <c r="M884" s="73">
        <v>587</v>
      </c>
      <c r="N884" s="71" t="s">
        <v>388</v>
      </c>
      <c r="O884" s="73">
        <v>1.793</v>
      </c>
      <c r="P884" s="71" t="s">
        <v>389</v>
      </c>
      <c r="Q884" s="73">
        <v>587</v>
      </c>
      <c r="R884" s="71" t="s">
        <v>388</v>
      </c>
      <c r="S884" s="73">
        <v>0</v>
      </c>
      <c r="T884" s="71" t="s">
        <v>390</v>
      </c>
      <c r="U884" s="74">
        <v>29</v>
      </c>
      <c r="V884" s="71" t="s">
        <v>391</v>
      </c>
      <c r="W884" s="130"/>
      <c r="X884" s="72">
        <v>46063.588888888888</v>
      </c>
      <c r="Y884" s="72">
        <v>46066.592361111114</v>
      </c>
      <c r="Z884" s="104" t="s">
        <v>1175</v>
      </c>
      <c r="AA884" s="104" t="s">
        <v>1807</v>
      </c>
      <c r="AB884" s="105"/>
      <c r="AC884" s="105"/>
    </row>
    <row r="885" s="70" customFormat="1" ht="11.25" customHeight="1">
      <c r="A885" s="87"/>
      <c r="C885" s="43" t="s">
        <v>1810</v>
      </c>
      <c r="D885" s="71" t="s">
        <v>382</v>
      </c>
      <c r="E885" s="71" t="str">
        <f>MID(D885,1,2)</f>
        <v>IL</v>
      </c>
      <c r="F885" s="71" t="s">
        <v>468</v>
      </c>
      <c r="G885" s="71" t="str">
        <f>MID(F885,1,2)</f>
        <v>US</v>
      </c>
      <c r="H885" s="43" t="s">
        <v>1441</v>
      </c>
      <c r="I885" s="71" t="s">
        <v>1811</v>
      </c>
      <c r="J885" s="71" t="s">
        <v>386</v>
      </c>
      <c r="K885" s="43"/>
      <c r="L885" s="71" t="s">
        <v>107</v>
      </c>
      <c r="M885" s="73">
        <v>48</v>
      </c>
      <c r="N885" s="71" t="s">
        <v>388</v>
      </c>
      <c r="O885" s="73">
        <v>0.222</v>
      </c>
      <c r="P885" s="71" t="s">
        <v>389</v>
      </c>
      <c r="Q885" s="73">
        <v>48</v>
      </c>
      <c r="R885" s="71" t="s">
        <v>388</v>
      </c>
      <c r="S885" s="73">
        <v>0</v>
      </c>
      <c r="T885" s="71" t="s">
        <v>390</v>
      </c>
      <c r="U885" s="74">
        <v>4</v>
      </c>
      <c r="V885" s="71" t="s">
        <v>446</v>
      </c>
      <c r="W885" s="130">
        <v>46061.68125</v>
      </c>
      <c r="X885" s="72">
        <v>46064.965277777781</v>
      </c>
      <c r="Y885" s="72">
        <v>46069.416666666664</v>
      </c>
      <c r="Z885" s="104" t="s">
        <v>382</v>
      </c>
      <c r="AA885" s="104" t="s">
        <v>422</v>
      </c>
      <c r="AB885" s="105">
        <v>46064.963194444441</v>
      </c>
      <c r="AC885" s="105">
        <v>46065.148611111108</v>
      </c>
    </row>
    <row r="886" s="70" customFormat="1" ht="11.25" customHeight="1">
      <c r="A886" s="87"/>
      <c r="C886" s="43" t="s">
        <v>1810</v>
      </c>
      <c r="D886" s="71" t="s">
        <v>382</v>
      </c>
      <c r="E886" s="71" t="str">
        <f>MID(D886,1,2)</f>
        <v>IL</v>
      </c>
      <c r="F886" s="71" t="s">
        <v>468</v>
      </c>
      <c r="G886" s="71" t="str">
        <f>MID(F886,1,2)</f>
        <v>US</v>
      </c>
      <c r="H886" s="43" t="s">
        <v>1441</v>
      </c>
      <c r="I886" s="71" t="s">
        <v>1811</v>
      </c>
      <c r="J886" s="71" t="s">
        <v>386</v>
      </c>
      <c r="K886" s="43"/>
      <c r="L886" s="71" t="s">
        <v>107</v>
      </c>
      <c r="M886" s="73">
        <v>48</v>
      </c>
      <c r="N886" s="71" t="s">
        <v>388</v>
      </c>
      <c r="O886" s="73">
        <v>0.222</v>
      </c>
      <c r="P886" s="71" t="s">
        <v>389</v>
      </c>
      <c r="Q886" s="73">
        <v>48</v>
      </c>
      <c r="R886" s="71" t="s">
        <v>388</v>
      </c>
      <c r="S886" s="73">
        <v>0</v>
      </c>
      <c r="T886" s="71" t="s">
        <v>390</v>
      </c>
      <c r="U886" s="74">
        <v>4</v>
      </c>
      <c r="V886" s="71" t="s">
        <v>446</v>
      </c>
      <c r="W886" s="130">
        <v>46061.68125</v>
      </c>
      <c r="X886" s="72">
        <v>46064.965277777781</v>
      </c>
      <c r="Y886" s="72">
        <v>46069.416666666664</v>
      </c>
      <c r="Z886" s="104" t="s">
        <v>422</v>
      </c>
      <c r="AA886" s="104" t="s">
        <v>468</v>
      </c>
      <c r="AB886" s="105">
        <v>46065.590277777781</v>
      </c>
      <c r="AC886" s="105">
        <v>46065.697222222225</v>
      </c>
    </row>
    <row r="887" s="70" customFormat="1" ht="11.25" customHeight="1">
      <c r="A887" s="87"/>
      <c r="C887" s="43" t="s">
        <v>1812</v>
      </c>
      <c r="D887" s="71" t="s">
        <v>382</v>
      </c>
      <c r="E887" s="71" t="str">
        <f>MID(D887,1,2)</f>
        <v>IL</v>
      </c>
      <c r="F887" s="71" t="s">
        <v>573</v>
      </c>
      <c r="G887" s="71" t="str">
        <f>MID(F887,1,2)</f>
        <v>CH</v>
      </c>
      <c r="H887" s="43" t="s">
        <v>1813</v>
      </c>
      <c r="I887" s="71" t="s">
        <v>1814</v>
      </c>
      <c r="J887" s="71" t="s">
        <v>483</v>
      </c>
      <c r="K887" s="43"/>
      <c r="L887" s="71" t="s">
        <v>105</v>
      </c>
      <c r="M887" s="73">
        <v>206</v>
      </c>
      <c r="N887" s="71" t="s">
        <v>388</v>
      </c>
      <c r="O887" s="73">
        <v>1.726</v>
      </c>
      <c r="P887" s="71" t="s">
        <v>389</v>
      </c>
      <c r="Q887" s="73">
        <v>288</v>
      </c>
      <c r="R887" s="71" t="s">
        <v>388</v>
      </c>
      <c r="S887" s="73">
        <v>0</v>
      </c>
      <c r="T887" s="71" t="s">
        <v>390</v>
      </c>
      <c r="U887" s="74">
        <v>1</v>
      </c>
      <c r="V887" s="71" t="s">
        <v>391</v>
      </c>
      <c r="W887" s="130">
        <v>46062.675752314812</v>
      </c>
      <c r="X887" s="72">
        <v>46062.041666666664</v>
      </c>
      <c r="Y887" s="72">
        <v>46067.3125</v>
      </c>
      <c r="Z887" s="104" t="s">
        <v>382</v>
      </c>
      <c r="AA887" s="104" t="s">
        <v>383</v>
      </c>
      <c r="AB887" s="105">
        <v>46064.999305555553</v>
      </c>
      <c r="AC887" s="105">
        <v>46065.288194444445</v>
      </c>
    </row>
    <row r="888" s="70" customFormat="1" ht="11.25" customHeight="1">
      <c r="A888" s="87"/>
      <c r="C888" s="43" t="s">
        <v>1812</v>
      </c>
      <c r="D888" s="71" t="s">
        <v>382</v>
      </c>
      <c r="E888" s="71" t="str">
        <f>MID(D888,1,2)</f>
        <v>IL</v>
      </c>
      <c r="F888" s="71" t="s">
        <v>573</v>
      </c>
      <c r="G888" s="71" t="str">
        <f>MID(F888,1,2)</f>
        <v>CH</v>
      </c>
      <c r="H888" s="43" t="s">
        <v>1813</v>
      </c>
      <c r="I888" s="71" t="s">
        <v>1814</v>
      </c>
      <c r="J888" s="71" t="s">
        <v>483</v>
      </c>
      <c r="K888" s="43"/>
      <c r="L888" s="71" t="s">
        <v>105</v>
      </c>
      <c r="M888" s="73">
        <v>206</v>
      </c>
      <c r="N888" s="71" t="s">
        <v>388</v>
      </c>
      <c r="O888" s="73">
        <v>1.726</v>
      </c>
      <c r="P888" s="71" t="s">
        <v>389</v>
      </c>
      <c r="Q888" s="73">
        <v>288</v>
      </c>
      <c r="R888" s="71" t="s">
        <v>388</v>
      </c>
      <c r="S888" s="73">
        <v>0</v>
      </c>
      <c r="T888" s="71" t="s">
        <v>390</v>
      </c>
      <c r="U888" s="74">
        <v>1</v>
      </c>
      <c r="V888" s="71" t="s">
        <v>391</v>
      </c>
      <c r="W888" s="130">
        <v>46062.675752314812</v>
      </c>
      <c r="X888" s="72">
        <v>46062.041666666664</v>
      </c>
      <c r="Y888" s="72">
        <v>46067.3125</v>
      </c>
      <c r="Z888" s="104" t="s">
        <v>383</v>
      </c>
      <c r="AA888" s="104" t="s">
        <v>573</v>
      </c>
      <c r="AB888" s="105">
        <v>46065.979166666664</v>
      </c>
      <c r="AC888" s="105">
        <v>46066.291666666664</v>
      </c>
    </row>
    <row r="889" s="70" customFormat="1" ht="11.25" customHeight="1">
      <c r="A889" s="87"/>
      <c r="C889" s="43" t="s">
        <v>1815</v>
      </c>
      <c r="D889" s="71" t="s">
        <v>382</v>
      </c>
      <c r="E889" s="71" t="str">
        <f>MID(D889,1,2)</f>
        <v>IL</v>
      </c>
      <c r="F889" s="71" t="s">
        <v>1816</v>
      </c>
      <c r="G889" s="71" t="str">
        <f>MID(F889,1,2)</f>
        <v>CL</v>
      </c>
      <c r="H889" s="43" t="s">
        <v>1817</v>
      </c>
      <c r="I889" s="71" t="s">
        <v>1818</v>
      </c>
      <c r="J889" s="71" t="s">
        <v>386</v>
      </c>
      <c r="K889" s="43"/>
      <c r="L889" s="71" t="s">
        <v>107</v>
      </c>
      <c r="M889" s="73">
        <v>41</v>
      </c>
      <c r="N889" s="71" t="s">
        <v>388</v>
      </c>
      <c r="O889" s="73">
        <v>0.139</v>
      </c>
      <c r="P889" s="71" t="s">
        <v>389</v>
      </c>
      <c r="Q889" s="73">
        <v>41</v>
      </c>
      <c r="R889" s="71" t="s">
        <v>388</v>
      </c>
      <c r="S889" s="73">
        <v>0</v>
      </c>
      <c r="T889" s="71" t="s">
        <v>390</v>
      </c>
      <c r="U889" s="74">
        <v>1</v>
      </c>
      <c r="V889" s="71" t="s">
        <v>391</v>
      </c>
      <c r="W889" s="130">
        <v>46061.618055555555</v>
      </c>
      <c r="X889" s="72">
        <v>46066.458333333336</v>
      </c>
      <c r="Y889" s="72">
        <v>46070.510416666664</v>
      </c>
      <c r="Z889" s="104" t="s">
        <v>382</v>
      </c>
      <c r="AA889" s="104" t="s">
        <v>405</v>
      </c>
      <c r="AB889" s="105">
        <v>46066.491666666669</v>
      </c>
      <c r="AC889" s="105">
        <v>46066.68125</v>
      </c>
    </row>
    <row r="890" s="70" customFormat="1" ht="11.25" customHeight="1">
      <c r="A890" s="87"/>
      <c r="C890" s="43" t="s">
        <v>1815</v>
      </c>
      <c r="D890" s="71" t="s">
        <v>382</v>
      </c>
      <c r="E890" s="71" t="str">
        <f>MID(D890,1,2)</f>
        <v>IL</v>
      </c>
      <c r="F890" s="71" t="s">
        <v>1816</v>
      </c>
      <c r="G890" s="71" t="str">
        <f>MID(F890,1,2)</f>
        <v>CL</v>
      </c>
      <c r="H890" s="43" t="s">
        <v>1817</v>
      </c>
      <c r="I890" s="71" t="s">
        <v>1818</v>
      </c>
      <c r="J890" s="71" t="s">
        <v>386</v>
      </c>
      <c r="K890" s="43"/>
      <c r="L890" s="71" t="s">
        <v>107</v>
      </c>
      <c r="M890" s="73">
        <v>41</v>
      </c>
      <c r="N890" s="71" t="s">
        <v>388</v>
      </c>
      <c r="O890" s="73">
        <v>0.139</v>
      </c>
      <c r="P890" s="71" t="s">
        <v>389</v>
      </c>
      <c r="Q890" s="73">
        <v>41</v>
      </c>
      <c r="R890" s="71" t="s">
        <v>388</v>
      </c>
      <c r="S890" s="73">
        <v>0</v>
      </c>
      <c r="T890" s="71" t="s">
        <v>390</v>
      </c>
      <c r="U890" s="74">
        <v>1</v>
      </c>
      <c r="V890" s="71" t="s">
        <v>391</v>
      </c>
      <c r="W890" s="130">
        <v>46061.618055555555</v>
      </c>
      <c r="X890" s="72">
        <v>46066.458333333336</v>
      </c>
      <c r="Y890" s="72">
        <v>46070.510416666664</v>
      </c>
      <c r="Z890" s="104" t="s">
        <v>405</v>
      </c>
      <c r="AA890" s="104" t="s">
        <v>1816</v>
      </c>
      <c r="AB890" s="105">
        <v>46069.991666666669</v>
      </c>
      <c r="AC890" s="105">
        <v>46070.491666666669</v>
      </c>
    </row>
    <row r="891" s="70" customFormat="1" ht="11.25" customHeight="1">
      <c r="A891" s="87"/>
      <c r="C891" s="43" t="s">
        <v>1819</v>
      </c>
      <c r="D891" s="71" t="s">
        <v>382</v>
      </c>
      <c r="E891" s="71" t="str">
        <f>MID(D891,1,2)</f>
        <v>IL</v>
      </c>
      <c r="F891" s="71" t="s">
        <v>1538</v>
      </c>
      <c r="G891" s="71" t="str">
        <f>MID(F891,1,2)</f>
        <v>KR</v>
      </c>
      <c r="H891" s="43" t="s">
        <v>1820</v>
      </c>
      <c r="I891" s="71" t="s">
        <v>1821</v>
      </c>
      <c r="J891" s="71" t="s">
        <v>755</v>
      </c>
      <c r="K891" s="43"/>
      <c r="L891" s="71" t="s">
        <v>105</v>
      </c>
      <c r="M891" s="73">
        <v>109</v>
      </c>
      <c r="N891" s="71" t="s">
        <v>388</v>
      </c>
      <c r="O891" s="73">
        <v>0.749</v>
      </c>
      <c r="P891" s="71" t="s">
        <v>389</v>
      </c>
      <c r="Q891" s="73">
        <v>125</v>
      </c>
      <c r="R891" s="71" t="s">
        <v>388</v>
      </c>
      <c r="S891" s="73">
        <v>0</v>
      </c>
      <c r="T891" s="71" t="s">
        <v>390</v>
      </c>
      <c r="U891" s="74">
        <v>1</v>
      </c>
      <c r="V891" s="71" t="s">
        <v>391</v>
      </c>
      <c r="W891" s="130">
        <v>46061.631944444445</v>
      </c>
      <c r="X891" s="72">
        <v>46062.854166666664</v>
      </c>
      <c r="Y891" s="72">
        <v>46066.288194444445</v>
      </c>
      <c r="Z891" s="104" t="s">
        <v>382</v>
      </c>
      <c r="AA891" s="104" t="s">
        <v>833</v>
      </c>
      <c r="AB891" s="105">
        <v>46063.9</v>
      </c>
      <c r="AC891" s="105">
        <v>46064.563888888886</v>
      </c>
    </row>
    <row r="892" s="70" customFormat="1" ht="11.25" customHeight="1">
      <c r="A892" s="87"/>
      <c r="C892" s="43" t="s">
        <v>1819</v>
      </c>
      <c r="D892" s="71" t="s">
        <v>382</v>
      </c>
      <c r="E892" s="71" t="str">
        <f>MID(D892,1,2)</f>
        <v>IL</v>
      </c>
      <c r="F892" s="71" t="s">
        <v>1538</v>
      </c>
      <c r="G892" s="71" t="str">
        <f>MID(F892,1,2)</f>
        <v>KR</v>
      </c>
      <c r="H892" s="43" t="s">
        <v>1820</v>
      </c>
      <c r="I892" s="71" t="s">
        <v>1821</v>
      </c>
      <c r="J892" s="71" t="s">
        <v>755</v>
      </c>
      <c r="K892" s="43"/>
      <c r="L892" s="71" t="s">
        <v>105</v>
      </c>
      <c r="M892" s="73">
        <v>109</v>
      </c>
      <c r="N892" s="71" t="s">
        <v>388</v>
      </c>
      <c r="O892" s="73">
        <v>0.749</v>
      </c>
      <c r="P892" s="71" t="s">
        <v>389</v>
      </c>
      <c r="Q892" s="73">
        <v>125</v>
      </c>
      <c r="R892" s="71" t="s">
        <v>388</v>
      </c>
      <c r="S892" s="73">
        <v>0</v>
      </c>
      <c r="T892" s="71" t="s">
        <v>390</v>
      </c>
      <c r="U892" s="74">
        <v>1</v>
      </c>
      <c r="V892" s="71" t="s">
        <v>391</v>
      </c>
      <c r="W892" s="130">
        <v>46061.631944444445</v>
      </c>
      <c r="X892" s="72">
        <v>46062.854166666664</v>
      </c>
      <c r="Y892" s="72">
        <v>46066.288194444445</v>
      </c>
      <c r="Z892" s="104" t="s">
        <v>833</v>
      </c>
      <c r="AA892" s="104" t="s">
        <v>1538</v>
      </c>
      <c r="AB892" s="105">
        <v>46066.01666666667</v>
      </c>
      <c r="AC892" s="105">
        <v>46066.309027777781</v>
      </c>
    </row>
    <row r="893" s="70" customFormat="1" ht="11.25" customHeight="1">
      <c r="A893" s="87"/>
      <c r="C893" s="43" t="s">
        <v>1822</v>
      </c>
      <c r="D893" s="71" t="s">
        <v>382</v>
      </c>
      <c r="E893" s="71" t="str">
        <f>MID(D893,1,2)</f>
        <v>IL</v>
      </c>
      <c r="F893" s="71" t="s">
        <v>1823</v>
      </c>
      <c r="G893" s="71" t="str">
        <f>MID(F893,1,2)</f>
        <v>DK</v>
      </c>
      <c r="H893" s="43" t="s">
        <v>1824</v>
      </c>
      <c r="I893" s="71" t="s">
        <v>1825</v>
      </c>
      <c r="J893" s="71" t="s">
        <v>483</v>
      </c>
      <c r="K893" s="43"/>
      <c r="L893" s="71" t="s">
        <v>105</v>
      </c>
      <c r="M893" s="73">
        <v>57</v>
      </c>
      <c r="N893" s="71" t="s">
        <v>388</v>
      </c>
      <c r="O893" s="73">
        <v>0.164</v>
      </c>
      <c r="P893" s="71" t="s">
        <v>389</v>
      </c>
      <c r="Q893" s="73">
        <v>57</v>
      </c>
      <c r="R893" s="71" t="s">
        <v>388</v>
      </c>
      <c r="S893" s="73">
        <v>0</v>
      </c>
      <c r="T893" s="71" t="s">
        <v>390</v>
      </c>
      <c r="U893" s="74">
        <v>1</v>
      </c>
      <c r="V893" s="71" t="s">
        <v>391</v>
      </c>
      <c r="W893" s="130">
        <v>46062.953680555554</v>
      </c>
      <c r="X893" s="72">
        <v>46063.614583333336</v>
      </c>
      <c r="Y893" s="72">
        <v>46066.791666666664</v>
      </c>
      <c r="Z893" s="104" t="s">
        <v>382</v>
      </c>
      <c r="AA893" s="104" t="s">
        <v>383</v>
      </c>
      <c r="AB893" s="105">
        <v>46064.684027777781</v>
      </c>
      <c r="AC893" s="105">
        <v>46064.824305555558</v>
      </c>
    </row>
    <row r="894" s="70" customFormat="1" ht="11.25" customHeight="1">
      <c r="A894" s="87"/>
      <c r="C894" s="43" t="s">
        <v>1822</v>
      </c>
      <c r="D894" s="71" t="s">
        <v>382</v>
      </c>
      <c r="E894" s="71" t="str">
        <f>MID(D894,1,2)</f>
        <v>IL</v>
      </c>
      <c r="F894" s="71" t="s">
        <v>1823</v>
      </c>
      <c r="G894" s="71" t="str">
        <f>MID(F894,1,2)</f>
        <v>DK</v>
      </c>
      <c r="H894" s="43" t="s">
        <v>1824</v>
      </c>
      <c r="I894" s="71" t="s">
        <v>1825</v>
      </c>
      <c r="J894" s="71" t="s">
        <v>483</v>
      </c>
      <c r="K894" s="43"/>
      <c r="L894" s="71" t="s">
        <v>105</v>
      </c>
      <c r="M894" s="73">
        <v>57</v>
      </c>
      <c r="N894" s="71" t="s">
        <v>388</v>
      </c>
      <c r="O894" s="73">
        <v>0.164</v>
      </c>
      <c r="P894" s="71" t="s">
        <v>389</v>
      </c>
      <c r="Q894" s="73">
        <v>57</v>
      </c>
      <c r="R894" s="71" t="s">
        <v>388</v>
      </c>
      <c r="S894" s="73">
        <v>0</v>
      </c>
      <c r="T894" s="71" t="s">
        <v>390</v>
      </c>
      <c r="U894" s="74">
        <v>1</v>
      </c>
      <c r="V894" s="71" t="s">
        <v>391</v>
      </c>
      <c r="W894" s="130">
        <v>46062.953680555554</v>
      </c>
      <c r="X894" s="72">
        <v>46063.614583333336</v>
      </c>
      <c r="Y894" s="72">
        <v>46066.791666666664</v>
      </c>
      <c r="Z894" s="104" t="s">
        <v>383</v>
      </c>
      <c r="AA894" s="104" t="s">
        <v>1823</v>
      </c>
      <c r="AB894" s="105">
        <v>46066.711111111108</v>
      </c>
      <c r="AC894" s="105">
        <v>46066.760416666664</v>
      </c>
    </row>
    <row r="895" s="70" customFormat="1" ht="11.25" customHeight="1">
      <c r="A895" s="87"/>
      <c r="C895" s="43" t="s">
        <v>1826</v>
      </c>
      <c r="D895" s="71" t="s">
        <v>382</v>
      </c>
      <c r="E895" s="71" t="str">
        <f>MID(D895,1,2)</f>
        <v>IL</v>
      </c>
      <c r="F895" s="71" t="s">
        <v>468</v>
      </c>
      <c r="G895" s="71" t="str">
        <f>MID(F895,1,2)</f>
        <v>US</v>
      </c>
      <c r="H895" s="43" t="s">
        <v>1441</v>
      </c>
      <c r="I895" s="71" t="s">
        <v>1827</v>
      </c>
      <c r="J895" s="71" t="s">
        <v>386</v>
      </c>
      <c r="K895" s="43"/>
      <c r="L895" s="71" t="s">
        <v>107</v>
      </c>
      <c r="M895" s="73">
        <v>4</v>
      </c>
      <c r="N895" s="71" t="s">
        <v>388</v>
      </c>
      <c r="O895" s="73">
        <v>0.052</v>
      </c>
      <c r="P895" s="71" t="s">
        <v>389</v>
      </c>
      <c r="Q895" s="73">
        <v>9</v>
      </c>
      <c r="R895" s="71" t="s">
        <v>388</v>
      </c>
      <c r="S895" s="73">
        <v>0</v>
      </c>
      <c r="T895" s="71" t="s">
        <v>390</v>
      </c>
      <c r="U895" s="74">
        <v>1</v>
      </c>
      <c r="V895" s="71" t="s">
        <v>391</v>
      </c>
      <c r="W895" s="130">
        <v>46061.63958333333</v>
      </c>
      <c r="X895" s="72">
        <v>46064.965277777781</v>
      </c>
      <c r="Y895" s="72">
        <v>46065.416666666664</v>
      </c>
      <c r="Z895" s="104" t="s">
        <v>382</v>
      </c>
      <c r="AA895" s="104" t="s">
        <v>422</v>
      </c>
      <c r="AB895" s="105">
        <v>46064.963194444441</v>
      </c>
      <c r="AC895" s="105">
        <v>46065.148611111108</v>
      </c>
    </row>
    <row r="896" s="70" customFormat="1" ht="11.25" customHeight="1">
      <c r="A896" s="87"/>
      <c r="C896" s="43" t="s">
        <v>1826</v>
      </c>
      <c r="D896" s="71" t="s">
        <v>382</v>
      </c>
      <c r="E896" s="71" t="str">
        <f>MID(D896,1,2)</f>
        <v>IL</v>
      </c>
      <c r="F896" s="71" t="s">
        <v>468</v>
      </c>
      <c r="G896" s="71" t="str">
        <f>MID(F896,1,2)</f>
        <v>US</v>
      </c>
      <c r="H896" s="43" t="s">
        <v>1441</v>
      </c>
      <c r="I896" s="71" t="s">
        <v>1827</v>
      </c>
      <c r="J896" s="71" t="s">
        <v>386</v>
      </c>
      <c r="K896" s="43"/>
      <c r="L896" s="71" t="s">
        <v>107</v>
      </c>
      <c r="M896" s="73">
        <v>4</v>
      </c>
      <c r="N896" s="71" t="s">
        <v>388</v>
      </c>
      <c r="O896" s="73">
        <v>0.052</v>
      </c>
      <c r="P896" s="71" t="s">
        <v>389</v>
      </c>
      <c r="Q896" s="73">
        <v>9</v>
      </c>
      <c r="R896" s="71" t="s">
        <v>388</v>
      </c>
      <c r="S896" s="73">
        <v>0</v>
      </c>
      <c r="T896" s="71" t="s">
        <v>390</v>
      </c>
      <c r="U896" s="74">
        <v>1</v>
      </c>
      <c r="V896" s="71" t="s">
        <v>391</v>
      </c>
      <c r="W896" s="130">
        <v>46061.63958333333</v>
      </c>
      <c r="X896" s="72">
        <v>46064.965277777781</v>
      </c>
      <c r="Y896" s="72">
        <v>46065.416666666664</v>
      </c>
      <c r="Z896" s="104" t="s">
        <v>422</v>
      </c>
      <c r="AA896" s="104" t="s">
        <v>468</v>
      </c>
      <c r="AB896" s="105">
        <v>46065.590277777781</v>
      </c>
      <c r="AC896" s="105">
        <v>46065.697222222225</v>
      </c>
    </row>
    <row r="897" s="70" customFormat="1" ht="11.25" customHeight="1">
      <c r="A897" s="87"/>
      <c r="C897" s="43" t="s">
        <v>1828</v>
      </c>
      <c r="D897" s="71" t="s">
        <v>382</v>
      </c>
      <c r="E897" s="71" t="str">
        <f>MID(D897,1,2)</f>
        <v>IL</v>
      </c>
      <c r="F897" s="71" t="s">
        <v>414</v>
      </c>
      <c r="G897" s="71" t="str">
        <f>MID(F897,1,2)</f>
        <v>US</v>
      </c>
      <c r="H897" s="43" t="s">
        <v>1648</v>
      </c>
      <c r="I897" s="71" t="s">
        <v>1829</v>
      </c>
      <c r="J897" s="71" t="s">
        <v>386</v>
      </c>
      <c r="K897" s="43" t="s">
        <v>759</v>
      </c>
      <c r="L897" s="71" t="s">
        <v>107</v>
      </c>
      <c r="M897" s="73">
        <v>40</v>
      </c>
      <c r="N897" s="71" t="s">
        <v>388</v>
      </c>
      <c r="O897" s="73">
        <v>0.248</v>
      </c>
      <c r="P897" s="71" t="s">
        <v>389</v>
      </c>
      <c r="Q897" s="73">
        <v>41.5</v>
      </c>
      <c r="R897" s="71" t="s">
        <v>388</v>
      </c>
      <c r="S897" s="73">
        <v>0</v>
      </c>
      <c r="T897" s="71" t="s">
        <v>390</v>
      </c>
      <c r="U897" s="74">
        <v>2</v>
      </c>
      <c r="V897" s="71" t="s">
        <v>427</v>
      </c>
      <c r="W897" s="130">
        <v>46061.646527777775</v>
      </c>
      <c r="X897" s="72">
        <v>46064.03125</v>
      </c>
      <c r="Y897" s="72">
        <v>46064.239583333336</v>
      </c>
      <c r="Z897" s="104" t="s">
        <v>382</v>
      </c>
      <c r="AA897" s="104" t="s">
        <v>414</v>
      </c>
      <c r="AB897" s="105">
        <v>46064.034722222219</v>
      </c>
      <c r="AC897" s="105">
        <v>46064.222222222219</v>
      </c>
    </row>
    <row r="898" s="70" customFormat="1" ht="11.25" customHeight="1">
      <c r="A898" s="87"/>
      <c r="C898" s="43" t="s">
        <v>1830</v>
      </c>
      <c r="D898" s="71" t="s">
        <v>382</v>
      </c>
      <c r="E898" s="71" t="str">
        <f>MID(D898,1,2)</f>
        <v>IL</v>
      </c>
      <c r="F898" s="71" t="s">
        <v>414</v>
      </c>
      <c r="G898" s="71" t="str">
        <f>MID(F898,1,2)</f>
        <v>US</v>
      </c>
      <c r="H898" s="43" t="s">
        <v>1648</v>
      </c>
      <c r="I898" s="71" t="s">
        <v>1831</v>
      </c>
      <c r="J898" s="71" t="s">
        <v>386</v>
      </c>
      <c r="K898" s="43" t="s">
        <v>759</v>
      </c>
      <c r="L898" s="71" t="s">
        <v>107</v>
      </c>
      <c r="M898" s="73">
        <v>18</v>
      </c>
      <c r="N898" s="71" t="s">
        <v>388</v>
      </c>
      <c r="O898" s="73">
        <v>0.298</v>
      </c>
      <c r="P898" s="71" t="s">
        <v>389</v>
      </c>
      <c r="Q898" s="73">
        <v>50</v>
      </c>
      <c r="R898" s="71" t="s">
        <v>388</v>
      </c>
      <c r="S898" s="73">
        <v>0</v>
      </c>
      <c r="T898" s="71" t="s">
        <v>390</v>
      </c>
      <c r="U898" s="74">
        <v>1</v>
      </c>
      <c r="V898" s="71" t="s">
        <v>427</v>
      </c>
      <c r="W898" s="130">
        <v>46061.652777777781</v>
      </c>
      <c r="X898" s="72">
        <v>46064.03125</v>
      </c>
      <c r="Y898" s="72">
        <v>46064.239583333336</v>
      </c>
      <c r="Z898" s="104" t="s">
        <v>382</v>
      </c>
      <c r="AA898" s="104" t="s">
        <v>414</v>
      </c>
      <c r="AB898" s="105">
        <v>46064.034722222219</v>
      </c>
      <c r="AC898" s="105">
        <v>46064.222222222219</v>
      </c>
    </row>
    <row r="899" s="70" customFormat="1" ht="11.25" customHeight="1">
      <c r="A899" s="87"/>
      <c r="C899" s="43" t="s">
        <v>1832</v>
      </c>
      <c r="D899" s="71" t="s">
        <v>382</v>
      </c>
      <c r="E899" s="71" t="str">
        <f>MID(D899,1,2)</f>
        <v>IL</v>
      </c>
      <c r="F899" s="71" t="s">
        <v>573</v>
      </c>
      <c r="G899" s="71" t="str">
        <f>MID(F899,1,2)</f>
        <v>CH</v>
      </c>
      <c r="H899" s="43" t="s">
        <v>1813</v>
      </c>
      <c r="I899" s="71" t="s">
        <v>1833</v>
      </c>
      <c r="J899" s="71" t="s">
        <v>483</v>
      </c>
      <c r="K899" s="43"/>
      <c r="L899" s="71" t="s">
        <v>105</v>
      </c>
      <c r="M899" s="73">
        <v>68</v>
      </c>
      <c r="N899" s="71" t="s">
        <v>388</v>
      </c>
      <c r="O899" s="73">
        <v>0.768</v>
      </c>
      <c r="P899" s="71" t="s">
        <v>389</v>
      </c>
      <c r="Q899" s="73">
        <v>128</v>
      </c>
      <c r="R899" s="71" t="s">
        <v>388</v>
      </c>
      <c r="S899" s="73">
        <v>0</v>
      </c>
      <c r="T899" s="71" t="s">
        <v>390</v>
      </c>
      <c r="U899" s="74">
        <v>1</v>
      </c>
      <c r="V899" s="71" t="s">
        <v>391</v>
      </c>
      <c r="W899" s="130">
        <v>46062.675752314812</v>
      </c>
      <c r="X899" s="72">
        <v>46063.576388888891</v>
      </c>
      <c r="Y899" s="72">
        <v>46067.3125</v>
      </c>
      <c r="Z899" s="104" t="s">
        <v>382</v>
      </c>
      <c r="AA899" s="104" t="s">
        <v>383</v>
      </c>
      <c r="AB899" s="105">
        <v>46064.999305555553</v>
      </c>
      <c r="AC899" s="105">
        <v>46065.288194444445</v>
      </c>
    </row>
    <row r="900" s="70" customFormat="1" ht="11.25" customHeight="1">
      <c r="A900" s="87"/>
      <c r="C900" s="43" t="s">
        <v>1832</v>
      </c>
      <c r="D900" s="71" t="s">
        <v>382</v>
      </c>
      <c r="E900" s="71" t="str">
        <f>MID(D900,1,2)</f>
        <v>IL</v>
      </c>
      <c r="F900" s="71" t="s">
        <v>573</v>
      </c>
      <c r="G900" s="71" t="str">
        <f>MID(F900,1,2)</f>
        <v>CH</v>
      </c>
      <c r="H900" s="43" t="s">
        <v>1813</v>
      </c>
      <c r="I900" s="71" t="s">
        <v>1833</v>
      </c>
      <c r="J900" s="71" t="s">
        <v>483</v>
      </c>
      <c r="K900" s="43"/>
      <c r="L900" s="71" t="s">
        <v>105</v>
      </c>
      <c r="M900" s="73">
        <v>68</v>
      </c>
      <c r="N900" s="71" t="s">
        <v>388</v>
      </c>
      <c r="O900" s="73">
        <v>0.768</v>
      </c>
      <c r="P900" s="71" t="s">
        <v>389</v>
      </c>
      <c r="Q900" s="73">
        <v>128</v>
      </c>
      <c r="R900" s="71" t="s">
        <v>388</v>
      </c>
      <c r="S900" s="73">
        <v>0</v>
      </c>
      <c r="T900" s="71" t="s">
        <v>390</v>
      </c>
      <c r="U900" s="74">
        <v>1</v>
      </c>
      <c r="V900" s="71" t="s">
        <v>391</v>
      </c>
      <c r="W900" s="130">
        <v>46062.675752314812</v>
      </c>
      <c r="X900" s="72">
        <v>46063.576388888891</v>
      </c>
      <c r="Y900" s="72">
        <v>46067.3125</v>
      </c>
      <c r="Z900" s="104" t="s">
        <v>383</v>
      </c>
      <c r="AA900" s="104" t="s">
        <v>573</v>
      </c>
      <c r="AB900" s="105">
        <v>46065.979166666664</v>
      </c>
      <c r="AC900" s="105">
        <v>46066.291666666664</v>
      </c>
    </row>
    <row r="901" s="70" customFormat="1" ht="11.25" customHeight="1">
      <c r="A901" s="87"/>
      <c r="C901" s="43" t="s">
        <v>1834</v>
      </c>
      <c r="D901" s="71" t="s">
        <v>382</v>
      </c>
      <c r="E901" s="71" t="str">
        <f>MID(D901,1,2)</f>
        <v>IL</v>
      </c>
      <c r="F901" s="71" t="s">
        <v>809</v>
      </c>
      <c r="G901" s="71" t="str">
        <f>MID(F901,1,2)</f>
        <v>IN</v>
      </c>
      <c r="H901" s="43" t="s">
        <v>1835</v>
      </c>
      <c r="I901" s="71" t="s">
        <v>1836</v>
      </c>
      <c r="J901" s="71" t="s">
        <v>400</v>
      </c>
      <c r="K901" s="43"/>
      <c r="L901" s="71" t="s">
        <v>105</v>
      </c>
      <c r="M901" s="73">
        <v>99</v>
      </c>
      <c r="N901" s="71" t="s">
        <v>388</v>
      </c>
      <c r="O901" s="73">
        <v>1.104</v>
      </c>
      <c r="P901" s="71" t="s">
        <v>389</v>
      </c>
      <c r="Q901" s="73">
        <v>184</v>
      </c>
      <c r="R901" s="71" t="s">
        <v>388</v>
      </c>
      <c r="S901" s="73">
        <v>0</v>
      </c>
      <c r="T901" s="71" t="s">
        <v>390</v>
      </c>
      <c r="U901" s="74">
        <v>1</v>
      </c>
      <c r="V901" s="71" t="s">
        <v>391</v>
      </c>
      <c r="W901" s="130">
        <v>46062.89167824074</v>
      </c>
      <c r="X901" s="72">
        <v>46063.676388888889</v>
      </c>
      <c r="Y901" s="72">
        <v>46067.815972222219</v>
      </c>
      <c r="Z901" s="104" t="s">
        <v>382</v>
      </c>
      <c r="AA901" s="104" t="s">
        <v>817</v>
      </c>
      <c r="AB901" s="105">
        <v>46065.507638888892</v>
      </c>
      <c r="AC901" s="105">
        <v>46065.885416666664</v>
      </c>
    </row>
    <row r="902" s="70" customFormat="1" ht="11.25" customHeight="1">
      <c r="A902" s="87"/>
      <c r="C902" s="43" t="s">
        <v>1834</v>
      </c>
      <c r="D902" s="71" t="s">
        <v>382</v>
      </c>
      <c r="E902" s="71" t="str">
        <f>MID(D902,1,2)</f>
        <v>IL</v>
      </c>
      <c r="F902" s="71" t="s">
        <v>809</v>
      </c>
      <c r="G902" s="71" t="str">
        <f>MID(F902,1,2)</f>
        <v>IN</v>
      </c>
      <c r="H902" s="43" t="s">
        <v>1835</v>
      </c>
      <c r="I902" s="71" t="s">
        <v>1836</v>
      </c>
      <c r="J902" s="71" t="s">
        <v>400</v>
      </c>
      <c r="K902" s="43"/>
      <c r="L902" s="71" t="s">
        <v>105</v>
      </c>
      <c r="M902" s="73">
        <v>99</v>
      </c>
      <c r="N902" s="71" t="s">
        <v>388</v>
      </c>
      <c r="O902" s="73">
        <v>1.104</v>
      </c>
      <c r="P902" s="71" t="s">
        <v>389</v>
      </c>
      <c r="Q902" s="73">
        <v>184</v>
      </c>
      <c r="R902" s="71" t="s">
        <v>388</v>
      </c>
      <c r="S902" s="73">
        <v>0</v>
      </c>
      <c r="T902" s="71" t="s">
        <v>390</v>
      </c>
      <c r="U902" s="74">
        <v>1</v>
      </c>
      <c r="V902" s="71" t="s">
        <v>391</v>
      </c>
      <c r="W902" s="130">
        <v>46062.89167824074</v>
      </c>
      <c r="X902" s="72">
        <v>46063.676388888889</v>
      </c>
      <c r="Y902" s="72">
        <v>46067.815972222219</v>
      </c>
      <c r="Z902" s="104" t="s">
        <v>817</v>
      </c>
      <c r="AA902" s="104" t="s">
        <v>809</v>
      </c>
      <c r="AB902" s="105">
        <v>46066.96875</v>
      </c>
      <c r="AC902" s="105">
        <v>46067.048611111109</v>
      </c>
    </row>
    <row r="903" s="70" customFormat="1" ht="11.25" customHeight="1">
      <c r="A903" s="87"/>
      <c r="C903" s="43" t="s">
        <v>1837</v>
      </c>
      <c r="D903" s="71" t="s">
        <v>382</v>
      </c>
      <c r="E903" s="71" t="str">
        <f>MID(D903,1,2)</f>
        <v>IL</v>
      </c>
      <c r="F903" s="71" t="s">
        <v>667</v>
      </c>
      <c r="G903" s="71" t="str">
        <f>MID(F903,1,2)</f>
        <v>DE</v>
      </c>
      <c r="H903" s="43" t="s">
        <v>1693</v>
      </c>
      <c r="I903" s="71" t="s">
        <v>1838</v>
      </c>
      <c r="J903" s="71" t="s">
        <v>400</v>
      </c>
      <c r="K903" s="43"/>
      <c r="L903" s="71" t="s">
        <v>105</v>
      </c>
      <c r="M903" s="73">
        <v>52</v>
      </c>
      <c r="N903" s="71" t="s">
        <v>388</v>
      </c>
      <c r="O903" s="73">
        <v>0.344</v>
      </c>
      <c r="P903" s="71" t="s">
        <v>389</v>
      </c>
      <c r="Q903" s="73">
        <v>57.5</v>
      </c>
      <c r="R903" s="71" t="s">
        <v>388</v>
      </c>
      <c r="S903" s="73">
        <v>0</v>
      </c>
      <c r="T903" s="71" t="s">
        <v>390</v>
      </c>
      <c r="U903" s="74">
        <v>1</v>
      </c>
      <c r="V903" s="71" t="s">
        <v>391</v>
      </c>
      <c r="W903" s="130"/>
      <c r="X903" s="72">
        <v>46064.034722222219</v>
      </c>
      <c r="Y903" s="72">
        <v>46064.225694444445</v>
      </c>
      <c r="Z903" s="104" t="s">
        <v>382</v>
      </c>
      <c r="AA903" s="104" t="s">
        <v>667</v>
      </c>
      <c r="AB903" s="105">
        <v>46064.029166666667</v>
      </c>
      <c r="AC903" s="105">
        <v>46064.217361111114</v>
      </c>
    </row>
    <row r="904" s="70" customFormat="1" ht="11.25" customHeight="1">
      <c r="A904" s="87"/>
      <c r="C904" s="43" t="s">
        <v>1839</v>
      </c>
      <c r="D904" s="71" t="s">
        <v>382</v>
      </c>
      <c r="E904" s="71" t="str">
        <f>MID(D904,1,2)</f>
        <v>IL</v>
      </c>
      <c r="F904" s="71" t="s">
        <v>514</v>
      </c>
      <c r="G904" s="71" t="str">
        <f>MID(F904,1,2)</f>
        <v>US</v>
      </c>
      <c r="H904" s="43" t="s">
        <v>1840</v>
      </c>
      <c r="I904" s="71" t="s">
        <v>1841</v>
      </c>
      <c r="J904" s="71" t="s">
        <v>755</v>
      </c>
      <c r="K904" s="43"/>
      <c r="L904" s="71" t="s">
        <v>105</v>
      </c>
      <c r="M904" s="73">
        <v>627</v>
      </c>
      <c r="N904" s="71" t="s">
        <v>388</v>
      </c>
      <c r="O904" s="73">
        <v>13.541</v>
      </c>
      <c r="P904" s="71" t="s">
        <v>389</v>
      </c>
      <c r="Q904" s="73">
        <v>2500</v>
      </c>
      <c r="R904" s="71" t="s">
        <v>388</v>
      </c>
      <c r="S904" s="73">
        <v>0</v>
      </c>
      <c r="T904" s="71" t="s">
        <v>390</v>
      </c>
      <c r="U904" s="74">
        <v>3</v>
      </c>
      <c r="V904" s="71" t="s">
        <v>391</v>
      </c>
      <c r="W904" s="130">
        <v>46062.604861111111</v>
      </c>
      <c r="X904" s="72">
        <v>46066.498611111114</v>
      </c>
      <c r="Y904" s="72">
        <v>46073.583333333336</v>
      </c>
      <c r="Z904" s="104" t="s">
        <v>382</v>
      </c>
      <c r="AA904" s="104" t="s">
        <v>414</v>
      </c>
      <c r="AB904" s="105">
        <v>46067.01875</v>
      </c>
      <c r="AC904" s="105">
        <v>46067.205555555556</v>
      </c>
    </row>
    <row r="905" s="70" customFormat="1" ht="11.25" customHeight="1">
      <c r="A905" s="87"/>
      <c r="C905" s="43" t="s">
        <v>1839</v>
      </c>
      <c r="D905" s="71" t="s">
        <v>382</v>
      </c>
      <c r="E905" s="71" t="str">
        <f>MID(D905,1,2)</f>
        <v>IL</v>
      </c>
      <c r="F905" s="71" t="s">
        <v>514</v>
      </c>
      <c r="G905" s="71" t="str">
        <f>MID(F905,1,2)</f>
        <v>US</v>
      </c>
      <c r="H905" s="43" t="s">
        <v>1840</v>
      </c>
      <c r="I905" s="71" t="s">
        <v>1841</v>
      </c>
      <c r="J905" s="71" t="s">
        <v>755</v>
      </c>
      <c r="K905" s="43"/>
      <c r="L905" s="71" t="s">
        <v>105</v>
      </c>
      <c r="M905" s="73">
        <v>627</v>
      </c>
      <c r="N905" s="71" t="s">
        <v>388</v>
      </c>
      <c r="O905" s="73">
        <v>13.541</v>
      </c>
      <c r="P905" s="71" t="s">
        <v>389</v>
      </c>
      <c r="Q905" s="73">
        <v>2500</v>
      </c>
      <c r="R905" s="71" t="s">
        <v>388</v>
      </c>
      <c r="S905" s="73">
        <v>0</v>
      </c>
      <c r="T905" s="71" t="s">
        <v>390</v>
      </c>
      <c r="U905" s="74">
        <v>3</v>
      </c>
      <c r="V905" s="71" t="s">
        <v>391</v>
      </c>
      <c r="W905" s="130">
        <v>46062.604861111111</v>
      </c>
      <c r="X905" s="72">
        <v>46066.498611111114</v>
      </c>
      <c r="Y905" s="72">
        <v>46073.583333333336</v>
      </c>
      <c r="Z905" s="104" t="s">
        <v>414</v>
      </c>
      <c r="AA905" s="104" t="s">
        <v>514</v>
      </c>
      <c r="AB905" s="105">
        <v>46069.815972222219</v>
      </c>
      <c r="AC905" s="105">
        <v>46073.384722222225</v>
      </c>
    </row>
    <row r="906" s="70" customFormat="1" ht="11.25" customHeight="1">
      <c r="A906" s="87"/>
      <c r="C906" s="43" t="s">
        <v>1842</v>
      </c>
      <c r="D906" s="71" t="s">
        <v>382</v>
      </c>
      <c r="E906" s="71" t="str">
        <f>MID(D906,1,2)</f>
        <v>IL</v>
      </c>
      <c r="F906" s="71" t="s">
        <v>496</v>
      </c>
      <c r="G906" s="71" t="str">
        <f>MID(F906,1,2)</f>
        <v>RO</v>
      </c>
      <c r="H906" s="43" t="s">
        <v>1843</v>
      </c>
      <c r="I906" s="71" t="s">
        <v>1844</v>
      </c>
      <c r="J906" s="71" t="s">
        <v>400</v>
      </c>
      <c r="K906" s="43"/>
      <c r="L906" s="71" t="s">
        <v>105</v>
      </c>
      <c r="M906" s="73">
        <v>1</v>
      </c>
      <c r="N906" s="71" t="s">
        <v>388</v>
      </c>
      <c r="O906" s="73">
        <v>0.007</v>
      </c>
      <c r="P906" s="71" t="s">
        <v>389</v>
      </c>
      <c r="Q906" s="73">
        <v>1.5</v>
      </c>
      <c r="R906" s="71" t="s">
        <v>388</v>
      </c>
      <c r="S906" s="73">
        <v>0</v>
      </c>
      <c r="T906" s="71" t="s">
        <v>390</v>
      </c>
      <c r="U906" s="74">
        <v>1</v>
      </c>
      <c r="V906" s="71" t="s">
        <v>391</v>
      </c>
      <c r="W906" s="130">
        <v>46062.878645833334</v>
      </c>
      <c r="X906" s="72">
        <v>46064.013888888891</v>
      </c>
      <c r="Y906" s="72">
        <v>46064.128472222219</v>
      </c>
      <c r="Z906" s="104" t="s">
        <v>382</v>
      </c>
      <c r="AA906" s="104" t="s">
        <v>496</v>
      </c>
      <c r="AB906" s="105">
        <v>46064.013888888891</v>
      </c>
      <c r="AC906" s="105">
        <v>46064.145833333336</v>
      </c>
    </row>
    <row r="907" s="70" customFormat="1" ht="11.25" customHeight="1">
      <c r="A907" s="87"/>
      <c r="C907" s="43" t="s">
        <v>1845</v>
      </c>
      <c r="D907" s="71" t="s">
        <v>382</v>
      </c>
      <c r="E907" s="71" t="str">
        <f>MID(D907,1,2)</f>
        <v>IL</v>
      </c>
      <c r="F907" s="71" t="s">
        <v>496</v>
      </c>
      <c r="G907" s="71" t="str">
        <f>MID(F907,1,2)</f>
        <v>RO</v>
      </c>
      <c r="H907" s="43" t="s">
        <v>1843</v>
      </c>
      <c r="I907" s="71" t="s">
        <v>1846</v>
      </c>
      <c r="J907" s="71" t="s">
        <v>400</v>
      </c>
      <c r="K907" s="43"/>
      <c r="L907" s="71" t="s">
        <v>105</v>
      </c>
      <c r="M907" s="73">
        <v>25</v>
      </c>
      <c r="N907" s="71" t="s">
        <v>388</v>
      </c>
      <c r="O907" s="73">
        <v>0.283</v>
      </c>
      <c r="P907" s="71" t="s">
        <v>389</v>
      </c>
      <c r="Q907" s="73">
        <v>47.5</v>
      </c>
      <c r="R907" s="71" t="s">
        <v>388</v>
      </c>
      <c r="S907" s="73">
        <v>0</v>
      </c>
      <c r="T907" s="71" t="s">
        <v>390</v>
      </c>
      <c r="U907" s="74">
        <v>1</v>
      </c>
      <c r="V907" s="71" t="s">
        <v>391</v>
      </c>
      <c r="W907" s="130">
        <v>46062.375</v>
      </c>
      <c r="X907" s="72">
        <v>46064.013888888891</v>
      </c>
      <c r="Y907" s="72">
        <v>46064.131944444445</v>
      </c>
      <c r="Z907" s="104" t="s">
        <v>382</v>
      </c>
      <c r="AA907" s="104" t="s">
        <v>496</v>
      </c>
      <c r="AB907" s="105">
        <v>46064.013888888891</v>
      </c>
      <c r="AC907" s="105">
        <v>46064.145833333336</v>
      </c>
    </row>
    <row r="908" s="70" customFormat="1" ht="11.25" customHeight="1">
      <c r="A908" s="87"/>
      <c r="C908" s="43" t="s">
        <v>1847</v>
      </c>
      <c r="D908" s="71" t="s">
        <v>382</v>
      </c>
      <c r="E908" s="71" t="str">
        <f>MID(D908,1,2)</f>
        <v>IL</v>
      </c>
      <c r="F908" s="71" t="s">
        <v>414</v>
      </c>
      <c r="G908" s="71" t="str">
        <f>MID(F908,1,2)</f>
        <v>US</v>
      </c>
      <c r="H908" s="43" t="s">
        <v>1648</v>
      </c>
      <c r="I908" s="71" t="s">
        <v>1848</v>
      </c>
      <c r="J908" s="71" t="s">
        <v>426</v>
      </c>
      <c r="K908" s="43" t="s">
        <v>759</v>
      </c>
      <c r="L908" s="71" t="s">
        <v>105</v>
      </c>
      <c r="M908" s="73">
        <v>2</v>
      </c>
      <c r="N908" s="71" t="s">
        <v>388</v>
      </c>
      <c r="O908" s="73">
        <v>0.011</v>
      </c>
      <c r="P908" s="71" t="s">
        <v>389</v>
      </c>
      <c r="Q908" s="73">
        <v>2</v>
      </c>
      <c r="R908" s="71" t="s">
        <v>388</v>
      </c>
      <c r="S908" s="73">
        <v>0</v>
      </c>
      <c r="T908" s="71" t="s">
        <v>390</v>
      </c>
      <c r="U908" s="74">
        <v>1</v>
      </c>
      <c r="V908" s="71" t="s">
        <v>427</v>
      </c>
      <c r="W908" s="130">
        <v>46062.361805555556</v>
      </c>
      <c r="X908" s="72">
        <v>46064.03125</v>
      </c>
      <c r="Y908" s="72">
        <v>46064.239583333336</v>
      </c>
      <c r="Z908" s="104" t="s">
        <v>382</v>
      </c>
      <c r="AA908" s="104" t="s">
        <v>414</v>
      </c>
      <c r="AB908" s="105">
        <v>46064.034722222219</v>
      </c>
      <c r="AC908" s="105">
        <v>46064.222222222219</v>
      </c>
    </row>
    <row r="909" s="70" customFormat="1" ht="11.25" customHeight="1">
      <c r="A909" s="87"/>
      <c r="C909" s="43" t="s">
        <v>1849</v>
      </c>
      <c r="D909" s="71" t="s">
        <v>382</v>
      </c>
      <c r="E909" s="71" t="str">
        <f>MID(D909,1,2)</f>
        <v>IL</v>
      </c>
      <c r="F909" s="71" t="s">
        <v>629</v>
      </c>
      <c r="G909" s="71" t="str">
        <f>MID(F909,1,2)</f>
        <v>HR</v>
      </c>
      <c r="H909" s="43" t="s">
        <v>1850</v>
      </c>
      <c r="I909" s="71" t="s">
        <v>1851</v>
      </c>
      <c r="J909" s="71" t="s">
        <v>811</v>
      </c>
      <c r="K909" s="43"/>
      <c r="L909" s="71" t="s">
        <v>105</v>
      </c>
      <c r="M909" s="73">
        <v>267</v>
      </c>
      <c r="N909" s="71" t="s">
        <v>388</v>
      </c>
      <c r="O909" s="73">
        <v>1.382</v>
      </c>
      <c r="P909" s="71" t="s">
        <v>389</v>
      </c>
      <c r="Q909" s="73">
        <v>267</v>
      </c>
      <c r="R909" s="71" t="s">
        <v>388</v>
      </c>
      <c r="S909" s="73">
        <v>0</v>
      </c>
      <c r="T909" s="71" t="s">
        <v>390</v>
      </c>
      <c r="U909" s="74">
        <v>2</v>
      </c>
      <c r="V909" s="71" t="s">
        <v>391</v>
      </c>
      <c r="W909" s="130">
        <v>46062.752118055556</v>
      </c>
      <c r="X909" s="72">
        <v>46063.576388888891</v>
      </c>
      <c r="Y909" s="72">
        <v>46066.354166666664</v>
      </c>
      <c r="Z909" s="104" t="s">
        <v>382</v>
      </c>
      <c r="AA909" s="104" t="s">
        <v>383</v>
      </c>
      <c r="AB909" s="105">
        <v>46063.593055555553</v>
      </c>
      <c r="AC909" s="105">
        <v>46063.7375</v>
      </c>
    </row>
    <row r="910" s="70" customFormat="1" ht="11.25" customHeight="1">
      <c r="A910" s="87"/>
      <c r="C910" s="43" t="s">
        <v>1849</v>
      </c>
      <c r="D910" s="71" t="s">
        <v>382</v>
      </c>
      <c r="E910" s="71" t="str">
        <f>MID(D910,1,2)</f>
        <v>IL</v>
      </c>
      <c r="F910" s="71" t="s">
        <v>629</v>
      </c>
      <c r="G910" s="71" t="str">
        <f>MID(F910,1,2)</f>
        <v>HR</v>
      </c>
      <c r="H910" s="43" t="s">
        <v>1850</v>
      </c>
      <c r="I910" s="71" t="s">
        <v>1851</v>
      </c>
      <c r="J910" s="71" t="s">
        <v>811</v>
      </c>
      <c r="K910" s="43"/>
      <c r="L910" s="71" t="s">
        <v>105</v>
      </c>
      <c r="M910" s="73">
        <v>267</v>
      </c>
      <c r="N910" s="71" t="s">
        <v>388</v>
      </c>
      <c r="O910" s="73">
        <v>1.382</v>
      </c>
      <c r="P910" s="71" t="s">
        <v>389</v>
      </c>
      <c r="Q910" s="73">
        <v>267</v>
      </c>
      <c r="R910" s="71" t="s">
        <v>388</v>
      </c>
      <c r="S910" s="73">
        <v>0</v>
      </c>
      <c r="T910" s="71" t="s">
        <v>390</v>
      </c>
      <c r="U910" s="74">
        <v>2</v>
      </c>
      <c r="V910" s="71" t="s">
        <v>391</v>
      </c>
      <c r="W910" s="130">
        <v>46062.752118055556</v>
      </c>
      <c r="X910" s="72">
        <v>46063.576388888891</v>
      </c>
      <c r="Y910" s="72">
        <v>46066.354166666664</v>
      </c>
      <c r="Z910" s="104" t="s">
        <v>383</v>
      </c>
      <c r="AA910" s="104" t="s">
        <v>629</v>
      </c>
      <c r="AB910" s="105">
        <v>46065.0625</v>
      </c>
      <c r="AC910" s="105">
        <v>46066.331944444442</v>
      </c>
    </row>
    <row r="911" s="70" customFormat="1" ht="11.25" customHeight="1">
      <c r="A911" s="87"/>
      <c r="C911" s="43" t="s">
        <v>1852</v>
      </c>
      <c r="D911" s="71" t="s">
        <v>382</v>
      </c>
      <c r="E911" s="71" t="str">
        <f>MID(D911,1,2)</f>
        <v>IL</v>
      </c>
      <c r="F911" s="71" t="s">
        <v>414</v>
      </c>
      <c r="G911" s="71" t="str">
        <f>MID(F911,1,2)</f>
        <v>US</v>
      </c>
      <c r="H911" s="43" t="s">
        <v>1648</v>
      </c>
      <c r="I911" s="71" t="s">
        <v>1853</v>
      </c>
      <c r="J911" s="71" t="s">
        <v>426</v>
      </c>
      <c r="K911" s="43" t="s">
        <v>759</v>
      </c>
      <c r="L911" s="71" t="s">
        <v>105</v>
      </c>
      <c r="M911" s="73">
        <v>26</v>
      </c>
      <c r="N911" s="71" t="s">
        <v>388</v>
      </c>
      <c r="O911" s="73">
        <v>0.145</v>
      </c>
      <c r="P911" s="71" t="s">
        <v>389</v>
      </c>
      <c r="Q911" s="73">
        <v>26</v>
      </c>
      <c r="R911" s="71" t="s">
        <v>388</v>
      </c>
      <c r="S911" s="73">
        <v>0</v>
      </c>
      <c r="T911" s="71" t="s">
        <v>390</v>
      </c>
      <c r="U911" s="74">
        <v>1</v>
      </c>
      <c r="V911" s="71" t="s">
        <v>427</v>
      </c>
      <c r="W911" s="130">
        <v>46062.36875</v>
      </c>
      <c r="X911" s="72">
        <v>46064.03125</v>
      </c>
      <c r="Y911" s="72">
        <v>46064.239583333336</v>
      </c>
      <c r="Z911" s="104" t="s">
        <v>382</v>
      </c>
      <c r="AA911" s="104" t="s">
        <v>414</v>
      </c>
      <c r="AB911" s="105">
        <v>46064.034722222219</v>
      </c>
      <c r="AC911" s="105">
        <v>46064.222222222219</v>
      </c>
    </row>
    <row r="912" s="70" customFormat="1" ht="11.25" customHeight="1">
      <c r="A912" s="87"/>
      <c r="C912" s="43" t="s">
        <v>1854</v>
      </c>
      <c r="D912" s="71" t="s">
        <v>382</v>
      </c>
      <c r="E912" s="71" t="str">
        <f>MID(D912,1,2)</f>
        <v>IL</v>
      </c>
      <c r="F912" s="71" t="s">
        <v>978</v>
      </c>
      <c r="G912" s="71" t="str">
        <f>MID(F912,1,2)</f>
        <v>PL</v>
      </c>
      <c r="H912" s="43" t="s">
        <v>1855</v>
      </c>
      <c r="I912" s="71" t="s">
        <v>1856</v>
      </c>
      <c r="J912" s="71" t="s">
        <v>811</v>
      </c>
      <c r="K912" s="43"/>
      <c r="L912" s="71" t="s">
        <v>105</v>
      </c>
      <c r="M912" s="73">
        <v>60</v>
      </c>
      <c r="N912" s="71" t="s">
        <v>388</v>
      </c>
      <c r="O912" s="73">
        <v>0.256</v>
      </c>
      <c r="P912" s="71" t="s">
        <v>389</v>
      </c>
      <c r="Q912" s="73">
        <v>100</v>
      </c>
      <c r="R912" s="71" t="s">
        <v>388</v>
      </c>
      <c r="S912" s="73">
        <v>0</v>
      </c>
      <c r="T912" s="71" t="s">
        <v>390</v>
      </c>
      <c r="U912" s="74">
        <v>5</v>
      </c>
      <c r="V912" s="71" t="s">
        <v>391</v>
      </c>
      <c r="W912" s="130">
        <v>46062.625</v>
      </c>
      <c r="X912" s="72">
        <v>46063.364583333336</v>
      </c>
      <c r="Y912" s="72">
        <v>46063.847222222219</v>
      </c>
      <c r="Z912" s="104" t="s">
        <v>382</v>
      </c>
      <c r="AA912" s="104" t="s">
        <v>978</v>
      </c>
      <c r="AB912" s="105">
        <v>46063.714583333334</v>
      </c>
      <c r="AC912" s="105">
        <v>46063.831944444442</v>
      </c>
    </row>
    <row r="913" s="70" customFormat="1" ht="11.25" customHeight="1">
      <c r="A913" s="87"/>
      <c r="C913" s="43" t="s">
        <v>1857</v>
      </c>
      <c r="D913" s="71" t="s">
        <v>382</v>
      </c>
      <c r="E913" s="71" t="str">
        <f>MID(D913,1,2)</f>
        <v>IL</v>
      </c>
      <c r="F913" s="71" t="s">
        <v>963</v>
      </c>
      <c r="G913" s="71" t="str">
        <f>MID(F913,1,2)</f>
        <v>IN</v>
      </c>
      <c r="H913" s="43" t="s">
        <v>1858</v>
      </c>
      <c r="I913" s="71" t="s">
        <v>1859</v>
      </c>
      <c r="J913" s="71" t="s">
        <v>426</v>
      </c>
      <c r="K913" s="43"/>
      <c r="L913" s="71" t="s">
        <v>105</v>
      </c>
      <c r="M913" s="73">
        <v>84</v>
      </c>
      <c r="N913" s="71" t="s">
        <v>388</v>
      </c>
      <c r="O913" s="73">
        <v>0.775</v>
      </c>
      <c r="P913" s="71" t="s">
        <v>389</v>
      </c>
      <c r="Q913" s="73">
        <v>129.5</v>
      </c>
      <c r="R913" s="71" t="s">
        <v>388</v>
      </c>
      <c r="S913" s="73">
        <v>0</v>
      </c>
      <c r="T913" s="71" t="s">
        <v>390</v>
      </c>
      <c r="U913" s="74">
        <v>1</v>
      </c>
      <c r="V913" s="71" t="s">
        <v>391</v>
      </c>
      <c r="W913" s="130">
        <v>46062.934201388889</v>
      </c>
      <c r="X913" s="72">
        <v>46065.895833333336</v>
      </c>
      <c r="Y913" s="72">
        <v>46069.003472222219</v>
      </c>
      <c r="Z913" s="104" t="s">
        <v>382</v>
      </c>
      <c r="AA913" s="104" t="s">
        <v>833</v>
      </c>
      <c r="AB913" s="105">
        <v>46065.906944444447</v>
      </c>
      <c r="AC913" s="105">
        <v>46066.569444444445</v>
      </c>
    </row>
    <row r="914" s="70" customFormat="1" ht="11.25" customHeight="1">
      <c r="A914" s="87"/>
      <c r="C914" s="43" t="s">
        <v>1857</v>
      </c>
      <c r="D914" s="71" t="s">
        <v>382</v>
      </c>
      <c r="E914" s="71" t="str">
        <f>MID(D914,1,2)</f>
        <v>IL</v>
      </c>
      <c r="F914" s="71" t="s">
        <v>963</v>
      </c>
      <c r="G914" s="71" t="str">
        <f>MID(F914,1,2)</f>
        <v>IN</v>
      </c>
      <c r="H914" s="43" t="s">
        <v>1858</v>
      </c>
      <c r="I914" s="71" t="s">
        <v>1859</v>
      </c>
      <c r="J914" s="71" t="s">
        <v>426</v>
      </c>
      <c r="K914" s="43"/>
      <c r="L914" s="71" t="s">
        <v>105</v>
      </c>
      <c r="M914" s="73">
        <v>84</v>
      </c>
      <c r="N914" s="71" t="s">
        <v>388</v>
      </c>
      <c r="O914" s="73">
        <v>0.775</v>
      </c>
      <c r="P914" s="71" t="s">
        <v>389</v>
      </c>
      <c r="Q914" s="73">
        <v>129.5</v>
      </c>
      <c r="R914" s="71" t="s">
        <v>388</v>
      </c>
      <c r="S914" s="73">
        <v>0</v>
      </c>
      <c r="T914" s="71" t="s">
        <v>390</v>
      </c>
      <c r="U914" s="74">
        <v>1</v>
      </c>
      <c r="V914" s="71" t="s">
        <v>391</v>
      </c>
      <c r="W914" s="130">
        <v>46062.934201388889</v>
      </c>
      <c r="X914" s="72">
        <v>46065.895833333336</v>
      </c>
      <c r="Y914" s="72">
        <v>46069.003472222219</v>
      </c>
      <c r="Z914" s="104" t="s">
        <v>833</v>
      </c>
      <c r="AA914" s="104" t="s">
        <v>963</v>
      </c>
      <c r="AB914" s="105">
        <v>46068.913888888892</v>
      </c>
      <c r="AC914" s="105">
        <v>46069.158333333333</v>
      </c>
    </row>
    <row r="915" s="70" customFormat="1" ht="11.25" customHeight="1">
      <c r="A915" s="87"/>
      <c r="C915" s="43" t="s">
        <v>1860</v>
      </c>
      <c r="D915" s="71" t="s">
        <v>382</v>
      </c>
      <c r="E915" s="71" t="str">
        <f>MID(D915,1,2)</f>
        <v>IL</v>
      </c>
      <c r="F915" s="71" t="s">
        <v>496</v>
      </c>
      <c r="G915" s="71" t="str">
        <f>MID(F915,1,2)</f>
        <v>RO</v>
      </c>
      <c r="H915" s="43" t="s">
        <v>1843</v>
      </c>
      <c r="I915" s="71" t="s">
        <v>1861</v>
      </c>
      <c r="J915" s="71" t="s">
        <v>400</v>
      </c>
      <c r="K915" s="43"/>
      <c r="L915" s="71" t="s">
        <v>105</v>
      </c>
      <c r="M915" s="73">
        <v>2</v>
      </c>
      <c r="N915" s="71" t="s">
        <v>388</v>
      </c>
      <c r="O915" s="73">
        <v>0.012</v>
      </c>
      <c r="P915" s="71" t="s">
        <v>389</v>
      </c>
      <c r="Q915" s="73">
        <v>2</v>
      </c>
      <c r="R915" s="71" t="s">
        <v>388</v>
      </c>
      <c r="S915" s="73">
        <v>0</v>
      </c>
      <c r="T915" s="71" t="s">
        <v>390</v>
      </c>
      <c r="U915" s="74">
        <v>1</v>
      </c>
      <c r="V915" s="71" t="s">
        <v>391</v>
      </c>
      <c r="W915" s="130">
        <v>46062.8440625</v>
      </c>
      <c r="X915" s="72">
        <v>46064.013888888891</v>
      </c>
      <c r="Y915" s="72">
        <v>46064.131944444445</v>
      </c>
      <c r="Z915" s="104" t="s">
        <v>382</v>
      </c>
      <c r="AA915" s="104" t="s">
        <v>496</v>
      </c>
      <c r="AB915" s="105">
        <v>46064.013888888891</v>
      </c>
      <c r="AC915" s="105">
        <v>46064.145833333336</v>
      </c>
    </row>
    <row r="916" s="70" customFormat="1" ht="11.25" customHeight="1">
      <c r="A916" s="87"/>
      <c r="C916" s="43" t="s">
        <v>1862</v>
      </c>
      <c r="D916" s="71" t="s">
        <v>382</v>
      </c>
      <c r="E916" s="71" t="str">
        <f>MID(D916,1,2)</f>
        <v>IL</v>
      </c>
      <c r="F916" s="71" t="s">
        <v>496</v>
      </c>
      <c r="G916" s="71" t="str">
        <f>MID(F916,1,2)</f>
        <v>RO</v>
      </c>
      <c r="H916" s="43" t="s">
        <v>1843</v>
      </c>
      <c r="I916" s="71" t="s">
        <v>1863</v>
      </c>
      <c r="J916" s="71" t="s">
        <v>400</v>
      </c>
      <c r="K916" s="43"/>
      <c r="L916" s="71" t="s">
        <v>105</v>
      </c>
      <c r="M916" s="73">
        <v>12</v>
      </c>
      <c r="N916" s="71" t="s">
        <v>388</v>
      </c>
      <c r="O916" s="73">
        <v>0.012</v>
      </c>
      <c r="P916" s="71" t="s">
        <v>389</v>
      </c>
      <c r="Q916" s="73">
        <v>12</v>
      </c>
      <c r="R916" s="71" t="s">
        <v>388</v>
      </c>
      <c r="S916" s="73">
        <v>0</v>
      </c>
      <c r="T916" s="71" t="s">
        <v>390</v>
      </c>
      <c r="U916" s="74">
        <v>1</v>
      </c>
      <c r="V916" s="71" t="s">
        <v>391</v>
      </c>
      <c r="W916" s="130">
        <v>46062.382638888892</v>
      </c>
      <c r="X916" s="72">
        <v>46064.013888888891</v>
      </c>
      <c r="Y916" s="72">
        <v>46064.131944444445</v>
      </c>
      <c r="Z916" s="104" t="s">
        <v>382</v>
      </c>
      <c r="AA916" s="104" t="s">
        <v>496</v>
      </c>
      <c r="AB916" s="105">
        <v>46064.013888888891</v>
      </c>
      <c r="AC916" s="105">
        <v>46064.145833333336</v>
      </c>
    </row>
    <row r="917" s="70" customFormat="1" ht="11.25" customHeight="1">
      <c r="A917" s="87"/>
      <c r="C917" s="43" t="s">
        <v>1864</v>
      </c>
      <c r="D917" s="71" t="s">
        <v>382</v>
      </c>
      <c r="E917" s="71" t="str">
        <f>MID(D917,1,2)</f>
        <v>IL</v>
      </c>
      <c r="F917" s="71" t="s">
        <v>684</v>
      </c>
      <c r="G917" s="71" t="str">
        <f>MID(F917,1,2)</f>
        <v>IT</v>
      </c>
      <c r="H917" s="43" t="s">
        <v>1865</v>
      </c>
      <c r="I917" s="71" t="s">
        <v>1866</v>
      </c>
      <c r="J917" s="71" t="s">
        <v>811</v>
      </c>
      <c r="K917" s="43"/>
      <c r="L917" s="71" t="s">
        <v>105</v>
      </c>
      <c r="M917" s="73">
        <v>268</v>
      </c>
      <c r="N917" s="71" t="s">
        <v>388</v>
      </c>
      <c r="O917" s="73">
        <v>1.153</v>
      </c>
      <c r="P917" s="71" t="s">
        <v>389</v>
      </c>
      <c r="Q917" s="73">
        <v>268</v>
      </c>
      <c r="R917" s="71" t="s">
        <v>388</v>
      </c>
      <c r="S917" s="73">
        <v>0</v>
      </c>
      <c r="T917" s="71" t="s">
        <v>390</v>
      </c>
      <c r="U917" s="74">
        <v>1</v>
      </c>
      <c r="V917" s="71" t="s">
        <v>391</v>
      </c>
      <c r="W917" s="130">
        <v>46062.7521412037</v>
      </c>
      <c r="X917" s="72">
        <v>46063.477083333331</v>
      </c>
      <c r="Y917" s="72">
        <v>46064.261805555558</v>
      </c>
      <c r="Z917" s="104" t="s">
        <v>382</v>
      </c>
      <c r="AA917" s="104" t="s">
        <v>748</v>
      </c>
      <c r="AB917" s="105">
        <v>46063.477777777778</v>
      </c>
      <c r="AC917" s="105">
        <v>46063.607638888891</v>
      </c>
    </row>
    <row r="918" s="70" customFormat="1" ht="11.25" customHeight="1">
      <c r="A918" s="87"/>
      <c r="C918" s="43" t="s">
        <v>1864</v>
      </c>
      <c r="D918" s="71" t="s">
        <v>382</v>
      </c>
      <c r="E918" s="71" t="str">
        <f>MID(D918,1,2)</f>
        <v>IL</v>
      </c>
      <c r="F918" s="71" t="s">
        <v>684</v>
      </c>
      <c r="G918" s="71" t="str">
        <f>MID(F918,1,2)</f>
        <v>IT</v>
      </c>
      <c r="H918" s="43" t="s">
        <v>1865</v>
      </c>
      <c r="I918" s="71" t="s">
        <v>1866</v>
      </c>
      <c r="J918" s="71" t="s">
        <v>811</v>
      </c>
      <c r="K918" s="43"/>
      <c r="L918" s="71" t="s">
        <v>105</v>
      </c>
      <c r="M918" s="73">
        <v>268</v>
      </c>
      <c r="N918" s="71" t="s">
        <v>388</v>
      </c>
      <c r="O918" s="73">
        <v>1.153</v>
      </c>
      <c r="P918" s="71" t="s">
        <v>389</v>
      </c>
      <c r="Q918" s="73">
        <v>268</v>
      </c>
      <c r="R918" s="71" t="s">
        <v>388</v>
      </c>
      <c r="S918" s="73">
        <v>0</v>
      </c>
      <c r="T918" s="71" t="s">
        <v>390</v>
      </c>
      <c r="U918" s="74">
        <v>1</v>
      </c>
      <c r="V918" s="71" t="s">
        <v>391</v>
      </c>
      <c r="W918" s="130">
        <v>46062.7521412037</v>
      </c>
      <c r="X918" s="72">
        <v>46063.477083333331</v>
      </c>
      <c r="Y918" s="72">
        <v>46064.261805555558</v>
      </c>
      <c r="Z918" s="104" t="s">
        <v>748</v>
      </c>
      <c r="AA918" s="104" t="s">
        <v>684</v>
      </c>
      <c r="AB918" s="105">
        <v>46064.013888888891</v>
      </c>
      <c r="AC918" s="105">
        <v>46064.414583333331</v>
      </c>
    </row>
    <row r="919" s="70" customFormat="1" ht="11.25" customHeight="1">
      <c r="A919" s="87"/>
      <c r="C919" s="43" t="s">
        <v>1867</v>
      </c>
      <c r="D919" s="71" t="s">
        <v>382</v>
      </c>
      <c r="E919" s="71" t="str">
        <f>MID(D919,1,2)</f>
        <v>IL</v>
      </c>
      <c r="F919" s="71" t="s">
        <v>1868</v>
      </c>
      <c r="G919" s="71" t="str">
        <f>MID(F919,1,2)</f>
        <v>ZA</v>
      </c>
      <c r="H919" s="43" t="s">
        <v>1869</v>
      </c>
      <c r="I919" s="71" t="s">
        <v>1870</v>
      </c>
      <c r="J919" s="71" t="s">
        <v>386</v>
      </c>
      <c r="K919" s="43"/>
      <c r="L919" s="71" t="s">
        <v>107</v>
      </c>
      <c r="M919" s="73">
        <v>353</v>
      </c>
      <c r="N919" s="71" t="s">
        <v>388</v>
      </c>
      <c r="O919" s="73">
        <v>2.688</v>
      </c>
      <c r="P919" s="71" t="s">
        <v>389</v>
      </c>
      <c r="Q919" s="73">
        <v>448</v>
      </c>
      <c r="R919" s="71" t="s">
        <v>388</v>
      </c>
      <c r="S919" s="73">
        <v>0</v>
      </c>
      <c r="T919" s="71" t="s">
        <v>390</v>
      </c>
      <c r="U919" s="74">
        <v>2</v>
      </c>
      <c r="V919" s="71" t="s">
        <v>391</v>
      </c>
      <c r="W919" s="130">
        <v>46062.741747685184</v>
      </c>
      <c r="X919" s="72">
        <v>46064.404861111114</v>
      </c>
      <c r="Y919" s="72">
        <v>46067.506944444445</v>
      </c>
      <c r="Z919" s="104" t="s">
        <v>382</v>
      </c>
      <c r="AA919" s="104" t="s">
        <v>577</v>
      </c>
      <c r="AB919" s="105">
        <v>46064.661805555559</v>
      </c>
      <c r="AC919" s="105">
        <v>46064.817361111112</v>
      </c>
    </row>
    <row r="920" s="70" customFormat="1" ht="11.25" customHeight="1">
      <c r="A920" s="87"/>
      <c r="C920" s="43" t="s">
        <v>1867</v>
      </c>
      <c r="D920" s="71" t="s">
        <v>382</v>
      </c>
      <c r="E920" s="71" t="str">
        <f>MID(D920,1,2)</f>
        <v>IL</v>
      </c>
      <c r="F920" s="71" t="s">
        <v>1868</v>
      </c>
      <c r="G920" s="71" t="str">
        <f>MID(F920,1,2)</f>
        <v>ZA</v>
      </c>
      <c r="H920" s="43" t="s">
        <v>1869</v>
      </c>
      <c r="I920" s="71" t="s">
        <v>1870</v>
      </c>
      <c r="J920" s="71" t="s">
        <v>386</v>
      </c>
      <c r="K920" s="43"/>
      <c r="L920" s="71" t="s">
        <v>107</v>
      </c>
      <c r="M920" s="73">
        <v>353</v>
      </c>
      <c r="N920" s="71" t="s">
        <v>388</v>
      </c>
      <c r="O920" s="73">
        <v>2.688</v>
      </c>
      <c r="P920" s="71" t="s">
        <v>389</v>
      </c>
      <c r="Q920" s="73">
        <v>448</v>
      </c>
      <c r="R920" s="71" t="s">
        <v>388</v>
      </c>
      <c r="S920" s="73">
        <v>0</v>
      </c>
      <c r="T920" s="71" t="s">
        <v>390</v>
      </c>
      <c r="U920" s="74">
        <v>2</v>
      </c>
      <c r="V920" s="71" t="s">
        <v>391</v>
      </c>
      <c r="W920" s="130">
        <v>46062.741747685184</v>
      </c>
      <c r="X920" s="72">
        <v>46064.404861111114</v>
      </c>
      <c r="Y920" s="72">
        <v>46067.506944444445</v>
      </c>
      <c r="Z920" s="104" t="s">
        <v>577</v>
      </c>
      <c r="AA920" s="104" t="s">
        <v>1871</v>
      </c>
      <c r="AB920" s="105">
        <v>46065.970833333333</v>
      </c>
      <c r="AC920" s="105">
        <v>46066.484027777777</v>
      </c>
    </row>
    <row r="921" s="70" customFormat="1" ht="11.25" customHeight="1">
      <c r="A921" s="87"/>
      <c r="C921" s="43" t="s">
        <v>1872</v>
      </c>
      <c r="D921" s="71" t="s">
        <v>382</v>
      </c>
      <c r="E921" s="71" t="str">
        <f>MID(D921,1,2)</f>
        <v>IL</v>
      </c>
      <c r="F921" s="71" t="s">
        <v>422</v>
      </c>
      <c r="G921" s="71" t="str">
        <f>MID(F921,1,2)</f>
        <v>US</v>
      </c>
      <c r="H921" s="43" t="s">
        <v>1873</v>
      </c>
      <c r="I921" s="71"/>
      <c r="J921" s="71" t="s">
        <v>426</v>
      </c>
      <c r="K921" s="43"/>
      <c r="L921" s="71" t="s">
        <v>105</v>
      </c>
      <c r="M921" s="73">
        <v>15795</v>
      </c>
      <c r="N921" s="71" t="s">
        <v>388</v>
      </c>
      <c r="O921" s="73">
        <v>27.756</v>
      </c>
      <c r="P921" s="71" t="s">
        <v>389</v>
      </c>
      <c r="Q921" s="73">
        <v>15795</v>
      </c>
      <c r="R921" s="71" t="s">
        <v>388</v>
      </c>
      <c r="S921" s="73">
        <v>0</v>
      </c>
      <c r="T921" s="71" t="s">
        <v>390</v>
      </c>
      <c r="U921" s="74">
        <v>21</v>
      </c>
      <c r="V921" s="71" t="s">
        <v>391</v>
      </c>
      <c r="W921" s="130">
        <v>46062.534722222219</v>
      </c>
      <c r="X921" s="72">
        <v>46064.39166666667</v>
      </c>
      <c r="Y921" s="72">
        <v>46065.25</v>
      </c>
      <c r="Z921" s="104" t="s">
        <v>382</v>
      </c>
      <c r="AA921" s="104" t="s">
        <v>422</v>
      </c>
      <c r="AB921" s="105">
        <v>46065.030555555553</v>
      </c>
      <c r="AC921" s="105">
        <v>46065.225694444445</v>
      </c>
    </row>
    <row r="922" s="70" customFormat="1" ht="11.25" customHeight="1">
      <c r="A922" s="87"/>
      <c r="C922" s="43" t="s">
        <v>1874</v>
      </c>
      <c r="D922" s="71" t="s">
        <v>382</v>
      </c>
      <c r="E922" s="71" t="str">
        <f>MID(D922,1,2)</f>
        <v>IL</v>
      </c>
      <c r="F922" s="71" t="s">
        <v>963</v>
      </c>
      <c r="G922" s="71" t="str">
        <f>MID(F922,1,2)</f>
        <v>IN</v>
      </c>
      <c r="H922" s="43" t="s">
        <v>1875</v>
      </c>
      <c r="I922" s="71" t="s">
        <v>1876</v>
      </c>
      <c r="J922" s="71" t="s">
        <v>483</v>
      </c>
      <c r="K922" s="43"/>
      <c r="L922" s="71" t="s">
        <v>105</v>
      </c>
      <c r="M922" s="73">
        <v>461</v>
      </c>
      <c r="N922" s="71" t="s">
        <v>388</v>
      </c>
      <c r="O922" s="73">
        <v>1.593</v>
      </c>
      <c r="P922" s="71" t="s">
        <v>389</v>
      </c>
      <c r="Q922" s="73">
        <v>461</v>
      </c>
      <c r="R922" s="71" t="s">
        <v>388</v>
      </c>
      <c r="S922" s="73">
        <v>0</v>
      </c>
      <c r="T922" s="71" t="s">
        <v>390</v>
      </c>
      <c r="U922" s="74">
        <v>1</v>
      </c>
      <c r="V922" s="71" t="s">
        <v>391</v>
      </c>
      <c r="W922" s="130">
        <v>46062.929259259261</v>
      </c>
      <c r="X922" s="72">
        <v>46065.67291666667</v>
      </c>
      <c r="Y922" s="72">
        <v>46068.045138888891</v>
      </c>
      <c r="Z922" s="104" t="s">
        <v>382</v>
      </c>
      <c r="AA922" s="104" t="s">
        <v>667</v>
      </c>
      <c r="AB922" s="105">
        <v>46065.055555555555</v>
      </c>
      <c r="AC922" s="105">
        <v>46065.223611111112</v>
      </c>
    </row>
    <row r="923" s="70" customFormat="1" ht="11.25" customHeight="1">
      <c r="A923" s="87"/>
      <c r="C923" s="43" t="s">
        <v>1874</v>
      </c>
      <c r="D923" s="71" t="s">
        <v>382</v>
      </c>
      <c r="E923" s="71" t="str">
        <f>MID(D923,1,2)</f>
        <v>IL</v>
      </c>
      <c r="F923" s="71" t="s">
        <v>963</v>
      </c>
      <c r="G923" s="71" t="str">
        <f>MID(F923,1,2)</f>
        <v>IN</v>
      </c>
      <c r="H923" s="43" t="s">
        <v>1875</v>
      </c>
      <c r="I923" s="71" t="s">
        <v>1876</v>
      </c>
      <c r="J923" s="71" t="s">
        <v>483</v>
      </c>
      <c r="K923" s="43"/>
      <c r="L923" s="71" t="s">
        <v>105</v>
      </c>
      <c r="M923" s="73">
        <v>461</v>
      </c>
      <c r="N923" s="71" t="s">
        <v>388</v>
      </c>
      <c r="O923" s="73">
        <v>1.593</v>
      </c>
      <c r="P923" s="71" t="s">
        <v>389</v>
      </c>
      <c r="Q923" s="73">
        <v>461</v>
      </c>
      <c r="R923" s="71" t="s">
        <v>388</v>
      </c>
      <c r="S923" s="73">
        <v>0</v>
      </c>
      <c r="T923" s="71" t="s">
        <v>390</v>
      </c>
      <c r="U923" s="74">
        <v>1</v>
      </c>
      <c r="V923" s="71" t="s">
        <v>391</v>
      </c>
      <c r="W923" s="130">
        <v>46062.929259259261</v>
      </c>
      <c r="X923" s="72">
        <v>46065.67291666667</v>
      </c>
      <c r="Y923" s="72">
        <v>46068.045138888891</v>
      </c>
      <c r="Z923" s="104" t="s">
        <v>667</v>
      </c>
      <c r="AA923" s="104" t="s">
        <v>963</v>
      </c>
      <c r="AB923" s="105">
        <v>46067.513888888891</v>
      </c>
      <c r="AC923" s="105">
        <v>46068.042361111111</v>
      </c>
    </row>
    <row r="924" s="70" customFormat="1" ht="11.25" customHeight="1">
      <c r="A924" s="87"/>
      <c r="C924" s="43" t="s">
        <v>1877</v>
      </c>
      <c r="D924" s="71" t="s">
        <v>382</v>
      </c>
      <c r="E924" s="71" t="str">
        <f>MID(D924,1,2)</f>
        <v>IL</v>
      </c>
      <c r="F924" s="71" t="s">
        <v>414</v>
      </c>
      <c r="G924" s="71" t="str">
        <f>MID(F924,1,2)</f>
        <v>US</v>
      </c>
      <c r="H924" s="43" t="s">
        <v>1648</v>
      </c>
      <c r="I924" s="71" t="s">
        <v>1878</v>
      </c>
      <c r="J924" s="71" t="s">
        <v>400</v>
      </c>
      <c r="K924" s="43"/>
      <c r="L924" s="71" t="s">
        <v>105</v>
      </c>
      <c r="M924" s="73">
        <v>40</v>
      </c>
      <c r="N924" s="71" t="s">
        <v>388</v>
      </c>
      <c r="O924" s="73">
        <v>0.182</v>
      </c>
      <c r="P924" s="71" t="s">
        <v>389</v>
      </c>
      <c r="Q924" s="73">
        <v>40</v>
      </c>
      <c r="R924" s="71" t="s">
        <v>388</v>
      </c>
      <c r="S924" s="73">
        <v>0</v>
      </c>
      <c r="T924" s="71" t="s">
        <v>390</v>
      </c>
      <c r="U924" s="74">
        <v>2</v>
      </c>
      <c r="V924" s="71" t="s">
        <v>427</v>
      </c>
      <c r="W924" s="130">
        <v>46062.416666666664</v>
      </c>
      <c r="X924" s="72">
        <v>46064.03125</v>
      </c>
      <c r="Y924" s="72">
        <v>46064.239583333336</v>
      </c>
      <c r="Z924" s="104" t="s">
        <v>382</v>
      </c>
      <c r="AA924" s="104" t="s">
        <v>414</v>
      </c>
      <c r="AB924" s="105">
        <v>46064.034722222219</v>
      </c>
      <c r="AC924" s="105">
        <v>46064.222222222219</v>
      </c>
    </row>
    <row r="925" s="70" customFormat="1" ht="11.25" customHeight="1">
      <c r="A925" s="87"/>
      <c r="C925" s="43" t="s">
        <v>1879</v>
      </c>
      <c r="D925" s="71" t="s">
        <v>382</v>
      </c>
      <c r="E925" s="71" t="str">
        <f>MID(D925,1,2)</f>
        <v>IL</v>
      </c>
      <c r="F925" s="71" t="s">
        <v>414</v>
      </c>
      <c r="G925" s="71" t="str">
        <f>MID(F925,1,2)</f>
        <v>US</v>
      </c>
      <c r="H925" s="43" t="s">
        <v>1648</v>
      </c>
      <c r="I925" s="71" t="s">
        <v>1880</v>
      </c>
      <c r="J925" s="71" t="s">
        <v>386</v>
      </c>
      <c r="K925" s="43" t="s">
        <v>759</v>
      </c>
      <c r="L925" s="71" t="s">
        <v>107</v>
      </c>
      <c r="M925" s="73">
        <v>10</v>
      </c>
      <c r="N925" s="71" t="s">
        <v>388</v>
      </c>
      <c r="O925" s="73">
        <v>0.298</v>
      </c>
      <c r="P925" s="71" t="s">
        <v>389</v>
      </c>
      <c r="Q925" s="73">
        <v>50</v>
      </c>
      <c r="R925" s="71" t="s">
        <v>388</v>
      </c>
      <c r="S925" s="73">
        <v>0</v>
      </c>
      <c r="T925" s="71" t="s">
        <v>390</v>
      </c>
      <c r="U925" s="74">
        <v>1</v>
      </c>
      <c r="V925" s="71" t="s">
        <v>427</v>
      </c>
      <c r="W925" s="130">
        <v>46062.843969907408</v>
      </c>
      <c r="X925" s="72">
        <v>46064.03125</v>
      </c>
      <c r="Y925" s="72">
        <v>46064.239583333336</v>
      </c>
      <c r="Z925" s="104" t="s">
        <v>382</v>
      </c>
      <c r="AA925" s="104" t="s">
        <v>414</v>
      </c>
      <c r="AB925" s="105">
        <v>46064.034722222219</v>
      </c>
      <c r="AC925" s="105">
        <v>46064.222222222219</v>
      </c>
    </row>
    <row r="926" s="70" customFormat="1" ht="11.25" customHeight="1">
      <c r="A926" s="87"/>
      <c r="C926" s="43" t="s">
        <v>1881</v>
      </c>
      <c r="D926" s="71" t="s">
        <v>382</v>
      </c>
      <c r="E926" s="71" t="str">
        <f>MID(D926,1,2)</f>
        <v>IL</v>
      </c>
      <c r="F926" s="71" t="s">
        <v>403</v>
      </c>
      <c r="G926" s="71" t="str">
        <f>MID(F926,1,2)</f>
        <v>HK</v>
      </c>
      <c r="H926" s="43" t="s">
        <v>1882</v>
      </c>
      <c r="I926" s="71"/>
      <c r="J926" s="71" t="s">
        <v>435</v>
      </c>
      <c r="K926" s="43"/>
      <c r="L926" s="71" t="s">
        <v>105</v>
      </c>
      <c r="M926" s="73">
        <v>923</v>
      </c>
      <c r="N926" s="71" t="s">
        <v>388</v>
      </c>
      <c r="O926" s="73">
        <v>6.04</v>
      </c>
      <c r="P926" s="71" t="s">
        <v>389</v>
      </c>
      <c r="Q926" s="73">
        <v>1007</v>
      </c>
      <c r="R926" s="71" t="s">
        <v>388</v>
      </c>
      <c r="S926" s="73">
        <v>0</v>
      </c>
      <c r="T926" s="71" t="s">
        <v>390</v>
      </c>
      <c r="U926" s="74">
        <v>5</v>
      </c>
      <c r="V926" s="71" t="s">
        <v>391</v>
      </c>
      <c r="W926" s="130">
        <v>46072.511111111111</v>
      </c>
      <c r="X926" s="72">
        <v>46074.9375</v>
      </c>
      <c r="Y926" s="72">
        <v>46076.916666666664</v>
      </c>
      <c r="Z926" s="104" t="s">
        <v>382</v>
      </c>
      <c r="AA926" s="104" t="s">
        <v>403</v>
      </c>
      <c r="AB926" s="105">
        <v>46076.294444444444</v>
      </c>
      <c r="AC926" s="105">
        <v>46076.968055555553</v>
      </c>
    </row>
    <row r="927" s="70" customFormat="1" ht="11.25" customHeight="1">
      <c r="A927" s="87"/>
      <c r="C927" s="43" t="s">
        <v>1883</v>
      </c>
      <c r="D927" s="71" t="s">
        <v>382</v>
      </c>
      <c r="E927" s="71" t="str">
        <f>MID(D927,1,2)</f>
        <v>IL</v>
      </c>
      <c r="F927" s="71" t="s">
        <v>651</v>
      </c>
      <c r="G927" s="71" t="str">
        <f>MID(F927,1,2)</f>
        <v>BR</v>
      </c>
      <c r="H927" s="43" t="s">
        <v>1758</v>
      </c>
      <c r="I927" s="71" t="s">
        <v>1884</v>
      </c>
      <c r="J927" s="71" t="s">
        <v>386</v>
      </c>
      <c r="K927" s="43"/>
      <c r="L927" s="71" t="s">
        <v>107</v>
      </c>
      <c r="M927" s="73">
        <v>22</v>
      </c>
      <c r="N927" s="71" t="s">
        <v>388</v>
      </c>
      <c r="O927" s="73">
        <v>0.119</v>
      </c>
      <c r="P927" s="71" t="s">
        <v>389</v>
      </c>
      <c r="Q927" s="73">
        <v>22</v>
      </c>
      <c r="R927" s="71" t="s">
        <v>388</v>
      </c>
      <c r="S927" s="73">
        <v>0</v>
      </c>
      <c r="T927" s="71" t="s">
        <v>390</v>
      </c>
      <c r="U927" s="74">
        <v>3</v>
      </c>
      <c r="V927" s="71" t="s">
        <v>391</v>
      </c>
      <c r="W927" s="130">
        <v>46062.424305555556</v>
      </c>
      <c r="X927" s="72">
        <v>46064.586805555555</v>
      </c>
      <c r="Y927" s="72">
        <v>46066.395833333336</v>
      </c>
      <c r="Z927" s="104" t="s">
        <v>382</v>
      </c>
      <c r="AA927" s="104" t="s">
        <v>590</v>
      </c>
      <c r="AB927" s="105">
        <v>46064.625694444447</v>
      </c>
      <c r="AC927" s="105">
        <v>46064.961805555555</v>
      </c>
    </row>
    <row r="928" s="70" customFormat="1" ht="11.25" customHeight="1">
      <c r="A928" s="87"/>
      <c r="C928" s="43" t="s">
        <v>1883</v>
      </c>
      <c r="D928" s="71" t="s">
        <v>382</v>
      </c>
      <c r="E928" s="71" t="str">
        <f>MID(D928,1,2)</f>
        <v>IL</v>
      </c>
      <c r="F928" s="71" t="s">
        <v>651</v>
      </c>
      <c r="G928" s="71" t="str">
        <f>MID(F928,1,2)</f>
        <v>BR</v>
      </c>
      <c r="H928" s="43" t="s">
        <v>1758</v>
      </c>
      <c r="I928" s="71" t="s">
        <v>1884</v>
      </c>
      <c r="J928" s="71" t="s">
        <v>386</v>
      </c>
      <c r="K928" s="43"/>
      <c r="L928" s="71" t="s">
        <v>107</v>
      </c>
      <c r="M928" s="73">
        <v>22</v>
      </c>
      <c r="N928" s="71" t="s">
        <v>388</v>
      </c>
      <c r="O928" s="73">
        <v>0.119</v>
      </c>
      <c r="P928" s="71" t="s">
        <v>389</v>
      </c>
      <c r="Q928" s="73">
        <v>22</v>
      </c>
      <c r="R928" s="71" t="s">
        <v>388</v>
      </c>
      <c r="S928" s="73">
        <v>0</v>
      </c>
      <c r="T928" s="71" t="s">
        <v>390</v>
      </c>
      <c r="U928" s="74">
        <v>3</v>
      </c>
      <c r="V928" s="71" t="s">
        <v>391</v>
      </c>
      <c r="W928" s="130">
        <v>46062.424305555556</v>
      </c>
      <c r="X928" s="72">
        <v>46064.586805555555</v>
      </c>
      <c r="Y928" s="72">
        <v>46066.395833333336</v>
      </c>
      <c r="Z928" s="104" t="s">
        <v>590</v>
      </c>
      <c r="AA928" s="104" t="s">
        <v>651</v>
      </c>
      <c r="AB928" s="105">
        <v>46065.998611111114</v>
      </c>
      <c r="AC928" s="105">
        <v>46066.265277777777</v>
      </c>
    </row>
    <row r="929" s="70" customFormat="1" ht="11.25" customHeight="1">
      <c r="A929" s="87"/>
      <c r="C929" s="43" t="s">
        <v>1885</v>
      </c>
      <c r="D929" s="71" t="s">
        <v>382</v>
      </c>
      <c r="E929" s="71" t="str">
        <f>MID(D929,1,2)</f>
        <v>IL</v>
      </c>
      <c r="F929" s="71" t="s">
        <v>595</v>
      </c>
      <c r="G929" s="71" t="str">
        <f>MID(F929,1,2)</f>
        <v>AT</v>
      </c>
      <c r="H929" s="43" t="s">
        <v>1886</v>
      </c>
      <c r="I929" s="71" t="s">
        <v>1887</v>
      </c>
      <c r="J929" s="71" t="s">
        <v>426</v>
      </c>
      <c r="K929" s="43"/>
      <c r="L929" s="71" t="s">
        <v>105</v>
      </c>
      <c r="M929" s="73">
        <v>16</v>
      </c>
      <c r="N929" s="71" t="s">
        <v>388</v>
      </c>
      <c r="O929" s="73">
        <v>0.07</v>
      </c>
      <c r="P929" s="71" t="s">
        <v>389</v>
      </c>
      <c r="Q929" s="73">
        <v>16</v>
      </c>
      <c r="R929" s="71" t="s">
        <v>388</v>
      </c>
      <c r="S929" s="73">
        <v>0</v>
      </c>
      <c r="T929" s="71" t="s">
        <v>390</v>
      </c>
      <c r="U929" s="74">
        <v>1</v>
      </c>
      <c r="V929" s="71" t="s">
        <v>391</v>
      </c>
      <c r="W929" s="130">
        <v>46062.43125</v>
      </c>
      <c r="X929" s="72">
        <v>46064.666666666664</v>
      </c>
      <c r="Y929" s="72">
        <v>46064.79375</v>
      </c>
      <c r="Z929" s="104" t="s">
        <v>382</v>
      </c>
      <c r="AA929" s="104" t="s">
        <v>595</v>
      </c>
      <c r="AB929" s="105">
        <v>46064.665277777778</v>
      </c>
      <c r="AC929" s="105">
        <v>46064.782638888886</v>
      </c>
    </row>
    <row r="930" s="70" customFormat="1" ht="11.25" customHeight="1">
      <c r="A930" s="87"/>
      <c r="C930" s="43" t="s">
        <v>1888</v>
      </c>
      <c r="D930" s="71" t="s">
        <v>382</v>
      </c>
      <c r="E930" s="71" t="str">
        <f>MID(D930,1,2)</f>
        <v>IL</v>
      </c>
      <c r="F930" s="71" t="s">
        <v>414</v>
      </c>
      <c r="G930" s="71" t="str">
        <f>MID(F930,1,2)</f>
        <v>US</v>
      </c>
      <c r="H930" s="43" t="s">
        <v>1648</v>
      </c>
      <c r="I930" s="71" t="s">
        <v>1889</v>
      </c>
      <c r="J930" s="71" t="s">
        <v>426</v>
      </c>
      <c r="K930" s="43" t="s">
        <v>759</v>
      </c>
      <c r="L930" s="71" t="s">
        <v>105</v>
      </c>
      <c r="M930" s="73">
        <v>8</v>
      </c>
      <c r="N930" s="71" t="s">
        <v>388</v>
      </c>
      <c r="O930" s="73">
        <v>0.095</v>
      </c>
      <c r="P930" s="71" t="s">
        <v>389</v>
      </c>
      <c r="Q930" s="73">
        <v>16</v>
      </c>
      <c r="R930" s="71" t="s">
        <v>388</v>
      </c>
      <c r="S930" s="73">
        <v>0</v>
      </c>
      <c r="T930" s="71" t="s">
        <v>390</v>
      </c>
      <c r="U930" s="74">
        <v>1</v>
      </c>
      <c r="V930" s="71" t="s">
        <v>427</v>
      </c>
      <c r="W930" s="130">
        <v>46062.837094907409</v>
      </c>
      <c r="X930" s="72">
        <v>46064.03125</v>
      </c>
      <c r="Y930" s="72">
        <v>46064.239583333336</v>
      </c>
      <c r="Z930" s="104" t="s">
        <v>382</v>
      </c>
      <c r="AA930" s="104" t="s">
        <v>414</v>
      </c>
      <c r="AB930" s="105">
        <v>46064.034722222219</v>
      </c>
      <c r="AC930" s="105">
        <v>46064.222222222219</v>
      </c>
    </row>
    <row r="931" s="70" customFormat="1" ht="11.25" customHeight="1">
      <c r="A931" s="87"/>
      <c r="C931" s="43" t="s">
        <v>1890</v>
      </c>
      <c r="D931" s="71" t="s">
        <v>382</v>
      </c>
      <c r="E931" s="71" t="str">
        <f>MID(D931,1,2)</f>
        <v>IL</v>
      </c>
      <c r="F931" s="71" t="s">
        <v>468</v>
      </c>
      <c r="G931" s="71" t="str">
        <f>MID(F931,1,2)</f>
        <v>US</v>
      </c>
      <c r="H931" s="43" t="s">
        <v>1891</v>
      </c>
      <c r="I931" s="71" t="s">
        <v>1892</v>
      </c>
      <c r="J931" s="71" t="s">
        <v>386</v>
      </c>
      <c r="K931" s="43"/>
      <c r="L931" s="71" t="s">
        <v>107</v>
      </c>
      <c r="M931" s="73">
        <v>64</v>
      </c>
      <c r="N931" s="71" t="s">
        <v>388</v>
      </c>
      <c r="O931" s="73">
        <v>0.528</v>
      </c>
      <c r="P931" s="71" t="s">
        <v>389</v>
      </c>
      <c r="Q931" s="73">
        <v>88</v>
      </c>
      <c r="R931" s="71" t="s">
        <v>388</v>
      </c>
      <c r="S931" s="73">
        <v>0</v>
      </c>
      <c r="T931" s="71" t="s">
        <v>390</v>
      </c>
      <c r="U931" s="74">
        <v>1</v>
      </c>
      <c r="V931" s="71" t="s">
        <v>391</v>
      </c>
      <c r="W931" s="130">
        <v>46062.445138888892</v>
      </c>
      <c r="X931" s="72">
        <v>46064.965277777781</v>
      </c>
      <c r="Y931" s="72">
        <v>46069.706944444442</v>
      </c>
      <c r="Z931" s="104" t="s">
        <v>382</v>
      </c>
      <c r="AA931" s="104" t="s">
        <v>422</v>
      </c>
      <c r="AB931" s="105">
        <v>46064.963194444441</v>
      </c>
      <c r="AC931" s="105">
        <v>46065.148611111108</v>
      </c>
    </row>
    <row r="932" s="70" customFormat="1" ht="11.25" customHeight="1">
      <c r="A932" s="87"/>
      <c r="C932" s="43" t="s">
        <v>1890</v>
      </c>
      <c r="D932" s="71" t="s">
        <v>382</v>
      </c>
      <c r="E932" s="71" t="str">
        <f>MID(D932,1,2)</f>
        <v>IL</v>
      </c>
      <c r="F932" s="71" t="s">
        <v>468</v>
      </c>
      <c r="G932" s="71" t="str">
        <f>MID(F932,1,2)</f>
        <v>US</v>
      </c>
      <c r="H932" s="43" t="s">
        <v>1891</v>
      </c>
      <c r="I932" s="71" t="s">
        <v>1892</v>
      </c>
      <c r="J932" s="71" t="s">
        <v>386</v>
      </c>
      <c r="K932" s="43"/>
      <c r="L932" s="71" t="s">
        <v>107</v>
      </c>
      <c r="M932" s="73">
        <v>64</v>
      </c>
      <c r="N932" s="71" t="s">
        <v>388</v>
      </c>
      <c r="O932" s="73">
        <v>0.528</v>
      </c>
      <c r="P932" s="71" t="s">
        <v>389</v>
      </c>
      <c r="Q932" s="73">
        <v>88</v>
      </c>
      <c r="R932" s="71" t="s">
        <v>388</v>
      </c>
      <c r="S932" s="73">
        <v>0</v>
      </c>
      <c r="T932" s="71" t="s">
        <v>390</v>
      </c>
      <c r="U932" s="74">
        <v>1</v>
      </c>
      <c r="V932" s="71" t="s">
        <v>391</v>
      </c>
      <c r="W932" s="130">
        <v>46062.445138888892</v>
      </c>
      <c r="X932" s="72">
        <v>46064.965277777781</v>
      </c>
      <c r="Y932" s="72">
        <v>46069.706944444442</v>
      </c>
      <c r="Z932" s="104" t="s">
        <v>422</v>
      </c>
      <c r="AA932" s="104" t="s">
        <v>468</v>
      </c>
      <c r="AB932" s="105">
        <v>46065.590277777781</v>
      </c>
      <c r="AC932" s="105">
        <v>46065.697222222225</v>
      </c>
    </row>
    <row r="933" s="70" customFormat="1" ht="11.25" customHeight="1">
      <c r="A933" s="87"/>
      <c r="C933" s="43" t="s">
        <v>1893</v>
      </c>
      <c r="D933" s="71" t="s">
        <v>382</v>
      </c>
      <c r="E933" s="71" t="str">
        <f>MID(D933,1,2)</f>
        <v>IL</v>
      </c>
      <c r="F933" s="71" t="s">
        <v>419</v>
      </c>
      <c r="G933" s="71" t="str">
        <f>MID(F933,1,2)</f>
        <v>US</v>
      </c>
      <c r="H933" s="43" t="s">
        <v>1894</v>
      </c>
      <c r="I933" s="71" t="s">
        <v>1895</v>
      </c>
      <c r="J933" s="71" t="s">
        <v>426</v>
      </c>
      <c r="K933" s="43"/>
      <c r="L933" s="71" t="s">
        <v>105</v>
      </c>
      <c r="M933" s="73">
        <v>660</v>
      </c>
      <c r="N933" s="71" t="s">
        <v>388</v>
      </c>
      <c r="O933" s="73">
        <v>5.52</v>
      </c>
      <c r="P933" s="71" t="s">
        <v>389</v>
      </c>
      <c r="Q933" s="73">
        <v>1650</v>
      </c>
      <c r="R933" s="71" t="s">
        <v>388</v>
      </c>
      <c r="S933" s="73">
        <v>0</v>
      </c>
      <c r="T933" s="71" t="s">
        <v>390</v>
      </c>
      <c r="U933" s="74">
        <v>4</v>
      </c>
      <c r="V933" s="71" t="s">
        <v>391</v>
      </c>
      <c r="W933" s="130">
        <v>46063.36875</v>
      </c>
      <c r="X933" s="72">
        <v>46064.444444444445</v>
      </c>
      <c r="Y933" s="72">
        <v>46066.666666666664</v>
      </c>
      <c r="Z933" s="104" t="s">
        <v>382</v>
      </c>
      <c r="AA933" s="104" t="s">
        <v>422</v>
      </c>
      <c r="AB933" s="105">
        <v>46064.963194444441</v>
      </c>
      <c r="AC933" s="105">
        <v>46065.148611111108</v>
      </c>
    </row>
    <row r="934" s="70" customFormat="1" ht="11.25" customHeight="1">
      <c r="A934" s="87"/>
      <c r="C934" s="43" t="s">
        <v>1893</v>
      </c>
      <c r="D934" s="71" t="s">
        <v>382</v>
      </c>
      <c r="E934" s="71" t="str">
        <f>MID(D934,1,2)</f>
        <v>IL</v>
      </c>
      <c r="F934" s="71" t="s">
        <v>419</v>
      </c>
      <c r="G934" s="71" t="str">
        <f>MID(F934,1,2)</f>
        <v>US</v>
      </c>
      <c r="H934" s="43" t="s">
        <v>1894</v>
      </c>
      <c r="I934" s="71" t="s">
        <v>1895</v>
      </c>
      <c r="J934" s="71" t="s">
        <v>426</v>
      </c>
      <c r="K934" s="43"/>
      <c r="L934" s="71" t="s">
        <v>105</v>
      </c>
      <c r="M934" s="73">
        <v>660</v>
      </c>
      <c r="N934" s="71" t="s">
        <v>388</v>
      </c>
      <c r="O934" s="73">
        <v>5.52</v>
      </c>
      <c r="P934" s="71" t="s">
        <v>389</v>
      </c>
      <c r="Q934" s="73">
        <v>1650</v>
      </c>
      <c r="R934" s="71" t="s">
        <v>388</v>
      </c>
      <c r="S934" s="73">
        <v>0</v>
      </c>
      <c r="T934" s="71" t="s">
        <v>390</v>
      </c>
      <c r="U934" s="74">
        <v>4</v>
      </c>
      <c r="V934" s="71" t="s">
        <v>391</v>
      </c>
      <c r="W934" s="130">
        <v>46063.36875</v>
      </c>
      <c r="X934" s="72">
        <v>46064.444444444445</v>
      </c>
      <c r="Y934" s="72">
        <v>46066.666666666664</v>
      </c>
      <c r="Z934" s="104" t="s">
        <v>422</v>
      </c>
      <c r="AA934" s="104" t="s">
        <v>419</v>
      </c>
      <c r="AB934" s="105">
        <v>46065.897222222222</v>
      </c>
      <c r="AC934" s="105">
        <v>46066.65625</v>
      </c>
    </row>
    <row r="935" s="70" customFormat="1" ht="11.25" customHeight="1">
      <c r="A935" s="87"/>
      <c r="C935" s="43" t="s">
        <v>1896</v>
      </c>
      <c r="D935" s="71" t="s">
        <v>382</v>
      </c>
      <c r="E935" s="71" t="str">
        <f>MID(D935,1,2)</f>
        <v>IL</v>
      </c>
      <c r="F935" s="71" t="s">
        <v>414</v>
      </c>
      <c r="G935" s="71" t="str">
        <f>MID(F935,1,2)</f>
        <v>US</v>
      </c>
      <c r="H935" s="43" t="s">
        <v>1648</v>
      </c>
      <c r="I935" s="71" t="s">
        <v>1897</v>
      </c>
      <c r="J935" s="71" t="s">
        <v>426</v>
      </c>
      <c r="K935" s="43" t="s">
        <v>759</v>
      </c>
      <c r="L935" s="71" t="s">
        <v>105</v>
      </c>
      <c r="M935" s="73">
        <v>154</v>
      </c>
      <c r="N935" s="71" t="s">
        <v>388</v>
      </c>
      <c r="O935" s="73">
        <v>1.127</v>
      </c>
      <c r="P935" s="71" t="s">
        <v>389</v>
      </c>
      <c r="Q935" s="73">
        <v>188</v>
      </c>
      <c r="R935" s="71" t="s">
        <v>388</v>
      </c>
      <c r="S935" s="73">
        <v>0</v>
      </c>
      <c r="T935" s="71" t="s">
        <v>390</v>
      </c>
      <c r="U935" s="74">
        <v>2</v>
      </c>
      <c r="V935" s="71" t="s">
        <v>391</v>
      </c>
      <c r="W935" s="130">
        <v>46062.45208333333</v>
      </c>
      <c r="X935" s="72">
        <v>46064.03125</v>
      </c>
      <c r="Y935" s="72">
        <v>46064.239583333336</v>
      </c>
      <c r="Z935" s="104" t="s">
        <v>382</v>
      </c>
      <c r="AA935" s="104" t="s">
        <v>414</v>
      </c>
      <c r="AB935" s="105">
        <v>46064.034722222219</v>
      </c>
      <c r="AC935" s="105">
        <v>46064.222222222219</v>
      </c>
    </row>
    <row r="936" s="70" customFormat="1" ht="11.25" customHeight="1">
      <c r="A936" s="87"/>
      <c r="C936" s="43" t="s">
        <v>1898</v>
      </c>
      <c r="D936" s="71" t="s">
        <v>382</v>
      </c>
      <c r="E936" s="71" t="str">
        <f>MID(D936,1,2)</f>
        <v>IL</v>
      </c>
      <c r="F936" s="71" t="s">
        <v>419</v>
      </c>
      <c r="G936" s="71" t="str">
        <f>MID(F936,1,2)</f>
        <v>US</v>
      </c>
      <c r="H936" s="43" t="s">
        <v>1899</v>
      </c>
      <c r="I936" s="71" t="s">
        <v>1900</v>
      </c>
      <c r="J936" s="71" t="s">
        <v>426</v>
      </c>
      <c r="K936" s="43"/>
      <c r="L936" s="71" t="s">
        <v>105</v>
      </c>
      <c r="M936" s="73">
        <v>660</v>
      </c>
      <c r="N936" s="71" t="s">
        <v>388</v>
      </c>
      <c r="O936" s="73">
        <v>5.52</v>
      </c>
      <c r="P936" s="71" t="s">
        <v>389</v>
      </c>
      <c r="Q936" s="73">
        <v>1650</v>
      </c>
      <c r="R936" s="71" t="s">
        <v>388</v>
      </c>
      <c r="S936" s="73">
        <v>0</v>
      </c>
      <c r="T936" s="71" t="s">
        <v>390</v>
      </c>
      <c r="U936" s="74">
        <v>4</v>
      </c>
      <c r="V936" s="71" t="s">
        <v>391</v>
      </c>
      <c r="W936" s="130">
        <v>46063.372060185182</v>
      </c>
      <c r="X936" s="72">
        <v>46064.448611111111</v>
      </c>
      <c r="Y936" s="72">
        <v>46066.666666666664</v>
      </c>
      <c r="Z936" s="104" t="s">
        <v>382</v>
      </c>
      <c r="AA936" s="104" t="s">
        <v>422</v>
      </c>
      <c r="AB936" s="105">
        <v>46064.963194444441</v>
      </c>
      <c r="AC936" s="105">
        <v>46065.148611111108</v>
      </c>
    </row>
    <row r="937" s="70" customFormat="1" ht="11.25" customHeight="1">
      <c r="A937" s="87"/>
      <c r="C937" s="43" t="s">
        <v>1898</v>
      </c>
      <c r="D937" s="71" t="s">
        <v>382</v>
      </c>
      <c r="E937" s="71" t="str">
        <f>MID(D937,1,2)</f>
        <v>IL</v>
      </c>
      <c r="F937" s="71" t="s">
        <v>419</v>
      </c>
      <c r="G937" s="71" t="str">
        <f>MID(F937,1,2)</f>
        <v>US</v>
      </c>
      <c r="H937" s="43" t="s">
        <v>1899</v>
      </c>
      <c r="I937" s="71" t="s">
        <v>1900</v>
      </c>
      <c r="J937" s="71" t="s">
        <v>426</v>
      </c>
      <c r="K937" s="43"/>
      <c r="L937" s="71" t="s">
        <v>105</v>
      </c>
      <c r="M937" s="73">
        <v>660</v>
      </c>
      <c r="N937" s="71" t="s">
        <v>388</v>
      </c>
      <c r="O937" s="73">
        <v>5.52</v>
      </c>
      <c r="P937" s="71" t="s">
        <v>389</v>
      </c>
      <c r="Q937" s="73">
        <v>1650</v>
      </c>
      <c r="R937" s="71" t="s">
        <v>388</v>
      </c>
      <c r="S937" s="73">
        <v>0</v>
      </c>
      <c r="T937" s="71" t="s">
        <v>390</v>
      </c>
      <c r="U937" s="74">
        <v>4</v>
      </c>
      <c r="V937" s="71" t="s">
        <v>391</v>
      </c>
      <c r="W937" s="130">
        <v>46063.372060185182</v>
      </c>
      <c r="X937" s="72">
        <v>46064.448611111111</v>
      </c>
      <c r="Y937" s="72">
        <v>46066.666666666664</v>
      </c>
      <c r="Z937" s="104" t="s">
        <v>422</v>
      </c>
      <c r="AA937" s="104" t="s">
        <v>419</v>
      </c>
      <c r="AB937" s="105">
        <v>46065.897222222222</v>
      </c>
      <c r="AC937" s="105">
        <v>46066.65625</v>
      </c>
    </row>
    <row r="938" s="70" customFormat="1" ht="11.25" customHeight="1">
      <c r="A938" s="87"/>
      <c r="C938" s="43" t="s">
        <v>1901</v>
      </c>
      <c r="D938" s="71" t="s">
        <v>382</v>
      </c>
      <c r="E938" s="71" t="str">
        <f>MID(D938,1,2)</f>
        <v>IL</v>
      </c>
      <c r="F938" s="71" t="s">
        <v>419</v>
      </c>
      <c r="G938" s="71" t="str">
        <f>MID(F938,1,2)</f>
        <v>US</v>
      </c>
      <c r="H938" s="43" t="s">
        <v>1902</v>
      </c>
      <c r="I938" s="71" t="s">
        <v>1903</v>
      </c>
      <c r="J938" s="71" t="s">
        <v>426</v>
      </c>
      <c r="K938" s="43"/>
      <c r="L938" s="71" t="s">
        <v>105</v>
      </c>
      <c r="M938" s="73">
        <v>7385</v>
      </c>
      <c r="N938" s="71" t="s">
        <v>388</v>
      </c>
      <c r="O938" s="73">
        <v>36.54</v>
      </c>
      <c r="P938" s="71" t="s">
        <v>389</v>
      </c>
      <c r="Q938" s="73">
        <v>7385</v>
      </c>
      <c r="R938" s="71" t="s">
        <v>388</v>
      </c>
      <c r="S938" s="73">
        <v>0</v>
      </c>
      <c r="T938" s="71" t="s">
        <v>390</v>
      </c>
      <c r="U938" s="74">
        <v>27</v>
      </c>
      <c r="V938" s="71" t="s">
        <v>391</v>
      </c>
      <c r="W938" s="130">
        <v>46069.354166666664</v>
      </c>
      <c r="X938" s="72">
        <v>46065.458333333336</v>
      </c>
      <c r="Y938" s="72">
        <v>46071.666666666664</v>
      </c>
      <c r="Z938" s="104" t="s">
        <v>382</v>
      </c>
      <c r="AA938" s="104" t="s">
        <v>422</v>
      </c>
      <c r="AB938" s="105">
        <v>46070.6125</v>
      </c>
      <c r="AC938" s="105">
        <v>46070.80625</v>
      </c>
    </row>
    <row r="939" s="70" customFormat="1" ht="11.25" customHeight="1">
      <c r="A939" s="87"/>
      <c r="C939" s="43" t="s">
        <v>1901</v>
      </c>
      <c r="D939" s="71" t="s">
        <v>382</v>
      </c>
      <c r="E939" s="71" t="str">
        <f>MID(D939,1,2)</f>
        <v>IL</v>
      </c>
      <c r="F939" s="71" t="s">
        <v>419</v>
      </c>
      <c r="G939" s="71" t="str">
        <f>MID(F939,1,2)</f>
        <v>US</v>
      </c>
      <c r="H939" s="43" t="s">
        <v>1902</v>
      </c>
      <c r="I939" s="71" t="s">
        <v>1903</v>
      </c>
      <c r="J939" s="71" t="s">
        <v>426</v>
      </c>
      <c r="K939" s="43"/>
      <c r="L939" s="71" t="s">
        <v>105</v>
      </c>
      <c r="M939" s="73">
        <v>7385</v>
      </c>
      <c r="N939" s="71" t="s">
        <v>388</v>
      </c>
      <c r="O939" s="73">
        <v>36.54</v>
      </c>
      <c r="P939" s="71" t="s">
        <v>389</v>
      </c>
      <c r="Q939" s="73">
        <v>7385</v>
      </c>
      <c r="R939" s="71" t="s">
        <v>388</v>
      </c>
      <c r="S939" s="73">
        <v>0</v>
      </c>
      <c r="T939" s="71" t="s">
        <v>390</v>
      </c>
      <c r="U939" s="74">
        <v>27</v>
      </c>
      <c r="V939" s="71" t="s">
        <v>391</v>
      </c>
      <c r="W939" s="130">
        <v>46069.354166666664</v>
      </c>
      <c r="X939" s="72">
        <v>46065.458333333336</v>
      </c>
      <c r="Y939" s="72">
        <v>46071.666666666664</v>
      </c>
      <c r="Z939" s="104" t="s">
        <v>422</v>
      </c>
      <c r="AA939" s="104" t="s">
        <v>419</v>
      </c>
      <c r="AB939" s="105">
        <v>46071.045138888891</v>
      </c>
      <c r="AC939" s="105">
        <v>46071.875</v>
      </c>
    </row>
    <row r="940" s="70" customFormat="1" ht="11.25" customHeight="1">
      <c r="A940" s="87"/>
      <c r="C940" s="43" t="s">
        <v>1904</v>
      </c>
      <c r="D940" s="71" t="s">
        <v>382</v>
      </c>
      <c r="E940" s="71" t="str">
        <f>MID(D940,1,2)</f>
        <v>IL</v>
      </c>
      <c r="F940" s="71" t="s">
        <v>414</v>
      </c>
      <c r="G940" s="71" t="str">
        <f>MID(F940,1,2)</f>
        <v>US</v>
      </c>
      <c r="H940" s="43" t="s">
        <v>1648</v>
      </c>
      <c r="I940" s="71" t="s">
        <v>1905</v>
      </c>
      <c r="J940" s="71" t="s">
        <v>386</v>
      </c>
      <c r="K940" s="43" t="s">
        <v>759</v>
      </c>
      <c r="L940" s="71" t="s">
        <v>107</v>
      </c>
      <c r="M940" s="73">
        <v>2</v>
      </c>
      <c r="N940" s="71" t="s">
        <v>388</v>
      </c>
      <c r="O940" s="73">
        <v>0.074</v>
      </c>
      <c r="P940" s="71" t="s">
        <v>389</v>
      </c>
      <c r="Q940" s="73">
        <v>12.5</v>
      </c>
      <c r="R940" s="71" t="s">
        <v>388</v>
      </c>
      <c r="S940" s="73">
        <v>0</v>
      </c>
      <c r="T940" s="71" t="s">
        <v>390</v>
      </c>
      <c r="U940" s="74">
        <v>1</v>
      </c>
      <c r="V940" s="71" t="s">
        <v>427</v>
      </c>
      <c r="W940" s="130">
        <v>46062.479861111111</v>
      </c>
      <c r="X940" s="72">
        <v>46064.03125</v>
      </c>
      <c r="Y940" s="72">
        <v>46064.239583333336</v>
      </c>
      <c r="Z940" s="104" t="s">
        <v>382</v>
      </c>
      <c r="AA940" s="104" t="s">
        <v>414</v>
      </c>
      <c r="AB940" s="105">
        <v>46064.034722222219</v>
      </c>
      <c r="AC940" s="105">
        <v>46064.222222222219</v>
      </c>
    </row>
    <row r="941" s="70" customFormat="1" ht="11.25" customHeight="1">
      <c r="A941" s="87"/>
      <c r="C941" s="43" t="s">
        <v>1906</v>
      </c>
      <c r="D941" s="71" t="s">
        <v>382</v>
      </c>
      <c r="E941" s="71" t="str">
        <f>MID(D941,1,2)</f>
        <v>IL</v>
      </c>
      <c r="F941" s="71" t="s">
        <v>476</v>
      </c>
      <c r="G941" s="71" t="str">
        <f>MID(F941,1,2)</f>
        <v>SG</v>
      </c>
      <c r="H941" s="43" t="s">
        <v>1907</v>
      </c>
      <c r="I941" s="71" t="s">
        <v>1908</v>
      </c>
      <c r="J941" s="71" t="s">
        <v>386</v>
      </c>
      <c r="K941" s="43"/>
      <c r="L941" s="71" t="s">
        <v>107</v>
      </c>
      <c r="M941" s="73">
        <v>50</v>
      </c>
      <c r="N941" s="71" t="s">
        <v>388</v>
      </c>
      <c r="O941" s="73">
        <v>0.336</v>
      </c>
      <c r="P941" s="71" t="s">
        <v>389</v>
      </c>
      <c r="Q941" s="73">
        <v>100</v>
      </c>
      <c r="R941" s="71" t="s">
        <v>388</v>
      </c>
      <c r="S941" s="73">
        <v>0</v>
      </c>
      <c r="T941" s="71" t="s">
        <v>390</v>
      </c>
      <c r="U941" s="74">
        <v>1</v>
      </c>
      <c r="V941" s="71" t="s">
        <v>391</v>
      </c>
      <c r="W941" s="130">
        <v>46062.57708333333</v>
      </c>
      <c r="X941" s="72">
        <v>46064.895833333336</v>
      </c>
      <c r="Y941" s="72">
        <v>46069.46875</v>
      </c>
      <c r="Z941" s="104" t="s">
        <v>382</v>
      </c>
      <c r="AA941" s="104" t="s">
        <v>833</v>
      </c>
      <c r="AB941" s="105">
        <v>46065.938194444447</v>
      </c>
      <c r="AC941" s="105">
        <v>46066.611805555556</v>
      </c>
    </row>
    <row r="942" s="70" customFormat="1" ht="11.25" customHeight="1">
      <c r="A942" s="87"/>
      <c r="C942" s="43" t="s">
        <v>1906</v>
      </c>
      <c r="D942" s="71" t="s">
        <v>382</v>
      </c>
      <c r="E942" s="71" t="str">
        <f>MID(D942,1,2)</f>
        <v>IL</v>
      </c>
      <c r="F942" s="71" t="s">
        <v>476</v>
      </c>
      <c r="G942" s="71" t="str">
        <f>MID(F942,1,2)</f>
        <v>SG</v>
      </c>
      <c r="H942" s="43" t="s">
        <v>1907</v>
      </c>
      <c r="I942" s="71" t="s">
        <v>1908</v>
      </c>
      <c r="J942" s="71" t="s">
        <v>386</v>
      </c>
      <c r="K942" s="43"/>
      <c r="L942" s="71" t="s">
        <v>107</v>
      </c>
      <c r="M942" s="73">
        <v>50</v>
      </c>
      <c r="N942" s="71" t="s">
        <v>388</v>
      </c>
      <c r="O942" s="73">
        <v>0.336</v>
      </c>
      <c r="P942" s="71" t="s">
        <v>389</v>
      </c>
      <c r="Q942" s="73">
        <v>100</v>
      </c>
      <c r="R942" s="71" t="s">
        <v>388</v>
      </c>
      <c r="S942" s="73">
        <v>0</v>
      </c>
      <c r="T942" s="71" t="s">
        <v>390</v>
      </c>
      <c r="U942" s="74">
        <v>1</v>
      </c>
      <c r="V942" s="71" t="s">
        <v>391</v>
      </c>
      <c r="W942" s="130">
        <v>46062.57708333333</v>
      </c>
      <c r="X942" s="72">
        <v>46064.895833333336</v>
      </c>
      <c r="Y942" s="72">
        <v>46069.46875</v>
      </c>
      <c r="Z942" s="104" t="s">
        <v>833</v>
      </c>
      <c r="AA942" s="104" t="s">
        <v>476</v>
      </c>
      <c r="AB942" s="105">
        <v>46067.344444444447</v>
      </c>
      <c r="AC942" s="105">
        <v>46067.470138888886</v>
      </c>
    </row>
    <row r="943" s="70" customFormat="1" ht="11.25" customHeight="1">
      <c r="A943" s="87"/>
      <c r="C943" s="43" t="s">
        <v>1909</v>
      </c>
      <c r="D943" s="71" t="s">
        <v>382</v>
      </c>
      <c r="E943" s="71" t="str">
        <f>MID(D943,1,2)</f>
        <v>IL</v>
      </c>
      <c r="F943" s="71" t="s">
        <v>522</v>
      </c>
      <c r="G943" s="71" t="str">
        <f>MID(F943,1,2)</f>
        <v>CZ</v>
      </c>
      <c r="H943" s="43" t="s">
        <v>1910</v>
      </c>
      <c r="I943" s="71" t="s">
        <v>1911</v>
      </c>
      <c r="J943" s="71" t="s">
        <v>386</v>
      </c>
      <c r="K943" s="43"/>
      <c r="L943" s="71" t="s">
        <v>107</v>
      </c>
      <c r="M943" s="73">
        <v>252</v>
      </c>
      <c r="N943" s="71" t="s">
        <v>388</v>
      </c>
      <c r="O943" s="73">
        <v>3.744</v>
      </c>
      <c r="P943" s="71" t="s">
        <v>389</v>
      </c>
      <c r="Q943" s="73">
        <v>624</v>
      </c>
      <c r="R943" s="71" t="s">
        <v>388</v>
      </c>
      <c r="S943" s="73">
        <v>0</v>
      </c>
      <c r="T943" s="71" t="s">
        <v>390</v>
      </c>
      <c r="U943" s="74">
        <v>3</v>
      </c>
      <c r="V943" s="71" t="s">
        <v>391</v>
      </c>
      <c r="W943" s="130">
        <v>46063.564849537041</v>
      </c>
      <c r="X943" s="72">
        <v>46066.572916666664</v>
      </c>
      <c r="Y943" s="72">
        <v>46066.725694444445</v>
      </c>
      <c r="Z943" s="104" t="s">
        <v>383</v>
      </c>
      <c r="AA943" s="104" t="s">
        <v>522</v>
      </c>
      <c r="AB943" s="105">
        <v>46069.949305555558</v>
      </c>
      <c r="AC943" s="105">
        <v>46070.416666666664</v>
      </c>
    </row>
    <row r="944" s="70" customFormat="1" ht="11.25" customHeight="1">
      <c r="A944" s="87"/>
      <c r="C944" s="43" t="s">
        <v>1909</v>
      </c>
      <c r="D944" s="71" t="s">
        <v>382</v>
      </c>
      <c r="E944" s="71" t="str">
        <f>MID(D944,1,2)</f>
        <v>IL</v>
      </c>
      <c r="F944" s="71" t="s">
        <v>522</v>
      </c>
      <c r="G944" s="71" t="str">
        <f>MID(F944,1,2)</f>
        <v>CZ</v>
      </c>
      <c r="H944" s="43" t="s">
        <v>1910</v>
      </c>
      <c r="I944" s="71" t="s">
        <v>1911</v>
      </c>
      <c r="J944" s="71" t="s">
        <v>386</v>
      </c>
      <c r="K944" s="43"/>
      <c r="L944" s="71" t="s">
        <v>107</v>
      </c>
      <c r="M944" s="73">
        <v>252</v>
      </c>
      <c r="N944" s="71" t="s">
        <v>388</v>
      </c>
      <c r="O944" s="73">
        <v>3.744</v>
      </c>
      <c r="P944" s="71" t="s">
        <v>389</v>
      </c>
      <c r="Q944" s="73">
        <v>624</v>
      </c>
      <c r="R944" s="71" t="s">
        <v>388</v>
      </c>
      <c r="S944" s="73">
        <v>0</v>
      </c>
      <c r="T944" s="71" t="s">
        <v>390</v>
      </c>
      <c r="U944" s="74">
        <v>3</v>
      </c>
      <c r="V944" s="71" t="s">
        <v>391</v>
      </c>
      <c r="W944" s="130">
        <v>46063.564849537041</v>
      </c>
      <c r="X944" s="72">
        <v>46066.572916666664</v>
      </c>
      <c r="Y944" s="72">
        <v>46066.725694444445</v>
      </c>
      <c r="Z944" s="104" t="s">
        <v>382</v>
      </c>
      <c r="AA944" s="104" t="s">
        <v>383</v>
      </c>
      <c r="AB944" s="105">
        <v>46066.5625</v>
      </c>
      <c r="AC944" s="105">
        <v>46066.709722222222</v>
      </c>
    </row>
    <row r="945" s="70" customFormat="1" ht="11.25" customHeight="1">
      <c r="A945" s="87"/>
      <c r="C945" s="43" t="s">
        <v>1912</v>
      </c>
      <c r="D945" s="71" t="s">
        <v>382</v>
      </c>
      <c r="E945" s="71" t="str">
        <f>MID(D945,1,2)</f>
        <v>IL</v>
      </c>
      <c r="F945" s="71" t="s">
        <v>496</v>
      </c>
      <c r="G945" s="71" t="str">
        <f>MID(F945,1,2)</f>
        <v>RO</v>
      </c>
      <c r="H945" s="43" t="s">
        <v>1913</v>
      </c>
      <c r="I945" s="71" t="s">
        <v>1914</v>
      </c>
      <c r="J945" s="71" t="s">
        <v>400</v>
      </c>
      <c r="K945" s="43"/>
      <c r="L945" s="71" t="s">
        <v>105</v>
      </c>
      <c r="M945" s="73">
        <v>50</v>
      </c>
      <c r="N945" s="71" t="s">
        <v>388</v>
      </c>
      <c r="O945" s="73">
        <v>1.103</v>
      </c>
      <c r="P945" s="71" t="s">
        <v>389</v>
      </c>
      <c r="Q945" s="73">
        <v>184</v>
      </c>
      <c r="R945" s="71" t="s">
        <v>388</v>
      </c>
      <c r="S945" s="73">
        <v>0</v>
      </c>
      <c r="T945" s="71" t="s">
        <v>390</v>
      </c>
      <c r="U945" s="74">
        <v>1</v>
      </c>
      <c r="V945" s="71" t="s">
        <v>391</v>
      </c>
      <c r="W945" s="130">
        <v>46062.507638888892</v>
      </c>
      <c r="X945" s="72">
        <v>46063.489583333336</v>
      </c>
      <c r="Y945" s="72">
        <v>46065.836805555555</v>
      </c>
      <c r="Z945" s="104" t="s">
        <v>382</v>
      </c>
      <c r="AA945" s="104" t="s">
        <v>408</v>
      </c>
      <c r="AB945" s="105">
        <v>46064.223611111112</v>
      </c>
      <c r="AC945" s="105">
        <v>46064.489583333336</v>
      </c>
    </row>
    <row r="946" s="70" customFormat="1" ht="11.25" customHeight="1">
      <c r="A946" s="87"/>
      <c r="C946" s="43" t="s">
        <v>1912</v>
      </c>
      <c r="D946" s="71" t="s">
        <v>382</v>
      </c>
      <c r="E946" s="71" t="str">
        <f>MID(D946,1,2)</f>
        <v>IL</v>
      </c>
      <c r="F946" s="71" t="s">
        <v>496</v>
      </c>
      <c r="G946" s="71" t="str">
        <f>MID(F946,1,2)</f>
        <v>RO</v>
      </c>
      <c r="H946" s="43" t="s">
        <v>1913</v>
      </c>
      <c r="I946" s="71" t="s">
        <v>1914</v>
      </c>
      <c r="J946" s="71" t="s">
        <v>400</v>
      </c>
      <c r="K946" s="43"/>
      <c r="L946" s="71" t="s">
        <v>105</v>
      </c>
      <c r="M946" s="73">
        <v>50</v>
      </c>
      <c r="N946" s="71" t="s">
        <v>388</v>
      </c>
      <c r="O946" s="73">
        <v>1.103</v>
      </c>
      <c r="P946" s="71" t="s">
        <v>389</v>
      </c>
      <c r="Q946" s="73">
        <v>184</v>
      </c>
      <c r="R946" s="71" t="s">
        <v>388</v>
      </c>
      <c r="S946" s="73">
        <v>0</v>
      </c>
      <c r="T946" s="71" t="s">
        <v>390</v>
      </c>
      <c r="U946" s="74">
        <v>1</v>
      </c>
      <c r="V946" s="71" t="s">
        <v>391</v>
      </c>
      <c r="W946" s="130">
        <v>46062.507638888892</v>
      </c>
      <c r="X946" s="72">
        <v>46063.489583333336</v>
      </c>
      <c r="Y946" s="72">
        <v>46065.836805555555</v>
      </c>
      <c r="Z946" s="104" t="s">
        <v>408</v>
      </c>
      <c r="AA946" s="104" t="s">
        <v>496</v>
      </c>
      <c r="AB946" s="105">
        <v>46065.8</v>
      </c>
      <c r="AC946" s="105">
        <v>46065.883333333331</v>
      </c>
    </row>
    <row r="947" s="70" customFormat="1" ht="11.25" customHeight="1">
      <c r="A947" s="87"/>
      <c r="C947" s="43" t="s">
        <v>1915</v>
      </c>
      <c r="D947" s="71" t="s">
        <v>382</v>
      </c>
      <c r="E947" s="71" t="str">
        <f>MID(D947,1,2)</f>
        <v>IL</v>
      </c>
      <c r="F947" s="71" t="s">
        <v>468</v>
      </c>
      <c r="G947" s="71" t="str">
        <f>MID(F947,1,2)</f>
        <v>US</v>
      </c>
      <c r="H947" s="43" t="s">
        <v>1891</v>
      </c>
      <c r="I947" s="71" t="s">
        <v>1916</v>
      </c>
      <c r="J947" s="71" t="s">
        <v>386</v>
      </c>
      <c r="K947" s="43"/>
      <c r="L947" s="71" t="s">
        <v>107</v>
      </c>
      <c r="M947" s="73">
        <v>2</v>
      </c>
      <c r="N947" s="71" t="s">
        <v>388</v>
      </c>
      <c r="O947" s="73">
        <v>0.024</v>
      </c>
      <c r="P947" s="71" t="s">
        <v>389</v>
      </c>
      <c r="Q947" s="73">
        <v>4</v>
      </c>
      <c r="R947" s="71" t="s">
        <v>388</v>
      </c>
      <c r="S947" s="73">
        <v>0</v>
      </c>
      <c r="T947" s="71" t="s">
        <v>390</v>
      </c>
      <c r="U947" s="74">
        <v>1</v>
      </c>
      <c r="V947" s="71" t="s">
        <v>391</v>
      </c>
      <c r="W947" s="130">
        <v>46062.5</v>
      </c>
      <c r="X947" s="72">
        <v>46064.965277777781</v>
      </c>
      <c r="Y947" s="72">
        <v>46069.706944444442</v>
      </c>
      <c r="Z947" s="104" t="s">
        <v>382</v>
      </c>
      <c r="AA947" s="104" t="s">
        <v>422</v>
      </c>
      <c r="AB947" s="105">
        <v>46064.963194444441</v>
      </c>
      <c r="AC947" s="105">
        <v>46065.148611111108</v>
      </c>
    </row>
    <row r="948" s="70" customFormat="1" ht="11.25" customHeight="1">
      <c r="A948" s="87"/>
      <c r="C948" s="43" t="s">
        <v>1915</v>
      </c>
      <c r="D948" s="71" t="s">
        <v>382</v>
      </c>
      <c r="E948" s="71" t="str">
        <f>MID(D948,1,2)</f>
        <v>IL</v>
      </c>
      <c r="F948" s="71" t="s">
        <v>468</v>
      </c>
      <c r="G948" s="71" t="str">
        <f>MID(F948,1,2)</f>
        <v>US</v>
      </c>
      <c r="H948" s="43" t="s">
        <v>1891</v>
      </c>
      <c r="I948" s="71" t="s">
        <v>1916</v>
      </c>
      <c r="J948" s="71" t="s">
        <v>386</v>
      </c>
      <c r="K948" s="43"/>
      <c r="L948" s="71" t="s">
        <v>107</v>
      </c>
      <c r="M948" s="73">
        <v>2</v>
      </c>
      <c r="N948" s="71" t="s">
        <v>388</v>
      </c>
      <c r="O948" s="73">
        <v>0.024</v>
      </c>
      <c r="P948" s="71" t="s">
        <v>389</v>
      </c>
      <c r="Q948" s="73">
        <v>4</v>
      </c>
      <c r="R948" s="71" t="s">
        <v>388</v>
      </c>
      <c r="S948" s="73">
        <v>0</v>
      </c>
      <c r="T948" s="71" t="s">
        <v>390</v>
      </c>
      <c r="U948" s="74">
        <v>1</v>
      </c>
      <c r="V948" s="71" t="s">
        <v>391</v>
      </c>
      <c r="W948" s="130">
        <v>46062.5</v>
      </c>
      <c r="X948" s="72">
        <v>46064.965277777781</v>
      </c>
      <c r="Y948" s="72">
        <v>46069.706944444442</v>
      </c>
      <c r="Z948" s="104" t="s">
        <v>422</v>
      </c>
      <c r="AA948" s="104" t="s">
        <v>468</v>
      </c>
      <c r="AB948" s="105">
        <v>46065.590277777781</v>
      </c>
      <c r="AC948" s="105">
        <v>46065.697222222225</v>
      </c>
    </row>
    <row r="949" s="70" customFormat="1" ht="11.25" customHeight="1">
      <c r="A949" s="87"/>
      <c r="C949" s="43" t="s">
        <v>1917</v>
      </c>
      <c r="D949" s="71" t="s">
        <v>382</v>
      </c>
      <c r="E949" s="71" t="str">
        <f>MID(D949,1,2)</f>
        <v>IL</v>
      </c>
      <c r="F949" s="71" t="s">
        <v>414</v>
      </c>
      <c r="G949" s="71" t="str">
        <f>MID(F949,1,2)</f>
        <v>US</v>
      </c>
      <c r="H949" s="43" t="s">
        <v>1648</v>
      </c>
      <c r="I949" s="71" t="s">
        <v>1918</v>
      </c>
      <c r="J949" s="71" t="s">
        <v>400</v>
      </c>
      <c r="K949" s="43"/>
      <c r="L949" s="71" t="s">
        <v>105</v>
      </c>
      <c r="M949" s="73">
        <v>7</v>
      </c>
      <c r="N949" s="71" t="s">
        <v>388</v>
      </c>
      <c r="O949" s="73">
        <v>0.092</v>
      </c>
      <c r="P949" s="71" t="s">
        <v>389</v>
      </c>
      <c r="Q949" s="73">
        <v>15.5</v>
      </c>
      <c r="R949" s="71" t="s">
        <v>388</v>
      </c>
      <c r="S949" s="73">
        <v>0</v>
      </c>
      <c r="T949" s="71" t="s">
        <v>390</v>
      </c>
      <c r="U949" s="74">
        <v>1</v>
      </c>
      <c r="V949" s="71" t="s">
        <v>427</v>
      </c>
      <c r="W949" s="130">
        <v>46062.843993055554</v>
      </c>
      <c r="X949" s="72">
        <v>46064.03125</v>
      </c>
      <c r="Y949" s="72">
        <v>46064.239583333336</v>
      </c>
      <c r="Z949" s="104" t="s">
        <v>382</v>
      </c>
      <c r="AA949" s="104" t="s">
        <v>414</v>
      </c>
      <c r="AB949" s="105">
        <v>46064.034722222219</v>
      </c>
      <c r="AC949" s="105">
        <v>46064.222222222219</v>
      </c>
    </row>
    <row r="950" s="70" customFormat="1" ht="11.25" customHeight="1">
      <c r="A950" s="87"/>
      <c r="C950" s="43" t="s">
        <v>1919</v>
      </c>
      <c r="D950" s="71" t="s">
        <v>382</v>
      </c>
      <c r="E950" s="71" t="str">
        <f>MID(D950,1,2)</f>
        <v>IL</v>
      </c>
      <c r="F950" s="71" t="s">
        <v>422</v>
      </c>
      <c r="G950" s="71" t="str">
        <f>MID(F950,1,2)</f>
        <v>US</v>
      </c>
      <c r="H950" s="43" t="s">
        <v>1920</v>
      </c>
      <c r="I950" s="71" t="s">
        <v>1921</v>
      </c>
      <c r="J950" s="71" t="s">
        <v>386</v>
      </c>
      <c r="K950" s="43"/>
      <c r="L950" s="71" t="s">
        <v>107</v>
      </c>
      <c r="M950" s="73">
        <v>4</v>
      </c>
      <c r="N950" s="71" t="s">
        <v>388</v>
      </c>
      <c r="O950" s="73">
        <v>0.027</v>
      </c>
      <c r="P950" s="71" t="s">
        <v>389</v>
      </c>
      <c r="Q950" s="73">
        <v>4.5</v>
      </c>
      <c r="R950" s="71" t="s">
        <v>388</v>
      </c>
      <c r="S950" s="73">
        <v>0</v>
      </c>
      <c r="T950" s="71" t="s">
        <v>390</v>
      </c>
      <c r="U950" s="74">
        <v>1</v>
      </c>
      <c r="V950" s="71" t="s">
        <v>446</v>
      </c>
      <c r="W950" s="130">
        <v>46063.639386574076</v>
      </c>
      <c r="X950" s="72">
        <v>46067.479166666664</v>
      </c>
      <c r="Y950" s="72">
        <v>46068.67291666667</v>
      </c>
      <c r="Z950" s="104" t="s">
        <v>382</v>
      </c>
      <c r="AA950" s="104" t="s">
        <v>422</v>
      </c>
      <c r="AB950" s="105">
        <v>46067.470138888886</v>
      </c>
      <c r="AC950" s="105">
        <v>46067.691666666666</v>
      </c>
    </row>
    <row r="951" s="70" customFormat="1" ht="11.25" customHeight="1">
      <c r="A951" s="87"/>
      <c r="C951" s="43" t="s">
        <v>1922</v>
      </c>
      <c r="D951" s="71" t="s">
        <v>382</v>
      </c>
      <c r="E951" s="71" t="str">
        <f>MID(D951,1,2)</f>
        <v>IL</v>
      </c>
      <c r="F951" s="71" t="s">
        <v>468</v>
      </c>
      <c r="G951" s="71" t="str">
        <f>MID(F951,1,2)</f>
        <v>US</v>
      </c>
      <c r="H951" s="43" t="s">
        <v>1891</v>
      </c>
      <c r="I951" s="71" t="s">
        <v>1923</v>
      </c>
      <c r="J951" s="71" t="s">
        <v>386</v>
      </c>
      <c r="K951" s="43"/>
      <c r="L951" s="71" t="s">
        <v>107</v>
      </c>
      <c r="M951" s="73">
        <v>1</v>
      </c>
      <c r="N951" s="71" t="s">
        <v>388</v>
      </c>
      <c r="O951" s="73">
        <v>0.008</v>
      </c>
      <c r="P951" s="71" t="s">
        <v>389</v>
      </c>
      <c r="Q951" s="73">
        <v>1.5</v>
      </c>
      <c r="R951" s="71" t="s">
        <v>388</v>
      </c>
      <c r="S951" s="73">
        <v>0</v>
      </c>
      <c r="T951" s="71" t="s">
        <v>390</v>
      </c>
      <c r="U951" s="74">
        <v>1</v>
      </c>
      <c r="V951" s="71" t="s">
        <v>391</v>
      </c>
      <c r="W951" s="130">
        <v>46062.51458333333</v>
      </c>
      <c r="X951" s="72">
        <v>46064.965277777781</v>
      </c>
      <c r="Y951" s="72">
        <v>46069.706944444442</v>
      </c>
      <c r="Z951" s="104" t="s">
        <v>382</v>
      </c>
      <c r="AA951" s="104" t="s">
        <v>422</v>
      </c>
      <c r="AB951" s="105">
        <v>46064.963194444441</v>
      </c>
      <c r="AC951" s="105">
        <v>46065.148611111108</v>
      </c>
    </row>
    <row r="952" s="70" customFormat="1" ht="11.25" customHeight="1">
      <c r="A952" s="87"/>
      <c r="C952" s="43" t="s">
        <v>1922</v>
      </c>
      <c r="D952" s="71" t="s">
        <v>382</v>
      </c>
      <c r="E952" s="71" t="str">
        <f>MID(D952,1,2)</f>
        <v>IL</v>
      </c>
      <c r="F952" s="71" t="s">
        <v>468</v>
      </c>
      <c r="G952" s="71" t="str">
        <f>MID(F952,1,2)</f>
        <v>US</v>
      </c>
      <c r="H952" s="43" t="s">
        <v>1891</v>
      </c>
      <c r="I952" s="71" t="s">
        <v>1923</v>
      </c>
      <c r="J952" s="71" t="s">
        <v>386</v>
      </c>
      <c r="K952" s="43"/>
      <c r="L952" s="71" t="s">
        <v>107</v>
      </c>
      <c r="M952" s="73">
        <v>1</v>
      </c>
      <c r="N952" s="71" t="s">
        <v>388</v>
      </c>
      <c r="O952" s="73">
        <v>0.008</v>
      </c>
      <c r="P952" s="71" t="s">
        <v>389</v>
      </c>
      <c r="Q952" s="73">
        <v>1.5</v>
      </c>
      <c r="R952" s="71" t="s">
        <v>388</v>
      </c>
      <c r="S952" s="73">
        <v>0</v>
      </c>
      <c r="T952" s="71" t="s">
        <v>390</v>
      </c>
      <c r="U952" s="74">
        <v>1</v>
      </c>
      <c r="V952" s="71" t="s">
        <v>391</v>
      </c>
      <c r="W952" s="130">
        <v>46062.51458333333</v>
      </c>
      <c r="X952" s="72">
        <v>46064.965277777781</v>
      </c>
      <c r="Y952" s="72">
        <v>46069.706944444442</v>
      </c>
      <c r="Z952" s="104" t="s">
        <v>422</v>
      </c>
      <c r="AA952" s="104" t="s">
        <v>468</v>
      </c>
      <c r="AB952" s="105">
        <v>46065.590277777781</v>
      </c>
      <c r="AC952" s="105">
        <v>46065.697222222225</v>
      </c>
    </row>
    <row r="953" s="70" customFormat="1" ht="11.25" customHeight="1">
      <c r="A953" s="87"/>
      <c r="C953" s="43" t="s">
        <v>1924</v>
      </c>
      <c r="D953" s="71" t="s">
        <v>382</v>
      </c>
      <c r="E953" s="71" t="str">
        <f>MID(D953,1,2)</f>
        <v>IL</v>
      </c>
      <c r="F953" s="71" t="s">
        <v>422</v>
      </c>
      <c r="G953" s="71" t="str">
        <f>MID(F953,1,2)</f>
        <v>US</v>
      </c>
      <c r="H953" s="43" t="s">
        <v>1925</v>
      </c>
      <c r="I953" s="71"/>
      <c r="J953" s="71" t="s">
        <v>426</v>
      </c>
      <c r="K953" s="43"/>
      <c r="L953" s="71" t="s">
        <v>105</v>
      </c>
      <c r="M953" s="73">
        <v>3216</v>
      </c>
      <c r="N953" s="71" t="s">
        <v>388</v>
      </c>
      <c r="O953" s="73">
        <v>15.84</v>
      </c>
      <c r="P953" s="71" t="s">
        <v>389</v>
      </c>
      <c r="Q953" s="73">
        <v>3216</v>
      </c>
      <c r="R953" s="71" t="s">
        <v>388</v>
      </c>
      <c r="S953" s="73">
        <v>0</v>
      </c>
      <c r="T953" s="71" t="s">
        <v>390</v>
      </c>
      <c r="U953" s="74">
        <v>15</v>
      </c>
      <c r="V953" s="71" t="s">
        <v>391</v>
      </c>
      <c r="W953" s="130">
        <v>46062.611805555556</v>
      </c>
      <c r="X953" s="72">
        <v>46065.003472222219</v>
      </c>
      <c r="Y953" s="72">
        <v>46065.25</v>
      </c>
      <c r="Z953" s="104" t="s">
        <v>382</v>
      </c>
      <c r="AA953" s="104" t="s">
        <v>422</v>
      </c>
      <c r="AB953" s="105">
        <v>46065.002083333333</v>
      </c>
      <c r="AC953" s="105">
        <v>46065.186111111114</v>
      </c>
    </row>
    <row r="954" s="70" customFormat="1" ht="11.25" customHeight="1">
      <c r="A954" s="87"/>
      <c r="C954" s="43" t="s">
        <v>1926</v>
      </c>
      <c r="D954" s="71" t="s">
        <v>382</v>
      </c>
      <c r="E954" s="71" t="str">
        <f>MID(D954,1,2)</f>
        <v>IL</v>
      </c>
      <c r="F954" s="71" t="s">
        <v>748</v>
      </c>
      <c r="G954" s="71" t="str">
        <f>MID(F954,1,2)</f>
        <v>DE</v>
      </c>
      <c r="H954" s="43" t="s">
        <v>1927</v>
      </c>
      <c r="I954" s="71" t="s">
        <v>1928</v>
      </c>
      <c r="J954" s="71" t="s">
        <v>454</v>
      </c>
      <c r="K954" s="43"/>
      <c r="L954" s="71" t="s">
        <v>107</v>
      </c>
      <c r="M954" s="73">
        <v>146</v>
      </c>
      <c r="N954" s="71" t="s">
        <v>388</v>
      </c>
      <c r="O954" s="73">
        <v>1.478</v>
      </c>
      <c r="P954" s="71" t="s">
        <v>389</v>
      </c>
      <c r="Q954" s="73">
        <v>246.5</v>
      </c>
      <c r="R954" s="71" t="s">
        <v>388</v>
      </c>
      <c r="S954" s="73">
        <v>0</v>
      </c>
      <c r="T954" s="71" t="s">
        <v>390</v>
      </c>
      <c r="U954" s="74">
        <v>1</v>
      </c>
      <c r="V954" s="71" t="s">
        <v>391</v>
      </c>
      <c r="W954" s="130">
        <v>46062.641006944446</v>
      </c>
      <c r="X954" s="72">
        <v>46064.753472222219</v>
      </c>
      <c r="Y954" s="72">
        <v>46065.604166666664</v>
      </c>
      <c r="Z954" s="104" t="s">
        <v>382</v>
      </c>
      <c r="AA954" s="104" t="s">
        <v>748</v>
      </c>
      <c r="AB954" s="105">
        <v>46064.851388888892</v>
      </c>
      <c r="AC954" s="105">
        <v>46065.130555555559</v>
      </c>
    </row>
    <row r="955" s="70" customFormat="1" ht="11.25" customHeight="1">
      <c r="A955" s="87"/>
      <c r="C955" s="43" t="s">
        <v>1929</v>
      </c>
      <c r="D955" s="71" t="s">
        <v>382</v>
      </c>
      <c r="E955" s="71" t="str">
        <f>MID(D955,1,2)</f>
        <v>IL</v>
      </c>
      <c r="F955" s="71" t="s">
        <v>546</v>
      </c>
      <c r="G955" s="71" t="str">
        <f>MID(F955,1,2)</f>
        <v>GB</v>
      </c>
      <c r="H955" s="43" t="s">
        <v>574</v>
      </c>
      <c r="I955" s="71" t="s">
        <v>1930</v>
      </c>
      <c r="J955" s="71" t="s">
        <v>400</v>
      </c>
      <c r="K955" s="43"/>
      <c r="L955" s="71" t="s">
        <v>105</v>
      </c>
      <c r="M955" s="73">
        <v>185</v>
      </c>
      <c r="N955" s="71" t="s">
        <v>388</v>
      </c>
      <c r="O955" s="73">
        <v>3.38</v>
      </c>
      <c r="P955" s="71" t="s">
        <v>389</v>
      </c>
      <c r="Q955" s="73">
        <v>564</v>
      </c>
      <c r="R955" s="71" t="s">
        <v>388</v>
      </c>
      <c r="S955" s="73">
        <v>0</v>
      </c>
      <c r="T955" s="71" t="s">
        <v>390</v>
      </c>
      <c r="U955" s="74">
        <v>1</v>
      </c>
      <c r="V955" s="71" t="s">
        <v>391</v>
      </c>
      <c r="W955" s="130"/>
      <c r="X955" s="72">
        <v>46062.003472222219</v>
      </c>
      <c r="Y955" s="72"/>
      <c r="Z955" s="104" t="s">
        <v>382</v>
      </c>
      <c r="AA955" s="104" t="s">
        <v>546</v>
      </c>
      <c r="AB955" s="105"/>
      <c r="AC955" s="105"/>
    </row>
    <row r="956" s="70" customFormat="1" ht="11.25" customHeight="1">
      <c r="A956" s="87"/>
      <c r="C956" s="43" t="s">
        <v>1931</v>
      </c>
      <c r="D956" s="71" t="s">
        <v>382</v>
      </c>
      <c r="E956" s="71" t="str">
        <f>MID(D956,1,2)</f>
        <v>IL</v>
      </c>
      <c r="F956" s="71" t="s">
        <v>414</v>
      </c>
      <c r="G956" s="71" t="str">
        <f>MID(F956,1,2)</f>
        <v>US</v>
      </c>
      <c r="H956" s="43" t="s">
        <v>1648</v>
      </c>
      <c r="I956" s="71" t="s">
        <v>1932</v>
      </c>
      <c r="J956" s="71" t="s">
        <v>386</v>
      </c>
      <c r="K956" s="43" t="s">
        <v>759</v>
      </c>
      <c r="L956" s="71" t="s">
        <v>107</v>
      </c>
      <c r="M956" s="73">
        <v>5</v>
      </c>
      <c r="N956" s="71" t="s">
        <v>388</v>
      </c>
      <c r="O956" s="73">
        <v>0.023</v>
      </c>
      <c r="P956" s="71" t="s">
        <v>389</v>
      </c>
      <c r="Q956" s="73">
        <v>5</v>
      </c>
      <c r="R956" s="71" t="s">
        <v>388</v>
      </c>
      <c r="S956" s="73">
        <v>0</v>
      </c>
      <c r="T956" s="71" t="s">
        <v>390</v>
      </c>
      <c r="U956" s="74">
        <v>1</v>
      </c>
      <c r="V956" s="71" t="s">
        <v>427</v>
      </c>
      <c r="W956" s="130">
        <v>46062.878634259258</v>
      </c>
      <c r="X956" s="72">
        <v>46064.03125</v>
      </c>
      <c r="Y956" s="72">
        <v>46064.239583333336</v>
      </c>
      <c r="Z956" s="104" t="s">
        <v>382</v>
      </c>
      <c r="AA956" s="104" t="s">
        <v>414</v>
      </c>
      <c r="AB956" s="105">
        <v>46064.034722222219</v>
      </c>
      <c r="AC956" s="105">
        <v>46064.222222222219</v>
      </c>
    </row>
    <row r="957" s="70" customFormat="1" ht="11.25" customHeight="1">
      <c r="A957" s="87"/>
      <c r="C957" s="43" t="s">
        <v>1933</v>
      </c>
      <c r="D957" s="71" t="s">
        <v>382</v>
      </c>
      <c r="E957" s="71" t="str">
        <f>MID(D957,1,2)</f>
        <v>IL</v>
      </c>
      <c r="F957" s="71" t="s">
        <v>414</v>
      </c>
      <c r="G957" s="71" t="str">
        <f>MID(F957,1,2)</f>
        <v>US</v>
      </c>
      <c r="H957" s="43" t="s">
        <v>1648</v>
      </c>
      <c r="I957" s="71" t="s">
        <v>1934</v>
      </c>
      <c r="J957" s="71" t="s">
        <v>386</v>
      </c>
      <c r="K957" s="43" t="s">
        <v>759</v>
      </c>
      <c r="L957" s="71" t="s">
        <v>107</v>
      </c>
      <c r="M957" s="73">
        <v>1</v>
      </c>
      <c r="N957" s="71" t="s">
        <v>388</v>
      </c>
      <c r="O957" s="73">
        <v>0.009</v>
      </c>
      <c r="P957" s="71" t="s">
        <v>389</v>
      </c>
      <c r="Q957" s="73">
        <v>1.5</v>
      </c>
      <c r="R957" s="71" t="s">
        <v>388</v>
      </c>
      <c r="S957" s="73">
        <v>0</v>
      </c>
      <c r="T957" s="71" t="s">
        <v>390</v>
      </c>
      <c r="U957" s="74">
        <v>1</v>
      </c>
      <c r="V957" s="71" t="s">
        <v>427</v>
      </c>
      <c r="W957" s="130">
        <v>46062.549305555556</v>
      </c>
      <c r="X957" s="72">
        <v>46064.03125</v>
      </c>
      <c r="Y957" s="72">
        <v>46064.239583333336</v>
      </c>
      <c r="Z957" s="104" t="s">
        <v>382</v>
      </c>
      <c r="AA957" s="104" t="s">
        <v>414</v>
      </c>
      <c r="AB957" s="105">
        <v>46064.034722222219</v>
      </c>
      <c r="AC957" s="105">
        <v>46064.222222222219</v>
      </c>
    </row>
    <row r="958" s="70" customFormat="1" ht="11.25" customHeight="1">
      <c r="A958" s="87"/>
      <c r="C958" s="43" t="s">
        <v>1935</v>
      </c>
      <c r="D958" s="71" t="s">
        <v>382</v>
      </c>
      <c r="E958" s="71" t="str">
        <f>MID(D958,1,2)</f>
        <v>IL</v>
      </c>
      <c r="F958" s="71" t="s">
        <v>680</v>
      </c>
      <c r="G958" s="71" t="str">
        <f>MID(F958,1,2)</f>
        <v>DE</v>
      </c>
      <c r="H958" s="43" t="s">
        <v>1936</v>
      </c>
      <c r="I958" s="71"/>
      <c r="J958" s="71" t="s">
        <v>811</v>
      </c>
      <c r="K958" s="43"/>
      <c r="L958" s="71" t="s">
        <v>105</v>
      </c>
      <c r="M958" s="73">
        <v>112</v>
      </c>
      <c r="N958" s="71" t="s">
        <v>388</v>
      </c>
      <c r="O958" s="73">
        <v>0.312</v>
      </c>
      <c r="P958" s="71" t="s">
        <v>389</v>
      </c>
      <c r="Q958" s="73">
        <v>112</v>
      </c>
      <c r="R958" s="71" t="s">
        <v>388</v>
      </c>
      <c r="S958" s="73">
        <v>0</v>
      </c>
      <c r="T958" s="71" t="s">
        <v>390</v>
      </c>
      <c r="U958" s="74">
        <v>1</v>
      </c>
      <c r="V958" s="71" t="s">
        <v>391</v>
      </c>
      <c r="W958" s="130"/>
      <c r="X958" s="72">
        <v>46064.836805555555</v>
      </c>
      <c r="Y958" s="72">
        <v>46065.604166666664</v>
      </c>
      <c r="Z958" s="104" t="s">
        <v>382</v>
      </c>
      <c r="AA958" s="104" t="s">
        <v>748</v>
      </c>
      <c r="AB958" s="105">
        <v>46063.877083333333</v>
      </c>
      <c r="AC958" s="105">
        <v>46064.109027777777</v>
      </c>
    </row>
    <row r="959" s="70" customFormat="1" ht="11.25" customHeight="1">
      <c r="A959" s="87"/>
      <c r="C959" s="43" t="s">
        <v>1935</v>
      </c>
      <c r="D959" s="71" t="s">
        <v>382</v>
      </c>
      <c r="E959" s="71" t="str">
        <f>MID(D959,1,2)</f>
        <v>IL</v>
      </c>
      <c r="F959" s="71" t="s">
        <v>680</v>
      </c>
      <c r="G959" s="71" t="str">
        <f>MID(F959,1,2)</f>
        <v>DE</v>
      </c>
      <c r="H959" s="43" t="s">
        <v>1936</v>
      </c>
      <c r="I959" s="71"/>
      <c r="J959" s="71" t="s">
        <v>811</v>
      </c>
      <c r="K959" s="43"/>
      <c r="L959" s="71" t="s">
        <v>105</v>
      </c>
      <c r="M959" s="73">
        <v>112</v>
      </c>
      <c r="N959" s="71" t="s">
        <v>388</v>
      </c>
      <c r="O959" s="73">
        <v>0.312</v>
      </c>
      <c r="P959" s="71" t="s">
        <v>389</v>
      </c>
      <c r="Q959" s="73">
        <v>112</v>
      </c>
      <c r="R959" s="71" t="s">
        <v>388</v>
      </c>
      <c r="S959" s="73">
        <v>0</v>
      </c>
      <c r="T959" s="71" t="s">
        <v>390</v>
      </c>
      <c r="U959" s="74">
        <v>1</v>
      </c>
      <c r="V959" s="71" t="s">
        <v>391</v>
      </c>
      <c r="W959" s="130"/>
      <c r="X959" s="72">
        <v>46064.836805555555</v>
      </c>
      <c r="Y959" s="72">
        <v>46065.604166666664</v>
      </c>
      <c r="Z959" s="104" t="s">
        <v>748</v>
      </c>
      <c r="AA959" s="104" t="s">
        <v>680</v>
      </c>
      <c r="AB959" s="105">
        <v>46065.195138888892</v>
      </c>
      <c r="AC959" s="105">
        <v>46065.320138888892</v>
      </c>
    </row>
    <row r="960" s="70" customFormat="1" ht="11.25" customHeight="1">
      <c r="A960" s="87"/>
      <c r="C960" s="43" t="s">
        <v>1937</v>
      </c>
      <c r="D960" s="71" t="s">
        <v>382</v>
      </c>
      <c r="E960" s="71" t="str">
        <f>MID(D960,1,2)</f>
        <v>IL</v>
      </c>
      <c r="F960" s="71" t="s">
        <v>919</v>
      </c>
      <c r="G960" s="71" t="str">
        <f>MID(F960,1,2)</f>
        <v>CN</v>
      </c>
      <c r="H960" s="43" t="s">
        <v>1938</v>
      </c>
      <c r="I960" s="71" t="s">
        <v>1939</v>
      </c>
      <c r="J960" s="71" t="s">
        <v>755</v>
      </c>
      <c r="K960" s="43"/>
      <c r="L960" s="71" t="s">
        <v>105</v>
      </c>
      <c r="M960" s="73">
        <v>15</v>
      </c>
      <c r="N960" s="71" t="s">
        <v>388</v>
      </c>
      <c r="O960" s="73">
        <v>0.4</v>
      </c>
      <c r="P960" s="71" t="s">
        <v>389</v>
      </c>
      <c r="Q960" s="73">
        <v>67</v>
      </c>
      <c r="R960" s="71" t="s">
        <v>388</v>
      </c>
      <c r="S960" s="73">
        <v>0</v>
      </c>
      <c r="T960" s="71" t="s">
        <v>390</v>
      </c>
      <c r="U960" s="74">
        <v>1</v>
      </c>
      <c r="V960" s="71" t="s">
        <v>391</v>
      </c>
      <c r="W960" s="130">
        <v>46063.544004629628</v>
      </c>
      <c r="X960" s="72">
        <v>46064.690972222219</v>
      </c>
      <c r="Y960" s="72">
        <v>46070.128472222219</v>
      </c>
      <c r="Z960" s="104" t="s">
        <v>382</v>
      </c>
      <c r="AA960" s="104" t="s">
        <v>383</v>
      </c>
      <c r="AB960" s="105">
        <v>46064.999305555553</v>
      </c>
      <c r="AC960" s="105">
        <v>46065.288194444445</v>
      </c>
    </row>
    <row r="961" s="70" customFormat="1" ht="11.25" customHeight="1">
      <c r="A961" s="87"/>
      <c r="C961" s="43" t="s">
        <v>1937</v>
      </c>
      <c r="D961" s="71" t="s">
        <v>382</v>
      </c>
      <c r="E961" s="71" t="str">
        <f>MID(D961,1,2)</f>
        <v>IL</v>
      </c>
      <c r="F961" s="71" t="s">
        <v>919</v>
      </c>
      <c r="G961" s="71" t="str">
        <f>MID(F961,1,2)</f>
        <v>CN</v>
      </c>
      <c r="H961" s="43" t="s">
        <v>1938</v>
      </c>
      <c r="I961" s="71" t="s">
        <v>1939</v>
      </c>
      <c r="J961" s="71" t="s">
        <v>755</v>
      </c>
      <c r="K961" s="43"/>
      <c r="L961" s="71" t="s">
        <v>105</v>
      </c>
      <c r="M961" s="73">
        <v>15</v>
      </c>
      <c r="N961" s="71" t="s">
        <v>388</v>
      </c>
      <c r="O961" s="73">
        <v>0.4</v>
      </c>
      <c r="P961" s="71" t="s">
        <v>389</v>
      </c>
      <c r="Q961" s="73">
        <v>67</v>
      </c>
      <c r="R961" s="71" t="s">
        <v>388</v>
      </c>
      <c r="S961" s="73">
        <v>0</v>
      </c>
      <c r="T961" s="71" t="s">
        <v>390</v>
      </c>
      <c r="U961" s="74">
        <v>1</v>
      </c>
      <c r="V961" s="71" t="s">
        <v>391</v>
      </c>
      <c r="W961" s="130">
        <v>46063.544004629628</v>
      </c>
      <c r="X961" s="72">
        <v>46064.690972222219</v>
      </c>
      <c r="Y961" s="72">
        <v>46070.128472222219</v>
      </c>
      <c r="Z961" s="104" t="s">
        <v>383</v>
      </c>
      <c r="AA961" s="104" t="s">
        <v>919</v>
      </c>
      <c r="AB961" s="105">
        <v>46066.326388888891</v>
      </c>
      <c r="AC961" s="105">
        <v>46067.042361111111</v>
      </c>
    </row>
    <row r="962" s="70" customFormat="1" ht="11.25" customHeight="1">
      <c r="A962" s="87"/>
      <c r="C962" s="43" t="s">
        <v>1940</v>
      </c>
      <c r="D962" s="71" t="s">
        <v>382</v>
      </c>
      <c r="E962" s="71" t="str">
        <f>MID(D962,1,2)</f>
        <v>IL</v>
      </c>
      <c r="F962" s="71" t="s">
        <v>1357</v>
      </c>
      <c r="G962" s="71" t="str">
        <f>MID(F962,1,2)</f>
        <v>IN</v>
      </c>
      <c r="H962" s="43" t="s">
        <v>1941</v>
      </c>
      <c r="I962" s="71" t="s">
        <v>1942</v>
      </c>
      <c r="J962" s="71" t="s">
        <v>400</v>
      </c>
      <c r="K962" s="43"/>
      <c r="L962" s="71" t="s">
        <v>105</v>
      </c>
      <c r="M962" s="73">
        <v>23</v>
      </c>
      <c r="N962" s="71" t="s">
        <v>388</v>
      </c>
      <c r="O962" s="73">
        <v>0.289</v>
      </c>
      <c r="P962" s="71" t="s">
        <v>389</v>
      </c>
      <c r="Q962" s="73">
        <v>48.5</v>
      </c>
      <c r="R962" s="71" t="s">
        <v>388</v>
      </c>
      <c r="S962" s="73">
        <v>0</v>
      </c>
      <c r="T962" s="71" t="s">
        <v>390</v>
      </c>
      <c r="U962" s="74">
        <v>1</v>
      </c>
      <c r="V962" s="71" t="s">
        <v>446</v>
      </c>
      <c r="W962" s="130"/>
      <c r="X962" s="72">
        <v>46063.690972222219</v>
      </c>
      <c r="Y962" s="72">
        <v>46066.939583333333</v>
      </c>
      <c r="Z962" s="104" t="s">
        <v>382</v>
      </c>
      <c r="AA962" s="104" t="s">
        <v>817</v>
      </c>
      <c r="AB962" s="105">
        <v>46065.507638888892</v>
      </c>
      <c r="AC962" s="105">
        <v>46065.885416666664</v>
      </c>
    </row>
    <row r="963" s="70" customFormat="1" ht="11.25" customHeight="1">
      <c r="A963" s="87"/>
      <c r="C963" s="43" t="s">
        <v>1940</v>
      </c>
      <c r="D963" s="71" t="s">
        <v>382</v>
      </c>
      <c r="E963" s="71" t="str">
        <f>MID(D963,1,2)</f>
        <v>IL</v>
      </c>
      <c r="F963" s="71" t="s">
        <v>1357</v>
      </c>
      <c r="G963" s="71" t="str">
        <f>MID(F963,1,2)</f>
        <v>IN</v>
      </c>
      <c r="H963" s="43" t="s">
        <v>1941</v>
      </c>
      <c r="I963" s="71" t="s">
        <v>1942</v>
      </c>
      <c r="J963" s="71" t="s">
        <v>400</v>
      </c>
      <c r="K963" s="43"/>
      <c r="L963" s="71" t="s">
        <v>105</v>
      </c>
      <c r="M963" s="73">
        <v>23</v>
      </c>
      <c r="N963" s="71" t="s">
        <v>388</v>
      </c>
      <c r="O963" s="73">
        <v>0.289</v>
      </c>
      <c r="P963" s="71" t="s">
        <v>389</v>
      </c>
      <c r="Q963" s="73">
        <v>48.5</v>
      </c>
      <c r="R963" s="71" t="s">
        <v>388</v>
      </c>
      <c r="S963" s="73">
        <v>0</v>
      </c>
      <c r="T963" s="71" t="s">
        <v>390</v>
      </c>
      <c r="U963" s="74">
        <v>1</v>
      </c>
      <c r="V963" s="71" t="s">
        <v>446</v>
      </c>
      <c r="W963" s="130"/>
      <c r="X963" s="72">
        <v>46063.690972222219</v>
      </c>
      <c r="Y963" s="72">
        <v>46066.939583333333</v>
      </c>
      <c r="Z963" s="104" t="s">
        <v>817</v>
      </c>
      <c r="AA963" s="104" t="s">
        <v>1357</v>
      </c>
      <c r="AB963" s="105">
        <v>46066.850694444445</v>
      </c>
      <c r="AC963" s="105">
        <v>46066.939583333333</v>
      </c>
    </row>
    <row r="964" s="70" customFormat="1" ht="11.25" customHeight="1">
      <c r="A964" s="87"/>
      <c r="C964" s="43" t="s">
        <v>1943</v>
      </c>
      <c r="D964" s="71" t="s">
        <v>382</v>
      </c>
      <c r="E964" s="71" t="str">
        <f>MID(D964,1,2)</f>
        <v>IL</v>
      </c>
      <c r="F964" s="71" t="s">
        <v>451</v>
      </c>
      <c r="G964" s="71" t="str">
        <f>MID(F964,1,2)</f>
        <v>IT</v>
      </c>
      <c r="H964" s="43" t="s">
        <v>1944</v>
      </c>
      <c r="I964" s="71" t="s">
        <v>1945</v>
      </c>
      <c r="J964" s="71" t="s">
        <v>386</v>
      </c>
      <c r="K964" s="43"/>
      <c r="L964" s="71" t="s">
        <v>107</v>
      </c>
      <c r="M964" s="73">
        <v>197</v>
      </c>
      <c r="N964" s="71" t="s">
        <v>388</v>
      </c>
      <c r="O964" s="73">
        <v>0.96</v>
      </c>
      <c r="P964" s="71" t="s">
        <v>389</v>
      </c>
      <c r="Q964" s="73">
        <v>197</v>
      </c>
      <c r="R964" s="71" t="s">
        <v>388</v>
      </c>
      <c r="S964" s="73">
        <v>0</v>
      </c>
      <c r="T964" s="71" t="s">
        <v>390</v>
      </c>
      <c r="U964" s="74">
        <v>1</v>
      </c>
      <c r="V964" s="71" t="s">
        <v>391</v>
      </c>
      <c r="W964" s="130">
        <v>46064.672743055555</v>
      </c>
      <c r="X964" s="72">
        <v>46066.572916666664</v>
      </c>
      <c r="Y964" s="72">
        <v>46073.121527777781</v>
      </c>
      <c r="Z964" s="104" t="s">
        <v>382</v>
      </c>
      <c r="AA964" s="104" t="s">
        <v>383</v>
      </c>
      <c r="AB964" s="105">
        <v>46066.5625</v>
      </c>
      <c r="AC964" s="105">
        <v>46066.709722222222</v>
      </c>
    </row>
    <row r="965" s="70" customFormat="1" ht="11.25" customHeight="1">
      <c r="A965" s="87"/>
      <c r="C965" s="43" t="s">
        <v>1943</v>
      </c>
      <c r="D965" s="71" t="s">
        <v>382</v>
      </c>
      <c r="E965" s="71" t="str">
        <f>MID(D965,1,2)</f>
        <v>IL</v>
      </c>
      <c r="F965" s="71" t="s">
        <v>451</v>
      </c>
      <c r="G965" s="71" t="str">
        <f>MID(F965,1,2)</f>
        <v>IT</v>
      </c>
      <c r="H965" s="43" t="s">
        <v>1944</v>
      </c>
      <c r="I965" s="71" t="s">
        <v>1945</v>
      </c>
      <c r="J965" s="71" t="s">
        <v>386</v>
      </c>
      <c r="K965" s="43"/>
      <c r="L965" s="71" t="s">
        <v>107</v>
      </c>
      <c r="M965" s="73">
        <v>197</v>
      </c>
      <c r="N965" s="71" t="s">
        <v>388</v>
      </c>
      <c r="O965" s="73">
        <v>0.96</v>
      </c>
      <c r="P965" s="71" t="s">
        <v>389</v>
      </c>
      <c r="Q965" s="73">
        <v>197</v>
      </c>
      <c r="R965" s="71" t="s">
        <v>388</v>
      </c>
      <c r="S965" s="73">
        <v>0</v>
      </c>
      <c r="T965" s="71" t="s">
        <v>390</v>
      </c>
      <c r="U965" s="74">
        <v>1</v>
      </c>
      <c r="V965" s="71" t="s">
        <v>391</v>
      </c>
      <c r="W965" s="130">
        <v>46064.672743055555</v>
      </c>
      <c r="X965" s="72">
        <v>46066.572916666664</v>
      </c>
      <c r="Y965" s="72">
        <v>46073.121527777781</v>
      </c>
      <c r="Z965" s="104" t="s">
        <v>383</v>
      </c>
      <c r="AA965" s="104" t="s">
        <v>451</v>
      </c>
      <c r="AB965" s="105">
        <v>46067.972916666666</v>
      </c>
      <c r="AC965" s="105">
        <v>46069.291666666664</v>
      </c>
    </row>
    <row r="966" s="70" customFormat="1" ht="11.25" customHeight="1">
      <c r="A966" s="87"/>
      <c r="C966" s="43" t="s">
        <v>1946</v>
      </c>
      <c r="D966" s="71" t="s">
        <v>382</v>
      </c>
      <c r="E966" s="71" t="str">
        <f>MID(D966,1,2)</f>
        <v>IL</v>
      </c>
      <c r="F966" s="71" t="s">
        <v>496</v>
      </c>
      <c r="G966" s="71" t="str">
        <f>MID(F966,1,2)</f>
        <v>RO</v>
      </c>
      <c r="H966" s="43" t="s">
        <v>1843</v>
      </c>
      <c r="I966" s="71" t="s">
        <v>1947</v>
      </c>
      <c r="J966" s="71" t="s">
        <v>400</v>
      </c>
      <c r="K966" s="43"/>
      <c r="L966" s="71" t="s">
        <v>105</v>
      </c>
      <c r="M966" s="73">
        <v>1</v>
      </c>
      <c r="N966" s="71" t="s">
        <v>388</v>
      </c>
      <c r="O966" s="73">
        <v>0.022</v>
      </c>
      <c r="P966" s="71" t="s">
        <v>389</v>
      </c>
      <c r="Q966" s="73">
        <v>4</v>
      </c>
      <c r="R966" s="71" t="s">
        <v>388</v>
      </c>
      <c r="S966" s="73">
        <v>0</v>
      </c>
      <c r="T966" s="71" t="s">
        <v>390</v>
      </c>
      <c r="U966" s="74">
        <v>1</v>
      </c>
      <c r="V966" s="71" t="s">
        <v>391</v>
      </c>
      <c r="W966" s="130">
        <v>46062.590277777781</v>
      </c>
      <c r="X966" s="72">
        <v>46064.013888888891</v>
      </c>
      <c r="Y966" s="72">
        <v>46064.131944444445</v>
      </c>
      <c r="Z966" s="104" t="s">
        <v>382</v>
      </c>
      <c r="AA966" s="104" t="s">
        <v>496</v>
      </c>
      <c r="AB966" s="105">
        <v>46064.013888888891</v>
      </c>
      <c r="AC966" s="105">
        <v>46064.145833333336</v>
      </c>
    </row>
    <row r="967" s="70" customFormat="1" ht="11.25" customHeight="1">
      <c r="A967" s="87"/>
      <c r="C967" s="43" t="s">
        <v>1948</v>
      </c>
      <c r="D967" s="71" t="s">
        <v>382</v>
      </c>
      <c r="E967" s="71" t="str">
        <f>MID(D967,1,2)</f>
        <v>IL</v>
      </c>
      <c r="F967" s="71" t="s">
        <v>496</v>
      </c>
      <c r="G967" s="71" t="str">
        <f>MID(F967,1,2)</f>
        <v>RO</v>
      </c>
      <c r="H967" s="43" t="s">
        <v>1843</v>
      </c>
      <c r="I967" s="71" t="s">
        <v>1949</v>
      </c>
      <c r="J967" s="71" t="s">
        <v>400</v>
      </c>
      <c r="K967" s="43"/>
      <c r="L967" s="71" t="s">
        <v>105</v>
      </c>
      <c r="M967" s="73">
        <v>34</v>
      </c>
      <c r="N967" s="71" t="s">
        <v>388</v>
      </c>
      <c r="O967" s="73">
        <v>0.506</v>
      </c>
      <c r="P967" s="71" t="s">
        <v>389</v>
      </c>
      <c r="Q967" s="73">
        <v>84.5</v>
      </c>
      <c r="R967" s="71" t="s">
        <v>388</v>
      </c>
      <c r="S967" s="73">
        <v>0</v>
      </c>
      <c r="T967" s="71" t="s">
        <v>390</v>
      </c>
      <c r="U967" s="74">
        <v>1</v>
      </c>
      <c r="V967" s="71" t="s">
        <v>391</v>
      </c>
      <c r="W967" s="130">
        <v>46062.837164351855</v>
      </c>
      <c r="X967" s="72">
        <v>46064.013888888891</v>
      </c>
      <c r="Y967" s="72">
        <v>46064.131944444445</v>
      </c>
      <c r="Z967" s="104" t="s">
        <v>382</v>
      </c>
      <c r="AA967" s="104" t="s">
        <v>496</v>
      </c>
      <c r="AB967" s="105">
        <v>46064.013888888891</v>
      </c>
      <c r="AC967" s="105">
        <v>46064.145833333336</v>
      </c>
    </row>
    <row r="968" s="70" customFormat="1" ht="11.25" customHeight="1">
      <c r="A968" s="87"/>
      <c r="C968" s="43" t="s">
        <v>1950</v>
      </c>
      <c r="D968" s="71" t="s">
        <v>382</v>
      </c>
      <c r="E968" s="71" t="str">
        <f>MID(D968,1,2)</f>
        <v>IL</v>
      </c>
      <c r="F968" s="71" t="s">
        <v>919</v>
      </c>
      <c r="G968" s="71" t="str">
        <f>MID(F968,1,2)</f>
        <v>CN</v>
      </c>
      <c r="H968" s="43" t="s">
        <v>1938</v>
      </c>
      <c r="I968" s="71" t="s">
        <v>1951</v>
      </c>
      <c r="J968" s="71" t="s">
        <v>755</v>
      </c>
      <c r="K968" s="43"/>
      <c r="L968" s="71" t="s">
        <v>105</v>
      </c>
      <c r="M968" s="73">
        <v>36</v>
      </c>
      <c r="N968" s="71" t="s">
        <v>388</v>
      </c>
      <c r="O968" s="73">
        <v>0.557</v>
      </c>
      <c r="P968" s="71" t="s">
        <v>389</v>
      </c>
      <c r="Q968" s="73">
        <v>93</v>
      </c>
      <c r="R968" s="71" t="s">
        <v>388</v>
      </c>
      <c r="S968" s="73">
        <v>0</v>
      </c>
      <c r="T968" s="71" t="s">
        <v>390</v>
      </c>
      <c r="U968" s="74">
        <v>1</v>
      </c>
      <c r="V968" s="71" t="s">
        <v>391</v>
      </c>
      <c r="W968" s="130">
        <v>46063.5509375</v>
      </c>
      <c r="X968" s="72">
        <v>46064.690972222219</v>
      </c>
      <c r="Y968" s="72">
        <v>46070.128472222219</v>
      </c>
      <c r="Z968" s="104" t="s">
        <v>382</v>
      </c>
      <c r="AA968" s="104" t="s">
        <v>383</v>
      </c>
      <c r="AB968" s="105">
        <v>46064.999305555553</v>
      </c>
      <c r="AC968" s="105">
        <v>46065.288194444445</v>
      </c>
    </row>
    <row r="969" s="70" customFormat="1" ht="11.25" customHeight="1">
      <c r="A969" s="87"/>
      <c r="C969" s="43" t="s">
        <v>1950</v>
      </c>
      <c r="D969" s="71" t="s">
        <v>382</v>
      </c>
      <c r="E969" s="71" t="str">
        <f>MID(D969,1,2)</f>
        <v>IL</v>
      </c>
      <c r="F969" s="71" t="s">
        <v>919</v>
      </c>
      <c r="G969" s="71" t="str">
        <f>MID(F969,1,2)</f>
        <v>CN</v>
      </c>
      <c r="H969" s="43" t="s">
        <v>1938</v>
      </c>
      <c r="I969" s="71" t="s">
        <v>1951</v>
      </c>
      <c r="J969" s="71" t="s">
        <v>755</v>
      </c>
      <c r="K969" s="43"/>
      <c r="L969" s="71" t="s">
        <v>105</v>
      </c>
      <c r="M969" s="73">
        <v>36</v>
      </c>
      <c r="N969" s="71" t="s">
        <v>388</v>
      </c>
      <c r="O969" s="73">
        <v>0.557</v>
      </c>
      <c r="P969" s="71" t="s">
        <v>389</v>
      </c>
      <c r="Q969" s="73">
        <v>93</v>
      </c>
      <c r="R969" s="71" t="s">
        <v>388</v>
      </c>
      <c r="S969" s="73">
        <v>0</v>
      </c>
      <c r="T969" s="71" t="s">
        <v>390</v>
      </c>
      <c r="U969" s="74">
        <v>1</v>
      </c>
      <c r="V969" s="71" t="s">
        <v>391</v>
      </c>
      <c r="W969" s="130">
        <v>46063.5509375</v>
      </c>
      <c r="X969" s="72">
        <v>46064.690972222219</v>
      </c>
      <c r="Y969" s="72">
        <v>46070.128472222219</v>
      </c>
      <c r="Z969" s="104" t="s">
        <v>383</v>
      </c>
      <c r="AA969" s="104" t="s">
        <v>919</v>
      </c>
      <c r="AB969" s="105">
        <v>46066.326388888891</v>
      </c>
      <c r="AC969" s="105">
        <v>46067.042361111111</v>
      </c>
    </row>
    <row r="970" s="70" customFormat="1" ht="11.25" customHeight="1">
      <c r="A970" s="87"/>
      <c r="C970" s="43" t="s">
        <v>1952</v>
      </c>
      <c r="D970" s="71" t="s">
        <v>382</v>
      </c>
      <c r="E970" s="71" t="str">
        <f>MID(D970,1,2)</f>
        <v>IL</v>
      </c>
      <c r="F970" s="71" t="s">
        <v>496</v>
      </c>
      <c r="G970" s="71" t="str">
        <f>MID(F970,1,2)</f>
        <v>RO</v>
      </c>
      <c r="H970" s="43" t="s">
        <v>1843</v>
      </c>
      <c r="I970" s="71" t="s">
        <v>1953</v>
      </c>
      <c r="J970" s="71" t="s">
        <v>400</v>
      </c>
      <c r="K970" s="43"/>
      <c r="L970" s="71" t="s">
        <v>105</v>
      </c>
      <c r="M970" s="73">
        <v>1</v>
      </c>
      <c r="N970" s="71" t="s">
        <v>388</v>
      </c>
      <c r="O970" s="73">
        <v>0.022</v>
      </c>
      <c r="P970" s="71" t="s">
        <v>389</v>
      </c>
      <c r="Q970" s="73">
        <v>4</v>
      </c>
      <c r="R970" s="71" t="s">
        <v>388</v>
      </c>
      <c r="S970" s="73">
        <v>0</v>
      </c>
      <c r="T970" s="71" t="s">
        <v>390</v>
      </c>
      <c r="U970" s="74">
        <v>1</v>
      </c>
      <c r="V970" s="71" t="s">
        <v>391</v>
      </c>
      <c r="W970" s="130">
        <v>46062.597222222219</v>
      </c>
      <c r="X970" s="72">
        <v>46064.013888888891</v>
      </c>
      <c r="Y970" s="72">
        <v>46064.131944444445</v>
      </c>
      <c r="Z970" s="104" t="s">
        <v>382</v>
      </c>
      <c r="AA970" s="104" t="s">
        <v>496</v>
      </c>
      <c r="AB970" s="105">
        <v>46064.013888888891</v>
      </c>
      <c r="AC970" s="105">
        <v>46064.145833333336</v>
      </c>
    </row>
    <row r="971" s="70" customFormat="1" ht="11.25" customHeight="1">
      <c r="A971" s="87"/>
      <c r="C971" s="43" t="s">
        <v>1954</v>
      </c>
      <c r="D971" s="71" t="s">
        <v>382</v>
      </c>
      <c r="E971" s="71" t="str">
        <f>MID(D971,1,2)</f>
        <v>IL</v>
      </c>
      <c r="F971" s="71" t="s">
        <v>1583</v>
      </c>
      <c r="G971" s="71" t="str">
        <f>MID(F971,1,2)</f>
        <v>BR</v>
      </c>
      <c r="H971" s="43" t="s">
        <v>1955</v>
      </c>
      <c r="I971" s="71" t="s">
        <v>1956</v>
      </c>
      <c r="J971" s="71" t="s">
        <v>411</v>
      </c>
      <c r="K971" s="43"/>
      <c r="L971" s="71" t="s">
        <v>105</v>
      </c>
      <c r="M971" s="73">
        <v>24.7</v>
      </c>
      <c r="N971" s="71" t="s">
        <v>388</v>
      </c>
      <c r="O971" s="73">
        <v>0.554</v>
      </c>
      <c r="P971" s="71" t="s">
        <v>389</v>
      </c>
      <c r="Q971" s="73">
        <v>92.5</v>
      </c>
      <c r="R971" s="71" t="s">
        <v>388</v>
      </c>
      <c r="S971" s="73">
        <v>0</v>
      </c>
      <c r="T971" s="71" t="s">
        <v>390</v>
      </c>
      <c r="U971" s="74">
        <v>8</v>
      </c>
      <c r="V971" s="71" t="s">
        <v>391</v>
      </c>
      <c r="W971" s="130"/>
      <c r="X971" s="72">
        <v>46066.549305555556</v>
      </c>
      <c r="Y971" s="72">
        <v>46076.541666666664</v>
      </c>
      <c r="Z971" s="104" t="s">
        <v>382</v>
      </c>
      <c r="AA971" s="104" t="s">
        <v>383</v>
      </c>
      <c r="AB971" s="105">
        <v>46066.5625</v>
      </c>
      <c r="AC971" s="105">
        <v>46066.709722222222</v>
      </c>
    </row>
    <row r="972" s="70" customFormat="1" ht="11.25" customHeight="1">
      <c r="A972" s="87"/>
      <c r="C972" s="43" t="s">
        <v>1954</v>
      </c>
      <c r="D972" s="71" t="s">
        <v>382</v>
      </c>
      <c r="E972" s="71" t="str">
        <f>MID(D972,1,2)</f>
        <v>IL</v>
      </c>
      <c r="F972" s="71" t="s">
        <v>1583</v>
      </c>
      <c r="G972" s="71" t="str">
        <f>MID(F972,1,2)</f>
        <v>BR</v>
      </c>
      <c r="H972" s="43" t="s">
        <v>1955</v>
      </c>
      <c r="I972" s="71" t="s">
        <v>1956</v>
      </c>
      <c r="J972" s="71" t="s">
        <v>411</v>
      </c>
      <c r="K972" s="43"/>
      <c r="L972" s="71" t="s">
        <v>105</v>
      </c>
      <c r="M972" s="73">
        <v>24.7</v>
      </c>
      <c r="N972" s="71" t="s">
        <v>388</v>
      </c>
      <c r="O972" s="73">
        <v>0.554</v>
      </c>
      <c r="P972" s="71" t="s">
        <v>389</v>
      </c>
      <c r="Q972" s="73">
        <v>92.5</v>
      </c>
      <c r="R972" s="71" t="s">
        <v>388</v>
      </c>
      <c r="S972" s="73">
        <v>0</v>
      </c>
      <c r="T972" s="71" t="s">
        <v>390</v>
      </c>
      <c r="U972" s="74">
        <v>8</v>
      </c>
      <c r="V972" s="71" t="s">
        <v>391</v>
      </c>
      <c r="W972" s="130"/>
      <c r="X972" s="72">
        <v>46066.549305555556</v>
      </c>
      <c r="Y972" s="72">
        <v>46076.541666666664</v>
      </c>
      <c r="Z972" s="104" t="s">
        <v>383</v>
      </c>
      <c r="AA972" s="104" t="s">
        <v>1349</v>
      </c>
      <c r="AB972" s="105">
        <v>46067.61875</v>
      </c>
      <c r="AC972" s="105">
        <v>46068.04791666667</v>
      </c>
    </row>
    <row r="973" s="70" customFormat="1" ht="11.25" customHeight="1">
      <c r="A973" s="87"/>
      <c r="C973" s="43" t="s">
        <v>1954</v>
      </c>
      <c r="D973" s="71" t="s">
        <v>382</v>
      </c>
      <c r="E973" s="71" t="str">
        <f>MID(D973,1,2)</f>
        <v>IL</v>
      </c>
      <c r="F973" s="71" t="s">
        <v>1583</v>
      </c>
      <c r="G973" s="71" t="str">
        <f>MID(F973,1,2)</f>
        <v>BR</v>
      </c>
      <c r="H973" s="43" t="s">
        <v>1955</v>
      </c>
      <c r="I973" s="71" t="s">
        <v>1956</v>
      </c>
      <c r="J973" s="71" t="s">
        <v>411</v>
      </c>
      <c r="K973" s="43"/>
      <c r="L973" s="71" t="s">
        <v>105</v>
      </c>
      <c r="M973" s="73">
        <v>24.7</v>
      </c>
      <c r="N973" s="71" t="s">
        <v>388</v>
      </c>
      <c r="O973" s="73">
        <v>0.554</v>
      </c>
      <c r="P973" s="71" t="s">
        <v>389</v>
      </c>
      <c r="Q973" s="73">
        <v>92.5</v>
      </c>
      <c r="R973" s="71" t="s">
        <v>388</v>
      </c>
      <c r="S973" s="73">
        <v>0</v>
      </c>
      <c r="T973" s="71" t="s">
        <v>390</v>
      </c>
      <c r="U973" s="74">
        <v>8</v>
      </c>
      <c r="V973" s="71" t="s">
        <v>391</v>
      </c>
      <c r="W973" s="130"/>
      <c r="X973" s="72">
        <v>46066.549305555556</v>
      </c>
      <c r="Y973" s="72">
        <v>46076.541666666664</v>
      </c>
      <c r="Z973" s="104" t="s">
        <v>1349</v>
      </c>
      <c r="AA973" s="104" t="s">
        <v>1583</v>
      </c>
      <c r="AB973" s="105">
        <v>46072.701388888891</v>
      </c>
      <c r="AC973" s="105">
        <v>46076.42291666667</v>
      </c>
    </row>
    <row r="974" s="70" customFormat="1" ht="11.25" customHeight="1">
      <c r="A974" s="87"/>
      <c r="C974" s="43" t="s">
        <v>1957</v>
      </c>
      <c r="D974" s="71" t="s">
        <v>382</v>
      </c>
      <c r="E974" s="71" t="str">
        <f>MID(D974,1,2)</f>
        <v>IL</v>
      </c>
      <c r="F974" s="71" t="s">
        <v>1816</v>
      </c>
      <c r="G974" s="71" t="str">
        <f>MID(F974,1,2)</f>
        <v>CL</v>
      </c>
      <c r="H974" s="43" t="s">
        <v>1958</v>
      </c>
      <c r="I974" s="71" t="s">
        <v>1959</v>
      </c>
      <c r="J974" s="71" t="s">
        <v>411</v>
      </c>
      <c r="K974" s="43"/>
      <c r="L974" s="71" t="s">
        <v>105</v>
      </c>
      <c r="M974" s="73">
        <v>67</v>
      </c>
      <c r="N974" s="71" t="s">
        <v>388</v>
      </c>
      <c r="O974" s="73">
        <v>0.696</v>
      </c>
      <c r="P974" s="71" t="s">
        <v>389</v>
      </c>
      <c r="Q974" s="73">
        <v>116</v>
      </c>
      <c r="R974" s="71" t="s">
        <v>388</v>
      </c>
      <c r="S974" s="73">
        <v>0</v>
      </c>
      <c r="T974" s="71" t="s">
        <v>390</v>
      </c>
      <c r="U974" s="74">
        <v>1</v>
      </c>
      <c r="V974" s="71" t="s">
        <v>391</v>
      </c>
      <c r="W974" s="130">
        <v>46062.625</v>
      </c>
      <c r="X974" s="72">
        <v>46065.472222222219</v>
      </c>
      <c r="Y974" s="72">
        <v>46074.368055555555</v>
      </c>
      <c r="Z974" s="104" t="s">
        <v>382</v>
      </c>
      <c r="AA974" s="104" t="s">
        <v>1960</v>
      </c>
      <c r="AB974" s="105">
        <v>46066.011111111111</v>
      </c>
      <c r="AC974" s="105">
        <v>46066.219444444447</v>
      </c>
    </row>
    <row r="975" s="70" customFormat="1" ht="11.25" customHeight="1">
      <c r="A975" s="87"/>
      <c r="C975" s="43" t="s">
        <v>1957</v>
      </c>
      <c r="D975" s="71" t="s">
        <v>382</v>
      </c>
      <c r="E975" s="71" t="str">
        <f>MID(D975,1,2)</f>
        <v>IL</v>
      </c>
      <c r="F975" s="71" t="s">
        <v>1816</v>
      </c>
      <c r="G975" s="71" t="str">
        <f>MID(F975,1,2)</f>
        <v>CL</v>
      </c>
      <c r="H975" s="43" t="s">
        <v>1958</v>
      </c>
      <c r="I975" s="71" t="s">
        <v>1959</v>
      </c>
      <c r="J975" s="71" t="s">
        <v>411</v>
      </c>
      <c r="K975" s="43"/>
      <c r="L975" s="71" t="s">
        <v>105</v>
      </c>
      <c r="M975" s="73">
        <v>67</v>
      </c>
      <c r="N975" s="71" t="s">
        <v>388</v>
      </c>
      <c r="O975" s="73">
        <v>0.696</v>
      </c>
      <c r="P975" s="71" t="s">
        <v>389</v>
      </c>
      <c r="Q975" s="73">
        <v>116</v>
      </c>
      <c r="R975" s="71" t="s">
        <v>388</v>
      </c>
      <c r="S975" s="73">
        <v>0</v>
      </c>
      <c r="T975" s="71" t="s">
        <v>390</v>
      </c>
      <c r="U975" s="74">
        <v>1</v>
      </c>
      <c r="V975" s="71" t="s">
        <v>391</v>
      </c>
      <c r="W975" s="130">
        <v>46062.625</v>
      </c>
      <c r="X975" s="72">
        <v>46065.472222222219</v>
      </c>
      <c r="Y975" s="72">
        <v>46074.368055555555</v>
      </c>
      <c r="Z975" s="104" t="s">
        <v>1960</v>
      </c>
      <c r="AA975" s="104" t="s">
        <v>510</v>
      </c>
      <c r="AB975" s="105">
        <v>46069.75</v>
      </c>
      <c r="AC975" s="105">
        <v>46073.823611111111</v>
      </c>
    </row>
    <row r="976" s="70" customFormat="1" ht="11.25" customHeight="1">
      <c r="A976" s="87"/>
      <c r="C976" s="43" t="s">
        <v>1957</v>
      </c>
      <c r="D976" s="71" t="s">
        <v>382</v>
      </c>
      <c r="E976" s="71" t="str">
        <f>MID(D976,1,2)</f>
        <v>IL</v>
      </c>
      <c r="F976" s="71" t="s">
        <v>1816</v>
      </c>
      <c r="G976" s="71" t="str">
        <f>MID(F976,1,2)</f>
        <v>CL</v>
      </c>
      <c r="H976" s="43" t="s">
        <v>1958</v>
      </c>
      <c r="I976" s="71" t="s">
        <v>1959</v>
      </c>
      <c r="J976" s="71" t="s">
        <v>411</v>
      </c>
      <c r="K976" s="43"/>
      <c r="L976" s="71" t="s">
        <v>105</v>
      </c>
      <c r="M976" s="73">
        <v>67</v>
      </c>
      <c r="N976" s="71" t="s">
        <v>388</v>
      </c>
      <c r="O976" s="73">
        <v>0.696</v>
      </c>
      <c r="P976" s="71" t="s">
        <v>389</v>
      </c>
      <c r="Q976" s="73">
        <v>116</v>
      </c>
      <c r="R976" s="71" t="s">
        <v>388</v>
      </c>
      <c r="S976" s="73">
        <v>0</v>
      </c>
      <c r="T976" s="71" t="s">
        <v>390</v>
      </c>
      <c r="U976" s="74">
        <v>1</v>
      </c>
      <c r="V976" s="71" t="s">
        <v>391</v>
      </c>
      <c r="W976" s="130">
        <v>46062.625</v>
      </c>
      <c r="X976" s="72">
        <v>46065.472222222219</v>
      </c>
      <c r="Y976" s="72">
        <v>46074.368055555555</v>
      </c>
      <c r="Z976" s="104" t="s">
        <v>510</v>
      </c>
      <c r="AA976" s="104" t="s">
        <v>1816</v>
      </c>
      <c r="AB976" s="105">
        <v>46074.875694444447</v>
      </c>
      <c r="AC976" s="105">
        <v>46075.367361111108</v>
      </c>
    </row>
    <row r="977" s="70" customFormat="1" ht="11.25" customHeight="1">
      <c r="A977" s="87"/>
      <c r="C977" s="43" t="s">
        <v>1961</v>
      </c>
      <c r="D977" s="71" t="s">
        <v>382</v>
      </c>
      <c r="E977" s="71" t="str">
        <f>MID(D977,1,2)</f>
        <v>IL</v>
      </c>
      <c r="F977" s="71" t="s">
        <v>577</v>
      </c>
      <c r="G977" s="71" t="str">
        <f>MID(F977,1,2)</f>
        <v>FR</v>
      </c>
      <c r="H977" s="43" t="s">
        <v>1962</v>
      </c>
      <c r="I977" s="71" t="s">
        <v>1963</v>
      </c>
      <c r="J977" s="71" t="s">
        <v>426</v>
      </c>
      <c r="K977" s="43"/>
      <c r="L977" s="71" t="s">
        <v>105</v>
      </c>
      <c r="M977" s="73">
        <v>463</v>
      </c>
      <c r="N977" s="71" t="s">
        <v>388</v>
      </c>
      <c r="O977" s="73">
        <v>2.791</v>
      </c>
      <c r="P977" s="71" t="s">
        <v>389</v>
      </c>
      <c r="Q977" s="73">
        <v>465.5</v>
      </c>
      <c r="R977" s="71" t="s">
        <v>388</v>
      </c>
      <c r="S977" s="73">
        <v>0</v>
      </c>
      <c r="T977" s="71" t="s">
        <v>390</v>
      </c>
      <c r="U977" s="74">
        <v>2</v>
      </c>
      <c r="V977" s="71" t="s">
        <v>391</v>
      </c>
      <c r="W977" s="130">
        <v>46063.680555555555</v>
      </c>
      <c r="X977" s="72">
        <v>46064.375</v>
      </c>
      <c r="Y977" s="72">
        <v>46064.538194444445</v>
      </c>
      <c r="Z977" s="104" t="s">
        <v>382</v>
      </c>
      <c r="AA977" s="104" t="s">
        <v>577</v>
      </c>
      <c r="AB977" s="105">
        <v>46064.37222222222</v>
      </c>
      <c r="AC977" s="105">
        <v>46064.533333333333</v>
      </c>
    </row>
    <row r="978" s="70" customFormat="1" ht="11.25" customHeight="1">
      <c r="A978" s="87"/>
      <c r="C978" s="43" t="s">
        <v>1964</v>
      </c>
      <c r="D978" s="71" t="s">
        <v>382</v>
      </c>
      <c r="E978" s="71" t="str">
        <f>MID(D978,1,2)</f>
        <v>IL</v>
      </c>
      <c r="F978" s="71" t="s">
        <v>1823</v>
      </c>
      <c r="G978" s="71" t="str">
        <f>MID(F978,1,2)</f>
        <v>DK</v>
      </c>
      <c r="H978" s="43" t="s">
        <v>1824</v>
      </c>
      <c r="I978" s="71" t="s">
        <v>1965</v>
      </c>
      <c r="J978" s="71" t="s">
        <v>400</v>
      </c>
      <c r="K978" s="43"/>
      <c r="L978" s="71" t="s">
        <v>105</v>
      </c>
      <c r="M978" s="73">
        <v>181</v>
      </c>
      <c r="N978" s="71" t="s">
        <v>388</v>
      </c>
      <c r="O978" s="73">
        <v>0.781</v>
      </c>
      <c r="P978" s="71" t="s">
        <v>389</v>
      </c>
      <c r="Q978" s="73">
        <v>181</v>
      </c>
      <c r="R978" s="71" t="s">
        <v>388</v>
      </c>
      <c r="S978" s="73">
        <v>0</v>
      </c>
      <c r="T978" s="71" t="s">
        <v>390</v>
      </c>
      <c r="U978" s="74">
        <v>4</v>
      </c>
      <c r="V978" s="71" t="s">
        <v>391</v>
      </c>
      <c r="W978" s="130">
        <v>46062.93273148148</v>
      </c>
      <c r="X978" s="72">
        <v>46064.690972222219</v>
      </c>
      <c r="Y978" s="72">
        <v>46066.791666666664</v>
      </c>
      <c r="Z978" s="104" t="s">
        <v>382</v>
      </c>
      <c r="AA978" s="104" t="s">
        <v>383</v>
      </c>
      <c r="AB978" s="105">
        <v>46064.684027777781</v>
      </c>
      <c r="AC978" s="105">
        <v>46064.824305555558</v>
      </c>
    </row>
    <row r="979" s="70" customFormat="1" ht="11.25" customHeight="1">
      <c r="A979" s="87"/>
      <c r="C979" s="43" t="s">
        <v>1964</v>
      </c>
      <c r="D979" s="71" t="s">
        <v>382</v>
      </c>
      <c r="E979" s="71" t="str">
        <f>MID(D979,1,2)</f>
        <v>IL</v>
      </c>
      <c r="F979" s="71" t="s">
        <v>1823</v>
      </c>
      <c r="G979" s="71" t="str">
        <f>MID(F979,1,2)</f>
        <v>DK</v>
      </c>
      <c r="H979" s="43" t="s">
        <v>1824</v>
      </c>
      <c r="I979" s="71" t="s">
        <v>1965</v>
      </c>
      <c r="J979" s="71" t="s">
        <v>400</v>
      </c>
      <c r="K979" s="43"/>
      <c r="L979" s="71" t="s">
        <v>105</v>
      </c>
      <c r="M979" s="73">
        <v>181</v>
      </c>
      <c r="N979" s="71" t="s">
        <v>388</v>
      </c>
      <c r="O979" s="73">
        <v>0.781</v>
      </c>
      <c r="P979" s="71" t="s">
        <v>389</v>
      </c>
      <c r="Q979" s="73">
        <v>181</v>
      </c>
      <c r="R979" s="71" t="s">
        <v>388</v>
      </c>
      <c r="S979" s="73">
        <v>0</v>
      </c>
      <c r="T979" s="71" t="s">
        <v>390</v>
      </c>
      <c r="U979" s="74">
        <v>4</v>
      </c>
      <c r="V979" s="71" t="s">
        <v>391</v>
      </c>
      <c r="W979" s="130">
        <v>46062.93273148148</v>
      </c>
      <c r="X979" s="72">
        <v>46064.690972222219</v>
      </c>
      <c r="Y979" s="72">
        <v>46066.791666666664</v>
      </c>
      <c r="Z979" s="104" t="s">
        <v>383</v>
      </c>
      <c r="AA979" s="104" t="s">
        <v>1823</v>
      </c>
      <c r="AB979" s="105">
        <v>46066.711111111108</v>
      </c>
      <c r="AC979" s="105">
        <v>46066.760416666664</v>
      </c>
    </row>
    <row r="980" s="70" customFormat="1" ht="11.25" customHeight="1">
      <c r="A980" s="87"/>
      <c r="C980" s="43" t="s">
        <v>1966</v>
      </c>
      <c r="D980" s="71" t="s">
        <v>382</v>
      </c>
      <c r="E980" s="71" t="str">
        <f>MID(D980,1,2)</f>
        <v>IL</v>
      </c>
      <c r="F980" s="71" t="s">
        <v>577</v>
      </c>
      <c r="G980" s="71" t="str">
        <f>MID(F980,1,2)</f>
        <v>FR</v>
      </c>
      <c r="H980" s="43" t="s">
        <v>1967</v>
      </c>
      <c r="I980" s="71" t="s">
        <v>1968</v>
      </c>
      <c r="J980" s="71" t="s">
        <v>386</v>
      </c>
      <c r="K980" s="43"/>
      <c r="L980" s="71" t="s">
        <v>107</v>
      </c>
      <c r="M980" s="73">
        <v>201</v>
      </c>
      <c r="N980" s="71" t="s">
        <v>388</v>
      </c>
      <c r="O980" s="73">
        <v>0.556</v>
      </c>
      <c r="P980" s="71" t="s">
        <v>389</v>
      </c>
      <c r="Q980" s="73">
        <v>201</v>
      </c>
      <c r="R980" s="71" t="s">
        <v>388</v>
      </c>
      <c r="S980" s="73">
        <v>0</v>
      </c>
      <c r="T980" s="71" t="s">
        <v>390</v>
      </c>
      <c r="U980" s="74">
        <v>10</v>
      </c>
      <c r="V980" s="71" t="s">
        <v>391</v>
      </c>
      <c r="W980" s="130">
        <v>46063.856585648151</v>
      </c>
      <c r="X980" s="72">
        <v>46065.663194444445</v>
      </c>
      <c r="Y980" s="72">
        <v>46066.819444444445</v>
      </c>
      <c r="Z980" s="104" t="s">
        <v>382</v>
      </c>
      <c r="AA980" s="104" t="s">
        <v>577</v>
      </c>
      <c r="AB980" s="105">
        <v>46065.697222222225</v>
      </c>
      <c r="AC980" s="105">
        <v>46065.813888888886</v>
      </c>
    </row>
    <row r="981" s="70" customFormat="1" ht="11.25" customHeight="1">
      <c r="A981" s="87"/>
      <c r="C981" s="43" t="s">
        <v>1969</v>
      </c>
      <c r="D981" s="71" t="s">
        <v>382</v>
      </c>
      <c r="E981" s="71" t="str">
        <f>MID(D981,1,2)</f>
        <v>IL</v>
      </c>
      <c r="F981" s="71" t="s">
        <v>590</v>
      </c>
      <c r="G981" s="71" t="str">
        <f>MID(F981,1,2)</f>
        <v>ES</v>
      </c>
      <c r="H981" s="43" t="s">
        <v>1970</v>
      </c>
      <c r="I981" s="71"/>
      <c r="J981" s="71" t="s">
        <v>411</v>
      </c>
      <c r="K981" s="43"/>
      <c r="L981" s="71" t="s">
        <v>105</v>
      </c>
      <c r="M981" s="73">
        <v>0.5</v>
      </c>
      <c r="N981" s="71" t="s">
        <v>388</v>
      </c>
      <c r="O981" s="73">
        <v>0.024</v>
      </c>
      <c r="P981" s="71" t="s">
        <v>389</v>
      </c>
      <c r="Q981" s="73">
        <v>4</v>
      </c>
      <c r="R981" s="71" t="s">
        <v>388</v>
      </c>
      <c r="S981" s="73">
        <v>0</v>
      </c>
      <c r="T981" s="71" t="s">
        <v>390</v>
      </c>
      <c r="U981" s="74">
        <v>1</v>
      </c>
      <c r="V981" s="71" t="s">
        <v>390</v>
      </c>
      <c r="W981" s="130"/>
      <c r="X981" s="72">
        <v>46064.621527777781</v>
      </c>
      <c r="Y981" s="72">
        <v>46065.455555555556</v>
      </c>
      <c r="Z981" s="104" t="s">
        <v>382</v>
      </c>
      <c r="AA981" s="104" t="s">
        <v>451</v>
      </c>
      <c r="AB981" s="105">
        <v>46064.621527777781</v>
      </c>
      <c r="AC981" s="105">
        <v>46064.724305555559</v>
      </c>
    </row>
    <row r="982" s="70" customFormat="1" ht="11.25" customHeight="1">
      <c r="A982" s="87"/>
      <c r="C982" s="43" t="s">
        <v>1969</v>
      </c>
      <c r="D982" s="71" t="s">
        <v>382</v>
      </c>
      <c r="E982" s="71" t="str">
        <f>MID(D982,1,2)</f>
        <v>IL</v>
      </c>
      <c r="F982" s="71" t="s">
        <v>590</v>
      </c>
      <c r="G982" s="71" t="str">
        <f>MID(F982,1,2)</f>
        <v>ES</v>
      </c>
      <c r="H982" s="43" t="s">
        <v>1970</v>
      </c>
      <c r="I982" s="71"/>
      <c r="J982" s="71" t="s">
        <v>411</v>
      </c>
      <c r="K982" s="43"/>
      <c r="L982" s="71" t="s">
        <v>105</v>
      </c>
      <c r="M982" s="73">
        <v>0.5</v>
      </c>
      <c r="N982" s="71" t="s">
        <v>388</v>
      </c>
      <c r="O982" s="73">
        <v>0.024</v>
      </c>
      <c r="P982" s="71" t="s">
        <v>389</v>
      </c>
      <c r="Q982" s="73">
        <v>4</v>
      </c>
      <c r="R982" s="71" t="s">
        <v>388</v>
      </c>
      <c r="S982" s="73">
        <v>0</v>
      </c>
      <c r="T982" s="71" t="s">
        <v>390</v>
      </c>
      <c r="U982" s="74">
        <v>1</v>
      </c>
      <c r="V982" s="71" t="s">
        <v>390</v>
      </c>
      <c r="W982" s="130"/>
      <c r="X982" s="72">
        <v>46064.621527777781</v>
      </c>
      <c r="Y982" s="72">
        <v>46065.455555555556</v>
      </c>
      <c r="Z982" s="104" t="s">
        <v>451</v>
      </c>
      <c r="AA982" s="104" t="s">
        <v>590</v>
      </c>
      <c r="AB982" s="105">
        <v>46065.352777777778</v>
      </c>
      <c r="AC982" s="105">
        <v>46065.45625</v>
      </c>
    </row>
    <row r="983" s="70" customFormat="1" ht="11.25" customHeight="1">
      <c r="A983" s="87"/>
      <c r="C983" s="43" t="s">
        <v>1971</v>
      </c>
      <c r="D983" s="71" t="s">
        <v>382</v>
      </c>
      <c r="E983" s="71" t="str">
        <f>MID(D983,1,2)</f>
        <v>IL</v>
      </c>
      <c r="F983" s="71" t="s">
        <v>465</v>
      </c>
      <c r="G983" s="71" t="str">
        <f>MID(F983,1,2)</f>
        <v>AZ</v>
      </c>
      <c r="H983" s="43" t="s">
        <v>1972</v>
      </c>
      <c r="I983" s="71"/>
      <c r="J983" s="71" t="s">
        <v>426</v>
      </c>
      <c r="K983" s="43"/>
      <c r="L983" s="71" t="s">
        <v>105</v>
      </c>
      <c r="M983" s="73">
        <v>100</v>
      </c>
      <c r="N983" s="71" t="s">
        <v>388</v>
      </c>
      <c r="O983" s="73">
        <v>0.389</v>
      </c>
      <c r="P983" s="71" t="s">
        <v>389</v>
      </c>
      <c r="Q983" s="73">
        <v>100</v>
      </c>
      <c r="R983" s="71" t="s">
        <v>388</v>
      </c>
      <c r="S983" s="73">
        <v>0</v>
      </c>
      <c r="T983" s="71" t="s">
        <v>390</v>
      </c>
      <c r="U983" s="74">
        <v>1</v>
      </c>
      <c r="V983" s="71" t="s">
        <v>391</v>
      </c>
      <c r="W983" s="130">
        <v>46062.61875</v>
      </c>
      <c r="X983" s="72">
        <v>46064.256944444445</v>
      </c>
      <c r="Y983" s="72">
        <v>46064.614583333336</v>
      </c>
      <c r="Z983" s="104" t="s">
        <v>382</v>
      </c>
      <c r="AA983" s="104" t="s">
        <v>465</v>
      </c>
      <c r="AB983" s="105">
        <v>46064.601388888892</v>
      </c>
      <c r="AC983" s="105">
        <v>46065.768055555556</v>
      </c>
    </row>
    <row r="984" s="70" customFormat="1" ht="11.25" customHeight="1">
      <c r="A984" s="87"/>
      <c r="C984" s="43" t="s">
        <v>1973</v>
      </c>
      <c r="D984" s="71" t="s">
        <v>382</v>
      </c>
      <c r="E984" s="71" t="str">
        <f>MID(D984,1,2)</f>
        <v>IL</v>
      </c>
      <c r="F984" s="71" t="s">
        <v>590</v>
      </c>
      <c r="G984" s="71" t="str">
        <f>MID(F984,1,2)</f>
        <v>ES</v>
      </c>
      <c r="H984" s="43" t="s">
        <v>1974</v>
      </c>
      <c r="I984" s="71"/>
      <c r="J984" s="71" t="s">
        <v>411</v>
      </c>
      <c r="K984" s="43"/>
      <c r="L984" s="71" t="s">
        <v>105</v>
      </c>
      <c r="M984" s="73">
        <v>0.5</v>
      </c>
      <c r="N984" s="71" t="s">
        <v>388</v>
      </c>
      <c r="O984" s="73">
        <v>0.024</v>
      </c>
      <c r="P984" s="71" t="s">
        <v>389</v>
      </c>
      <c r="Q984" s="73">
        <v>4</v>
      </c>
      <c r="R984" s="71" t="s">
        <v>388</v>
      </c>
      <c r="S984" s="73">
        <v>0</v>
      </c>
      <c r="T984" s="71" t="s">
        <v>390</v>
      </c>
      <c r="U984" s="74">
        <v>1</v>
      </c>
      <c r="V984" s="71" t="s">
        <v>390</v>
      </c>
      <c r="W984" s="130"/>
      <c r="X984" s="72">
        <v>46064.61875</v>
      </c>
      <c r="Y984" s="72">
        <v>46070.457638888889</v>
      </c>
      <c r="Z984" s="104" t="s">
        <v>382</v>
      </c>
      <c r="AA984" s="104" t="s">
        <v>451</v>
      </c>
      <c r="AB984" s="105">
        <v>46064.621527777781</v>
      </c>
      <c r="AC984" s="105">
        <v>46064.724305555559</v>
      </c>
    </row>
    <row r="985" s="70" customFormat="1" ht="11.25" customHeight="1">
      <c r="A985" s="87"/>
      <c r="C985" s="43" t="s">
        <v>1973</v>
      </c>
      <c r="D985" s="71" t="s">
        <v>382</v>
      </c>
      <c r="E985" s="71" t="str">
        <f>MID(D985,1,2)</f>
        <v>IL</v>
      </c>
      <c r="F985" s="71" t="s">
        <v>590</v>
      </c>
      <c r="G985" s="71" t="str">
        <f>MID(F985,1,2)</f>
        <v>ES</v>
      </c>
      <c r="H985" s="43" t="s">
        <v>1974</v>
      </c>
      <c r="I985" s="71"/>
      <c r="J985" s="71" t="s">
        <v>411</v>
      </c>
      <c r="K985" s="43"/>
      <c r="L985" s="71" t="s">
        <v>105</v>
      </c>
      <c r="M985" s="73">
        <v>0.5</v>
      </c>
      <c r="N985" s="71" t="s">
        <v>388</v>
      </c>
      <c r="O985" s="73">
        <v>0.024</v>
      </c>
      <c r="P985" s="71" t="s">
        <v>389</v>
      </c>
      <c r="Q985" s="73">
        <v>4</v>
      </c>
      <c r="R985" s="71" t="s">
        <v>388</v>
      </c>
      <c r="S985" s="73">
        <v>0</v>
      </c>
      <c r="T985" s="71" t="s">
        <v>390</v>
      </c>
      <c r="U985" s="74">
        <v>1</v>
      </c>
      <c r="V985" s="71" t="s">
        <v>390</v>
      </c>
      <c r="W985" s="130"/>
      <c r="X985" s="72">
        <v>46064.61875</v>
      </c>
      <c r="Y985" s="72">
        <v>46070.457638888889</v>
      </c>
      <c r="Z985" s="104" t="s">
        <v>451</v>
      </c>
      <c r="AA985" s="104" t="s">
        <v>590</v>
      </c>
      <c r="AB985" s="105">
        <v>46070.352777777778</v>
      </c>
      <c r="AC985" s="105">
        <v>46070.457638888889</v>
      </c>
    </row>
    <row r="986" s="70" customFormat="1" ht="11.25" customHeight="1">
      <c r="A986" s="87"/>
      <c r="C986" s="43" t="s">
        <v>1975</v>
      </c>
      <c r="D986" s="71" t="s">
        <v>382</v>
      </c>
      <c r="E986" s="71" t="str">
        <f>MID(D986,1,2)</f>
        <v>IL</v>
      </c>
      <c r="F986" s="71" t="s">
        <v>1976</v>
      </c>
      <c r="G986" s="71" t="str">
        <f>MID(F986,1,2)</f>
        <v>SE</v>
      </c>
      <c r="H986" s="43" t="s">
        <v>1977</v>
      </c>
      <c r="I986" s="71" t="s">
        <v>1978</v>
      </c>
      <c r="J986" s="71" t="s">
        <v>386</v>
      </c>
      <c r="K986" s="43"/>
      <c r="L986" s="71" t="s">
        <v>107</v>
      </c>
      <c r="M986" s="73">
        <v>12.5</v>
      </c>
      <c r="N986" s="71" t="s">
        <v>388</v>
      </c>
      <c r="O986" s="73">
        <v>0.107</v>
      </c>
      <c r="P986" s="71" t="s">
        <v>389</v>
      </c>
      <c r="Q986" s="73">
        <v>18</v>
      </c>
      <c r="R986" s="71" t="s">
        <v>388</v>
      </c>
      <c r="S986" s="73">
        <v>0</v>
      </c>
      <c r="T986" s="71" t="s">
        <v>390</v>
      </c>
      <c r="U986" s="74">
        <v>5</v>
      </c>
      <c r="V986" s="71" t="s">
        <v>391</v>
      </c>
      <c r="W986" s="130">
        <v>46063.526643518519</v>
      </c>
      <c r="X986" s="72">
        <v>46064.690972222219</v>
      </c>
      <c r="Y986" s="72">
        <v>46066.324305555558</v>
      </c>
      <c r="Z986" s="104" t="s">
        <v>382</v>
      </c>
      <c r="AA986" s="104" t="s">
        <v>383</v>
      </c>
      <c r="AB986" s="105">
        <v>46064.684027777781</v>
      </c>
      <c r="AC986" s="105">
        <v>46064.824305555558</v>
      </c>
    </row>
    <row r="987" s="70" customFormat="1" ht="11.25" customHeight="1">
      <c r="A987" s="87"/>
      <c r="C987" s="43" t="s">
        <v>1975</v>
      </c>
      <c r="D987" s="71" t="s">
        <v>382</v>
      </c>
      <c r="E987" s="71" t="str">
        <f>MID(D987,1,2)</f>
        <v>IL</v>
      </c>
      <c r="F987" s="71" t="s">
        <v>1976</v>
      </c>
      <c r="G987" s="71" t="str">
        <f>MID(F987,1,2)</f>
        <v>SE</v>
      </c>
      <c r="H987" s="43" t="s">
        <v>1977</v>
      </c>
      <c r="I987" s="71" t="s">
        <v>1978</v>
      </c>
      <c r="J987" s="71" t="s">
        <v>386</v>
      </c>
      <c r="K987" s="43"/>
      <c r="L987" s="71" t="s">
        <v>107</v>
      </c>
      <c r="M987" s="73">
        <v>12.5</v>
      </c>
      <c r="N987" s="71" t="s">
        <v>388</v>
      </c>
      <c r="O987" s="73">
        <v>0.107</v>
      </c>
      <c r="P987" s="71" t="s">
        <v>389</v>
      </c>
      <c r="Q987" s="73">
        <v>18</v>
      </c>
      <c r="R987" s="71" t="s">
        <v>388</v>
      </c>
      <c r="S987" s="73">
        <v>0</v>
      </c>
      <c r="T987" s="71" t="s">
        <v>390</v>
      </c>
      <c r="U987" s="74">
        <v>5</v>
      </c>
      <c r="V987" s="71" t="s">
        <v>391</v>
      </c>
      <c r="W987" s="130">
        <v>46063.526643518519</v>
      </c>
      <c r="X987" s="72">
        <v>46064.690972222219</v>
      </c>
      <c r="Y987" s="72">
        <v>46066.324305555558</v>
      </c>
      <c r="Z987" s="104" t="s">
        <v>383</v>
      </c>
      <c r="AA987" s="104" t="s">
        <v>1976</v>
      </c>
      <c r="AB987" s="105">
        <v>46065.729861111111</v>
      </c>
      <c r="AC987" s="105">
        <v>46066.354861111111</v>
      </c>
    </row>
    <row r="988" s="70" customFormat="1" ht="11.25" customHeight="1">
      <c r="A988" s="87"/>
      <c r="C988" s="43" t="s">
        <v>1979</v>
      </c>
      <c r="D988" s="71" t="s">
        <v>382</v>
      </c>
      <c r="E988" s="71" t="str">
        <f>MID(D988,1,2)</f>
        <v>IL</v>
      </c>
      <c r="F988" s="71" t="s">
        <v>684</v>
      </c>
      <c r="G988" s="71" t="str">
        <f>MID(F988,1,2)</f>
        <v>IT</v>
      </c>
      <c r="H988" s="43" t="s">
        <v>1980</v>
      </c>
      <c r="I988" s="71" t="s">
        <v>1981</v>
      </c>
      <c r="J988" s="71" t="s">
        <v>400</v>
      </c>
      <c r="K988" s="43"/>
      <c r="L988" s="71" t="s">
        <v>105</v>
      </c>
      <c r="M988" s="73">
        <v>127</v>
      </c>
      <c r="N988" s="71" t="s">
        <v>388</v>
      </c>
      <c r="O988" s="73">
        <v>0.36</v>
      </c>
      <c r="P988" s="71" t="s">
        <v>389</v>
      </c>
      <c r="Q988" s="73">
        <v>127</v>
      </c>
      <c r="R988" s="71" t="s">
        <v>388</v>
      </c>
      <c r="S988" s="73">
        <v>0</v>
      </c>
      <c r="T988" s="71" t="s">
        <v>390</v>
      </c>
      <c r="U988" s="74">
        <v>2</v>
      </c>
      <c r="V988" s="71" t="s">
        <v>391</v>
      </c>
      <c r="W988" s="130"/>
      <c r="X988" s="72">
        <v>46065.663194444445</v>
      </c>
      <c r="Y988" s="72">
        <v>46076</v>
      </c>
      <c r="Z988" s="104" t="s">
        <v>382</v>
      </c>
      <c r="AA988" s="104" t="s">
        <v>577</v>
      </c>
      <c r="AB988" s="105">
        <v>46065.697222222225</v>
      </c>
      <c r="AC988" s="105">
        <v>46065.813888888886</v>
      </c>
    </row>
    <row r="989" s="70" customFormat="1" ht="11.25" customHeight="1">
      <c r="A989" s="87"/>
      <c r="C989" s="43" t="s">
        <v>1979</v>
      </c>
      <c r="D989" s="71" t="s">
        <v>382</v>
      </c>
      <c r="E989" s="71" t="str">
        <f>MID(D989,1,2)</f>
        <v>IL</v>
      </c>
      <c r="F989" s="71" t="s">
        <v>684</v>
      </c>
      <c r="G989" s="71" t="str">
        <f>MID(F989,1,2)</f>
        <v>IT</v>
      </c>
      <c r="H989" s="43" t="s">
        <v>1980</v>
      </c>
      <c r="I989" s="71" t="s">
        <v>1981</v>
      </c>
      <c r="J989" s="71" t="s">
        <v>400</v>
      </c>
      <c r="K989" s="43"/>
      <c r="L989" s="71" t="s">
        <v>105</v>
      </c>
      <c r="M989" s="73">
        <v>127</v>
      </c>
      <c r="N989" s="71" t="s">
        <v>388</v>
      </c>
      <c r="O989" s="73">
        <v>0.36</v>
      </c>
      <c r="P989" s="71" t="s">
        <v>389</v>
      </c>
      <c r="Q989" s="73">
        <v>127</v>
      </c>
      <c r="R989" s="71" t="s">
        <v>388</v>
      </c>
      <c r="S989" s="73">
        <v>0</v>
      </c>
      <c r="T989" s="71" t="s">
        <v>390</v>
      </c>
      <c r="U989" s="74">
        <v>2</v>
      </c>
      <c r="V989" s="71" t="s">
        <v>391</v>
      </c>
      <c r="W989" s="130"/>
      <c r="X989" s="72">
        <v>46065.663194444445</v>
      </c>
      <c r="Y989" s="72">
        <v>46076</v>
      </c>
      <c r="Z989" s="104" t="s">
        <v>577</v>
      </c>
      <c r="AA989" s="104" t="s">
        <v>684</v>
      </c>
      <c r="AB989" s="105">
        <v>46068.7875</v>
      </c>
      <c r="AC989" s="105">
        <v>46069.313888888886</v>
      </c>
    </row>
    <row r="990" s="70" customFormat="1" ht="11.25" customHeight="1">
      <c r="A990" s="87"/>
      <c r="C990" s="43" t="s">
        <v>1982</v>
      </c>
      <c r="D990" s="71" t="s">
        <v>382</v>
      </c>
      <c r="E990" s="71" t="str">
        <f>MID(D990,1,2)</f>
        <v>IL</v>
      </c>
      <c r="F990" s="71" t="s">
        <v>963</v>
      </c>
      <c r="G990" s="71" t="str">
        <f>MID(F990,1,2)</f>
        <v>IN</v>
      </c>
      <c r="H990" s="43" t="s">
        <v>1858</v>
      </c>
      <c r="I990" s="71" t="s">
        <v>1983</v>
      </c>
      <c r="J990" s="71" t="s">
        <v>426</v>
      </c>
      <c r="K990" s="43"/>
      <c r="L990" s="71" t="s">
        <v>105</v>
      </c>
      <c r="M990" s="73">
        <v>2</v>
      </c>
      <c r="N990" s="71" t="s">
        <v>388</v>
      </c>
      <c r="O990" s="73">
        <v>0.022</v>
      </c>
      <c r="P990" s="71" t="s">
        <v>389</v>
      </c>
      <c r="Q990" s="73">
        <v>4</v>
      </c>
      <c r="R990" s="71" t="s">
        <v>388</v>
      </c>
      <c r="S990" s="73">
        <v>0</v>
      </c>
      <c r="T990" s="71" t="s">
        <v>390</v>
      </c>
      <c r="U990" s="74">
        <v>1</v>
      </c>
      <c r="V990" s="71" t="s">
        <v>391</v>
      </c>
      <c r="W990" s="130">
        <v>46062.673611111109</v>
      </c>
      <c r="X990" s="72">
        <v>46065.895833333336</v>
      </c>
      <c r="Y990" s="72">
        <v>46069.003472222219</v>
      </c>
      <c r="Z990" s="104" t="s">
        <v>382</v>
      </c>
      <c r="AA990" s="104" t="s">
        <v>833</v>
      </c>
      <c r="AB990" s="105">
        <v>46065.906944444447</v>
      </c>
      <c r="AC990" s="105">
        <v>46066.569444444445</v>
      </c>
    </row>
    <row r="991" s="70" customFormat="1" ht="11.25" customHeight="1">
      <c r="A991" s="87"/>
      <c r="C991" s="43" t="s">
        <v>1982</v>
      </c>
      <c r="D991" s="71" t="s">
        <v>382</v>
      </c>
      <c r="E991" s="71" t="str">
        <f>MID(D991,1,2)</f>
        <v>IL</v>
      </c>
      <c r="F991" s="71" t="s">
        <v>963</v>
      </c>
      <c r="G991" s="71" t="str">
        <f>MID(F991,1,2)</f>
        <v>IN</v>
      </c>
      <c r="H991" s="43" t="s">
        <v>1858</v>
      </c>
      <c r="I991" s="71" t="s">
        <v>1983</v>
      </c>
      <c r="J991" s="71" t="s">
        <v>426</v>
      </c>
      <c r="K991" s="43"/>
      <c r="L991" s="71" t="s">
        <v>105</v>
      </c>
      <c r="M991" s="73">
        <v>2</v>
      </c>
      <c r="N991" s="71" t="s">
        <v>388</v>
      </c>
      <c r="O991" s="73">
        <v>0.022</v>
      </c>
      <c r="P991" s="71" t="s">
        <v>389</v>
      </c>
      <c r="Q991" s="73">
        <v>4</v>
      </c>
      <c r="R991" s="71" t="s">
        <v>388</v>
      </c>
      <c r="S991" s="73">
        <v>0</v>
      </c>
      <c r="T991" s="71" t="s">
        <v>390</v>
      </c>
      <c r="U991" s="74">
        <v>1</v>
      </c>
      <c r="V991" s="71" t="s">
        <v>391</v>
      </c>
      <c r="W991" s="130">
        <v>46062.673611111109</v>
      </c>
      <c r="X991" s="72">
        <v>46065.895833333336</v>
      </c>
      <c r="Y991" s="72">
        <v>46069.003472222219</v>
      </c>
      <c r="Z991" s="104" t="s">
        <v>833</v>
      </c>
      <c r="AA991" s="104" t="s">
        <v>963</v>
      </c>
      <c r="AB991" s="105">
        <v>46068.913888888892</v>
      </c>
      <c r="AC991" s="105">
        <v>46069.158333333333</v>
      </c>
    </row>
    <row r="992" s="70" customFormat="1" ht="11.25" customHeight="1">
      <c r="A992" s="87"/>
      <c r="C992" s="43" t="s">
        <v>1984</v>
      </c>
      <c r="D992" s="71" t="s">
        <v>382</v>
      </c>
      <c r="E992" s="71" t="str">
        <f>MID(D992,1,2)</f>
        <v>IL</v>
      </c>
      <c r="F992" s="71" t="s">
        <v>496</v>
      </c>
      <c r="G992" s="71" t="str">
        <f>MID(F992,1,2)</f>
        <v>RO</v>
      </c>
      <c r="H992" s="43" t="s">
        <v>1985</v>
      </c>
      <c r="I992" s="71" t="s">
        <v>1986</v>
      </c>
      <c r="J992" s="71" t="s">
        <v>426</v>
      </c>
      <c r="K992" s="43"/>
      <c r="L992" s="71" t="s">
        <v>105</v>
      </c>
      <c r="M992" s="73">
        <v>162</v>
      </c>
      <c r="N992" s="71" t="s">
        <v>388</v>
      </c>
      <c r="O992" s="73">
        <v>0.42</v>
      </c>
      <c r="P992" s="71" t="s">
        <v>389</v>
      </c>
      <c r="Q992" s="73">
        <v>162</v>
      </c>
      <c r="R992" s="71" t="s">
        <v>388</v>
      </c>
      <c r="S992" s="73">
        <v>0</v>
      </c>
      <c r="T992" s="71" t="s">
        <v>390</v>
      </c>
      <c r="U992" s="74">
        <v>3</v>
      </c>
      <c r="V992" s="71" t="s">
        <v>391</v>
      </c>
      <c r="W992" s="130">
        <v>46062.68125</v>
      </c>
      <c r="X992" s="72">
        <v>46064.013888888891</v>
      </c>
      <c r="Y992" s="72">
        <v>46064.131944444445</v>
      </c>
      <c r="Z992" s="104" t="s">
        <v>382</v>
      </c>
      <c r="AA992" s="104" t="s">
        <v>496</v>
      </c>
      <c r="AB992" s="105">
        <v>46064.013888888891</v>
      </c>
      <c r="AC992" s="105">
        <v>46064.14375</v>
      </c>
    </row>
    <row r="993" s="70" customFormat="1" ht="11.25" customHeight="1">
      <c r="A993" s="87"/>
      <c r="C993" s="43" t="s">
        <v>1987</v>
      </c>
      <c r="D993" s="71" t="s">
        <v>382</v>
      </c>
      <c r="E993" s="71" t="str">
        <f>MID(D993,1,2)</f>
        <v>IL</v>
      </c>
      <c r="F993" s="71" t="s">
        <v>817</v>
      </c>
      <c r="G993" s="71" t="str">
        <f>MID(F993,1,2)</f>
        <v>IN</v>
      </c>
      <c r="H993" s="43" t="s">
        <v>1988</v>
      </c>
      <c r="I993" s="71" t="s">
        <v>1989</v>
      </c>
      <c r="J993" s="71" t="s">
        <v>400</v>
      </c>
      <c r="K993" s="43"/>
      <c r="L993" s="71" t="s">
        <v>105</v>
      </c>
      <c r="M993" s="73">
        <v>1</v>
      </c>
      <c r="N993" s="71" t="s">
        <v>388</v>
      </c>
      <c r="O993" s="73">
        <v>0.007</v>
      </c>
      <c r="P993" s="71" t="s">
        <v>389</v>
      </c>
      <c r="Q993" s="73">
        <v>1.5</v>
      </c>
      <c r="R993" s="71" t="s">
        <v>388</v>
      </c>
      <c r="S993" s="73">
        <v>0</v>
      </c>
      <c r="T993" s="71" t="s">
        <v>390</v>
      </c>
      <c r="U993" s="74">
        <v>1</v>
      </c>
      <c r="V993" s="71" t="s">
        <v>391</v>
      </c>
      <c r="W993" s="130">
        <v>46078.725601851853</v>
      </c>
      <c r="X993" s="72">
        <v>46079.486111111109</v>
      </c>
      <c r="Y993" s="72">
        <v>46079.868055555555</v>
      </c>
      <c r="Z993" s="104" t="s">
        <v>382</v>
      </c>
      <c r="AA993" s="104" t="s">
        <v>817</v>
      </c>
      <c r="AB993" s="105">
        <v>46079.526388888888</v>
      </c>
      <c r="AC993" s="105">
        <v>46079.89375</v>
      </c>
    </row>
    <row r="994" s="70" customFormat="1" ht="11.25" customHeight="1">
      <c r="A994" s="87"/>
      <c r="C994" s="43" t="s">
        <v>1990</v>
      </c>
      <c r="D994" s="71" t="s">
        <v>382</v>
      </c>
      <c r="E994" s="71" t="str">
        <f>MID(D994,1,2)</f>
        <v>IL</v>
      </c>
      <c r="F994" s="71" t="s">
        <v>817</v>
      </c>
      <c r="G994" s="71" t="str">
        <f>MID(F994,1,2)</f>
        <v>IN</v>
      </c>
      <c r="H994" s="43" t="s">
        <v>1988</v>
      </c>
      <c r="I994" s="71" t="s">
        <v>1991</v>
      </c>
      <c r="J994" s="71" t="s">
        <v>400</v>
      </c>
      <c r="K994" s="43"/>
      <c r="L994" s="71" t="s">
        <v>105</v>
      </c>
      <c r="M994" s="73">
        <v>9</v>
      </c>
      <c r="N994" s="71" t="s">
        <v>388</v>
      </c>
      <c r="O994" s="73">
        <v>0.156</v>
      </c>
      <c r="P994" s="71" t="s">
        <v>389</v>
      </c>
      <c r="Q994" s="73">
        <v>26</v>
      </c>
      <c r="R994" s="71" t="s">
        <v>388</v>
      </c>
      <c r="S994" s="73">
        <v>0</v>
      </c>
      <c r="T994" s="71" t="s">
        <v>390</v>
      </c>
      <c r="U994" s="74">
        <v>1</v>
      </c>
      <c r="V994" s="71" t="s">
        <v>391</v>
      </c>
      <c r="W994" s="130">
        <v>46078.725613425922</v>
      </c>
      <c r="X994" s="72">
        <v>46079.486111111109</v>
      </c>
      <c r="Y994" s="72">
        <v>46079.868055555555</v>
      </c>
      <c r="Z994" s="104" t="s">
        <v>382</v>
      </c>
      <c r="AA994" s="104" t="s">
        <v>817</v>
      </c>
      <c r="AB994" s="105">
        <v>46079.526388888888</v>
      </c>
      <c r="AC994" s="105">
        <v>46079.89375</v>
      </c>
    </row>
    <row r="995" s="70" customFormat="1" ht="11.25" customHeight="1">
      <c r="A995" s="87"/>
      <c r="C995" s="43" t="s">
        <v>1992</v>
      </c>
      <c r="D995" s="71" t="s">
        <v>382</v>
      </c>
      <c r="E995" s="71" t="str">
        <f>MID(D995,1,2)</f>
        <v>IL</v>
      </c>
      <c r="F995" s="71" t="s">
        <v>414</v>
      </c>
      <c r="G995" s="71" t="str">
        <f>MID(F995,1,2)</f>
        <v>US</v>
      </c>
      <c r="H995" s="43" t="s">
        <v>1663</v>
      </c>
      <c r="I995" s="71" t="s">
        <v>1993</v>
      </c>
      <c r="J995" s="71" t="s">
        <v>483</v>
      </c>
      <c r="K995" s="43"/>
      <c r="L995" s="71" t="s">
        <v>105</v>
      </c>
      <c r="M995" s="73">
        <v>1</v>
      </c>
      <c r="N995" s="71" t="s">
        <v>388</v>
      </c>
      <c r="O995" s="73">
        <v>0.011</v>
      </c>
      <c r="P995" s="71" t="s">
        <v>389</v>
      </c>
      <c r="Q995" s="73">
        <v>2</v>
      </c>
      <c r="R995" s="71" t="s">
        <v>388</v>
      </c>
      <c r="S995" s="73">
        <v>0</v>
      </c>
      <c r="T995" s="71" t="s">
        <v>390</v>
      </c>
      <c r="U995" s="74">
        <v>1</v>
      </c>
      <c r="V995" s="71" t="s">
        <v>427</v>
      </c>
      <c r="W995" s="130">
        <v>46063.729814814818</v>
      </c>
      <c r="X995" s="72">
        <v>46066.03125</v>
      </c>
      <c r="Y995" s="72">
        <v>46066.239583333336</v>
      </c>
      <c r="Z995" s="104" t="s">
        <v>382</v>
      </c>
      <c r="AA995" s="104" t="s">
        <v>414</v>
      </c>
      <c r="AB995" s="105">
        <v>46066.031944444447</v>
      </c>
      <c r="AC995" s="105">
        <v>46066.213888888888</v>
      </c>
    </row>
    <row r="996" s="70" customFormat="1" ht="11.25" customHeight="1">
      <c r="A996" s="87"/>
      <c r="C996" s="43" t="s">
        <v>1994</v>
      </c>
      <c r="D996" s="71" t="s">
        <v>382</v>
      </c>
      <c r="E996" s="71" t="str">
        <f>MID(D996,1,2)</f>
        <v>IL</v>
      </c>
      <c r="F996" s="71" t="s">
        <v>919</v>
      </c>
      <c r="G996" s="71" t="str">
        <f>MID(F996,1,2)</f>
        <v>CN</v>
      </c>
      <c r="H996" s="43" t="s">
        <v>1938</v>
      </c>
      <c r="I996" s="71" t="s">
        <v>1995</v>
      </c>
      <c r="J996" s="71" t="s">
        <v>755</v>
      </c>
      <c r="K996" s="43"/>
      <c r="L996" s="71" t="s">
        <v>105</v>
      </c>
      <c r="M996" s="73">
        <v>1.5</v>
      </c>
      <c r="N996" s="71" t="s">
        <v>388</v>
      </c>
      <c r="O996" s="73">
        <v>0.01</v>
      </c>
      <c r="P996" s="71" t="s">
        <v>389</v>
      </c>
      <c r="Q996" s="73">
        <v>2</v>
      </c>
      <c r="R996" s="71" t="s">
        <v>388</v>
      </c>
      <c r="S996" s="73">
        <v>0</v>
      </c>
      <c r="T996" s="71" t="s">
        <v>390</v>
      </c>
      <c r="U996" s="74">
        <v>1</v>
      </c>
      <c r="V996" s="71" t="s">
        <v>391</v>
      </c>
      <c r="W996" s="130">
        <v>46063.54755787037</v>
      </c>
      <c r="X996" s="72">
        <v>46065.003472222219</v>
      </c>
      <c r="Y996" s="72">
        <v>46070.128472222219</v>
      </c>
      <c r="Z996" s="104" t="s">
        <v>382</v>
      </c>
      <c r="AA996" s="104" t="s">
        <v>383</v>
      </c>
      <c r="AB996" s="105">
        <v>46064.999305555553</v>
      </c>
      <c r="AC996" s="105">
        <v>46065.288194444445</v>
      </c>
    </row>
    <row r="997" s="70" customFormat="1" ht="11.25" customHeight="1">
      <c r="A997" s="87"/>
      <c r="C997" s="43" t="s">
        <v>1994</v>
      </c>
      <c r="D997" s="71" t="s">
        <v>382</v>
      </c>
      <c r="E997" s="71" t="str">
        <f>MID(D997,1,2)</f>
        <v>IL</v>
      </c>
      <c r="F997" s="71" t="s">
        <v>919</v>
      </c>
      <c r="G997" s="71" t="str">
        <f>MID(F997,1,2)</f>
        <v>CN</v>
      </c>
      <c r="H997" s="43" t="s">
        <v>1938</v>
      </c>
      <c r="I997" s="71" t="s">
        <v>1995</v>
      </c>
      <c r="J997" s="71" t="s">
        <v>755</v>
      </c>
      <c r="K997" s="43"/>
      <c r="L997" s="71" t="s">
        <v>105</v>
      </c>
      <c r="M997" s="73">
        <v>1.5</v>
      </c>
      <c r="N997" s="71" t="s">
        <v>388</v>
      </c>
      <c r="O997" s="73">
        <v>0.01</v>
      </c>
      <c r="P997" s="71" t="s">
        <v>389</v>
      </c>
      <c r="Q997" s="73">
        <v>2</v>
      </c>
      <c r="R997" s="71" t="s">
        <v>388</v>
      </c>
      <c r="S997" s="73">
        <v>0</v>
      </c>
      <c r="T997" s="71" t="s">
        <v>390</v>
      </c>
      <c r="U997" s="74">
        <v>1</v>
      </c>
      <c r="V997" s="71" t="s">
        <v>391</v>
      </c>
      <c r="W997" s="130">
        <v>46063.54755787037</v>
      </c>
      <c r="X997" s="72">
        <v>46065.003472222219</v>
      </c>
      <c r="Y997" s="72">
        <v>46070.128472222219</v>
      </c>
      <c r="Z997" s="104" t="s">
        <v>383</v>
      </c>
      <c r="AA997" s="104" t="s">
        <v>919</v>
      </c>
      <c r="AB997" s="105">
        <v>46066.326388888891</v>
      </c>
      <c r="AC997" s="105">
        <v>46067.042361111111</v>
      </c>
    </row>
    <row r="998" s="70" customFormat="1" ht="11.25" customHeight="1">
      <c r="A998" s="87"/>
      <c r="C998" s="43" t="s">
        <v>1996</v>
      </c>
      <c r="D998" s="71" t="s">
        <v>382</v>
      </c>
      <c r="E998" s="71" t="str">
        <f>MID(D998,1,2)</f>
        <v>IL</v>
      </c>
      <c r="F998" s="71" t="s">
        <v>443</v>
      </c>
      <c r="G998" s="71" t="str">
        <f>MID(F998,1,2)</f>
        <v>US</v>
      </c>
      <c r="H998" s="43" t="s">
        <v>1997</v>
      </c>
      <c r="I998" s="71" t="s">
        <v>1998</v>
      </c>
      <c r="J998" s="71" t="s">
        <v>400</v>
      </c>
      <c r="K998" s="43"/>
      <c r="L998" s="71" t="s">
        <v>105</v>
      </c>
      <c r="M998" s="73">
        <v>214</v>
      </c>
      <c r="N998" s="71" t="s">
        <v>388</v>
      </c>
      <c r="O998" s="73">
        <v>1.393</v>
      </c>
      <c r="P998" s="71" t="s">
        <v>389</v>
      </c>
      <c r="Q998" s="73">
        <v>232.5</v>
      </c>
      <c r="R998" s="71" t="s">
        <v>388</v>
      </c>
      <c r="S998" s="73">
        <v>0</v>
      </c>
      <c r="T998" s="71" t="s">
        <v>390</v>
      </c>
      <c r="U998" s="74">
        <v>1</v>
      </c>
      <c r="V998" s="71" t="s">
        <v>391</v>
      </c>
      <c r="W998" s="130">
        <v>46063.43125</v>
      </c>
      <c r="X998" s="72">
        <v>46065.965277777781</v>
      </c>
      <c r="Y998" s="72">
        <v>46066.767361111109</v>
      </c>
      <c r="Z998" s="104" t="s">
        <v>382</v>
      </c>
      <c r="AA998" s="104" t="s">
        <v>422</v>
      </c>
      <c r="AB998" s="105">
        <v>46065.958333333336</v>
      </c>
      <c r="AC998" s="105">
        <v>46066.146527777775</v>
      </c>
    </row>
    <row r="999" s="70" customFormat="1" ht="11.25" customHeight="1">
      <c r="A999" s="87"/>
      <c r="C999" s="43" t="s">
        <v>1996</v>
      </c>
      <c r="D999" s="71" t="s">
        <v>382</v>
      </c>
      <c r="E999" s="71" t="str">
        <f>MID(D999,1,2)</f>
        <v>IL</v>
      </c>
      <c r="F999" s="71" t="s">
        <v>443</v>
      </c>
      <c r="G999" s="71" t="str">
        <f>MID(F999,1,2)</f>
        <v>US</v>
      </c>
      <c r="H999" s="43" t="s">
        <v>1997</v>
      </c>
      <c r="I999" s="71" t="s">
        <v>1998</v>
      </c>
      <c r="J999" s="71" t="s">
        <v>400</v>
      </c>
      <c r="K999" s="43"/>
      <c r="L999" s="71" t="s">
        <v>105</v>
      </c>
      <c r="M999" s="73">
        <v>214</v>
      </c>
      <c r="N999" s="71" t="s">
        <v>388</v>
      </c>
      <c r="O999" s="73">
        <v>1.393</v>
      </c>
      <c r="P999" s="71" t="s">
        <v>389</v>
      </c>
      <c r="Q999" s="73">
        <v>232.5</v>
      </c>
      <c r="R999" s="71" t="s">
        <v>388</v>
      </c>
      <c r="S999" s="73">
        <v>0</v>
      </c>
      <c r="T999" s="71" t="s">
        <v>390</v>
      </c>
      <c r="U999" s="74">
        <v>1</v>
      </c>
      <c r="V999" s="71" t="s">
        <v>391</v>
      </c>
      <c r="W999" s="130">
        <v>46063.43125</v>
      </c>
      <c r="X999" s="72">
        <v>46065.965277777781</v>
      </c>
      <c r="Y999" s="72">
        <v>46066.767361111109</v>
      </c>
      <c r="Z999" s="104" t="s">
        <v>422</v>
      </c>
      <c r="AA999" s="104" t="s">
        <v>443</v>
      </c>
      <c r="AB999" s="105">
        <v>46066.638888888891</v>
      </c>
      <c r="AC999" s="105">
        <v>46066.763194444444</v>
      </c>
    </row>
    <row r="1000" s="70" customFormat="1" ht="11.25" customHeight="1">
      <c r="A1000" s="87"/>
      <c r="C1000" s="43" t="s">
        <v>1999</v>
      </c>
      <c r="D1000" s="71" t="s">
        <v>382</v>
      </c>
      <c r="E1000" s="71" t="str">
        <f>MID(D1000,1,2)</f>
        <v>IL</v>
      </c>
      <c r="F1000" s="71" t="s">
        <v>480</v>
      </c>
      <c r="G1000" s="71" t="str">
        <f>MID(F1000,1,2)</f>
        <v>CA</v>
      </c>
      <c r="H1000" s="43" t="s">
        <v>1753</v>
      </c>
      <c r="I1000" s="71" t="s">
        <v>2000</v>
      </c>
      <c r="J1000" s="71" t="s">
        <v>386</v>
      </c>
      <c r="K1000" s="43"/>
      <c r="L1000" s="71" t="s">
        <v>107</v>
      </c>
      <c r="M1000" s="73">
        <v>337</v>
      </c>
      <c r="N1000" s="71" t="s">
        <v>388</v>
      </c>
      <c r="O1000" s="73">
        <v>3.491</v>
      </c>
      <c r="P1000" s="71" t="s">
        <v>389</v>
      </c>
      <c r="Q1000" s="73">
        <v>582</v>
      </c>
      <c r="R1000" s="71" t="s">
        <v>388</v>
      </c>
      <c r="S1000" s="73">
        <v>0</v>
      </c>
      <c r="T1000" s="71" t="s">
        <v>390</v>
      </c>
      <c r="U1000" s="74">
        <v>3</v>
      </c>
      <c r="V1000" s="71" t="s">
        <v>417</v>
      </c>
      <c r="W1000" s="130">
        <v>46063.452777777777</v>
      </c>
      <c r="X1000" s="72">
        <v>46064.496527777781</v>
      </c>
      <c r="Y1000" s="72">
        <v>46066.083333333336</v>
      </c>
      <c r="Z1000" s="104" t="s">
        <v>1102</v>
      </c>
      <c r="AA1000" s="104" t="s">
        <v>1103</v>
      </c>
      <c r="AB1000" s="105"/>
      <c r="AC1000" s="105"/>
    </row>
    <row r="1001" s="70" customFormat="1" ht="11.25" customHeight="1">
      <c r="A1001" s="87"/>
      <c r="C1001" s="43" t="s">
        <v>1999</v>
      </c>
      <c r="D1001" s="71" t="s">
        <v>382</v>
      </c>
      <c r="E1001" s="71" t="str">
        <f>MID(D1001,1,2)</f>
        <v>IL</v>
      </c>
      <c r="F1001" s="71" t="s">
        <v>480</v>
      </c>
      <c r="G1001" s="71" t="str">
        <f>MID(F1001,1,2)</f>
        <v>CA</v>
      </c>
      <c r="H1001" s="43" t="s">
        <v>1753</v>
      </c>
      <c r="I1001" s="71" t="s">
        <v>2000</v>
      </c>
      <c r="J1001" s="71" t="s">
        <v>386</v>
      </c>
      <c r="K1001" s="43"/>
      <c r="L1001" s="71" t="s">
        <v>107</v>
      </c>
      <c r="M1001" s="73">
        <v>337</v>
      </c>
      <c r="N1001" s="71" t="s">
        <v>388</v>
      </c>
      <c r="O1001" s="73">
        <v>3.491</v>
      </c>
      <c r="P1001" s="71" t="s">
        <v>389</v>
      </c>
      <c r="Q1001" s="73">
        <v>582</v>
      </c>
      <c r="R1001" s="71" t="s">
        <v>388</v>
      </c>
      <c r="S1001" s="73">
        <v>0</v>
      </c>
      <c r="T1001" s="71" t="s">
        <v>390</v>
      </c>
      <c r="U1001" s="74">
        <v>3</v>
      </c>
      <c r="V1001" s="71" t="s">
        <v>417</v>
      </c>
      <c r="W1001" s="130">
        <v>46063.452777777777</v>
      </c>
      <c r="X1001" s="72">
        <v>46064.496527777781</v>
      </c>
      <c r="Y1001" s="72">
        <v>46066.083333333336</v>
      </c>
      <c r="Z1001" s="104" t="s">
        <v>382</v>
      </c>
      <c r="AA1001" s="104" t="s">
        <v>405</v>
      </c>
      <c r="AB1001" s="105">
        <v>46064.495138888888</v>
      </c>
      <c r="AC1001" s="105">
        <v>46064.700694444444</v>
      </c>
    </row>
    <row r="1002" s="70" customFormat="1" ht="11.25" customHeight="1">
      <c r="A1002" s="87"/>
      <c r="C1002" s="43" t="s">
        <v>1999</v>
      </c>
      <c r="D1002" s="71" t="s">
        <v>382</v>
      </c>
      <c r="E1002" s="71" t="str">
        <f>MID(D1002,1,2)</f>
        <v>IL</v>
      </c>
      <c r="F1002" s="71" t="s">
        <v>480</v>
      </c>
      <c r="G1002" s="71" t="str">
        <f>MID(F1002,1,2)</f>
        <v>CA</v>
      </c>
      <c r="H1002" s="43" t="s">
        <v>1753</v>
      </c>
      <c r="I1002" s="71" t="s">
        <v>2000</v>
      </c>
      <c r="J1002" s="71" t="s">
        <v>386</v>
      </c>
      <c r="K1002" s="43"/>
      <c r="L1002" s="71" t="s">
        <v>107</v>
      </c>
      <c r="M1002" s="73">
        <v>337</v>
      </c>
      <c r="N1002" s="71" t="s">
        <v>388</v>
      </c>
      <c r="O1002" s="73">
        <v>3.491</v>
      </c>
      <c r="P1002" s="71" t="s">
        <v>389</v>
      </c>
      <c r="Q1002" s="73">
        <v>582</v>
      </c>
      <c r="R1002" s="71" t="s">
        <v>388</v>
      </c>
      <c r="S1002" s="73">
        <v>0</v>
      </c>
      <c r="T1002" s="71" t="s">
        <v>390</v>
      </c>
      <c r="U1002" s="74">
        <v>3</v>
      </c>
      <c r="V1002" s="71" t="s">
        <v>417</v>
      </c>
      <c r="W1002" s="130">
        <v>46063.452777777777</v>
      </c>
      <c r="X1002" s="72">
        <v>46064.496527777781</v>
      </c>
      <c r="Y1002" s="72">
        <v>46066.083333333336</v>
      </c>
      <c r="Z1002" s="104" t="s">
        <v>405</v>
      </c>
      <c r="AA1002" s="104" t="s">
        <v>480</v>
      </c>
      <c r="AB1002" s="105">
        <v>46065.621527777781</v>
      </c>
      <c r="AC1002" s="105">
        <v>46066.340277777781</v>
      </c>
    </row>
    <row r="1003" s="70" customFormat="1" ht="11.25" customHeight="1">
      <c r="A1003" s="87"/>
      <c r="C1003" s="43" t="s">
        <v>2001</v>
      </c>
      <c r="D1003" s="71" t="s">
        <v>382</v>
      </c>
      <c r="E1003" s="71" t="str">
        <f>MID(D1003,1,2)</f>
        <v>IL</v>
      </c>
      <c r="F1003" s="71" t="s">
        <v>1538</v>
      </c>
      <c r="G1003" s="71" t="str">
        <f>MID(F1003,1,2)</f>
        <v>KR</v>
      </c>
      <c r="H1003" s="43" t="s">
        <v>2002</v>
      </c>
      <c r="I1003" s="71"/>
      <c r="J1003" s="71" t="s">
        <v>435</v>
      </c>
      <c r="K1003" s="43"/>
      <c r="L1003" s="71" t="s">
        <v>105</v>
      </c>
      <c r="M1003" s="73">
        <v>15</v>
      </c>
      <c r="N1003" s="71" t="s">
        <v>388</v>
      </c>
      <c r="O1003" s="73">
        <v>0.09</v>
      </c>
      <c r="P1003" s="71" t="s">
        <v>389</v>
      </c>
      <c r="Q1003" s="73">
        <v>15</v>
      </c>
      <c r="R1003" s="71" t="s">
        <v>388</v>
      </c>
      <c r="S1003" s="73">
        <v>0</v>
      </c>
      <c r="T1003" s="71" t="s">
        <v>390</v>
      </c>
      <c r="U1003" s="74">
        <v>1</v>
      </c>
      <c r="V1003" s="71" t="s">
        <v>391</v>
      </c>
      <c r="W1003" s="130"/>
      <c r="X1003" s="72">
        <v>46065.715277777781</v>
      </c>
      <c r="Y1003" s="72">
        <v>46069.46875</v>
      </c>
      <c r="Z1003" s="104" t="s">
        <v>382</v>
      </c>
      <c r="AA1003" s="104" t="s">
        <v>383</v>
      </c>
      <c r="AB1003" s="105">
        <v>46068.041666666664</v>
      </c>
      <c r="AC1003" s="105">
        <v>46067.252083333333</v>
      </c>
    </row>
    <row r="1004" s="70" customFormat="1" ht="11.25" customHeight="1">
      <c r="A1004" s="87"/>
      <c r="C1004" s="43" t="s">
        <v>2001</v>
      </c>
      <c r="D1004" s="71" t="s">
        <v>382</v>
      </c>
      <c r="E1004" s="71" t="str">
        <f>MID(D1004,1,2)</f>
        <v>IL</v>
      </c>
      <c r="F1004" s="71" t="s">
        <v>1538</v>
      </c>
      <c r="G1004" s="71" t="str">
        <f>MID(F1004,1,2)</f>
        <v>KR</v>
      </c>
      <c r="H1004" s="43" t="s">
        <v>2002</v>
      </c>
      <c r="I1004" s="71"/>
      <c r="J1004" s="71" t="s">
        <v>435</v>
      </c>
      <c r="K1004" s="43"/>
      <c r="L1004" s="71" t="s">
        <v>105</v>
      </c>
      <c r="M1004" s="73">
        <v>15</v>
      </c>
      <c r="N1004" s="71" t="s">
        <v>388</v>
      </c>
      <c r="O1004" s="73">
        <v>0.09</v>
      </c>
      <c r="P1004" s="71" t="s">
        <v>389</v>
      </c>
      <c r="Q1004" s="73">
        <v>15</v>
      </c>
      <c r="R1004" s="71" t="s">
        <v>388</v>
      </c>
      <c r="S1004" s="73">
        <v>0</v>
      </c>
      <c r="T1004" s="71" t="s">
        <v>390</v>
      </c>
      <c r="U1004" s="74">
        <v>1</v>
      </c>
      <c r="V1004" s="71" t="s">
        <v>391</v>
      </c>
      <c r="W1004" s="130"/>
      <c r="X1004" s="72">
        <v>46065.715277777781</v>
      </c>
      <c r="Y1004" s="72">
        <v>46069.46875</v>
      </c>
      <c r="Z1004" s="104" t="s">
        <v>383</v>
      </c>
      <c r="AA1004" s="104" t="s">
        <v>1538</v>
      </c>
      <c r="AB1004" s="105">
        <v>46068.638194444444</v>
      </c>
      <c r="AC1004" s="105">
        <v>46069.427777777775</v>
      </c>
    </row>
    <row r="1005" s="70" customFormat="1" ht="11.25" customHeight="1">
      <c r="A1005" s="87"/>
      <c r="C1005" s="43" t="s">
        <v>2003</v>
      </c>
      <c r="D1005" s="71" t="s">
        <v>382</v>
      </c>
      <c r="E1005" s="71" t="str">
        <f>MID(D1005,1,2)</f>
        <v>IL</v>
      </c>
      <c r="F1005" s="71" t="s">
        <v>774</v>
      </c>
      <c r="G1005" s="71" t="str">
        <f>MID(F1005,1,2)</f>
        <v>CN</v>
      </c>
      <c r="H1005" s="43" t="s">
        <v>2004</v>
      </c>
      <c r="I1005" s="71" t="s">
        <v>2005</v>
      </c>
      <c r="J1005" s="71" t="s">
        <v>755</v>
      </c>
      <c r="K1005" s="43"/>
      <c r="L1005" s="71" t="s">
        <v>105</v>
      </c>
      <c r="M1005" s="73">
        <v>1</v>
      </c>
      <c r="N1005" s="71" t="s">
        <v>388</v>
      </c>
      <c r="O1005" s="73">
        <v>0.012</v>
      </c>
      <c r="P1005" s="71" t="s">
        <v>389</v>
      </c>
      <c r="Q1005" s="73">
        <v>2</v>
      </c>
      <c r="R1005" s="71" t="s">
        <v>388</v>
      </c>
      <c r="S1005" s="73">
        <v>0</v>
      </c>
      <c r="T1005" s="71" t="s">
        <v>390</v>
      </c>
      <c r="U1005" s="74">
        <v>1</v>
      </c>
      <c r="V1005" s="71" t="s">
        <v>391</v>
      </c>
      <c r="W1005" s="130">
        <v>46063.547523148147</v>
      </c>
      <c r="X1005" s="72">
        <v>46064.577777777777</v>
      </c>
      <c r="Y1005" s="72">
        <v>46068.125</v>
      </c>
      <c r="Z1005" s="104" t="s">
        <v>382</v>
      </c>
      <c r="AA1005" s="104" t="s">
        <v>383</v>
      </c>
      <c r="AB1005" s="105">
        <v>46064.684027777781</v>
      </c>
      <c r="AC1005" s="105">
        <v>46064.824305555558</v>
      </c>
    </row>
    <row r="1006" s="70" customFormat="1" ht="11.25" customHeight="1">
      <c r="A1006" s="87"/>
      <c r="C1006" s="43" t="s">
        <v>2003</v>
      </c>
      <c r="D1006" s="71" t="s">
        <v>382</v>
      </c>
      <c r="E1006" s="71" t="str">
        <f>MID(D1006,1,2)</f>
        <v>IL</v>
      </c>
      <c r="F1006" s="71" t="s">
        <v>774</v>
      </c>
      <c r="G1006" s="71" t="str">
        <f>MID(F1006,1,2)</f>
        <v>CN</v>
      </c>
      <c r="H1006" s="43" t="s">
        <v>2004</v>
      </c>
      <c r="I1006" s="71" t="s">
        <v>2005</v>
      </c>
      <c r="J1006" s="71" t="s">
        <v>755</v>
      </c>
      <c r="K1006" s="43"/>
      <c r="L1006" s="71" t="s">
        <v>105</v>
      </c>
      <c r="M1006" s="73">
        <v>1</v>
      </c>
      <c r="N1006" s="71" t="s">
        <v>388</v>
      </c>
      <c r="O1006" s="73">
        <v>0.012</v>
      </c>
      <c r="P1006" s="71" t="s">
        <v>389</v>
      </c>
      <c r="Q1006" s="73">
        <v>2</v>
      </c>
      <c r="R1006" s="71" t="s">
        <v>388</v>
      </c>
      <c r="S1006" s="73">
        <v>0</v>
      </c>
      <c r="T1006" s="71" t="s">
        <v>390</v>
      </c>
      <c r="U1006" s="74">
        <v>1</v>
      </c>
      <c r="V1006" s="71" t="s">
        <v>391</v>
      </c>
      <c r="W1006" s="130">
        <v>46063.547523148147</v>
      </c>
      <c r="X1006" s="72">
        <v>46064.577777777777</v>
      </c>
      <c r="Y1006" s="72">
        <v>46068.125</v>
      </c>
      <c r="Z1006" s="104" t="s">
        <v>383</v>
      </c>
      <c r="AA1006" s="104" t="s">
        <v>774</v>
      </c>
      <c r="AB1006" s="105">
        <v>46066.65347222222</v>
      </c>
      <c r="AC1006" s="105">
        <v>46067.427083333336</v>
      </c>
    </row>
    <row r="1007" s="70" customFormat="1" ht="11.25" customHeight="1">
      <c r="A1007" s="87"/>
      <c r="C1007" s="43" t="s">
        <v>2006</v>
      </c>
      <c r="D1007" s="71" t="s">
        <v>382</v>
      </c>
      <c r="E1007" s="71" t="str">
        <f>MID(D1007,1,2)</f>
        <v>IL</v>
      </c>
      <c r="F1007" s="71" t="s">
        <v>774</v>
      </c>
      <c r="G1007" s="71" t="str">
        <f>MID(F1007,1,2)</f>
        <v>CN</v>
      </c>
      <c r="H1007" s="43" t="s">
        <v>2004</v>
      </c>
      <c r="I1007" s="71" t="s">
        <v>2007</v>
      </c>
      <c r="J1007" s="71" t="s">
        <v>755</v>
      </c>
      <c r="K1007" s="43"/>
      <c r="L1007" s="71" t="s">
        <v>105</v>
      </c>
      <c r="M1007" s="73">
        <v>1</v>
      </c>
      <c r="N1007" s="71" t="s">
        <v>388</v>
      </c>
      <c r="O1007" s="73">
        <v>0.012</v>
      </c>
      <c r="P1007" s="71" t="s">
        <v>389</v>
      </c>
      <c r="Q1007" s="73">
        <v>2</v>
      </c>
      <c r="R1007" s="71" t="s">
        <v>388</v>
      </c>
      <c r="S1007" s="73">
        <v>0</v>
      </c>
      <c r="T1007" s="71" t="s">
        <v>390</v>
      </c>
      <c r="U1007" s="74">
        <v>1</v>
      </c>
      <c r="V1007" s="71" t="s">
        <v>391</v>
      </c>
      <c r="W1007" s="130">
        <v>46063.547569444447</v>
      </c>
      <c r="X1007" s="72">
        <v>46064.577777777777</v>
      </c>
      <c r="Y1007" s="72">
        <v>46068.125</v>
      </c>
      <c r="Z1007" s="104" t="s">
        <v>382</v>
      </c>
      <c r="AA1007" s="104" t="s">
        <v>383</v>
      </c>
      <c r="AB1007" s="105">
        <v>46064.684027777781</v>
      </c>
      <c r="AC1007" s="105">
        <v>46064.824305555558</v>
      </c>
    </row>
    <row r="1008" s="70" customFormat="1" ht="11.25" customHeight="1">
      <c r="A1008" s="87"/>
      <c r="C1008" s="43" t="s">
        <v>2006</v>
      </c>
      <c r="D1008" s="71" t="s">
        <v>382</v>
      </c>
      <c r="E1008" s="71" t="str">
        <f>MID(D1008,1,2)</f>
        <v>IL</v>
      </c>
      <c r="F1008" s="71" t="s">
        <v>774</v>
      </c>
      <c r="G1008" s="71" t="str">
        <f>MID(F1008,1,2)</f>
        <v>CN</v>
      </c>
      <c r="H1008" s="43" t="s">
        <v>2004</v>
      </c>
      <c r="I1008" s="71" t="s">
        <v>2007</v>
      </c>
      <c r="J1008" s="71" t="s">
        <v>755</v>
      </c>
      <c r="K1008" s="43"/>
      <c r="L1008" s="71" t="s">
        <v>105</v>
      </c>
      <c r="M1008" s="73">
        <v>1</v>
      </c>
      <c r="N1008" s="71" t="s">
        <v>388</v>
      </c>
      <c r="O1008" s="73">
        <v>0.012</v>
      </c>
      <c r="P1008" s="71" t="s">
        <v>389</v>
      </c>
      <c r="Q1008" s="73">
        <v>2</v>
      </c>
      <c r="R1008" s="71" t="s">
        <v>388</v>
      </c>
      <c r="S1008" s="73">
        <v>0</v>
      </c>
      <c r="T1008" s="71" t="s">
        <v>390</v>
      </c>
      <c r="U1008" s="74">
        <v>1</v>
      </c>
      <c r="V1008" s="71" t="s">
        <v>391</v>
      </c>
      <c r="W1008" s="130">
        <v>46063.547569444447</v>
      </c>
      <c r="X1008" s="72">
        <v>46064.577777777777</v>
      </c>
      <c r="Y1008" s="72">
        <v>46068.125</v>
      </c>
      <c r="Z1008" s="104" t="s">
        <v>383</v>
      </c>
      <c r="AA1008" s="104" t="s">
        <v>774</v>
      </c>
      <c r="AB1008" s="105">
        <v>46066.65347222222</v>
      </c>
      <c r="AC1008" s="105">
        <v>46067.427083333336</v>
      </c>
    </row>
    <row r="1009" s="70" customFormat="1" ht="11.25" customHeight="1">
      <c r="A1009" s="87"/>
      <c r="C1009" s="43" t="s">
        <v>2008</v>
      </c>
      <c r="D1009" s="71" t="s">
        <v>382</v>
      </c>
      <c r="E1009" s="71" t="str">
        <f>MID(D1009,1,2)</f>
        <v>IL</v>
      </c>
      <c r="F1009" s="71" t="s">
        <v>774</v>
      </c>
      <c r="G1009" s="71" t="str">
        <f>MID(F1009,1,2)</f>
        <v>CN</v>
      </c>
      <c r="H1009" s="43" t="s">
        <v>2004</v>
      </c>
      <c r="I1009" s="71" t="s">
        <v>2009</v>
      </c>
      <c r="J1009" s="71" t="s">
        <v>755</v>
      </c>
      <c r="K1009" s="43"/>
      <c r="L1009" s="71" t="s">
        <v>105</v>
      </c>
      <c r="M1009" s="73">
        <v>1</v>
      </c>
      <c r="N1009" s="71" t="s">
        <v>388</v>
      </c>
      <c r="O1009" s="73">
        <v>0.012</v>
      </c>
      <c r="P1009" s="71" t="s">
        <v>389</v>
      </c>
      <c r="Q1009" s="73">
        <v>2</v>
      </c>
      <c r="R1009" s="71" t="s">
        <v>388</v>
      </c>
      <c r="S1009" s="73">
        <v>0</v>
      </c>
      <c r="T1009" s="71" t="s">
        <v>390</v>
      </c>
      <c r="U1009" s="74">
        <v>1</v>
      </c>
      <c r="V1009" s="71" t="s">
        <v>391</v>
      </c>
      <c r="W1009" s="130">
        <v>46063.550983796296</v>
      </c>
      <c r="X1009" s="72">
        <v>46064.577777777777</v>
      </c>
      <c r="Y1009" s="72">
        <v>46068.125</v>
      </c>
      <c r="Z1009" s="104" t="s">
        <v>382</v>
      </c>
      <c r="AA1009" s="104" t="s">
        <v>383</v>
      </c>
      <c r="AB1009" s="105">
        <v>46064.684027777781</v>
      </c>
      <c r="AC1009" s="105">
        <v>46064.824305555558</v>
      </c>
    </row>
    <row r="1010" s="70" customFormat="1" ht="11.25" customHeight="1">
      <c r="A1010" s="87"/>
      <c r="C1010" s="43" t="s">
        <v>2008</v>
      </c>
      <c r="D1010" s="71" t="s">
        <v>382</v>
      </c>
      <c r="E1010" s="71" t="str">
        <f>MID(D1010,1,2)</f>
        <v>IL</v>
      </c>
      <c r="F1010" s="71" t="s">
        <v>774</v>
      </c>
      <c r="G1010" s="71" t="str">
        <f>MID(F1010,1,2)</f>
        <v>CN</v>
      </c>
      <c r="H1010" s="43" t="s">
        <v>2004</v>
      </c>
      <c r="I1010" s="71" t="s">
        <v>2009</v>
      </c>
      <c r="J1010" s="71" t="s">
        <v>755</v>
      </c>
      <c r="K1010" s="43"/>
      <c r="L1010" s="71" t="s">
        <v>105</v>
      </c>
      <c r="M1010" s="73">
        <v>1</v>
      </c>
      <c r="N1010" s="71" t="s">
        <v>388</v>
      </c>
      <c r="O1010" s="73">
        <v>0.012</v>
      </c>
      <c r="P1010" s="71" t="s">
        <v>389</v>
      </c>
      <c r="Q1010" s="73">
        <v>2</v>
      </c>
      <c r="R1010" s="71" t="s">
        <v>388</v>
      </c>
      <c r="S1010" s="73">
        <v>0</v>
      </c>
      <c r="T1010" s="71" t="s">
        <v>390</v>
      </c>
      <c r="U1010" s="74">
        <v>1</v>
      </c>
      <c r="V1010" s="71" t="s">
        <v>391</v>
      </c>
      <c r="W1010" s="130">
        <v>46063.550983796296</v>
      </c>
      <c r="X1010" s="72">
        <v>46064.577777777777</v>
      </c>
      <c r="Y1010" s="72">
        <v>46068.125</v>
      </c>
      <c r="Z1010" s="104" t="s">
        <v>383</v>
      </c>
      <c r="AA1010" s="104" t="s">
        <v>774</v>
      </c>
      <c r="AB1010" s="105">
        <v>46066.65347222222</v>
      </c>
      <c r="AC1010" s="105">
        <v>46067.427083333336</v>
      </c>
    </row>
    <row r="1011" s="70" customFormat="1" ht="11.25" customHeight="1">
      <c r="A1011" s="87"/>
      <c r="C1011" s="43" t="s">
        <v>2010</v>
      </c>
      <c r="D1011" s="71" t="s">
        <v>382</v>
      </c>
      <c r="E1011" s="71" t="str">
        <f>MID(D1011,1,2)</f>
        <v>IL</v>
      </c>
      <c r="F1011" s="71" t="s">
        <v>774</v>
      </c>
      <c r="G1011" s="71" t="str">
        <f>MID(F1011,1,2)</f>
        <v>CN</v>
      </c>
      <c r="H1011" s="43" t="s">
        <v>2004</v>
      </c>
      <c r="I1011" s="71" t="s">
        <v>2011</v>
      </c>
      <c r="J1011" s="71" t="s">
        <v>755</v>
      </c>
      <c r="K1011" s="43"/>
      <c r="L1011" s="71" t="s">
        <v>105</v>
      </c>
      <c r="M1011" s="73">
        <v>1</v>
      </c>
      <c r="N1011" s="71" t="s">
        <v>388</v>
      </c>
      <c r="O1011" s="73">
        <v>0.012</v>
      </c>
      <c r="P1011" s="71" t="s">
        <v>389</v>
      </c>
      <c r="Q1011" s="73">
        <v>2</v>
      </c>
      <c r="R1011" s="71" t="s">
        <v>388</v>
      </c>
      <c r="S1011" s="73">
        <v>0</v>
      </c>
      <c r="T1011" s="71" t="s">
        <v>390</v>
      </c>
      <c r="U1011" s="74">
        <v>1</v>
      </c>
      <c r="V1011" s="71" t="s">
        <v>391</v>
      </c>
      <c r="W1011" s="130">
        <v>46063.54755787037</v>
      </c>
      <c r="X1011" s="72">
        <v>46064.577777777777</v>
      </c>
      <c r="Y1011" s="72">
        <v>46068.125</v>
      </c>
      <c r="Z1011" s="104" t="s">
        <v>382</v>
      </c>
      <c r="AA1011" s="104" t="s">
        <v>383</v>
      </c>
      <c r="AB1011" s="105">
        <v>46064.684027777781</v>
      </c>
      <c r="AC1011" s="105">
        <v>46064.824305555558</v>
      </c>
    </row>
    <row r="1012" s="70" customFormat="1" ht="11.25" customHeight="1">
      <c r="A1012" s="87"/>
      <c r="C1012" s="43" t="s">
        <v>2010</v>
      </c>
      <c r="D1012" s="71" t="s">
        <v>382</v>
      </c>
      <c r="E1012" s="71" t="str">
        <f>MID(D1012,1,2)</f>
        <v>IL</v>
      </c>
      <c r="F1012" s="71" t="s">
        <v>774</v>
      </c>
      <c r="G1012" s="71" t="str">
        <f>MID(F1012,1,2)</f>
        <v>CN</v>
      </c>
      <c r="H1012" s="43" t="s">
        <v>2004</v>
      </c>
      <c r="I1012" s="71" t="s">
        <v>2011</v>
      </c>
      <c r="J1012" s="71" t="s">
        <v>755</v>
      </c>
      <c r="K1012" s="43"/>
      <c r="L1012" s="71" t="s">
        <v>105</v>
      </c>
      <c r="M1012" s="73">
        <v>1</v>
      </c>
      <c r="N1012" s="71" t="s">
        <v>388</v>
      </c>
      <c r="O1012" s="73">
        <v>0.012</v>
      </c>
      <c r="P1012" s="71" t="s">
        <v>389</v>
      </c>
      <c r="Q1012" s="73">
        <v>2</v>
      </c>
      <c r="R1012" s="71" t="s">
        <v>388</v>
      </c>
      <c r="S1012" s="73">
        <v>0</v>
      </c>
      <c r="T1012" s="71" t="s">
        <v>390</v>
      </c>
      <c r="U1012" s="74">
        <v>1</v>
      </c>
      <c r="V1012" s="71" t="s">
        <v>391</v>
      </c>
      <c r="W1012" s="130">
        <v>46063.54755787037</v>
      </c>
      <c r="X1012" s="72">
        <v>46064.577777777777</v>
      </c>
      <c r="Y1012" s="72">
        <v>46068.125</v>
      </c>
      <c r="Z1012" s="104" t="s">
        <v>383</v>
      </c>
      <c r="AA1012" s="104" t="s">
        <v>774</v>
      </c>
      <c r="AB1012" s="105">
        <v>46066.65347222222</v>
      </c>
      <c r="AC1012" s="105">
        <v>46067.427083333336</v>
      </c>
    </row>
    <row r="1013" s="70" customFormat="1" ht="11.25" customHeight="1">
      <c r="A1013" s="87"/>
      <c r="C1013" s="43" t="s">
        <v>2012</v>
      </c>
      <c r="D1013" s="71" t="s">
        <v>382</v>
      </c>
      <c r="E1013" s="71" t="str">
        <f>MID(D1013,1,2)</f>
        <v>IL</v>
      </c>
      <c r="F1013" s="71" t="s">
        <v>546</v>
      </c>
      <c r="G1013" s="71" t="str">
        <f>MID(F1013,1,2)</f>
        <v>GB</v>
      </c>
      <c r="H1013" s="43" t="s">
        <v>2013</v>
      </c>
      <c r="I1013" s="71" t="s">
        <v>2014</v>
      </c>
      <c r="J1013" s="71" t="s">
        <v>400</v>
      </c>
      <c r="K1013" s="43"/>
      <c r="L1013" s="71" t="s">
        <v>105</v>
      </c>
      <c r="M1013" s="73">
        <v>165</v>
      </c>
      <c r="N1013" s="71" t="s">
        <v>388</v>
      </c>
      <c r="O1013" s="73">
        <v>1.299</v>
      </c>
      <c r="P1013" s="71" t="s">
        <v>389</v>
      </c>
      <c r="Q1013" s="73">
        <v>216.5</v>
      </c>
      <c r="R1013" s="71" t="s">
        <v>388</v>
      </c>
      <c r="S1013" s="73">
        <v>0</v>
      </c>
      <c r="T1013" s="71" t="s">
        <v>390</v>
      </c>
      <c r="U1013" s="74">
        <v>1</v>
      </c>
      <c r="V1013" s="71" t="s">
        <v>391</v>
      </c>
      <c r="W1013" s="130">
        <v>46063.417361111111</v>
      </c>
      <c r="X1013" s="72">
        <v>46065.402777777781</v>
      </c>
      <c r="Y1013" s="72">
        <v>46065.670138888891</v>
      </c>
      <c r="Z1013" s="104" t="s">
        <v>560</v>
      </c>
      <c r="AA1013" s="104" t="s">
        <v>561</v>
      </c>
      <c r="AB1013" s="105"/>
      <c r="AC1013" s="105"/>
    </row>
    <row r="1014" s="70" customFormat="1" ht="11.25" customHeight="1">
      <c r="A1014" s="87"/>
      <c r="C1014" s="43" t="s">
        <v>2012</v>
      </c>
      <c r="D1014" s="71" t="s">
        <v>382</v>
      </c>
      <c r="E1014" s="71" t="str">
        <f>MID(D1014,1,2)</f>
        <v>IL</v>
      </c>
      <c r="F1014" s="71" t="s">
        <v>546</v>
      </c>
      <c r="G1014" s="71" t="str">
        <f>MID(F1014,1,2)</f>
        <v>GB</v>
      </c>
      <c r="H1014" s="43" t="s">
        <v>2013</v>
      </c>
      <c r="I1014" s="71" t="s">
        <v>2014</v>
      </c>
      <c r="J1014" s="71" t="s">
        <v>400</v>
      </c>
      <c r="K1014" s="43"/>
      <c r="L1014" s="71" t="s">
        <v>105</v>
      </c>
      <c r="M1014" s="73">
        <v>165</v>
      </c>
      <c r="N1014" s="71" t="s">
        <v>388</v>
      </c>
      <c r="O1014" s="73">
        <v>1.299</v>
      </c>
      <c r="P1014" s="71" t="s">
        <v>389</v>
      </c>
      <c r="Q1014" s="73">
        <v>216.5</v>
      </c>
      <c r="R1014" s="71" t="s">
        <v>388</v>
      </c>
      <c r="S1014" s="73">
        <v>0</v>
      </c>
      <c r="T1014" s="71" t="s">
        <v>390</v>
      </c>
      <c r="U1014" s="74">
        <v>1</v>
      </c>
      <c r="V1014" s="71" t="s">
        <v>391</v>
      </c>
      <c r="W1014" s="130">
        <v>46063.417361111111</v>
      </c>
      <c r="X1014" s="72">
        <v>46065.402777777781</v>
      </c>
      <c r="Y1014" s="72">
        <v>46065.670138888891</v>
      </c>
      <c r="Z1014" s="104" t="s">
        <v>382</v>
      </c>
      <c r="AA1014" s="104" t="s">
        <v>546</v>
      </c>
      <c r="AB1014" s="105">
        <v>46065.522916666669</v>
      </c>
      <c r="AC1014" s="105">
        <v>46065.647222222222</v>
      </c>
    </row>
    <row r="1015" s="70" customFormat="1" ht="11.25" customHeight="1">
      <c r="A1015" s="87"/>
      <c r="C1015" s="43" t="s">
        <v>2015</v>
      </c>
      <c r="D1015" s="71" t="s">
        <v>382</v>
      </c>
      <c r="E1015" s="71" t="str">
        <f>MID(D1015,1,2)</f>
        <v>IL</v>
      </c>
      <c r="F1015" s="71" t="s">
        <v>919</v>
      </c>
      <c r="G1015" s="71" t="str">
        <f>MID(F1015,1,2)</f>
        <v>CN</v>
      </c>
      <c r="H1015" s="43" t="s">
        <v>1938</v>
      </c>
      <c r="I1015" s="71" t="s">
        <v>2016</v>
      </c>
      <c r="J1015" s="71" t="s">
        <v>755</v>
      </c>
      <c r="K1015" s="43"/>
      <c r="L1015" s="71" t="s">
        <v>105</v>
      </c>
      <c r="M1015" s="73">
        <v>1</v>
      </c>
      <c r="N1015" s="71" t="s">
        <v>388</v>
      </c>
      <c r="O1015" s="73">
        <v>0.013</v>
      </c>
      <c r="P1015" s="71" t="s">
        <v>389</v>
      </c>
      <c r="Q1015" s="73">
        <v>2.5</v>
      </c>
      <c r="R1015" s="71" t="s">
        <v>388</v>
      </c>
      <c r="S1015" s="73">
        <v>0</v>
      </c>
      <c r="T1015" s="71" t="s">
        <v>390</v>
      </c>
      <c r="U1015" s="74">
        <v>1</v>
      </c>
      <c r="V1015" s="71" t="s">
        <v>391</v>
      </c>
      <c r="W1015" s="130">
        <v>46063.547581018516</v>
      </c>
      <c r="X1015" s="72">
        <v>46065.003472222219</v>
      </c>
      <c r="Y1015" s="72">
        <v>46070.128472222219</v>
      </c>
      <c r="Z1015" s="104" t="s">
        <v>382</v>
      </c>
      <c r="AA1015" s="104" t="s">
        <v>383</v>
      </c>
      <c r="AB1015" s="105">
        <v>46064.999305555553</v>
      </c>
      <c r="AC1015" s="105">
        <v>46065.288194444445</v>
      </c>
    </row>
    <row r="1016" s="70" customFormat="1" ht="11.25" customHeight="1">
      <c r="A1016" s="87"/>
      <c r="C1016" s="43" t="s">
        <v>2015</v>
      </c>
      <c r="D1016" s="71" t="s">
        <v>382</v>
      </c>
      <c r="E1016" s="71" t="str">
        <f>MID(D1016,1,2)</f>
        <v>IL</v>
      </c>
      <c r="F1016" s="71" t="s">
        <v>919</v>
      </c>
      <c r="G1016" s="71" t="str">
        <f>MID(F1016,1,2)</f>
        <v>CN</v>
      </c>
      <c r="H1016" s="43" t="s">
        <v>1938</v>
      </c>
      <c r="I1016" s="71" t="s">
        <v>2016</v>
      </c>
      <c r="J1016" s="71" t="s">
        <v>755</v>
      </c>
      <c r="K1016" s="43"/>
      <c r="L1016" s="71" t="s">
        <v>105</v>
      </c>
      <c r="M1016" s="73">
        <v>1</v>
      </c>
      <c r="N1016" s="71" t="s">
        <v>388</v>
      </c>
      <c r="O1016" s="73">
        <v>0.013</v>
      </c>
      <c r="P1016" s="71" t="s">
        <v>389</v>
      </c>
      <c r="Q1016" s="73">
        <v>2.5</v>
      </c>
      <c r="R1016" s="71" t="s">
        <v>388</v>
      </c>
      <c r="S1016" s="73">
        <v>0</v>
      </c>
      <c r="T1016" s="71" t="s">
        <v>390</v>
      </c>
      <c r="U1016" s="74">
        <v>1</v>
      </c>
      <c r="V1016" s="71" t="s">
        <v>391</v>
      </c>
      <c r="W1016" s="130">
        <v>46063.547581018516</v>
      </c>
      <c r="X1016" s="72">
        <v>46065.003472222219</v>
      </c>
      <c r="Y1016" s="72">
        <v>46070.128472222219</v>
      </c>
      <c r="Z1016" s="104" t="s">
        <v>383</v>
      </c>
      <c r="AA1016" s="104" t="s">
        <v>919</v>
      </c>
      <c r="AB1016" s="105">
        <v>46066.326388888891</v>
      </c>
      <c r="AC1016" s="105">
        <v>46067.042361111111</v>
      </c>
    </row>
    <row r="1017" s="70" customFormat="1" ht="11.25" customHeight="1">
      <c r="A1017" s="87"/>
      <c r="C1017" s="43" t="s">
        <v>2017</v>
      </c>
      <c r="D1017" s="71" t="s">
        <v>382</v>
      </c>
      <c r="E1017" s="71" t="str">
        <f>MID(D1017,1,2)</f>
        <v>IL</v>
      </c>
      <c r="F1017" s="71" t="s">
        <v>414</v>
      </c>
      <c r="G1017" s="71" t="str">
        <f>MID(F1017,1,2)</f>
        <v>US</v>
      </c>
      <c r="H1017" s="43" t="s">
        <v>1663</v>
      </c>
      <c r="I1017" s="71" t="s">
        <v>2018</v>
      </c>
      <c r="J1017" s="71" t="s">
        <v>386</v>
      </c>
      <c r="K1017" s="43" t="s">
        <v>759</v>
      </c>
      <c r="L1017" s="71" t="s">
        <v>107</v>
      </c>
      <c r="M1017" s="73">
        <v>2</v>
      </c>
      <c r="N1017" s="71" t="s">
        <v>388</v>
      </c>
      <c r="O1017" s="73">
        <v>0.015</v>
      </c>
      <c r="P1017" s="71" t="s">
        <v>389</v>
      </c>
      <c r="Q1017" s="73">
        <v>2.5</v>
      </c>
      <c r="R1017" s="71" t="s">
        <v>388</v>
      </c>
      <c r="S1017" s="73">
        <v>0</v>
      </c>
      <c r="T1017" s="71" t="s">
        <v>390</v>
      </c>
      <c r="U1017" s="74">
        <v>1</v>
      </c>
      <c r="V1017" s="71" t="s">
        <v>427</v>
      </c>
      <c r="W1017" s="130">
        <v>46063.396527777775</v>
      </c>
      <c r="X1017" s="72">
        <v>46066.03125</v>
      </c>
      <c r="Y1017" s="72">
        <v>46066.239583333336</v>
      </c>
      <c r="Z1017" s="104" t="s">
        <v>382</v>
      </c>
      <c r="AA1017" s="104" t="s">
        <v>414</v>
      </c>
      <c r="AB1017" s="105">
        <v>46066.031944444447</v>
      </c>
      <c r="AC1017" s="105">
        <v>46066.213888888888</v>
      </c>
    </row>
    <row r="1018" s="70" customFormat="1" ht="11.25" customHeight="1">
      <c r="A1018" s="87"/>
      <c r="C1018" s="43" t="s">
        <v>2019</v>
      </c>
      <c r="D1018" s="71" t="s">
        <v>382</v>
      </c>
      <c r="E1018" s="71" t="str">
        <f>MID(D1018,1,2)</f>
        <v>IL</v>
      </c>
      <c r="F1018" s="71" t="s">
        <v>526</v>
      </c>
      <c r="G1018" s="71" t="str">
        <f>MID(F1018,1,2)</f>
        <v>US</v>
      </c>
      <c r="H1018" s="43" t="s">
        <v>2020</v>
      </c>
      <c r="I1018" s="71" t="s">
        <v>2021</v>
      </c>
      <c r="J1018" s="71" t="s">
        <v>386</v>
      </c>
      <c r="K1018" s="43"/>
      <c r="L1018" s="71" t="s">
        <v>107</v>
      </c>
      <c r="M1018" s="73">
        <v>165</v>
      </c>
      <c r="N1018" s="71" t="s">
        <v>388</v>
      </c>
      <c r="O1018" s="73">
        <v>1.512</v>
      </c>
      <c r="P1018" s="71" t="s">
        <v>389</v>
      </c>
      <c r="Q1018" s="73">
        <v>252</v>
      </c>
      <c r="R1018" s="71" t="s">
        <v>388</v>
      </c>
      <c r="S1018" s="73">
        <v>10</v>
      </c>
      <c r="T1018" s="71" t="s">
        <v>390</v>
      </c>
      <c r="U1018" s="74">
        <v>2</v>
      </c>
      <c r="V1018" s="71" t="s">
        <v>391</v>
      </c>
      <c r="W1018" s="130">
        <v>46064.459282407406</v>
      </c>
      <c r="X1018" s="72">
        <v>46065.03125</v>
      </c>
      <c r="Y1018" s="72">
        <v>46065.250694444447</v>
      </c>
      <c r="Z1018" s="104" t="s">
        <v>382</v>
      </c>
      <c r="AA1018" s="104" t="s">
        <v>526</v>
      </c>
      <c r="AB1018" s="105">
        <v>46065.043055555558</v>
      </c>
      <c r="AC1018" s="105">
        <v>46065.258333333331</v>
      </c>
    </row>
    <row r="1019" s="70" customFormat="1" ht="11.25" customHeight="1">
      <c r="A1019" s="87"/>
      <c r="C1019" s="43" t="s">
        <v>2022</v>
      </c>
      <c r="D1019" s="71" t="s">
        <v>382</v>
      </c>
      <c r="E1019" s="71" t="str">
        <f>MID(D1019,1,2)</f>
        <v>IL</v>
      </c>
      <c r="F1019" s="71" t="s">
        <v>465</v>
      </c>
      <c r="G1019" s="71" t="str">
        <f>MID(F1019,1,2)</f>
        <v>AZ</v>
      </c>
      <c r="H1019" s="43" t="s">
        <v>2023</v>
      </c>
      <c r="I1019" s="71" t="s">
        <v>2024</v>
      </c>
      <c r="J1019" s="71" t="s">
        <v>426</v>
      </c>
      <c r="K1019" s="43"/>
      <c r="L1019" s="71" t="s">
        <v>105</v>
      </c>
      <c r="M1019" s="73">
        <v>479</v>
      </c>
      <c r="N1019" s="71" t="s">
        <v>388</v>
      </c>
      <c r="O1019" s="73">
        <v>3.246</v>
      </c>
      <c r="P1019" s="71" t="s">
        <v>389</v>
      </c>
      <c r="Q1019" s="73">
        <v>541</v>
      </c>
      <c r="R1019" s="71" t="s">
        <v>388</v>
      </c>
      <c r="S1019" s="73">
        <v>0</v>
      </c>
      <c r="T1019" s="71" t="s">
        <v>390</v>
      </c>
      <c r="U1019" s="74">
        <v>3</v>
      </c>
      <c r="V1019" s="71" t="s">
        <v>391</v>
      </c>
      <c r="W1019" s="130"/>
      <c r="X1019" s="72">
        <v>46066.916666666664</v>
      </c>
      <c r="Y1019" s="72">
        <v>46066.097222222219</v>
      </c>
      <c r="Z1019" s="104" t="s">
        <v>382</v>
      </c>
      <c r="AA1019" s="104" t="s">
        <v>465</v>
      </c>
      <c r="AB1019" s="105">
        <v>46068.447916666664</v>
      </c>
      <c r="AC1019" s="105">
        <v>46068.631944444445</v>
      </c>
    </row>
    <row r="1020" s="70" customFormat="1" ht="11.25" customHeight="1">
      <c r="A1020" s="87"/>
      <c r="C1020" s="43" t="s">
        <v>2025</v>
      </c>
      <c r="D1020" s="71" t="s">
        <v>382</v>
      </c>
      <c r="E1020" s="71" t="str">
        <f>MID(D1020,1,2)</f>
        <v>IL</v>
      </c>
      <c r="F1020" s="71" t="s">
        <v>1163</v>
      </c>
      <c r="G1020" s="71" t="str">
        <f>MID(F1020,1,2)</f>
        <v>AR</v>
      </c>
      <c r="H1020" s="43" t="s">
        <v>2026</v>
      </c>
      <c r="I1020" s="71" t="s">
        <v>2027</v>
      </c>
      <c r="J1020" s="71" t="s">
        <v>811</v>
      </c>
      <c r="K1020" s="43"/>
      <c r="L1020" s="71" t="s">
        <v>105</v>
      </c>
      <c r="M1020" s="73">
        <v>228</v>
      </c>
      <c r="N1020" s="71" t="s">
        <v>388</v>
      </c>
      <c r="O1020" s="73">
        <v>1.339</v>
      </c>
      <c r="P1020" s="71" t="s">
        <v>389</v>
      </c>
      <c r="Q1020" s="73">
        <v>228</v>
      </c>
      <c r="R1020" s="71" t="s">
        <v>388</v>
      </c>
      <c r="S1020" s="73">
        <v>0</v>
      </c>
      <c r="T1020" s="71" t="s">
        <v>390</v>
      </c>
      <c r="U1020" s="74">
        <v>1</v>
      </c>
      <c r="V1020" s="71" t="s">
        <v>391</v>
      </c>
      <c r="W1020" s="130"/>
      <c r="X1020" s="72">
        <v>46066.395833333336</v>
      </c>
      <c r="Y1020" s="72">
        <v>46069.69375</v>
      </c>
      <c r="Z1020" s="104" t="s">
        <v>382</v>
      </c>
      <c r="AA1020" s="104" t="s">
        <v>414</v>
      </c>
      <c r="AB1020" s="105">
        <v>46066.472222222219</v>
      </c>
      <c r="AC1020" s="105">
        <v>46066.69027777778</v>
      </c>
    </row>
    <row r="1021" s="70" customFormat="1" ht="11.25" customHeight="1">
      <c r="A1021" s="87"/>
      <c r="C1021" s="43" t="s">
        <v>2025</v>
      </c>
      <c r="D1021" s="71" t="s">
        <v>382</v>
      </c>
      <c r="E1021" s="71" t="str">
        <f>MID(D1021,1,2)</f>
        <v>IL</v>
      </c>
      <c r="F1021" s="71" t="s">
        <v>1163</v>
      </c>
      <c r="G1021" s="71" t="str">
        <f>MID(F1021,1,2)</f>
        <v>AR</v>
      </c>
      <c r="H1021" s="43" t="s">
        <v>2026</v>
      </c>
      <c r="I1021" s="71" t="s">
        <v>2027</v>
      </c>
      <c r="J1021" s="71" t="s">
        <v>811</v>
      </c>
      <c r="K1021" s="43"/>
      <c r="L1021" s="71" t="s">
        <v>105</v>
      </c>
      <c r="M1021" s="73">
        <v>228</v>
      </c>
      <c r="N1021" s="71" t="s">
        <v>388</v>
      </c>
      <c r="O1021" s="73">
        <v>1.339</v>
      </c>
      <c r="P1021" s="71" t="s">
        <v>389</v>
      </c>
      <c r="Q1021" s="73">
        <v>228</v>
      </c>
      <c r="R1021" s="71" t="s">
        <v>388</v>
      </c>
      <c r="S1021" s="73">
        <v>0</v>
      </c>
      <c r="T1021" s="71" t="s">
        <v>390</v>
      </c>
      <c r="U1021" s="74">
        <v>1</v>
      </c>
      <c r="V1021" s="71" t="s">
        <v>391</v>
      </c>
      <c r="W1021" s="130"/>
      <c r="X1021" s="72">
        <v>46066.395833333336</v>
      </c>
      <c r="Y1021" s="72">
        <v>46069.69375</v>
      </c>
      <c r="Z1021" s="104" t="s">
        <v>414</v>
      </c>
      <c r="AA1021" s="104" t="s">
        <v>1163</v>
      </c>
      <c r="AB1021" s="105">
        <v>46068.892361111109</v>
      </c>
      <c r="AC1021" s="105">
        <v>46069.446527777778</v>
      </c>
    </row>
    <row r="1022" s="70" customFormat="1" ht="11.25" customHeight="1">
      <c r="A1022" s="87"/>
      <c r="C1022" s="43" t="s">
        <v>2028</v>
      </c>
      <c r="D1022" s="71" t="s">
        <v>382</v>
      </c>
      <c r="E1022" s="71" t="str">
        <f>MID(D1022,1,2)</f>
        <v>IL</v>
      </c>
      <c r="F1022" s="71" t="s">
        <v>833</v>
      </c>
      <c r="G1022" s="71" t="str">
        <f>MID(F1022,1,2)</f>
        <v>TH</v>
      </c>
      <c r="H1022" s="43" t="s">
        <v>2029</v>
      </c>
      <c r="I1022" s="71" t="s">
        <v>2030</v>
      </c>
      <c r="J1022" s="71" t="s">
        <v>400</v>
      </c>
      <c r="K1022" s="43"/>
      <c r="L1022" s="71" t="s">
        <v>105</v>
      </c>
      <c r="M1022" s="73">
        <v>395</v>
      </c>
      <c r="N1022" s="71" t="s">
        <v>388</v>
      </c>
      <c r="O1022" s="73">
        <v>2.147</v>
      </c>
      <c r="P1022" s="71" t="s">
        <v>389</v>
      </c>
      <c r="Q1022" s="73">
        <v>395</v>
      </c>
      <c r="R1022" s="71" t="s">
        <v>388</v>
      </c>
      <c r="S1022" s="73">
        <v>0</v>
      </c>
      <c r="T1022" s="71" t="s">
        <v>390</v>
      </c>
      <c r="U1022" s="74">
        <v>2</v>
      </c>
      <c r="V1022" s="71" t="s">
        <v>391</v>
      </c>
      <c r="W1022" s="130">
        <v>46063.410416666666</v>
      </c>
      <c r="X1022" s="72">
        <v>46064.895833333336</v>
      </c>
      <c r="Y1022" s="72">
        <v>46065.576388888891</v>
      </c>
      <c r="Z1022" s="104" t="s">
        <v>382</v>
      </c>
      <c r="AA1022" s="104" t="s">
        <v>833</v>
      </c>
      <c r="AB1022" s="105">
        <v>46064.899305555555</v>
      </c>
      <c r="AC1022" s="105">
        <v>46065.563194444447</v>
      </c>
    </row>
    <row r="1023" s="70" customFormat="1" ht="11.25" customHeight="1">
      <c r="A1023" s="87"/>
      <c r="C1023" s="43" t="s">
        <v>2031</v>
      </c>
      <c r="D1023" s="71" t="s">
        <v>382</v>
      </c>
      <c r="E1023" s="71" t="str">
        <f>MID(D1023,1,2)</f>
        <v>IL</v>
      </c>
      <c r="F1023" s="71" t="s">
        <v>1169</v>
      </c>
      <c r="G1023" s="71" t="str">
        <f>MID(F1023,1,2)</f>
        <v>HU</v>
      </c>
      <c r="H1023" s="43" t="s">
        <v>2032</v>
      </c>
      <c r="I1023" s="71" t="s">
        <v>2033</v>
      </c>
      <c r="J1023" s="71" t="s">
        <v>811</v>
      </c>
      <c r="K1023" s="43"/>
      <c r="L1023" s="71" t="s">
        <v>105</v>
      </c>
      <c r="M1023" s="73">
        <v>204</v>
      </c>
      <c r="N1023" s="71" t="s">
        <v>388</v>
      </c>
      <c r="O1023" s="73">
        <v>0.825</v>
      </c>
      <c r="P1023" s="71" t="s">
        <v>389</v>
      </c>
      <c r="Q1023" s="73">
        <v>204</v>
      </c>
      <c r="R1023" s="71" t="s">
        <v>388</v>
      </c>
      <c r="S1023" s="73">
        <v>0</v>
      </c>
      <c r="T1023" s="71" t="s">
        <v>390</v>
      </c>
      <c r="U1023" s="74">
        <v>3</v>
      </c>
      <c r="V1023" s="71" t="s">
        <v>391</v>
      </c>
      <c r="W1023" s="130">
        <v>46063.611805555556</v>
      </c>
      <c r="X1023" s="72">
        <v>46063.364583333336</v>
      </c>
      <c r="Y1023" s="72">
        <v>46064.397916666669</v>
      </c>
      <c r="Z1023" s="104" t="s">
        <v>382</v>
      </c>
      <c r="AA1023" s="104" t="s">
        <v>1169</v>
      </c>
      <c r="AB1023" s="105">
        <v>46064.286805555559</v>
      </c>
      <c r="AC1023" s="105">
        <v>46064.395138888889</v>
      </c>
    </row>
    <row r="1024" s="70" customFormat="1" ht="11.25" customHeight="1">
      <c r="A1024" s="87"/>
      <c r="C1024" s="43" t="s">
        <v>2034</v>
      </c>
      <c r="D1024" s="71" t="s">
        <v>382</v>
      </c>
      <c r="E1024" s="71" t="str">
        <f>MID(D1024,1,2)</f>
        <v>IL</v>
      </c>
      <c r="F1024" s="71" t="s">
        <v>1871</v>
      </c>
      <c r="G1024" s="71" t="str">
        <f>MID(F1024,1,2)</f>
        <v>ZA</v>
      </c>
      <c r="H1024" s="43" t="s">
        <v>2035</v>
      </c>
      <c r="I1024" s="71" t="s">
        <v>2036</v>
      </c>
      <c r="J1024" s="71" t="s">
        <v>426</v>
      </c>
      <c r="K1024" s="43"/>
      <c r="L1024" s="71" t="s">
        <v>105</v>
      </c>
      <c r="M1024" s="73">
        <v>234</v>
      </c>
      <c r="N1024" s="71" t="s">
        <v>388</v>
      </c>
      <c r="O1024" s="73">
        <v>1.344</v>
      </c>
      <c r="P1024" s="71" t="s">
        <v>389</v>
      </c>
      <c r="Q1024" s="73">
        <v>234</v>
      </c>
      <c r="R1024" s="71" t="s">
        <v>388</v>
      </c>
      <c r="S1024" s="73">
        <v>0</v>
      </c>
      <c r="T1024" s="71" t="s">
        <v>390</v>
      </c>
      <c r="U1024" s="74">
        <v>1</v>
      </c>
      <c r="V1024" s="71" t="s">
        <v>391</v>
      </c>
      <c r="W1024" s="130"/>
      <c r="X1024" s="72">
        <v>46065.45208333333</v>
      </c>
      <c r="Y1024" s="72">
        <v>46071.506944444445</v>
      </c>
      <c r="Z1024" s="104" t="s">
        <v>382</v>
      </c>
      <c r="AA1024" s="104" t="s">
        <v>577</v>
      </c>
      <c r="AB1024" s="105">
        <v>46065.696527777778</v>
      </c>
      <c r="AC1024" s="105">
        <v>46065.813888888886</v>
      </c>
    </row>
    <row r="1025" s="70" customFormat="1" ht="11.25" customHeight="1">
      <c r="A1025" s="87"/>
      <c r="C1025" s="43" t="s">
        <v>2034</v>
      </c>
      <c r="D1025" s="71" t="s">
        <v>382</v>
      </c>
      <c r="E1025" s="71" t="str">
        <f>MID(D1025,1,2)</f>
        <v>IL</v>
      </c>
      <c r="F1025" s="71" t="s">
        <v>1871</v>
      </c>
      <c r="G1025" s="71" t="str">
        <f>MID(F1025,1,2)</f>
        <v>ZA</v>
      </c>
      <c r="H1025" s="43" t="s">
        <v>2035</v>
      </c>
      <c r="I1025" s="71" t="s">
        <v>2036</v>
      </c>
      <c r="J1025" s="71" t="s">
        <v>426</v>
      </c>
      <c r="K1025" s="43"/>
      <c r="L1025" s="71" t="s">
        <v>105</v>
      </c>
      <c r="M1025" s="73">
        <v>234</v>
      </c>
      <c r="N1025" s="71" t="s">
        <v>388</v>
      </c>
      <c r="O1025" s="73">
        <v>1.344</v>
      </c>
      <c r="P1025" s="71" t="s">
        <v>389</v>
      </c>
      <c r="Q1025" s="73">
        <v>234</v>
      </c>
      <c r="R1025" s="71" t="s">
        <v>388</v>
      </c>
      <c r="S1025" s="73">
        <v>0</v>
      </c>
      <c r="T1025" s="71" t="s">
        <v>390</v>
      </c>
      <c r="U1025" s="74">
        <v>1</v>
      </c>
      <c r="V1025" s="71" t="s">
        <v>391</v>
      </c>
      <c r="W1025" s="130"/>
      <c r="X1025" s="72">
        <v>46065.45208333333</v>
      </c>
      <c r="Y1025" s="72">
        <v>46071.506944444445</v>
      </c>
      <c r="Z1025" s="104" t="s">
        <v>577</v>
      </c>
      <c r="AA1025" s="104" t="s">
        <v>1871</v>
      </c>
      <c r="AB1025" s="105">
        <v>46068.993055555555</v>
      </c>
      <c r="AC1025" s="105">
        <v>46071.472222222219</v>
      </c>
    </row>
    <row r="1026" s="70" customFormat="1" ht="11.25" customHeight="1">
      <c r="A1026" s="87"/>
      <c r="C1026" s="43" t="s">
        <v>2037</v>
      </c>
      <c r="D1026" s="71" t="s">
        <v>382</v>
      </c>
      <c r="E1026" s="71" t="str">
        <f>MID(D1026,1,2)</f>
        <v>IL</v>
      </c>
      <c r="F1026" s="71" t="s">
        <v>414</v>
      </c>
      <c r="G1026" s="71" t="str">
        <f>MID(F1026,1,2)</f>
        <v>US</v>
      </c>
      <c r="H1026" s="43" t="s">
        <v>1663</v>
      </c>
      <c r="I1026" s="71" t="s">
        <v>2038</v>
      </c>
      <c r="J1026" s="71" t="s">
        <v>386</v>
      </c>
      <c r="K1026" s="43" t="s">
        <v>759</v>
      </c>
      <c r="L1026" s="71" t="s">
        <v>107</v>
      </c>
      <c r="M1026" s="73">
        <v>9</v>
      </c>
      <c r="N1026" s="71" t="s">
        <v>388</v>
      </c>
      <c r="O1026" s="73">
        <v>0.052</v>
      </c>
      <c r="P1026" s="71" t="s">
        <v>389</v>
      </c>
      <c r="Q1026" s="73">
        <v>9</v>
      </c>
      <c r="R1026" s="71" t="s">
        <v>388</v>
      </c>
      <c r="S1026" s="73">
        <v>0</v>
      </c>
      <c r="T1026" s="71" t="s">
        <v>390</v>
      </c>
      <c r="U1026" s="74">
        <v>1</v>
      </c>
      <c r="V1026" s="71" t="s">
        <v>427</v>
      </c>
      <c r="W1026" s="130">
        <v>46063.410416666666</v>
      </c>
      <c r="X1026" s="72">
        <v>46066.03125</v>
      </c>
      <c r="Y1026" s="72">
        <v>46066.239583333336</v>
      </c>
      <c r="Z1026" s="104" t="s">
        <v>382</v>
      </c>
      <c r="AA1026" s="104" t="s">
        <v>414</v>
      </c>
      <c r="AB1026" s="105">
        <v>46066.031944444447</v>
      </c>
      <c r="AC1026" s="105">
        <v>46066.213888888888</v>
      </c>
    </row>
    <row r="1027" s="70" customFormat="1" ht="11.25" customHeight="1">
      <c r="A1027" s="87"/>
      <c r="C1027" s="43" t="s">
        <v>2039</v>
      </c>
      <c r="D1027" s="71" t="s">
        <v>382</v>
      </c>
      <c r="E1027" s="71" t="str">
        <f>MID(D1027,1,2)</f>
        <v>IL</v>
      </c>
      <c r="F1027" s="71" t="s">
        <v>919</v>
      </c>
      <c r="G1027" s="71" t="str">
        <f>MID(F1027,1,2)</f>
        <v>CN</v>
      </c>
      <c r="H1027" s="43" t="s">
        <v>1938</v>
      </c>
      <c r="I1027" s="71" t="s">
        <v>2040</v>
      </c>
      <c r="J1027" s="71" t="s">
        <v>755</v>
      </c>
      <c r="K1027" s="43"/>
      <c r="L1027" s="71" t="s">
        <v>105</v>
      </c>
      <c r="M1027" s="73">
        <v>1.5</v>
      </c>
      <c r="N1027" s="71" t="s">
        <v>388</v>
      </c>
      <c r="O1027" s="73">
        <v>0.012</v>
      </c>
      <c r="P1027" s="71" t="s">
        <v>389</v>
      </c>
      <c r="Q1027" s="73">
        <v>2</v>
      </c>
      <c r="R1027" s="71" t="s">
        <v>388</v>
      </c>
      <c r="S1027" s="73">
        <v>0</v>
      </c>
      <c r="T1027" s="71" t="s">
        <v>390</v>
      </c>
      <c r="U1027" s="74">
        <v>1</v>
      </c>
      <c r="V1027" s="71" t="s">
        <v>391</v>
      </c>
      <c r="W1027" s="130">
        <v>46063.547592592593</v>
      </c>
      <c r="X1027" s="72">
        <v>46065.003472222219</v>
      </c>
      <c r="Y1027" s="72">
        <v>46070.128472222219</v>
      </c>
      <c r="Z1027" s="104" t="s">
        <v>382</v>
      </c>
      <c r="AA1027" s="104" t="s">
        <v>383</v>
      </c>
      <c r="AB1027" s="105">
        <v>46064.999305555553</v>
      </c>
      <c r="AC1027" s="105">
        <v>46065.288194444445</v>
      </c>
    </row>
    <row r="1028" s="70" customFormat="1" ht="11.25" customHeight="1">
      <c r="A1028" s="87"/>
      <c r="C1028" s="43" t="s">
        <v>2039</v>
      </c>
      <c r="D1028" s="71" t="s">
        <v>382</v>
      </c>
      <c r="E1028" s="71" t="str">
        <f>MID(D1028,1,2)</f>
        <v>IL</v>
      </c>
      <c r="F1028" s="71" t="s">
        <v>919</v>
      </c>
      <c r="G1028" s="71" t="str">
        <f>MID(F1028,1,2)</f>
        <v>CN</v>
      </c>
      <c r="H1028" s="43" t="s">
        <v>1938</v>
      </c>
      <c r="I1028" s="71" t="s">
        <v>2040</v>
      </c>
      <c r="J1028" s="71" t="s">
        <v>755</v>
      </c>
      <c r="K1028" s="43"/>
      <c r="L1028" s="71" t="s">
        <v>105</v>
      </c>
      <c r="M1028" s="73">
        <v>1.5</v>
      </c>
      <c r="N1028" s="71" t="s">
        <v>388</v>
      </c>
      <c r="O1028" s="73">
        <v>0.012</v>
      </c>
      <c r="P1028" s="71" t="s">
        <v>389</v>
      </c>
      <c r="Q1028" s="73">
        <v>2</v>
      </c>
      <c r="R1028" s="71" t="s">
        <v>388</v>
      </c>
      <c r="S1028" s="73">
        <v>0</v>
      </c>
      <c r="T1028" s="71" t="s">
        <v>390</v>
      </c>
      <c r="U1028" s="74">
        <v>1</v>
      </c>
      <c r="V1028" s="71" t="s">
        <v>391</v>
      </c>
      <c r="W1028" s="130">
        <v>46063.547592592593</v>
      </c>
      <c r="X1028" s="72">
        <v>46065.003472222219</v>
      </c>
      <c r="Y1028" s="72">
        <v>46070.128472222219</v>
      </c>
      <c r="Z1028" s="104" t="s">
        <v>383</v>
      </c>
      <c r="AA1028" s="104" t="s">
        <v>919</v>
      </c>
      <c r="AB1028" s="105">
        <v>46066.326388888891</v>
      </c>
      <c r="AC1028" s="105">
        <v>46067.042361111111</v>
      </c>
    </row>
    <row r="1029" s="70" customFormat="1" ht="11.25" customHeight="1">
      <c r="A1029" s="87"/>
      <c r="C1029" s="43" t="s">
        <v>2041</v>
      </c>
      <c r="D1029" s="71" t="s">
        <v>382</v>
      </c>
      <c r="E1029" s="71" t="str">
        <f>MID(D1029,1,2)</f>
        <v>IL</v>
      </c>
      <c r="F1029" s="71" t="s">
        <v>496</v>
      </c>
      <c r="G1029" s="71" t="str">
        <f>MID(F1029,1,2)</f>
        <v>RO</v>
      </c>
      <c r="H1029" s="43" t="s">
        <v>2042</v>
      </c>
      <c r="I1029" s="71" t="s">
        <v>2043</v>
      </c>
      <c r="J1029" s="71" t="s">
        <v>811</v>
      </c>
      <c r="K1029" s="43"/>
      <c r="L1029" s="71" t="s">
        <v>105</v>
      </c>
      <c r="M1029" s="73">
        <v>32</v>
      </c>
      <c r="N1029" s="71" t="s">
        <v>388</v>
      </c>
      <c r="O1029" s="73">
        <v>0.226</v>
      </c>
      <c r="P1029" s="71" t="s">
        <v>389</v>
      </c>
      <c r="Q1029" s="73">
        <v>100</v>
      </c>
      <c r="R1029" s="71" t="s">
        <v>388</v>
      </c>
      <c r="S1029" s="73">
        <v>0</v>
      </c>
      <c r="T1029" s="71" t="s">
        <v>390</v>
      </c>
      <c r="U1029" s="74">
        <v>1</v>
      </c>
      <c r="V1029" s="71" t="s">
        <v>391</v>
      </c>
      <c r="W1029" s="130">
        <v>46063.695138888892</v>
      </c>
      <c r="X1029" s="72">
        <v>46064.243055555555</v>
      </c>
      <c r="Y1029" s="72">
        <v>46064.404861111114</v>
      </c>
      <c r="Z1029" s="104" t="s">
        <v>382</v>
      </c>
      <c r="AA1029" s="104" t="s">
        <v>496</v>
      </c>
      <c r="AB1029" s="105">
        <v>46064.24375</v>
      </c>
      <c r="AC1029" s="105">
        <v>46064.349305555559</v>
      </c>
    </row>
    <row r="1030" s="70" customFormat="1" ht="11.25" customHeight="1">
      <c r="A1030" s="87"/>
      <c r="C1030" s="43" t="s">
        <v>2044</v>
      </c>
      <c r="D1030" s="71" t="s">
        <v>382</v>
      </c>
      <c r="E1030" s="71" t="str">
        <f>MID(D1030,1,2)</f>
        <v>IL</v>
      </c>
      <c r="F1030" s="71" t="s">
        <v>522</v>
      </c>
      <c r="G1030" s="71" t="str">
        <f>MID(F1030,1,2)</f>
        <v>CZ</v>
      </c>
      <c r="H1030" s="43" t="s">
        <v>2045</v>
      </c>
      <c r="I1030" s="71" t="s">
        <v>2046</v>
      </c>
      <c r="J1030" s="71" t="s">
        <v>386</v>
      </c>
      <c r="K1030" s="43"/>
      <c r="L1030" s="71" t="s">
        <v>107</v>
      </c>
      <c r="M1030" s="73">
        <v>3</v>
      </c>
      <c r="N1030" s="71" t="s">
        <v>388</v>
      </c>
      <c r="O1030" s="73">
        <v>0.012</v>
      </c>
      <c r="P1030" s="71" t="s">
        <v>389</v>
      </c>
      <c r="Q1030" s="73">
        <v>3</v>
      </c>
      <c r="R1030" s="71" t="s">
        <v>388</v>
      </c>
      <c r="S1030" s="73">
        <v>0</v>
      </c>
      <c r="T1030" s="71" t="s">
        <v>390</v>
      </c>
      <c r="U1030" s="74">
        <v>1</v>
      </c>
      <c r="V1030" s="71" t="s">
        <v>391</v>
      </c>
      <c r="W1030" s="130">
        <v>46063.424305555556</v>
      </c>
      <c r="X1030" s="72">
        <v>46066.013888888891</v>
      </c>
      <c r="Y1030" s="72">
        <v>46067.493055555555</v>
      </c>
      <c r="Z1030" s="104" t="s">
        <v>382</v>
      </c>
      <c r="AA1030" s="104" t="s">
        <v>496</v>
      </c>
      <c r="AB1030" s="105">
        <v>46066.013888888891</v>
      </c>
      <c r="AC1030" s="105"/>
    </row>
    <row r="1031" s="70" customFormat="1" ht="11.25" customHeight="1">
      <c r="A1031" s="87"/>
      <c r="C1031" s="43" t="s">
        <v>2044</v>
      </c>
      <c r="D1031" s="71" t="s">
        <v>382</v>
      </c>
      <c r="E1031" s="71" t="str">
        <f>MID(D1031,1,2)</f>
        <v>IL</v>
      </c>
      <c r="F1031" s="71" t="s">
        <v>522</v>
      </c>
      <c r="G1031" s="71" t="str">
        <f>MID(F1031,1,2)</f>
        <v>CZ</v>
      </c>
      <c r="H1031" s="43" t="s">
        <v>2045</v>
      </c>
      <c r="I1031" s="71" t="s">
        <v>2046</v>
      </c>
      <c r="J1031" s="71" t="s">
        <v>386</v>
      </c>
      <c r="K1031" s="43"/>
      <c r="L1031" s="71" t="s">
        <v>107</v>
      </c>
      <c r="M1031" s="73">
        <v>3</v>
      </c>
      <c r="N1031" s="71" t="s">
        <v>388</v>
      </c>
      <c r="O1031" s="73">
        <v>0.012</v>
      </c>
      <c r="P1031" s="71" t="s">
        <v>389</v>
      </c>
      <c r="Q1031" s="73">
        <v>3</v>
      </c>
      <c r="R1031" s="71" t="s">
        <v>388</v>
      </c>
      <c r="S1031" s="73">
        <v>0</v>
      </c>
      <c r="T1031" s="71" t="s">
        <v>390</v>
      </c>
      <c r="U1031" s="74">
        <v>1</v>
      </c>
      <c r="V1031" s="71" t="s">
        <v>391</v>
      </c>
      <c r="W1031" s="130">
        <v>46063.424305555556</v>
      </c>
      <c r="X1031" s="72">
        <v>46066.013888888891</v>
      </c>
      <c r="Y1031" s="72">
        <v>46067.493055555555</v>
      </c>
      <c r="Z1031" s="104" t="s">
        <v>496</v>
      </c>
      <c r="AA1031" s="104" t="s">
        <v>522</v>
      </c>
      <c r="AB1031" s="105">
        <v>46066.326388888891</v>
      </c>
      <c r="AC1031" s="105">
        <v>46066.39166666667</v>
      </c>
    </row>
    <row r="1032" s="70" customFormat="1" ht="11.25" customHeight="1">
      <c r="A1032" s="87"/>
      <c r="C1032" s="43" t="s">
        <v>2047</v>
      </c>
      <c r="D1032" s="71" t="s">
        <v>382</v>
      </c>
      <c r="E1032" s="71" t="str">
        <f>MID(D1032,1,2)</f>
        <v>IL</v>
      </c>
      <c r="F1032" s="71" t="s">
        <v>414</v>
      </c>
      <c r="G1032" s="71" t="str">
        <f>MID(F1032,1,2)</f>
        <v>US</v>
      </c>
      <c r="H1032" s="43" t="s">
        <v>1663</v>
      </c>
      <c r="I1032" s="71" t="s">
        <v>2048</v>
      </c>
      <c r="J1032" s="71" t="s">
        <v>386</v>
      </c>
      <c r="K1032" s="43" t="s">
        <v>759</v>
      </c>
      <c r="L1032" s="71" t="s">
        <v>107</v>
      </c>
      <c r="M1032" s="73">
        <v>31</v>
      </c>
      <c r="N1032" s="71" t="s">
        <v>388</v>
      </c>
      <c r="O1032" s="73">
        <v>0.248</v>
      </c>
      <c r="P1032" s="71" t="s">
        <v>389</v>
      </c>
      <c r="Q1032" s="73">
        <v>41.5</v>
      </c>
      <c r="R1032" s="71" t="s">
        <v>388</v>
      </c>
      <c r="S1032" s="73">
        <v>0</v>
      </c>
      <c r="T1032" s="71" t="s">
        <v>390</v>
      </c>
      <c r="U1032" s="74">
        <v>1</v>
      </c>
      <c r="V1032" s="71" t="s">
        <v>391</v>
      </c>
      <c r="W1032" s="130">
        <v>46064.106145833335</v>
      </c>
      <c r="X1032" s="72">
        <v>46066.03125</v>
      </c>
      <c r="Y1032" s="72">
        <v>46066.239583333336</v>
      </c>
      <c r="Z1032" s="104" t="s">
        <v>382</v>
      </c>
      <c r="AA1032" s="104" t="s">
        <v>414</v>
      </c>
      <c r="AB1032" s="105">
        <v>46066.031944444447</v>
      </c>
      <c r="AC1032" s="105">
        <v>46066.213888888888</v>
      </c>
    </row>
    <row r="1033" s="70" customFormat="1" ht="11.25" customHeight="1">
      <c r="A1033" s="87"/>
      <c r="C1033" s="43" t="s">
        <v>2049</v>
      </c>
      <c r="D1033" s="71" t="s">
        <v>382</v>
      </c>
      <c r="E1033" s="71" t="str">
        <f>MID(D1033,1,2)</f>
        <v>IL</v>
      </c>
      <c r="F1033" s="71" t="s">
        <v>963</v>
      </c>
      <c r="G1033" s="71" t="str">
        <f>MID(F1033,1,2)</f>
        <v>IN</v>
      </c>
      <c r="H1033" s="43" t="s">
        <v>1858</v>
      </c>
      <c r="I1033" s="71" t="s">
        <v>2050</v>
      </c>
      <c r="J1033" s="71" t="s">
        <v>426</v>
      </c>
      <c r="K1033" s="43"/>
      <c r="L1033" s="71" t="s">
        <v>105</v>
      </c>
      <c r="M1033" s="73">
        <v>21</v>
      </c>
      <c r="N1033" s="71" t="s">
        <v>388</v>
      </c>
      <c r="O1033" s="73">
        <v>0.252</v>
      </c>
      <c r="P1033" s="71" t="s">
        <v>389</v>
      </c>
      <c r="Q1033" s="73">
        <v>42</v>
      </c>
      <c r="R1033" s="71" t="s">
        <v>388</v>
      </c>
      <c r="S1033" s="73">
        <v>0</v>
      </c>
      <c r="T1033" s="71" t="s">
        <v>390</v>
      </c>
      <c r="U1033" s="74">
        <v>1</v>
      </c>
      <c r="V1033" s="71" t="s">
        <v>391</v>
      </c>
      <c r="W1033" s="130">
        <v>46064.106180555558</v>
      </c>
      <c r="X1033" s="72">
        <v>46065.895833333336</v>
      </c>
      <c r="Y1033" s="72">
        <v>46069.003472222219</v>
      </c>
      <c r="Z1033" s="104" t="s">
        <v>382</v>
      </c>
      <c r="AA1033" s="104" t="s">
        <v>833</v>
      </c>
      <c r="AB1033" s="105">
        <v>46065.906944444447</v>
      </c>
      <c r="AC1033" s="105">
        <v>46066.569444444445</v>
      </c>
    </row>
    <row r="1034" s="70" customFormat="1" ht="11.25" customHeight="1">
      <c r="A1034" s="87"/>
      <c r="C1034" s="43" t="s">
        <v>2049</v>
      </c>
      <c r="D1034" s="71" t="s">
        <v>382</v>
      </c>
      <c r="E1034" s="71" t="str">
        <f>MID(D1034,1,2)</f>
        <v>IL</v>
      </c>
      <c r="F1034" s="71" t="s">
        <v>963</v>
      </c>
      <c r="G1034" s="71" t="str">
        <f>MID(F1034,1,2)</f>
        <v>IN</v>
      </c>
      <c r="H1034" s="43" t="s">
        <v>1858</v>
      </c>
      <c r="I1034" s="71" t="s">
        <v>2050</v>
      </c>
      <c r="J1034" s="71" t="s">
        <v>426</v>
      </c>
      <c r="K1034" s="43"/>
      <c r="L1034" s="71" t="s">
        <v>105</v>
      </c>
      <c r="M1034" s="73">
        <v>21</v>
      </c>
      <c r="N1034" s="71" t="s">
        <v>388</v>
      </c>
      <c r="O1034" s="73">
        <v>0.252</v>
      </c>
      <c r="P1034" s="71" t="s">
        <v>389</v>
      </c>
      <c r="Q1034" s="73">
        <v>42</v>
      </c>
      <c r="R1034" s="71" t="s">
        <v>388</v>
      </c>
      <c r="S1034" s="73">
        <v>0</v>
      </c>
      <c r="T1034" s="71" t="s">
        <v>390</v>
      </c>
      <c r="U1034" s="74">
        <v>1</v>
      </c>
      <c r="V1034" s="71" t="s">
        <v>391</v>
      </c>
      <c r="W1034" s="130">
        <v>46064.106180555558</v>
      </c>
      <c r="X1034" s="72">
        <v>46065.895833333336</v>
      </c>
      <c r="Y1034" s="72">
        <v>46069.003472222219</v>
      </c>
      <c r="Z1034" s="104" t="s">
        <v>833</v>
      </c>
      <c r="AA1034" s="104" t="s">
        <v>963</v>
      </c>
      <c r="AB1034" s="105">
        <v>46068.913888888892</v>
      </c>
      <c r="AC1034" s="105">
        <v>46069.158333333333</v>
      </c>
    </row>
    <row r="1035" s="70" customFormat="1" ht="11.25" customHeight="1">
      <c r="A1035" s="87"/>
      <c r="C1035" s="43" t="s">
        <v>2051</v>
      </c>
      <c r="D1035" s="71" t="s">
        <v>382</v>
      </c>
      <c r="E1035" s="71" t="str">
        <f>MID(D1035,1,2)</f>
        <v>IL</v>
      </c>
      <c r="F1035" s="71" t="s">
        <v>809</v>
      </c>
      <c r="G1035" s="71" t="str">
        <f>MID(F1035,1,2)</f>
        <v>IN</v>
      </c>
      <c r="H1035" s="43" t="s">
        <v>2052</v>
      </c>
      <c r="I1035" s="71" t="s">
        <v>2053</v>
      </c>
      <c r="J1035" s="71" t="s">
        <v>811</v>
      </c>
      <c r="K1035" s="43"/>
      <c r="L1035" s="71" t="s">
        <v>105</v>
      </c>
      <c r="M1035" s="73">
        <v>60</v>
      </c>
      <c r="N1035" s="71" t="s">
        <v>388</v>
      </c>
      <c r="O1035" s="73">
        <v>0.374</v>
      </c>
      <c r="P1035" s="71" t="s">
        <v>389</v>
      </c>
      <c r="Q1035" s="73">
        <v>100</v>
      </c>
      <c r="R1035" s="71" t="s">
        <v>388</v>
      </c>
      <c r="S1035" s="73">
        <v>0</v>
      </c>
      <c r="T1035" s="71" t="s">
        <v>390</v>
      </c>
      <c r="U1035" s="74">
        <v>1</v>
      </c>
      <c r="V1035" s="71" t="s">
        <v>391</v>
      </c>
      <c r="W1035" s="130">
        <v>46063.762800925928</v>
      </c>
      <c r="X1035" s="72">
        <v>46064.420138888891</v>
      </c>
      <c r="Y1035" s="72">
        <v>46066.595833333333</v>
      </c>
      <c r="Z1035" s="104" t="s">
        <v>382</v>
      </c>
      <c r="AA1035" s="104" t="s">
        <v>1175</v>
      </c>
      <c r="AB1035" s="105">
        <v>46064.631944444445</v>
      </c>
      <c r="AC1035" s="105">
        <v>46064.87222222222</v>
      </c>
    </row>
    <row r="1036" s="70" customFormat="1" ht="11.25" customHeight="1">
      <c r="A1036" s="87"/>
      <c r="C1036" s="43" t="s">
        <v>2051</v>
      </c>
      <c r="D1036" s="71" t="s">
        <v>382</v>
      </c>
      <c r="E1036" s="71" t="str">
        <f>MID(D1036,1,2)</f>
        <v>IL</v>
      </c>
      <c r="F1036" s="71" t="s">
        <v>809</v>
      </c>
      <c r="G1036" s="71" t="str">
        <f>MID(F1036,1,2)</f>
        <v>IN</v>
      </c>
      <c r="H1036" s="43" t="s">
        <v>2052</v>
      </c>
      <c r="I1036" s="71" t="s">
        <v>2053</v>
      </c>
      <c r="J1036" s="71" t="s">
        <v>811</v>
      </c>
      <c r="K1036" s="43"/>
      <c r="L1036" s="71" t="s">
        <v>105</v>
      </c>
      <c r="M1036" s="73">
        <v>60</v>
      </c>
      <c r="N1036" s="71" t="s">
        <v>388</v>
      </c>
      <c r="O1036" s="73">
        <v>0.374</v>
      </c>
      <c r="P1036" s="71" t="s">
        <v>389</v>
      </c>
      <c r="Q1036" s="73">
        <v>100</v>
      </c>
      <c r="R1036" s="71" t="s">
        <v>388</v>
      </c>
      <c r="S1036" s="73">
        <v>0</v>
      </c>
      <c r="T1036" s="71" t="s">
        <v>390</v>
      </c>
      <c r="U1036" s="74">
        <v>1</v>
      </c>
      <c r="V1036" s="71" t="s">
        <v>391</v>
      </c>
      <c r="W1036" s="130">
        <v>46063.762800925928</v>
      </c>
      <c r="X1036" s="72">
        <v>46064.420138888891</v>
      </c>
      <c r="Y1036" s="72">
        <v>46066.595833333333</v>
      </c>
      <c r="Z1036" s="104" t="s">
        <v>1175</v>
      </c>
      <c r="AA1036" s="104" t="s">
        <v>809</v>
      </c>
      <c r="AB1036" s="105">
        <v>46065.982638888891</v>
      </c>
      <c r="AC1036" s="105">
        <v>46066.145833333336</v>
      </c>
    </row>
    <row r="1037" s="70" customFormat="1" ht="11.25" customHeight="1">
      <c r="A1037" s="87"/>
      <c r="C1037" s="43" t="s">
        <v>2054</v>
      </c>
      <c r="D1037" s="71" t="s">
        <v>382</v>
      </c>
      <c r="E1037" s="71" t="str">
        <f>MID(D1037,1,2)</f>
        <v>IL</v>
      </c>
      <c r="F1037" s="71" t="s">
        <v>471</v>
      </c>
      <c r="G1037" s="71" t="str">
        <f>MID(F1037,1,2)</f>
        <v>US</v>
      </c>
      <c r="H1037" s="43" t="s">
        <v>2055</v>
      </c>
      <c r="I1037" s="71" t="s">
        <v>2056</v>
      </c>
      <c r="J1037" s="71" t="s">
        <v>386</v>
      </c>
      <c r="K1037" s="43"/>
      <c r="L1037" s="71" t="s">
        <v>107</v>
      </c>
      <c r="M1037" s="73">
        <v>77</v>
      </c>
      <c r="N1037" s="71" t="s">
        <v>388</v>
      </c>
      <c r="O1037" s="73">
        <v>0.343</v>
      </c>
      <c r="P1037" s="71" t="s">
        <v>389</v>
      </c>
      <c r="Q1037" s="73">
        <v>100</v>
      </c>
      <c r="R1037" s="71" t="s">
        <v>388</v>
      </c>
      <c r="S1037" s="73">
        <v>0</v>
      </c>
      <c r="T1037" s="71" t="s">
        <v>390</v>
      </c>
      <c r="U1037" s="74">
        <v>2</v>
      </c>
      <c r="V1037" s="71" t="s">
        <v>391</v>
      </c>
      <c r="W1037" s="130">
        <v>46063.472916666666</v>
      </c>
      <c r="X1037" s="72">
        <v>46065.965277777781</v>
      </c>
      <c r="Y1037" s="72">
        <v>46067.333333333336</v>
      </c>
      <c r="Z1037" s="104" t="s">
        <v>382</v>
      </c>
      <c r="AA1037" s="104" t="s">
        <v>422</v>
      </c>
      <c r="AB1037" s="105">
        <v>46065.958333333336</v>
      </c>
      <c r="AC1037" s="105">
        <v>46066.146527777775</v>
      </c>
    </row>
    <row r="1038" s="70" customFormat="1" ht="11.25" customHeight="1">
      <c r="A1038" s="87"/>
      <c r="C1038" s="43" t="s">
        <v>2054</v>
      </c>
      <c r="D1038" s="71" t="s">
        <v>382</v>
      </c>
      <c r="E1038" s="71" t="str">
        <f>MID(D1038,1,2)</f>
        <v>IL</v>
      </c>
      <c r="F1038" s="71" t="s">
        <v>471</v>
      </c>
      <c r="G1038" s="71" t="str">
        <f>MID(F1038,1,2)</f>
        <v>US</v>
      </c>
      <c r="H1038" s="43" t="s">
        <v>2055</v>
      </c>
      <c r="I1038" s="71" t="s">
        <v>2056</v>
      </c>
      <c r="J1038" s="71" t="s">
        <v>386</v>
      </c>
      <c r="K1038" s="43"/>
      <c r="L1038" s="71" t="s">
        <v>107</v>
      </c>
      <c r="M1038" s="73">
        <v>77</v>
      </c>
      <c r="N1038" s="71" t="s">
        <v>388</v>
      </c>
      <c r="O1038" s="73">
        <v>0.343</v>
      </c>
      <c r="P1038" s="71" t="s">
        <v>389</v>
      </c>
      <c r="Q1038" s="73">
        <v>100</v>
      </c>
      <c r="R1038" s="71" t="s">
        <v>388</v>
      </c>
      <c r="S1038" s="73">
        <v>0</v>
      </c>
      <c r="T1038" s="71" t="s">
        <v>390</v>
      </c>
      <c r="U1038" s="74">
        <v>2</v>
      </c>
      <c r="V1038" s="71" t="s">
        <v>391</v>
      </c>
      <c r="W1038" s="130">
        <v>46063.472916666666</v>
      </c>
      <c r="X1038" s="72">
        <v>46065.965277777781</v>
      </c>
      <c r="Y1038" s="72">
        <v>46067.333333333336</v>
      </c>
      <c r="Z1038" s="104" t="s">
        <v>422</v>
      </c>
      <c r="AA1038" s="104" t="s">
        <v>471</v>
      </c>
      <c r="AB1038" s="105">
        <v>46066.536805555559</v>
      </c>
      <c r="AC1038" s="105">
        <v>46066.583333333336</v>
      </c>
    </row>
    <row r="1039" s="70" customFormat="1" ht="11.25" customHeight="1">
      <c r="A1039" s="87"/>
      <c r="C1039" s="43" t="s">
        <v>2057</v>
      </c>
      <c r="D1039" s="71" t="s">
        <v>382</v>
      </c>
      <c r="E1039" s="71" t="str">
        <f>MID(D1039,1,2)</f>
        <v>IL</v>
      </c>
      <c r="F1039" s="71" t="s">
        <v>2058</v>
      </c>
      <c r="G1039" s="71" t="str">
        <f>MID(F1039,1,2)</f>
        <v>AT</v>
      </c>
      <c r="H1039" s="43" t="s">
        <v>2059</v>
      </c>
      <c r="I1039" s="71" t="s">
        <v>2060</v>
      </c>
      <c r="J1039" s="71" t="s">
        <v>400</v>
      </c>
      <c r="K1039" s="43"/>
      <c r="L1039" s="71" t="s">
        <v>105</v>
      </c>
      <c r="M1039" s="73">
        <v>8</v>
      </c>
      <c r="N1039" s="71" t="s">
        <v>388</v>
      </c>
      <c r="O1039" s="73">
        <v>0.036</v>
      </c>
      <c r="P1039" s="71" t="s">
        <v>389</v>
      </c>
      <c r="Q1039" s="73">
        <v>8</v>
      </c>
      <c r="R1039" s="71" t="s">
        <v>388</v>
      </c>
      <c r="S1039" s="73">
        <v>0</v>
      </c>
      <c r="T1039" s="71" t="s">
        <v>390</v>
      </c>
      <c r="U1039" s="74">
        <v>1</v>
      </c>
      <c r="V1039" s="71" t="s">
        <v>391</v>
      </c>
      <c r="W1039" s="130"/>
      <c r="X1039" s="72">
        <v>46065.041666666664</v>
      </c>
      <c r="Y1039" s="72">
        <v>46069.25</v>
      </c>
      <c r="Z1039" s="104" t="s">
        <v>382</v>
      </c>
      <c r="AA1039" s="104" t="s">
        <v>667</v>
      </c>
      <c r="AB1039" s="105">
        <v>46065.055555555555</v>
      </c>
      <c r="AC1039" s="105">
        <v>46065.223611111112</v>
      </c>
    </row>
    <row r="1040" s="70" customFormat="1" ht="11.25" customHeight="1">
      <c r="A1040" s="87"/>
      <c r="C1040" s="43" t="s">
        <v>2057</v>
      </c>
      <c r="D1040" s="71" t="s">
        <v>382</v>
      </c>
      <c r="E1040" s="71" t="str">
        <f>MID(D1040,1,2)</f>
        <v>IL</v>
      </c>
      <c r="F1040" s="71" t="s">
        <v>2058</v>
      </c>
      <c r="G1040" s="71" t="str">
        <f>MID(F1040,1,2)</f>
        <v>AT</v>
      </c>
      <c r="H1040" s="43" t="s">
        <v>2059</v>
      </c>
      <c r="I1040" s="71" t="s">
        <v>2060</v>
      </c>
      <c r="J1040" s="71" t="s">
        <v>400</v>
      </c>
      <c r="K1040" s="43"/>
      <c r="L1040" s="71" t="s">
        <v>105</v>
      </c>
      <c r="M1040" s="73">
        <v>8</v>
      </c>
      <c r="N1040" s="71" t="s">
        <v>388</v>
      </c>
      <c r="O1040" s="73">
        <v>0.036</v>
      </c>
      <c r="P1040" s="71" t="s">
        <v>389</v>
      </c>
      <c r="Q1040" s="73">
        <v>8</v>
      </c>
      <c r="R1040" s="71" t="s">
        <v>388</v>
      </c>
      <c r="S1040" s="73">
        <v>0</v>
      </c>
      <c r="T1040" s="71" t="s">
        <v>390</v>
      </c>
      <c r="U1040" s="74">
        <v>1</v>
      </c>
      <c r="V1040" s="71" t="s">
        <v>391</v>
      </c>
      <c r="W1040" s="130"/>
      <c r="X1040" s="72">
        <v>46065.041666666664</v>
      </c>
      <c r="Y1040" s="72">
        <v>46069.25</v>
      </c>
      <c r="Z1040" s="104" t="s">
        <v>667</v>
      </c>
      <c r="AA1040" s="104" t="s">
        <v>383</v>
      </c>
      <c r="AB1040" s="105">
        <v>46066.600694444445</v>
      </c>
      <c r="AC1040" s="105">
        <v>46066.635416666664</v>
      </c>
    </row>
    <row r="1041" s="70" customFormat="1" ht="11.25" customHeight="1">
      <c r="A1041" s="87"/>
      <c r="C1041" s="43" t="s">
        <v>2057</v>
      </c>
      <c r="D1041" s="71" t="s">
        <v>382</v>
      </c>
      <c r="E1041" s="71" t="str">
        <f>MID(D1041,1,2)</f>
        <v>IL</v>
      </c>
      <c r="F1041" s="71" t="s">
        <v>2058</v>
      </c>
      <c r="G1041" s="71" t="str">
        <f>MID(F1041,1,2)</f>
        <v>AT</v>
      </c>
      <c r="H1041" s="43" t="s">
        <v>2059</v>
      </c>
      <c r="I1041" s="71" t="s">
        <v>2060</v>
      </c>
      <c r="J1041" s="71" t="s">
        <v>400</v>
      </c>
      <c r="K1041" s="43"/>
      <c r="L1041" s="71" t="s">
        <v>105</v>
      </c>
      <c r="M1041" s="73">
        <v>8</v>
      </c>
      <c r="N1041" s="71" t="s">
        <v>388</v>
      </c>
      <c r="O1041" s="73">
        <v>0.036</v>
      </c>
      <c r="P1041" s="71" t="s">
        <v>389</v>
      </c>
      <c r="Q1041" s="73">
        <v>8</v>
      </c>
      <c r="R1041" s="71" t="s">
        <v>388</v>
      </c>
      <c r="S1041" s="73">
        <v>0</v>
      </c>
      <c r="T1041" s="71" t="s">
        <v>390</v>
      </c>
      <c r="U1041" s="74">
        <v>1</v>
      </c>
      <c r="V1041" s="71" t="s">
        <v>391</v>
      </c>
      <c r="W1041" s="130"/>
      <c r="X1041" s="72">
        <v>46065.041666666664</v>
      </c>
      <c r="Y1041" s="72">
        <v>46069.25</v>
      </c>
      <c r="Z1041" s="104" t="s">
        <v>383</v>
      </c>
      <c r="AA1041" s="104" t="s">
        <v>2058</v>
      </c>
      <c r="AB1041" s="105">
        <v>46068.763888888891</v>
      </c>
      <c r="AC1041" s="105">
        <v>46069.25277777778</v>
      </c>
    </row>
    <row r="1042" s="70" customFormat="1" ht="11.25" customHeight="1">
      <c r="A1042" s="87"/>
      <c r="C1042" s="43" t="s">
        <v>2061</v>
      </c>
      <c r="D1042" s="71" t="s">
        <v>382</v>
      </c>
      <c r="E1042" s="71" t="str">
        <f>MID(D1042,1,2)</f>
        <v>IL</v>
      </c>
      <c r="F1042" s="71" t="s">
        <v>1976</v>
      </c>
      <c r="G1042" s="71" t="str">
        <f>MID(F1042,1,2)</f>
        <v>SE</v>
      </c>
      <c r="H1042" s="43" t="s">
        <v>2062</v>
      </c>
      <c r="I1042" s="71" t="s">
        <v>2063</v>
      </c>
      <c r="J1042" s="71" t="s">
        <v>386</v>
      </c>
      <c r="K1042" s="43"/>
      <c r="L1042" s="71" t="s">
        <v>107</v>
      </c>
      <c r="M1042" s="73">
        <v>122</v>
      </c>
      <c r="N1042" s="71" t="s">
        <v>388</v>
      </c>
      <c r="O1042" s="73">
        <v>1.848</v>
      </c>
      <c r="P1042" s="71" t="s">
        <v>389</v>
      </c>
      <c r="Q1042" s="73">
        <v>308</v>
      </c>
      <c r="R1042" s="71" t="s">
        <v>388</v>
      </c>
      <c r="S1042" s="73">
        <v>0</v>
      </c>
      <c r="T1042" s="71" t="s">
        <v>390</v>
      </c>
      <c r="U1042" s="74">
        <v>1</v>
      </c>
      <c r="V1042" s="71" t="s">
        <v>391</v>
      </c>
      <c r="W1042" s="130"/>
      <c r="X1042" s="72">
        <v>46064.753472222219</v>
      </c>
      <c r="Y1042" s="72">
        <v>46066.541666666664</v>
      </c>
      <c r="Z1042" s="104" t="s">
        <v>382</v>
      </c>
      <c r="AA1042" s="104" t="s">
        <v>748</v>
      </c>
      <c r="AB1042" s="105">
        <v>46065.826388888891</v>
      </c>
      <c r="AC1042" s="105">
        <v>46065.955555555556</v>
      </c>
    </row>
    <row r="1043" s="70" customFormat="1" ht="11.25" customHeight="1">
      <c r="A1043" s="87"/>
      <c r="C1043" s="43" t="s">
        <v>2061</v>
      </c>
      <c r="D1043" s="71" t="s">
        <v>382</v>
      </c>
      <c r="E1043" s="71" t="str">
        <f>MID(D1043,1,2)</f>
        <v>IL</v>
      </c>
      <c r="F1043" s="71" t="s">
        <v>1976</v>
      </c>
      <c r="G1043" s="71" t="str">
        <f>MID(F1043,1,2)</f>
        <v>SE</v>
      </c>
      <c r="H1043" s="43" t="s">
        <v>2062</v>
      </c>
      <c r="I1043" s="71" t="s">
        <v>2063</v>
      </c>
      <c r="J1043" s="71" t="s">
        <v>386</v>
      </c>
      <c r="K1043" s="43"/>
      <c r="L1043" s="71" t="s">
        <v>107</v>
      </c>
      <c r="M1043" s="73">
        <v>122</v>
      </c>
      <c r="N1043" s="71" t="s">
        <v>388</v>
      </c>
      <c r="O1043" s="73">
        <v>1.848</v>
      </c>
      <c r="P1043" s="71" t="s">
        <v>389</v>
      </c>
      <c r="Q1043" s="73">
        <v>308</v>
      </c>
      <c r="R1043" s="71" t="s">
        <v>388</v>
      </c>
      <c r="S1043" s="73">
        <v>0</v>
      </c>
      <c r="T1043" s="71" t="s">
        <v>390</v>
      </c>
      <c r="U1043" s="74">
        <v>1</v>
      </c>
      <c r="V1043" s="71" t="s">
        <v>391</v>
      </c>
      <c r="W1043" s="130"/>
      <c r="X1043" s="72">
        <v>46064.753472222219</v>
      </c>
      <c r="Y1043" s="72">
        <v>46066.541666666664</v>
      </c>
      <c r="Z1043" s="104" t="s">
        <v>748</v>
      </c>
      <c r="AA1043" s="104" t="s">
        <v>2064</v>
      </c>
      <c r="AB1043" s="105">
        <v>46066.170138888891</v>
      </c>
      <c r="AC1043" s="105">
        <v>46066.243055555555</v>
      </c>
    </row>
    <row r="1044" s="70" customFormat="1" ht="11.25" customHeight="1">
      <c r="A1044" s="87"/>
      <c r="C1044" s="43" t="s">
        <v>2061</v>
      </c>
      <c r="D1044" s="71" t="s">
        <v>382</v>
      </c>
      <c r="E1044" s="71" t="str">
        <f>MID(D1044,1,2)</f>
        <v>IL</v>
      </c>
      <c r="F1044" s="71" t="s">
        <v>1976</v>
      </c>
      <c r="G1044" s="71" t="str">
        <f>MID(F1044,1,2)</f>
        <v>SE</v>
      </c>
      <c r="H1044" s="43" t="s">
        <v>2062</v>
      </c>
      <c r="I1044" s="71" t="s">
        <v>2063</v>
      </c>
      <c r="J1044" s="71" t="s">
        <v>386</v>
      </c>
      <c r="K1044" s="43"/>
      <c r="L1044" s="71" t="s">
        <v>107</v>
      </c>
      <c r="M1044" s="73">
        <v>122</v>
      </c>
      <c r="N1044" s="71" t="s">
        <v>388</v>
      </c>
      <c r="O1044" s="73">
        <v>1.848</v>
      </c>
      <c r="P1044" s="71" t="s">
        <v>389</v>
      </c>
      <c r="Q1044" s="73">
        <v>308</v>
      </c>
      <c r="R1044" s="71" t="s">
        <v>388</v>
      </c>
      <c r="S1044" s="73">
        <v>0</v>
      </c>
      <c r="T1044" s="71" t="s">
        <v>390</v>
      </c>
      <c r="U1044" s="74">
        <v>1</v>
      </c>
      <c r="V1044" s="71" t="s">
        <v>391</v>
      </c>
      <c r="W1044" s="130"/>
      <c r="X1044" s="72">
        <v>46064.753472222219</v>
      </c>
      <c r="Y1044" s="72">
        <v>46066.541666666664</v>
      </c>
      <c r="Z1044" s="104" t="s">
        <v>2064</v>
      </c>
      <c r="AA1044" s="104" t="s">
        <v>1976</v>
      </c>
      <c r="AB1044" s="105">
        <v>46066.27847222222</v>
      </c>
      <c r="AC1044" s="105">
        <v>46066.321527777778</v>
      </c>
    </row>
    <row r="1045" s="70" customFormat="1" ht="11.25" customHeight="1">
      <c r="A1045" s="87"/>
      <c r="C1045" s="43" t="s">
        <v>2065</v>
      </c>
      <c r="D1045" s="71" t="s">
        <v>382</v>
      </c>
      <c r="E1045" s="71" t="str">
        <f>MID(D1045,1,2)</f>
        <v>IL</v>
      </c>
      <c r="F1045" s="71" t="s">
        <v>1234</v>
      </c>
      <c r="G1045" s="71" t="str">
        <f>MID(F1045,1,2)</f>
        <v>PH</v>
      </c>
      <c r="H1045" s="43" t="s">
        <v>2066</v>
      </c>
      <c r="I1045" s="71" t="s">
        <v>2067</v>
      </c>
      <c r="J1045" s="71" t="s">
        <v>400</v>
      </c>
      <c r="K1045" s="43"/>
      <c r="L1045" s="71" t="s">
        <v>105</v>
      </c>
      <c r="M1045" s="73">
        <v>34</v>
      </c>
      <c r="N1045" s="71" t="s">
        <v>388</v>
      </c>
      <c r="O1045" s="73">
        <v>0.137</v>
      </c>
      <c r="P1045" s="71" t="s">
        <v>389</v>
      </c>
      <c r="Q1045" s="73">
        <v>34</v>
      </c>
      <c r="R1045" s="71" t="s">
        <v>388</v>
      </c>
      <c r="S1045" s="73">
        <v>0</v>
      </c>
      <c r="T1045" s="71" t="s">
        <v>390</v>
      </c>
      <c r="U1045" s="74">
        <v>2</v>
      </c>
      <c r="V1045" s="71" t="s">
        <v>391</v>
      </c>
      <c r="W1045" s="130">
        <v>46065.575694444444</v>
      </c>
      <c r="X1045" s="72">
        <v>46065.9375</v>
      </c>
      <c r="Y1045" s="72">
        <v>46069.753472222219</v>
      </c>
      <c r="Z1045" s="104" t="s">
        <v>382</v>
      </c>
      <c r="AA1045" s="104" t="s">
        <v>833</v>
      </c>
      <c r="AB1045" s="105">
        <v>46067.89166666667</v>
      </c>
      <c r="AC1045" s="105"/>
    </row>
    <row r="1046" s="70" customFormat="1" ht="11.25" customHeight="1">
      <c r="A1046" s="87"/>
      <c r="C1046" s="43" t="s">
        <v>2065</v>
      </c>
      <c r="D1046" s="71" t="s">
        <v>382</v>
      </c>
      <c r="E1046" s="71" t="str">
        <f>MID(D1046,1,2)</f>
        <v>IL</v>
      </c>
      <c r="F1046" s="71" t="s">
        <v>1234</v>
      </c>
      <c r="G1046" s="71" t="str">
        <f>MID(F1046,1,2)</f>
        <v>PH</v>
      </c>
      <c r="H1046" s="43" t="s">
        <v>2066</v>
      </c>
      <c r="I1046" s="71" t="s">
        <v>2067</v>
      </c>
      <c r="J1046" s="71" t="s">
        <v>400</v>
      </c>
      <c r="K1046" s="43"/>
      <c r="L1046" s="71" t="s">
        <v>105</v>
      </c>
      <c r="M1046" s="73">
        <v>34</v>
      </c>
      <c r="N1046" s="71" t="s">
        <v>388</v>
      </c>
      <c r="O1046" s="73">
        <v>0.137</v>
      </c>
      <c r="P1046" s="71" t="s">
        <v>389</v>
      </c>
      <c r="Q1046" s="73">
        <v>34</v>
      </c>
      <c r="R1046" s="71" t="s">
        <v>388</v>
      </c>
      <c r="S1046" s="73">
        <v>0</v>
      </c>
      <c r="T1046" s="71" t="s">
        <v>390</v>
      </c>
      <c r="U1046" s="74">
        <v>2</v>
      </c>
      <c r="V1046" s="71" t="s">
        <v>391</v>
      </c>
      <c r="W1046" s="130">
        <v>46065.575694444444</v>
      </c>
      <c r="X1046" s="72">
        <v>46065.9375</v>
      </c>
      <c r="Y1046" s="72">
        <v>46069.753472222219</v>
      </c>
      <c r="Z1046" s="104" t="s">
        <v>833</v>
      </c>
      <c r="AA1046" s="104" t="s">
        <v>1234</v>
      </c>
      <c r="AB1046" s="105">
        <v>46069.557638888888</v>
      </c>
      <c r="AC1046" s="105">
        <v>46069.73333333333</v>
      </c>
    </row>
    <row r="1047" s="70" customFormat="1" ht="11.25" customHeight="1">
      <c r="A1047" s="87"/>
      <c r="C1047" s="43" t="s">
        <v>2068</v>
      </c>
      <c r="D1047" s="71" t="s">
        <v>382</v>
      </c>
      <c r="E1047" s="71" t="str">
        <f>MID(D1047,1,2)</f>
        <v>IL</v>
      </c>
      <c r="F1047" s="71" t="s">
        <v>595</v>
      </c>
      <c r="G1047" s="71" t="str">
        <f>MID(F1047,1,2)</f>
        <v>AT</v>
      </c>
      <c r="H1047" s="43" t="s">
        <v>2069</v>
      </c>
      <c r="I1047" s="71" t="s">
        <v>2070</v>
      </c>
      <c r="J1047" s="71" t="s">
        <v>426</v>
      </c>
      <c r="K1047" s="43"/>
      <c r="L1047" s="71" t="s">
        <v>105</v>
      </c>
      <c r="M1047" s="73">
        <v>45</v>
      </c>
      <c r="N1047" s="71" t="s">
        <v>388</v>
      </c>
      <c r="O1047" s="73">
        <v>0.198</v>
      </c>
      <c r="P1047" s="71" t="s">
        <v>389</v>
      </c>
      <c r="Q1047" s="73">
        <v>100</v>
      </c>
      <c r="R1047" s="71" t="s">
        <v>388</v>
      </c>
      <c r="S1047" s="73">
        <v>0</v>
      </c>
      <c r="T1047" s="71" t="s">
        <v>390</v>
      </c>
      <c r="U1047" s="74">
        <v>2</v>
      </c>
      <c r="V1047" s="71" t="s">
        <v>391</v>
      </c>
      <c r="W1047" s="130">
        <v>46063.49375</v>
      </c>
      <c r="X1047" s="72">
        <v>46065.270833333336</v>
      </c>
      <c r="Y1047" s="72">
        <v>46065.388888888891</v>
      </c>
      <c r="Z1047" s="104" t="s">
        <v>382</v>
      </c>
      <c r="AA1047" s="104" t="s">
        <v>595</v>
      </c>
      <c r="AB1047" s="105">
        <v>46065.268055555556</v>
      </c>
      <c r="AC1047" s="105">
        <v>46065.39375</v>
      </c>
    </row>
    <row r="1048" s="70" customFormat="1" ht="11.25" customHeight="1">
      <c r="A1048" s="87"/>
      <c r="C1048" s="43" t="s">
        <v>2071</v>
      </c>
      <c r="D1048" s="71" t="s">
        <v>382</v>
      </c>
      <c r="E1048" s="71" t="str">
        <f>MID(D1048,1,2)</f>
        <v>IL</v>
      </c>
      <c r="F1048" s="71" t="s">
        <v>443</v>
      </c>
      <c r="G1048" s="71" t="str">
        <f>MID(F1048,1,2)</f>
        <v>US</v>
      </c>
      <c r="H1048" s="43" t="s">
        <v>2072</v>
      </c>
      <c r="I1048" s="71" t="s">
        <v>2073</v>
      </c>
      <c r="J1048" s="71" t="s">
        <v>386</v>
      </c>
      <c r="K1048" s="43"/>
      <c r="L1048" s="71" t="s">
        <v>107</v>
      </c>
      <c r="M1048" s="73">
        <v>74</v>
      </c>
      <c r="N1048" s="71" t="s">
        <v>388</v>
      </c>
      <c r="O1048" s="73">
        <v>0.9</v>
      </c>
      <c r="P1048" s="71" t="s">
        <v>389</v>
      </c>
      <c r="Q1048" s="73">
        <v>150</v>
      </c>
      <c r="R1048" s="71" t="s">
        <v>388</v>
      </c>
      <c r="S1048" s="73">
        <v>0</v>
      </c>
      <c r="T1048" s="71" t="s">
        <v>390</v>
      </c>
      <c r="U1048" s="74">
        <v>1</v>
      </c>
      <c r="V1048" s="71" t="s">
        <v>536</v>
      </c>
      <c r="W1048" s="130">
        <v>46065.597916666666</v>
      </c>
      <c r="X1048" s="72">
        <v>46067.458333333336</v>
      </c>
      <c r="Y1048" s="72">
        <v>46069.461111111108</v>
      </c>
      <c r="Z1048" s="104" t="s">
        <v>382</v>
      </c>
      <c r="AA1048" s="104" t="s">
        <v>422</v>
      </c>
      <c r="AB1048" s="105">
        <v>46068.484722222223</v>
      </c>
      <c r="AC1048" s="105">
        <v>46068.679166666669</v>
      </c>
    </row>
    <row r="1049" s="70" customFormat="1" ht="11.25" customHeight="1">
      <c r="A1049" s="87"/>
      <c r="C1049" s="43" t="s">
        <v>2071</v>
      </c>
      <c r="D1049" s="71" t="s">
        <v>382</v>
      </c>
      <c r="E1049" s="71" t="str">
        <f>MID(D1049,1,2)</f>
        <v>IL</v>
      </c>
      <c r="F1049" s="71" t="s">
        <v>443</v>
      </c>
      <c r="G1049" s="71" t="str">
        <f>MID(F1049,1,2)</f>
        <v>US</v>
      </c>
      <c r="H1049" s="43" t="s">
        <v>2072</v>
      </c>
      <c r="I1049" s="71" t="s">
        <v>2073</v>
      </c>
      <c r="J1049" s="71" t="s">
        <v>386</v>
      </c>
      <c r="K1049" s="43"/>
      <c r="L1049" s="71" t="s">
        <v>107</v>
      </c>
      <c r="M1049" s="73">
        <v>74</v>
      </c>
      <c r="N1049" s="71" t="s">
        <v>388</v>
      </c>
      <c r="O1049" s="73">
        <v>0.9</v>
      </c>
      <c r="P1049" s="71" t="s">
        <v>389</v>
      </c>
      <c r="Q1049" s="73">
        <v>150</v>
      </c>
      <c r="R1049" s="71" t="s">
        <v>388</v>
      </c>
      <c r="S1049" s="73">
        <v>0</v>
      </c>
      <c r="T1049" s="71" t="s">
        <v>390</v>
      </c>
      <c r="U1049" s="74">
        <v>1</v>
      </c>
      <c r="V1049" s="71" t="s">
        <v>536</v>
      </c>
      <c r="W1049" s="130">
        <v>46065.597916666666</v>
      </c>
      <c r="X1049" s="72">
        <v>46067.458333333336</v>
      </c>
      <c r="Y1049" s="72">
        <v>46069.461111111108</v>
      </c>
      <c r="Z1049" s="104" t="s">
        <v>422</v>
      </c>
      <c r="AA1049" s="104" t="s">
        <v>443</v>
      </c>
      <c r="AB1049" s="105">
        <v>46069.30972222222</v>
      </c>
      <c r="AC1049" s="105">
        <v>46069.4625</v>
      </c>
    </row>
    <row r="1050" s="70" customFormat="1" ht="11.25" customHeight="1">
      <c r="A1050" s="87"/>
      <c r="C1050" s="43" t="s">
        <v>2074</v>
      </c>
      <c r="D1050" s="71" t="s">
        <v>382</v>
      </c>
      <c r="E1050" s="71" t="str">
        <f>MID(D1050,1,2)</f>
        <v>IL</v>
      </c>
      <c r="F1050" s="71" t="s">
        <v>480</v>
      </c>
      <c r="G1050" s="71" t="str">
        <f>MID(F1050,1,2)</f>
        <v>CA</v>
      </c>
      <c r="H1050" s="43" t="s">
        <v>2075</v>
      </c>
      <c r="I1050" s="71" t="s">
        <v>2076</v>
      </c>
      <c r="J1050" s="71" t="s">
        <v>483</v>
      </c>
      <c r="K1050" s="43"/>
      <c r="L1050" s="71" t="s">
        <v>105</v>
      </c>
      <c r="M1050" s="73">
        <v>2</v>
      </c>
      <c r="N1050" s="71" t="s">
        <v>388</v>
      </c>
      <c r="O1050" s="73">
        <v>0.022</v>
      </c>
      <c r="P1050" s="71" t="s">
        <v>389</v>
      </c>
      <c r="Q1050" s="73">
        <v>4</v>
      </c>
      <c r="R1050" s="71" t="s">
        <v>388</v>
      </c>
      <c r="S1050" s="73">
        <v>0</v>
      </c>
      <c r="T1050" s="71" t="s">
        <v>390</v>
      </c>
      <c r="U1050" s="74">
        <v>1</v>
      </c>
      <c r="V1050" s="71" t="s">
        <v>446</v>
      </c>
      <c r="W1050" s="130">
        <v>46063.535416666666</v>
      </c>
      <c r="X1050" s="72">
        <v>46064.458333333336</v>
      </c>
      <c r="Y1050" s="72">
        <v>46065.765972222223</v>
      </c>
      <c r="Z1050" s="104" t="s">
        <v>382</v>
      </c>
      <c r="AA1050" s="104" t="s">
        <v>405</v>
      </c>
      <c r="AB1050" s="105">
        <v>46064.495138888888</v>
      </c>
      <c r="AC1050" s="105">
        <v>46064.700694444444</v>
      </c>
    </row>
    <row r="1051" s="70" customFormat="1" ht="11.25" customHeight="1">
      <c r="A1051" s="87"/>
      <c r="C1051" s="43" t="s">
        <v>2074</v>
      </c>
      <c r="D1051" s="71" t="s">
        <v>382</v>
      </c>
      <c r="E1051" s="71" t="str">
        <f>MID(D1051,1,2)</f>
        <v>IL</v>
      </c>
      <c r="F1051" s="71" t="s">
        <v>480</v>
      </c>
      <c r="G1051" s="71" t="str">
        <f>MID(F1051,1,2)</f>
        <v>CA</v>
      </c>
      <c r="H1051" s="43" t="s">
        <v>2075</v>
      </c>
      <c r="I1051" s="71" t="s">
        <v>2076</v>
      </c>
      <c r="J1051" s="71" t="s">
        <v>483</v>
      </c>
      <c r="K1051" s="43"/>
      <c r="L1051" s="71" t="s">
        <v>105</v>
      </c>
      <c r="M1051" s="73">
        <v>2</v>
      </c>
      <c r="N1051" s="71" t="s">
        <v>388</v>
      </c>
      <c r="O1051" s="73">
        <v>0.022</v>
      </c>
      <c r="P1051" s="71" t="s">
        <v>389</v>
      </c>
      <c r="Q1051" s="73">
        <v>4</v>
      </c>
      <c r="R1051" s="71" t="s">
        <v>388</v>
      </c>
      <c r="S1051" s="73">
        <v>0</v>
      </c>
      <c r="T1051" s="71" t="s">
        <v>390</v>
      </c>
      <c r="U1051" s="74">
        <v>1</v>
      </c>
      <c r="V1051" s="71" t="s">
        <v>446</v>
      </c>
      <c r="W1051" s="130">
        <v>46063.535416666666</v>
      </c>
      <c r="X1051" s="72">
        <v>46064.458333333336</v>
      </c>
      <c r="Y1051" s="72">
        <v>46065.765972222223</v>
      </c>
      <c r="Z1051" s="104" t="s">
        <v>405</v>
      </c>
      <c r="AA1051" s="104" t="s">
        <v>480</v>
      </c>
      <c r="AB1051" s="105">
        <v>46065.621527777781</v>
      </c>
      <c r="AC1051" s="105">
        <v>46066.340277777781</v>
      </c>
    </row>
    <row r="1052" s="70" customFormat="1" ht="11.25" customHeight="1">
      <c r="A1052" s="87"/>
      <c r="C1052" s="43" t="s">
        <v>2077</v>
      </c>
      <c r="D1052" s="71" t="s">
        <v>382</v>
      </c>
      <c r="E1052" s="71" t="str">
        <f>MID(D1052,1,2)</f>
        <v>IL</v>
      </c>
      <c r="F1052" s="71" t="s">
        <v>595</v>
      </c>
      <c r="G1052" s="71" t="str">
        <f>MID(F1052,1,2)</f>
        <v>AT</v>
      </c>
      <c r="H1052" s="43" t="s">
        <v>2078</v>
      </c>
      <c r="I1052" s="71" t="s">
        <v>2079</v>
      </c>
      <c r="J1052" s="71" t="s">
        <v>426</v>
      </c>
      <c r="K1052" s="43"/>
      <c r="L1052" s="71" t="s">
        <v>105</v>
      </c>
      <c r="M1052" s="73">
        <v>66</v>
      </c>
      <c r="N1052" s="71" t="s">
        <v>388</v>
      </c>
      <c r="O1052" s="73">
        <v>0.409</v>
      </c>
      <c r="P1052" s="71" t="s">
        <v>389</v>
      </c>
      <c r="Q1052" s="73">
        <v>68.5</v>
      </c>
      <c r="R1052" s="71" t="s">
        <v>388</v>
      </c>
      <c r="S1052" s="73">
        <v>0</v>
      </c>
      <c r="T1052" s="71" t="s">
        <v>390</v>
      </c>
      <c r="U1052" s="74">
        <v>1</v>
      </c>
      <c r="V1052" s="71" t="s">
        <v>391</v>
      </c>
      <c r="W1052" s="130"/>
      <c r="X1052" s="72">
        <v>46065.246527777781</v>
      </c>
      <c r="Y1052" s="72">
        <v>46065.364583333336</v>
      </c>
      <c r="Z1052" s="104" t="s">
        <v>382</v>
      </c>
      <c r="AA1052" s="104" t="s">
        <v>595</v>
      </c>
      <c r="AB1052" s="105">
        <v>46065.25</v>
      </c>
      <c r="AC1052" s="105">
        <v>46065.365972222222</v>
      </c>
    </row>
    <row r="1053" s="70" customFormat="1" ht="11.25" customHeight="1">
      <c r="A1053" s="87"/>
      <c r="C1053" s="43" t="s">
        <v>2080</v>
      </c>
      <c r="D1053" s="71" t="s">
        <v>382</v>
      </c>
      <c r="E1053" s="71" t="str">
        <f>MID(D1053,1,2)</f>
        <v>IL</v>
      </c>
      <c r="F1053" s="71" t="s">
        <v>2081</v>
      </c>
      <c r="G1053" s="71" t="str">
        <f>MID(F1053,1,2)</f>
        <v>IN</v>
      </c>
      <c r="H1053" s="43" t="s">
        <v>2082</v>
      </c>
      <c r="I1053" s="71" t="s">
        <v>2083</v>
      </c>
      <c r="J1053" s="71" t="s">
        <v>400</v>
      </c>
      <c r="K1053" s="43"/>
      <c r="L1053" s="71" t="s">
        <v>105</v>
      </c>
      <c r="M1053" s="73">
        <v>90</v>
      </c>
      <c r="N1053" s="71" t="s">
        <v>388</v>
      </c>
      <c r="O1053" s="73">
        <v>0.619</v>
      </c>
      <c r="P1053" s="71" t="s">
        <v>389</v>
      </c>
      <c r="Q1053" s="73">
        <v>103.5</v>
      </c>
      <c r="R1053" s="71" t="s">
        <v>388</v>
      </c>
      <c r="S1053" s="73">
        <v>0</v>
      </c>
      <c r="T1053" s="71" t="s">
        <v>390</v>
      </c>
      <c r="U1053" s="74">
        <v>1</v>
      </c>
      <c r="V1053" s="71" t="s">
        <v>391</v>
      </c>
      <c r="W1053" s="130"/>
      <c r="X1053" s="72">
        <v>46067.486111111109</v>
      </c>
      <c r="Y1053" s="72">
        <v>46076.777777777781</v>
      </c>
      <c r="Z1053" s="104" t="s">
        <v>382</v>
      </c>
      <c r="AA1053" s="104" t="s">
        <v>817</v>
      </c>
      <c r="AB1053" s="105">
        <v>46067.4875</v>
      </c>
      <c r="AC1053" s="105">
        <v>46067.850694444445</v>
      </c>
    </row>
    <row r="1054" s="70" customFormat="1" ht="11.25" customHeight="1">
      <c r="A1054" s="87"/>
      <c r="C1054" s="43" t="s">
        <v>2080</v>
      </c>
      <c r="D1054" s="71" t="s">
        <v>382</v>
      </c>
      <c r="E1054" s="71" t="str">
        <f>MID(D1054,1,2)</f>
        <v>IL</v>
      </c>
      <c r="F1054" s="71" t="s">
        <v>2081</v>
      </c>
      <c r="G1054" s="71" t="str">
        <f>MID(F1054,1,2)</f>
        <v>IN</v>
      </c>
      <c r="H1054" s="43" t="s">
        <v>2082</v>
      </c>
      <c r="I1054" s="71" t="s">
        <v>2083</v>
      </c>
      <c r="J1054" s="71" t="s">
        <v>400</v>
      </c>
      <c r="K1054" s="43"/>
      <c r="L1054" s="71" t="s">
        <v>105</v>
      </c>
      <c r="M1054" s="73">
        <v>90</v>
      </c>
      <c r="N1054" s="71" t="s">
        <v>388</v>
      </c>
      <c r="O1054" s="73">
        <v>0.619</v>
      </c>
      <c r="P1054" s="71" t="s">
        <v>389</v>
      </c>
      <c r="Q1054" s="73">
        <v>103.5</v>
      </c>
      <c r="R1054" s="71" t="s">
        <v>388</v>
      </c>
      <c r="S1054" s="73">
        <v>0</v>
      </c>
      <c r="T1054" s="71" t="s">
        <v>390</v>
      </c>
      <c r="U1054" s="74">
        <v>1</v>
      </c>
      <c r="V1054" s="71" t="s">
        <v>391</v>
      </c>
      <c r="W1054" s="130"/>
      <c r="X1054" s="72">
        <v>46067.486111111109</v>
      </c>
      <c r="Y1054" s="72">
        <v>46076.777777777781</v>
      </c>
      <c r="Z1054" s="104" t="s">
        <v>817</v>
      </c>
      <c r="AA1054" s="104" t="s">
        <v>2081</v>
      </c>
      <c r="AB1054" s="105">
        <v>46076.655555555553</v>
      </c>
      <c r="AC1054" s="105">
        <v>46076.760416666664</v>
      </c>
    </row>
    <row r="1055" s="70" customFormat="1" ht="11.25" customHeight="1">
      <c r="A1055" s="87"/>
      <c r="C1055" s="43" t="s">
        <v>2084</v>
      </c>
      <c r="D1055" s="71" t="s">
        <v>382</v>
      </c>
      <c r="E1055" s="71" t="str">
        <f>MID(D1055,1,2)</f>
        <v>IL</v>
      </c>
      <c r="F1055" s="71" t="s">
        <v>496</v>
      </c>
      <c r="G1055" s="71" t="str">
        <f>MID(F1055,1,2)</f>
        <v>RO</v>
      </c>
      <c r="H1055" s="43" t="s">
        <v>1913</v>
      </c>
      <c r="I1055" s="71" t="s">
        <v>2085</v>
      </c>
      <c r="J1055" s="71" t="s">
        <v>400</v>
      </c>
      <c r="K1055" s="43"/>
      <c r="L1055" s="71" t="s">
        <v>105</v>
      </c>
      <c r="M1055" s="73">
        <v>1</v>
      </c>
      <c r="N1055" s="71" t="s">
        <v>388</v>
      </c>
      <c r="O1055" s="73">
        <v>0.012</v>
      </c>
      <c r="P1055" s="71" t="s">
        <v>389</v>
      </c>
      <c r="Q1055" s="73">
        <v>2</v>
      </c>
      <c r="R1055" s="71" t="s">
        <v>388</v>
      </c>
      <c r="S1055" s="73">
        <v>0</v>
      </c>
      <c r="T1055" s="71" t="s">
        <v>390</v>
      </c>
      <c r="U1055" s="74">
        <v>1</v>
      </c>
      <c r="V1055" s="71" t="s">
        <v>391</v>
      </c>
      <c r="W1055" s="130">
        <v>46063.513888888891</v>
      </c>
      <c r="X1055" s="72">
        <v>46064.489583333336</v>
      </c>
      <c r="Y1055" s="72">
        <v>46065.836805555555</v>
      </c>
      <c r="Z1055" s="104" t="s">
        <v>382</v>
      </c>
      <c r="AA1055" s="104" t="s">
        <v>408</v>
      </c>
      <c r="AB1055" s="105">
        <v>46064.223611111112</v>
      </c>
      <c r="AC1055" s="105">
        <v>46064.489583333336</v>
      </c>
    </row>
    <row r="1056" s="70" customFormat="1" ht="11.25" customHeight="1">
      <c r="A1056" s="87"/>
      <c r="C1056" s="43" t="s">
        <v>2084</v>
      </c>
      <c r="D1056" s="71" t="s">
        <v>382</v>
      </c>
      <c r="E1056" s="71" t="str">
        <f>MID(D1056,1,2)</f>
        <v>IL</v>
      </c>
      <c r="F1056" s="71" t="s">
        <v>496</v>
      </c>
      <c r="G1056" s="71" t="str">
        <f>MID(F1056,1,2)</f>
        <v>RO</v>
      </c>
      <c r="H1056" s="43" t="s">
        <v>1913</v>
      </c>
      <c r="I1056" s="71" t="s">
        <v>2085</v>
      </c>
      <c r="J1056" s="71" t="s">
        <v>400</v>
      </c>
      <c r="K1056" s="43"/>
      <c r="L1056" s="71" t="s">
        <v>105</v>
      </c>
      <c r="M1056" s="73">
        <v>1</v>
      </c>
      <c r="N1056" s="71" t="s">
        <v>388</v>
      </c>
      <c r="O1056" s="73">
        <v>0.012</v>
      </c>
      <c r="P1056" s="71" t="s">
        <v>389</v>
      </c>
      <c r="Q1056" s="73">
        <v>2</v>
      </c>
      <c r="R1056" s="71" t="s">
        <v>388</v>
      </c>
      <c r="S1056" s="73">
        <v>0</v>
      </c>
      <c r="T1056" s="71" t="s">
        <v>390</v>
      </c>
      <c r="U1056" s="74">
        <v>1</v>
      </c>
      <c r="V1056" s="71" t="s">
        <v>391</v>
      </c>
      <c r="W1056" s="130">
        <v>46063.513888888891</v>
      </c>
      <c r="X1056" s="72">
        <v>46064.489583333336</v>
      </c>
      <c r="Y1056" s="72">
        <v>46065.836805555555</v>
      </c>
      <c r="Z1056" s="104" t="s">
        <v>408</v>
      </c>
      <c r="AA1056" s="104" t="s">
        <v>496</v>
      </c>
      <c r="AB1056" s="105">
        <v>46065.8</v>
      </c>
      <c r="AC1056" s="105">
        <v>46065.883333333331</v>
      </c>
    </row>
    <row r="1057" s="70" customFormat="1" ht="11.25" customHeight="1">
      <c r="A1057" s="87"/>
      <c r="C1057" s="43" t="s">
        <v>2086</v>
      </c>
      <c r="D1057" s="71" t="s">
        <v>382</v>
      </c>
      <c r="E1057" s="71" t="str">
        <f>MID(D1057,1,2)</f>
        <v>IL</v>
      </c>
      <c r="F1057" s="71" t="s">
        <v>2081</v>
      </c>
      <c r="G1057" s="71" t="str">
        <f>MID(F1057,1,2)</f>
        <v>IN</v>
      </c>
      <c r="H1057" s="43" t="s">
        <v>2087</v>
      </c>
      <c r="I1057" s="71" t="s">
        <v>2088</v>
      </c>
      <c r="J1057" s="71" t="s">
        <v>400</v>
      </c>
      <c r="K1057" s="43"/>
      <c r="L1057" s="71" t="s">
        <v>105</v>
      </c>
      <c r="M1057" s="73">
        <v>185.5</v>
      </c>
      <c r="N1057" s="71" t="s">
        <v>388</v>
      </c>
      <c r="O1057" s="73">
        <v>1.298</v>
      </c>
      <c r="P1057" s="71" t="s">
        <v>389</v>
      </c>
      <c r="Q1057" s="73">
        <v>216.5</v>
      </c>
      <c r="R1057" s="71" t="s">
        <v>388</v>
      </c>
      <c r="S1057" s="73">
        <v>0</v>
      </c>
      <c r="T1057" s="71" t="s">
        <v>390</v>
      </c>
      <c r="U1057" s="74">
        <v>3</v>
      </c>
      <c r="V1057" s="71" t="s">
        <v>391</v>
      </c>
      <c r="W1057" s="130"/>
      <c r="X1057" s="72">
        <v>46067.486111111109</v>
      </c>
      <c r="Y1057" s="72">
        <v>46076.777777777781</v>
      </c>
      <c r="Z1057" s="104" t="s">
        <v>382</v>
      </c>
      <c r="AA1057" s="104" t="s">
        <v>817</v>
      </c>
      <c r="AB1057" s="105">
        <v>46067.4875</v>
      </c>
      <c r="AC1057" s="105">
        <v>46067.850694444445</v>
      </c>
    </row>
    <row r="1058" s="70" customFormat="1" ht="11.25" customHeight="1">
      <c r="A1058" s="87"/>
      <c r="C1058" s="43" t="s">
        <v>2086</v>
      </c>
      <c r="D1058" s="71" t="s">
        <v>382</v>
      </c>
      <c r="E1058" s="71" t="str">
        <f>MID(D1058,1,2)</f>
        <v>IL</v>
      </c>
      <c r="F1058" s="71" t="s">
        <v>2081</v>
      </c>
      <c r="G1058" s="71" t="str">
        <f>MID(F1058,1,2)</f>
        <v>IN</v>
      </c>
      <c r="H1058" s="43" t="s">
        <v>2087</v>
      </c>
      <c r="I1058" s="71" t="s">
        <v>2088</v>
      </c>
      <c r="J1058" s="71" t="s">
        <v>400</v>
      </c>
      <c r="K1058" s="43"/>
      <c r="L1058" s="71" t="s">
        <v>105</v>
      </c>
      <c r="M1058" s="73">
        <v>185.5</v>
      </c>
      <c r="N1058" s="71" t="s">
        <v>388</v>
      </c>
      <c r="O1058" s="73">
        <v>1.298</v>
      </c>
      <c r="P1058" s="71" t="s">
        <v>389</v>
      </c>
      <c r="Q1058" s="73">
        <v>216.5</v>
      </c>
      <c r="R1058" s="71" t="s">
        <v>388</v>
      </c>
      <c r="S1058" s="73">
        <v>0</v>
      </c>
      <c r="T1058" s="71" t="s">
        <v>390</v>
      </c>
      <c r="U1058" s="74">
        <v>3</v>
      </c>
      <c r="V1058" s="71" t="s">
        <v>391</v>
      </c>
      <c r="W1058" s="130"/>
      <c r="X1058" s="72">
        <v>46067.486111111109</v>
      </c>
      <c r="Y1058" s="72">
        <v>46076.777777777781</v>
      </c>
      <c r="Z1058" s="104" t="s">
        <v>817</v>
      </c>
      <c r="AA1058" s="104" t="s">
        <v>2081</v>
      </c>
      <c r="AB1058" s="105">
        <v>46076.666666666664</v>
      </c>
      <c r="AC1058" s="105">
        <v>46076.760416666664</v>
      </c>
    </row>
    <row r="1059" s="70" customFormat="1" ht="11.25" customHeight="1">
      <c r="A1059" s="87"/>
      <c r="C1059" s="43" t="s">
        <v>2089</v>
      </c>
      <c r="D1059" s="71" t="s">
        <v>382</v>
      </c>
      <c r="E1059" s="71" t="str">
        <f>MID(D1059,1,2)</f>
        <v>IL</v>
      </c>
      <c r="F1059" s="71" t="s">
        <v>2090</v>
      </c>
      <c r="G1059" s="71" t="str">
        <f>MID(F1059,1,2)</f>
        <v>NO</v>
      </c>
      <c r="H1059" s="43" t="s">
        <v>2091</v>
      </c>
      <c r="I1059" s="71" t="s">
        <v>2092</v>
      </c>
      <c r="J1059" s="71" t="s">
        <v>426</v>
      </c>
      <c r="K1059" s="43"/>
      <c r="L1059" s="71" t="s">
        <v>105</v>
      </c>
      <c r="M1059" s="73">
        <v>221</v>
      </c>
      <c r="N1059" s="71" t="s">
        <v>388</v>
      </c>
      <c r="O1059" s="73">
        <v>1.075</v>
      </c>
      <c r="P1059" s="71" t="s">
        <v>389</v>
      </c>
      <c r="Q1059" s="73">
        <v>221</v>
      </c>
      <c r="R1059" s="71" t="s">
        <v>388</v>
      </c>
      <c r="S1059" s="73">
        <v>0</v>
      </c>
      <c r="T1059" s="71" t="s">
        <v>390</v>
      </c>
      <c r="U1059" s="74">
        <v>1</v>
      </c>
      <c r="V1059" s="71" t="s">
        <v>391</v>
      </c>
      <c r="W1059" s="130">
        <v>46063.7628125</v>
      </c>
      <c r="X1059" s="72">
        <v>46066.663194444445</v>
      </c>
      <c r="Y1059" s="72">
        <v>46072.388888888891</v>
      </c>
      <c r="Z1059" s="104" t="s">
        <v>382</v>
      </c>
      <c r="AA1059" s="104" t="s">
        <v>577</v>
      </c>
      <c r="AB1059" s="105">
        <v>46066.659722222219</v>
      </c>
      <c r="AC1059" s="105">
        <v>46066.811805555553</v>
      </c>
    </row>
    <row r="1060" s="70" customFormat="1" ht="11.25" customHeight="1">
      <c r="A1060" s="87"/>
      <c r="C1060" s="43" t="s">
        <v>2089</v>
      </c>
      <c r="D1060" s="71" t="s">
        <v>382</v>
      </c>
      <c r="E1060" s="71" t="str">
        <f>MID(D1060,1,2)</f>
        <v>IL</v>
      </c>
      <c r="F1060" s="71" t="s">
        <v>2090</v>
      </c>
      <c r="G1060" s="71" t="str">
        <f>MID(F1060,1,2)</f>
        <v>NO</v>
      </c>
      <c r="H1060" s="43" t="s">
        <v>2091</v>
      </c>
      <c r="I1060" s="71" t="s">
        <v>2092</v>
      </c>
      <c r="J1060" s="71" t="s">
        <v>426</v>
      </c>
      <c r="K1060" s="43"/>
      <c r="L1060" s="71" t="s">
        <v>105</v>
      </c>
      <c r="M1060" s="73">
        <v>221</v>
      </c>
      <c r="N1060" s="71" t="s">
        <v>388</v>
      </c>
      <c r="O1060" s="73">
        <v>1.075</v>
      </c>
      <c r="P1060" s="71" t="s">
        <v>389</v>
      </c>
      <c r="Q1060" s="73">
        <v>221</v>
      </c>
      <c r="R1060" s="71" t="s">
        <v>388</v>
      </c>
      <c r="S1060" s="73">
        <v>0</v>
      </c>
      <c r="T1060" s="71" t="s">
        <v>390</v>
      </c>
      <c r="U1060" s="74">
        <v>1</v>
      </c>
      <c r="V1060" s="71" t="s">
        <v>391</v>
      </c>
      <c r="W1060" s="130">
        <v>46063.7628125</v>
      </c>
      <c r="X1060" s="72">
        <v>46066.663194444445</v>
      </c>
      <c r="Y1060" s="72">
        <v>46072.388888888891</v>
      </c>
      <c r="Z1060" s="104" t="s">
        <v>577</v>
      </c>
      <c r="AA1060" s="104" t="s">
        <v>597</v>
      </c>
      <c r="AB1060" s="105">
        <v>46067.782638888886</v>
      </c>
      <c r="AC1060" s="105"/>
    </row>
    <row r="1061" s="70" customFormat="1" ht="11.25" customHeight="1">
      <c r="A1061" s="87"/>
      <c r="C1061" s="43" t="s">
        <v>2089</v>
      </c>
      <c r="D1061" s="71" t="s">
        <v>382</v>
      </c>
      <c r="E1061" s="71" t="str">
        <f>MID(D1061,1,2)</f>
        <v>IL</v>
      </c>
      <c r="F1061" s="71" t="s">
        <v>2090</v>
      </c>
      <c r="G1061" s="71" t="str">
        <f>MID(F1061,1,2)</f>
        <v>NO</v>
      </c>
      <c r="H1061" s="43" t="s">
        <v>2091</v>
      </c>
      <c r="I1061" s="71" t="s">
        <v>2092</v>
      </c>
      <c r="J1061" s="71" t="s">
        <v>426</v>
      </c>
      <c r="K1061" s="43"/>
      <c r="L1061" s="71" t="s">
        <v>105</v>
      </c>
      <c r="M1061" s="73">
        <v>221</v>
      </c>
      <c r="N1061" s="71" t="s">
        <v>388</v>
      </c>
      <c r="O1061" s="73">
        <v>1.075</v>
      </c>
      <c r="P1061" s="71" t="s">
        <v>389</v>
      </c>
      <c r="Q1061" s="73">
        <v>221</v>
      </c>
      <c r="R1061" s="71" t="s">
        <v>388</v>
      </c>
      <c r="S1061" s="73">
        <v>0</v>
      </c>
      <c r="T1061" s="71" t="s">
        <v>390</v>
      </c>
      <c r="U1061" s="74">
        <v>1</v>
      </c>
      <c r="V1061" s="71" t="s">
        <v>391</v>
      </c>
      <c r="W1061" s="130">
        <v>46063.7628125</v>
      </c>
      <c r="X1061" s="72">
        <v>46066.663194444445</v>
      </c>
      <c r="Y1061" s="72">
        <v>46072.388888888891</v>
      </c>
      <c r="Z1061" s="104" t="s">
        <v>597</v>
      </c>
      <c r="AA1061" s="104" t="s">
        <v>2090</v>
      </c>
      <c r="AB1061" s="105">
        <v>46070.906944444447</v>
      </c>
      <c r="AC1061" s="105">
        <v>46072.568055555559</v>
      </c>
    </row>
    <row r="1062" s="70" customFormat="1" ht="11.25" customHeight="1">
      <c r="A1062" s="87"/>
      <c r="C1062" s="43" t="s">
        <v>2093</v>
      </c>
      <c r="D1062" s="71" t="s">
        <v>382</v>
      </c>
      <c r="E1062" s="71" t="str">
        <f>MID(D1062,1,2)</f>
        <v>IL</v>
      </c>
      <c r="F1062" s="71" t="s">
        <v>774</v>
      </c>
      <c r="G1062" s="71" t="str">
        <f>MID(F1062,1,2)</f>
        <v>CN</v>
      </c>
      <c r="H1062" s="43" t="s">
        <v>2094</v>
      </c>
      <c r="I1062" s="71" t="s">
        <v>2095</v>
      </c>
      <c r="J1062" s="71" t="s">
        <v>755</v>
      </c>
      <c r="K1062" s="43"/>
      <c r="L1062" s="71" t="s">
        <v>105</v>
      </c>
      <c r="M1062" s="73">
        <v>1</v>
      </c>
      <c r="N1062" s="71" t="s">
        <v>388</v>
      </c>
      <c r="O1062" s="73">
        <v>0.008</v>
      </c>
      <c r="P1062" s="71" t="s">
        <v>389</v>
      </c>
      <c r="Q1062" s="73">
        <v>1.5</v>
      </c>
      <c r="R1062" s="71" t="s">
        <v>388</v>
      </c>
      <c r="S1062" s="73">
        <v>0</v>
      </c>
      <c r="T1062" s="71" t="s">
        <v>390</v>
      </c>
      <c r="U1062" s="74">
        <v>1</v>
      </c>
      <c r="V1062" s="71" t="s">
        <v>391</v>
      </c>
      <c r="W1062" s="130">
        <v>46064.902118055557</v>
      </c>
      <c r="X1062" s="72">
        <v>46066.572916666664</v>
      </c>
      <c r="Y1062" s="72">
        <v>46068.367361111108</v>
      </c>
      <c r="Z1062" s="104" t="s">
        <v>382</v>
      </c>
      <c r="AA1062" s="104" t="s">
        <v>383</v>
      </c>
      <c r="AB1062" s="105">
        <v>46066.5625</v>
      </c>
      <c r="AC1062" s="105">
        <v>46066.709722222222</v>
      </c>
    </row>
    <row r="1063" s="70" customFormat="1" ht="11.25" customHeight="1">
      <c r="A1063" s="87"/>
      <c r="C1063" s="43" t="s">
        <v>2093</v>
      </c>
      <c r="D1063" s="71" t="s">
        <v>382</v>
      </c>
      <c r="E1063" s="71" t="str">
        <f>MID(D1063,1,2)</f>
        <v>IL</v>
      </c>
      <c r="F1063" s="71" t="s">
        <v>774</v>
      </c>
      <c r="G1063" s="71" t="str">
        <f>MID(F1063,1,2)</f>
        <v>CN</v>
      </c>
      <c r="H1063" s="43" t="s">
        <v>2094</v>
      </c>
      <c r="I1063" s="71" t="s">
        <v>2095</v>
      </c>
      <c r="J1063" s="71" t="s">
        <v>755</v>
      </c>
      <c r="K1063" s="43"/>
      <c r="L1063" s="71" t="s">
        <v>105</v>
      </c>
      <c r="M1063" s="73">
        <v>1</v>
      </c>
      <c r="N1063" s="71" t="s">
        <v>388</v>
      </c>
      <c r="O1063" s="73">
        <v>0.008</v>
      </c>
      <c r="P1063" s="71" t="s">
        <v>389</v>
      </c>
      <c r="Q1063" s="73">
        <v>1.5</v>
      </c>
      <c r="R1063" s="71" t="s">
        <v>388</v>
      </c>
      <c r="S1063" s="73">
        <v>0</v>
      </c>
      <c r="T1063" s="71" t="s">
        <v>390</v>
      </c>
      <c r="U1063" s="74">
        <v>1</v>
      </c>
      <c r="V1063" s="71" t="s">
        <v>391</v>
      </c>
      <c r="W1063" s="130">
        <v>46064.902118055557</v>
      </c>
      <c r="X1063" s="72">
        <v>46066.572916666664</v>
      </c>
      <c r="Y1063" s="72">
        <v>46068.367361111108</v>
      </c>
      <c r="Z1063" s="104" t="s">
        <v>383</v>
      </c>
      <c r="AA1063" s="104" t="s">
        <v>774</v>
      </c>
      <c r="AB1063" s="105">
        <v>46067.366666666669</v>
      </c>
      <c r="AC1063" s="105">
        <v>46068.126388888886</v>
      </c>
    </row>
    <row r="1064" s="70" customFormat="1" ht="11.25" customHeight="1">
      <c r="A1064" s="87"/>
      <c r="C1064" s="43" t="s">
        <v>2096</v>
      </c>
      <c r="D1064" s="71" t="s">
        <v>382</v>
      </c>
      <c r="E1064" s="71" t="str">
        <f>MID(D1064,1,2)</f>
        <v>IL</v>
      </c>
      <c r="F1064" s="71" t="s">
        <v>680</v>
      </c>
      <c r="G1064" s="71" t="str">
        <f>MID(F1064,1,2)</f>
        <v>DE</v>
      </c>
      <c r="H1064" s="43" t="s">
        <v>2097</v>
      </c>
      <c r="I1064" s="71" t="s">
        <v>2098</v>
      </c>
      <c r="J1064" s="71" t="s">
        <v>454</v>
      </c>
      <c r="K1064" s="43"/>
      <c r="L1064" s="71" t="s">
        <v>107</v>
      </c>
      <c r="M1064" s="73">
        <v>9</v>
      </c>
      <c r="N1064" s="71" t="s">
        <v>388</v>
      </c>
      <c r="O1064" s="73">
        <v>0.125</v>
      </c>
      <c r="P1064" s="71" t="s">
        <v>389</v>
      </c>
      <c r="Q1064" s="73">
        <v>21</v>
      </c>
      <c r="R1064" s="71" t="s">
        <v>388</v>
      </c>
      <c r="S1064" s="73">
        <v>0</v>
      </c>
      <c r="T1064" s="71" t="s">
        <v>390</v>
      </c>
      <c r="U1064" s="74">
        <v>1</v>
      </c>
      <c r="V1064" s="71" t="s">
        <v>391</v>
      </c>
      <c r="W1064" s="130"/>
      <c r="X1064" s="72">
        <v>46065.690972222219</v>
      </c>
      <c r="Y1064" s="72">
        <v>46069.954861111109</v>
      </c>
      <c r="Z1064" s="104" t="s">
        <v>382</v>
      </c>
      <c r="AA1064" s="104" t="s">
        <v>383</v>
      </c>
      <c r="AB1064" s="105">
        <v>46068.747916666667</v>
      </c>
      <c r="AC1064" s="105"/>
    </row>
    <row r="1065" s="70" customFormat="1" ht="11.25" customHeight="1">
      <c r="A1065" s="87"/>
      <c r="C1065" s="43" t="s">
        <v>2096</v>
      </c>
      <c r="D1065" s="71" t="s">
        <v>382</v>
      </c>
      <c r="E1065" s="71" t="str">
        <f>MID(D1065,1,2)</f>
        <v>IL</v>
      </c>
      <c r="F1065" s="71" t="s">
        <v>680</v>
      </c>
      <c r="G1065" s="71" t="str">
        <f>MID(F1065,1,2)</f>
        <v>DE</v>
      </c>
      <c r="H1065" s="43" t="s">
        <v>2097</v>
      </c>
      <c r="I1065" s="71" t="s">
        <v>2098</v>
      </c>
      <c r="J1065" s="71" t="s">
        <v>454</v>
      </c>
      <c r="K1065" s="43"/>
      <c r="L1065" s="71" t="s">
        <v>107</v>
      </c>
      <c r="M1065" s="73">
        <v>9</v>
      </c>
      <c r="N1065" s="71" t="s">
        <v>388</v>
      </c>
      <c r="O1065" s="73">
        <v>0.125</v>
      </c>
      <c r="P1065" s="71" t="s">
        <v>389</v>
      </c>
      <c r="Q1065" s="73">
        <v>21</v>
      </c>
      <c r="R1065" s="71" t="s">
        <v>388</v>
      </c>
      <c r="S1065" s="73">
        <v>0</v>
      </c>
      <c r="T1065" s="71" t="s">
        <v>390</v>
      </c>
      <c r="U1065" s="74">
        <v>1</v>
      </c>
      <c r="V1065" s="71" t="s">
        <v>391</v>
      </c>
      <c r="W1065" s="130"/>
      <c r="X1065" s="72">
        <v>46065.690972222219</v>
      </c>
      <c r="Y1065" s="72">
        <v>46069.954861111109</v>
      </c>
      <c r="Z1065" s="104" t="s">
        <v>383</v>
      </c>
      <c r="AA1065" s="104" t="s">
        <v>680</v>
      </c>
      <c r="AB1065" s="105">
        <v>46069.306944444441</v>
      </c>
      <c r="AC1065" s="105">
        <v>46069.436805555553</v>
      </c>
    </row>
    <row r="1066" s="70" customFormat="1" ht="11.25" customHeight="1">
      <c r="A1066" s="87"/>
      <c r="C1066" s="43" t="s">
        <v>2099</v>
      </c>
      <c r="D1066" s="71" t="s">
        <v>382</v>
      </c>
      <c r="E1066" s="71" t="str">
        <f>MID(D1066,1,2)</f>
        <v>IL</v>
      </c>
      <c r="F1066" s="71" t="s">
        <v>546</v>
      </c>
      <c r="G1066" s="71" t="str">
        <f>MID(F1066,1,2)</f>
        <v>GB</v>
      </c>
      <c r="H1066" s="43" t="s">
        <v>2100</v>
      </c>
      <c r="I1066" s="71"/>
      <c r="J1066" s="71" t="s">
        <v>426</v>
      </c>
      <c r="K1066" s="43"/>
      <c r="L1066" s="71" t="s">
        <v>105</v>
      </c>
      <c r="M1066" s="73">
        <v>57</v>
      </c>
      <c r="N1066" s="71" t="s">
        <v>388</v>
      </c>
      <c r="O1066" s="73">
        <v>0.213</v>
      </c>
      <c r="P1066" s="71" t="s">
        <v>389</v>
      </c>
      <c r="Q1066" s="73">
        <v>100</v>
      </c>
      <c r="R1066" s="71" t="s">
        <v>388</v>
      </c>
      <c r="S1066" s="73">
        <v>0</v>
      </c>
      <c r="T1066" s="71" t="s">
        <v>390</v>
      </c>
      <c r="U1066" s="74">
        <v>2</v>
      </c>
      <c r="V1066" s="71" t="s">
        <v>391</v>
      </c>
      <c r="W1066" s="130">
        <v>46063.584027777775</v>
      </c>
      <c r="X1066" s="72">
        <v>46065.381944444445</v>
      </c>
      <c r="Y1066" s="72">
        <v>46065.601388888892</v>
      </c>
      <c r="Z1066" s="104" t="s">
        <v>382</v>
      </c>
      <c r="AA1066" s="104" t="s">
        <v>546</v>
      </c>
      <c r="AB1066" s="105">
        <v>46065.470138888886</v>
      </c>
      <c r="AC1066" s="105">
        <v>46065.590277777781</v>
      </c>
    </row>
    <row r="1067" s="70" customFormat="1" ht="11.25" customHeight="1">
      <c r="A1067" s="87"/>
      <c r="C1067" s="43" t="s">
        <v>2101</v>
      </c>
      <c r="D1067" s="71" t="s">
        <v>382</v>
      </c>
      <c r="E1067" s="71" t="str">
        <f>MID(D1067,1,2)</f>
        <v>IL</v>
      </c>
      <c r="F1067" s="71" t="s">
        <v>597</v>
      </c>
      <c r="G1067" s="71" t="str">
        <f>MID(F1067,1,2)</f>
        <v>NL</v>
      </c>
      <c r="H1067" s="43" t="s">
        <v>2102</v>
      </c>
      <c r="I1067" s="71" t="s">
        <v>2103</v>
      </c>
      <c r="J1067" s="71" t="s">
        <v>454</v>
      </c>
      <c r="K1067" s="43"/>
      <c r="L1067" s="71" t="s">
        <v>107</v>
      </c>
      <c r="M1067" s="73">
        <v>140</v>
      </c>
      <c r="N1067" s="71" t="s">
        <v>388</v>
      </c>
      <c r="O1067" s="73">
        <v>0.328</v>
      </c>
      <c r="P1067" s="71" t="s">
        <v>389</v>
      </c>
      <c r="Q1067" s="73">
        <v>140</v>
      </c>
      <c r="R1067" s="71" t="s">
        <v>388</v>
      </c>
      <c r="S1067" s="73">
        <v>0</v>
      </c>
      <c r="T1067" s="71" t="s">
        <v>390</v>
      </c>
      <c r="U1067" s="74">
        <v>1</v>
      </c>
      <c r="V1067" s="71" t="s">
        <v>391</v>
      </c>
      <c r="W1067" s="130"/>
      <c r="X1067" s="72">
        <v>46063.589583333334</v>
      </c>
      <c r="Y1067" s="72">
        <v>46066.5625</v>
      </c>
      <c r="Z1067" s="104" t="s">
        <v>382</v>
      </c>
      <c r="AA1067" s="104" t="s">
        <v>667</v>
      </c>
      <c r="AB1067" s="105">
        <v>46064.718055555553</v>
      </c>
      <c r="AC1067" s="105">
        <v>46064.84652777778</v>
      </c>
    </row>
    <row r="1068" s="70" customFormat="1" ht="11.25" customHeight="1">
      <c r="A1068" s="87"/>
      <c r="C1068" s="43" t="s">
        <v>2101</v>
      </c>
      <c r="D1068" s="71" t="s">
        <v>382</v>
      </c>
      <c r="E1068" s="71" t="str">
        <f>MID(D1068,1,2)</f>
        <v>IL</v>
      </c>
      <c r="F1068" s="71" t="s">
        <v>597</v>
      </c>
      <c r="G1068" s="71" t="str">
        <f>MID(F1068,1,2)</f>
        <v>NL</v>
      </c>
      <c r="H1068" s="43" t="s">
        <v>2102</v>
      </c>
      <c r="I1068" s="71" t="s">
        <v>2103</v>
      </c>
      <c r="J1068" s="71" t="s">
        <v>454</v>
      </c>
      <c r="K1068" s="43"/>
      <c r="L1068" s="71" t="s">
        <v>107</v>
      </c>
      <c r="M1068" s="73">
        <v>140</v>
      </c>
      <c r="N1068" s="71" t="s">
        <v>388</v>
      </c>
      <c r="O1068" s="73">
        <v>0.328</v>
      </c>
      <c r="P1068" s="71" t="s">
        <v>389</v>
      </c>
      <c r="Q1068" s="73">
        <v>140</v>
      </c>
      <c r="R1068" s="71" t="s">
        <v>388</v>
      </c>
      <c r="S1068" s="73">
        <v>0</v>
      </c>
      <c r="T1068" s="71" t="s">
        <v>390</v>
      </c>
      <c r="U1068" s="74">
        <v>1</v>
      </c>
      <c r="V1068" s="71" t="s">
        <v>391</v>
      </c>
      <c r="W1068" s="130"/>
      <c r="X1068" s="72">
        <v>46063.589583333334</v>
      </c>
      <c r="Y1068" s="72">
        <v>46066.5625</v>
      </c>
      <c r="Z1068" s="104" t="s">
        <v>667</v>
      </c>
      <c r="AA1068" s="104" t="s">
        <v>597</v>
      </c>
      <c r="AB1068" s="105">
        <v>46065.884027777778</v>
      </c>
      <c r="AC1068" s="105">
        <v>46066.460416666669</v>
      </c>
    </row>
    <row r="1069" s="70" customFormat="1" ht="11.25" customHeight="1">
      <c r="A1069" s="87"/>
      <c r="C1069" s="43" t="s">
        <v>2104</v>
      </c>
      <c r="D1069" s="71" t="s">
        <v>382</v>
      </c>
      <c r="E1069" s="71" t="str">
        <f>MID(D1069,1,2)</f>
        <v>IL</v>
      </c>
      <c r="F1069" s="71" t="s">
        <v>597</v>
      </c>
      <c r="G1069" s="71" t="str">
        <f>MID(F1069,1,2)</f>
        <v>NL</v>
      </c>
      <c r="H1069" s="43" t="s">
        <v>2105</v>
      </c>
      <c r="I1069" s="71" t="s">
        <v>2106</v>
      </c>
      <c r="J1069" s="71" t="s">
        <v>400</v>
      </c>
      <c r="K1069" s="43"/>
      <c r="L1069" s="71" t="s">
        <v>105</v>
      </c>
      <c r="M1069" s="73">
        <v>45</v>
      </c>
      <c r="N1069" s="71" t="s">
        <v>388</v>
      </c>
      <c r="O1069" s="73">
        <v>0.548</v>
      </c>
      <c r="P1069" s="71" t="s">
        <v>389</v>
      </c>
      <c r="Q1069" s="73">
        <v>100</v>
      </c>
      <c r="R1069" s="71" t="s">
        <v>388</v>
      </c>
      <c r="S1069" s="73">
        <v>0</v>
      </c>
      <c r="T1069" s="71" t="s">
        <v>390</v>
      </c>
      <c r="U1069" s="74">
        <v>1</v>
      </c>
      <c r="V1069" s="71" t="s">
        <v>391</v>
      </c>
      <c r="W1069" s="130">
        <v>46063.65347222222</v>
      </c>
      <c r="X1069" s="72">
        <v>46066.586805555555</v>
      </c>
      <c r="Y1069" s="72">
        <v>46068.402777777781</v>
      </c>
      <c r="Z1069" s="104" t="s">
        <v>382</v>
      </c>
      <c r="AA1069" s="104" t="s">
        <v>590</v>
      </c>
      <c r="AB1069" s="105">
        <v>46066.480555555558</v>
      </c>
      <c r="AC1069" s="105">
        <v>46066.997916666667</v>
      </c>
    </row>
    <row r="1070" s="70" customFormat="1" ht="11.25" customHeight="1">
      <c r="A1070" s="87"/>
      <c r="C1070" s="43" t="s">
        <v>2104</v>
      </c>
      <c r="D1070" s="71" t="s">
        <v>382</v>
      </c>
      <c r="E1070" s="71" t="str">
        <f>MID(D1070,1,2)</f>
        <v>IL</v>
      </c>
      <c r="F1070" s="71" t="s">
        <v>597</v>
      </c>
      <c r="G1070" s="71" t="str">
        <f>MID(F1070,1,2)</f>
        <v>NL</v>
      </c>
      <c r="H1070" s="43" t="s">
        <v>2105</v>
      </c>
      <c r="I1070" s="71" t="s">
        <v>2106</v>
      </c>
      <c r="J1070" s="71" t="s">
        <v>400</v>
      </c>
      <c r="K1070" s="43"/>
      <c r="L1070" s="71" t="s">
        <v>105</v>
      </c>
      <c r="M1070" s="73">
        <v>45</v>
      </c>
      <c r="N1070" s="71" t="s">
        <v>388</v>
      </c>
      <c r="O1070" s="73">
        <v>0.548</v>
      </c>
      <c r="P1070" s="71" t="s">
        <v>389</v>
      </c>
      <c r="Q1070" s="73">
        <v>100</v>
      </c>
      <c r="R1070" s="71" t="s">
        <v>388</v>
      </c>
      <c r="S1070" s="73">
        <v>0</v>
      </c>
      <c r="T1070" s="71" t="s">
        <v>390</v>
      </c>
      <c r="U1070" s="74">
        <v>1</v>
      </c>
      <c r="V1070" s="71" t="s">
        <v>391</v>
      </c>
      <c r="W1070" s="130">
        <v>46063.65347222222</v>
      </c>
      <c r="X1070" s="72">
        <v>46066.586805555555</v>
      </c>
      <c r="Y1070" s="72">
        <v>46068.402777777781</v>
      </c>
      <c r="Z1070" s="104" t="s">
        <v>590</v>
      </c>
      <c r="AA1070" s="104" t="s">
        <v>597</v>
      </c>
      <c r="AB1070" s="105">
        <v>46068.307638888888</v>
      </c>
      <c r="AC1070" s="105">
        <v>46068.414583333331</v>
      </c>
    </row>
    <row r="1071" s="70" customFormat="1" ht="11.25" customHeight="1">
      <c r="A1071" s="87"/>
      <c r="C1071" s="43" t="s">
        <v>2107</v>
      </c>
      <c r="D1071" s="71" t="s">
        <v>382</v>
      </c>
      <c r="E1071" s="71" t="str">
        <f>MID(D1071,1,2)</f>
        <v>IL</v>
      </c>
      <c r="F1071" s="71" t="s">
        <v>817</v>
      </c>
      <c r="G1071" s="71" t="str">
        <f>MID(F1071,1,2)</f>
        <v>IN</v>
      </c>
      <c r="H1071" s="43" t="s">
        <v>2108</v>
      </c>
      <c r="I1071" s="71" t="s">
        <v>2109</v>
      </c>
      <c r="J1071" s="71" t="s">
        <v>426</v>
      </c>
      <c r="K1071" s="43"/>
      <c r="L1071" s="71" t="s">
        <v>105</v>
      </c>
      <c r="M1071" s="73">
        <v>644</v>
      </c>
      <c r="N1071" s="71" t="s">
        <v>388</v>
      </c>
      <c r="O1071" s="73">
        <v>5</v>
      </c>
      <c r="P1071" s="71" t="s">
        <v>389</v>
      </c>
      <c r="Q1071" s="73">
        <v>818.5</v>
      </c>
      <c r="R1071" s="71" t="s">
        <v>388</v>
      </c>
      <c r="S1071" s="73">
        <v>0</v>
      </c>
      <c r="T1071" s="71" t="s">
        <v>390</v>
      </c>
      <c r="U1071" s="74">
        <v>5</v>
      </c>
      <c r="V1071" s="71" t="s">
        <v>391</v>
      </c>
      <c r="W1071" s="130"/>
      <c r="X1071" s="72">
        <v>46065.486111111109</v>
      </c>
      <c r="Y1071" s="72">
        <v>46065.868055555555</v>
      </c>
      <c r="Z1071" s="104" t="s">
        <v>382</v>
      </c>
      <c r="AA1071" s="104" t="s">
        <v>817</v>
      </c>
      <c r="AB1071" s="105">
        <v>46065.507638888892</v>
      </c>
      <c r="AC1071" s="105">
        <v>46065.885416666664</v>
      </c>
    </row>
    <row r="1072" s="70" customFormat="1" ht="11.25" customHeight="1">
      <c r="A1072" s="87"/>
      <c r="C1072" s="43" t="s">
        <v>2110</v>
      </c>
      <c r="D1072" s="71" t="s">
        <v>382</v>
      </c>
      <c r="E1072" s="71" t="str">
        <f>MID(D1072,1,2)</f>
        <v>IL</v>
      </c>
      <c r="F1072" s="71" t="s">
        <v>702</v>
      </c>
      <c r="G1072" s="71" t="str">
        <f>MID(F1072,1,2)</f>
        <v>JP</v>
      </c>
      <c r="H1072" s="43" t="s">
        <v>2111</v>
      </c>
      <c r="I1072" s="71" t="s">
        <v>2112</v>
      </c>
      <c r="J1072" s="71" t="s">
        <v>386</v>
      </c>
      <c r="K1072" s="43"/>
      <c r="L1072" s="71" t="s">
        <v>107</v>
      </c>
      <c r="M1072" s="73">
        <v>10209</v>
      </c>
      <c r="N1072" s="71" t="s">
        <v>388</v>
      </c>
      <c r="O1072" s="73">
        <v>16.483</v>
      </c>
      <c r="P1072" s="71" t="s">
        <v>389</v>
      </c>
      <c r="Q1072" s="73">
        <v>10209</v>
      </c>
      <c r="R1072" s="71" t="s">
        <v>388</v>
      </c>
      <c r="S1072" s="73">
        <v>0</v>
      </c>
      <c r="T1072" s="71" t="s">
        <v>390</v>
      </c>
      <c r="U1072" s="74">
        <v>16</v>
      </c>
      <c r="V1072" s="71" t="s">
        <v>391</v>
      </c>
      <c r="W1072" s="130"/>
      <c r="X1072" s="72">
        <v>46066.916666666664</v>
      </c>
      <c r="Y1072" s="72">
        <v>46073.559027777781</v>
      </c>
      <c r="Z1072" s="104" t="s">
        <v>382</v>
      </c>
      <c r="AA1072" s="104" t="s">
        <v>465</v>
      </c>
      <c r="AB1072" s="105">
        <v>46068.447916666664</v>
      </c>
      <c r="AC1072" s="105">
        <v>46068.631944444445</v>
      </c>
    </row>
    <row r="1073" s="70" customFormat="1" ht="11.25" customHeight="1">
      <c r="A1073" s="87"/>
      <c r="C1073" s="43" t="s">
        <v>2110</v>
      </c>
      <c r="D1073" s="71" t="s">
        <v>382</v>
      </c>
      <c r="E1073" s="71" t="str">
        <f>MID(D1073,1,2)</f>
        <v>IL</v>
      </c>
      <c r="F1073" s="71" t="s">
        <v>702</v>
      </c>
      <c r="G1073" s="71" t="str">
        <f>MID(F1073,1,2)</f>
        <v>JP</v>
      </c>
      <c r="H1073" s="43" t="s">
        <v>2111</v>
      </c>
      <c r="I1073" s="71" t="s">
        <v>2112</v>
      </c>
      <c r="J1073" s="71" t="s">
        <v>386</v>
      </c>
      <c r="K1073" s="43"/>
      <c r="L1073" s="71" t="s">
        <v>107</v>
      </c>
      <c r="M1073" s="73">
        <v>10209</v>
      </c>
      <c r="N1073" s="71" t="s">
        <v>388</v>
      </c>
      <c r="O1073" s="73">
        <v>16.483</v>
      </c>
      <c r="P1073" s="71" t="s">
        <v>389</v>
      </c>
      <c r="Q1073" s="73">
        <v>10209</v>
      </c>
      <c r="R1073" s="71" t="s">
        <v>388</v>
      </c>
      <c r="S1073" s="73">
        <v>0</v>
      </c>
      <c r="T1073" s="71" t="s">
        <v>390</v>
      </c>
      <c r="U1073" s="74">
        <v>16</v>
      </c>
      <c r="V1073" s="71" t="s">
        <v>391</v>
      </c>
      <c r="W1073" s="130"/>
      <c r="X1073" s="72">
        <v>46066.916666666664</v>
      </c>
      <c r="Y1073" s="72">
        <v>46073.559027777781</v>
      </c>
      <c r="Z1073" s="104" t="s">
        <v>465</v>
      </c>
      <c r="AA1073" s="104" t="s">
        <v>702</v>
      </c>
      <c r="AB1073" s="105">
        <v>46068.95</v>
      </c>
      <c r="AC1073" s="105">
        <v>46069.5375</v>
      </c>
    </row>
    <row r="1074" s="70" customFormat="1" ht="11.25" customHeight="1">
      <c r="A1074" s="87"/>
      <c r="C1074" s="43" t="s">
        <v>2113</v>
      </c>
      <c r="D1074" s="71" t="s">
        <v>382</v>
      </c>
      <c r="E1074" s="71" t="str">
        <f>MID(D1074,1,2)</f>
        <v>IL</v>
      </c>
      <c r="F1074" s="71" t="s">
        <v>978</v>
      </c>
      <c r="G1074" s="71" t="str">
        <f>MID(F1074,1,2)</f>
        <v>PL</v>
      </c>
      <c r="H1074" s="43" t="s">
        <v>2114</v>
      </c>
      <c r="I1074" s="71" t="s">
        <v>2115</v>
      </c>
      <c r="J1074" s="71" t="s">
        <v>426</v>
      </c>
      <c r="K1074" s="43"/>
      <c r="L1074" s="71" t="s">
        <v>105</v>
      </c>
      <c r="M1074" s="73">
        <v>52</v>
      </c>
      <c r="N1074" s="71" t="s">
        <v>388</v>
      </c>
      <c r="O1074" s="73">
        <v>0.143</v>
      </c>
      <c r="P1074" s="71" t="s">
        <v>389</v>
      </c>
      <c r="Q1074" s="73">
        <v>52</v>
      </c>
      <c r="R1074" s="71" t="s">
        <v>388</v>
      </c>
      <c r="S1074" s="73">
        <v>0</v>
      </c>
      <c r="T1074" s="71" t="s">
        <v>390</v>
      </c>
      <c r="U1074" s="74">
        <v>1</v>
      </c>
      <c r="V1074" s="71" t="s">
        <v>391</v>
      </c>
      <c r="W1074" s="130">
        <v>46063.71597222222</v>
      </c>
      <c r="X1074" s="72">
        <v>46068.729166666664</v>
      </c>
      <c r="Y1074" s="72">
        <v>46068.857638888891</v>
      </c>
      <c r="Z1074" s="104" t="s">
        <v>382</v>
      </c>
      <c r="AA1074" s="104" t="s">
        <v>978</v>
      </c>
      <c r="AB1074" s="105">
        <v>46068.724305555559</v>
      </c>
      <c r="AC1074" s="105">
        <v>46068.84097222222</v>
      </c>
    </row>
    <row r="1075" s="70" customFormat="1" ht="11.25" customHeight="1">
      <c r="A1075" s="87"/>
      <c r="C1075" s="43" t="s">
        <v>2116</v>
      </c>
      <c r="D1075" s="71" t="s">
        <v>382</v>
      </c>
      <c r="E1075" s="71" t="str">
        <f>MID(D1075,1,2)</f>
        <v>IL</v>
      </c>
      <c r="F1075" s="71" t="s">
        <v>414</v>
      </c>
      <c r="G1075" s="71" t="str">
        <f>MID(F1075,1,2)</f>
        <v>US</v>
      </c>
      <c r="H1075" s="43" t="s">
        <v>1663</v>
      </c>
      <c r="I1075" s="71" t="s">
        <v>2117</v>
      </c>
      <c r="J1075" s="71" t="s">
        <v>386</v>
      </c>
      <c r="K1075" s="43" t="s">
        <v>759</v>
      </c>
      <c r="L1075" s="71" t="s">
        <v>107</v>
      </c>
      <c r="M1075" s="73">
        <v>1</v>
      </c>
      <c r="N1075" s="71" t="s">
        <v>388</v>
      </c>
      <c r="O1075" s="73">
        <v>0.009</v>
      </c>
      <c r="P1075" s="71" t="s">
        <v>389</v>
      </c>
      <c r="Q1075" s="73">
        <v>1.5</v>
      </c>
      <c r="R1075" s="71" t="s">
        <v>388</v>
      </c>
      <c r="S1075" s="73">
        <v>0</v>
      </c>
      <c r="T1075" s="71" t="s">
        <v>390</v>
      </c>
      <c r="U1075" s="74">
        <v>1</v>
      </c>
      <c r="V1075" s="71" t="s">
        <v>427</v>
      </c>
      <c r="W1075" s="130">
        <v>46063.625</v>
      </c>
      <c r="X1075" s="72">
        <v>46066.03125</v>
      </c>
      <c r="Y1075" s="72">
        <v>46066.239583333336</v>
      </c>
      <c r="Z1075" s="104" t="s">
        <v>382</v>
      </c>
      <c r="AA1075" s="104" t="s">
        <v>414</v>
      </c>
      <c r="AB1075" s="105">
        <v>46066.031944444447</v>
      </c>
      <c r="AC1075" s="105">
        <v>46066.213888888888</v>
      </c>
    </row>
    <row r="1076" s="70" customFormat="1" ht="11.25" customHeight="1">
      <c r="A1076" s="87"/>
      <c r="C1076" s="43" t="s">
        <v>2118</v>
      </c>
      <c r="D1076" s="71" t="s">
        <v>382</v>
      </c>
      <c r="E1076" s="71" t="str">
        <f>MID(D1076,1,2)</f>
        <v>IL</v>
      </c>
      <c r="F1076" s="71" t="s">
        <v>817</v>
      </c>
      <c r="G1076" s="71" t="str">
        <f>MID(F1076,1,2)</f>
        <v>IN</v>
      </c>
      <c r="H1076" s="43" t="s">
        <v>1988</v>
      </c>
      <c r="I1076" s="71" t="s">
        <v>2119</v>
      </c>
      <c r="J1076" s="71" t="s">
        <v>400</v>
      </c>
      <c r="K1076" s="43"/>
      <c r="L1076" s="71" t="s">
        <v>105</v>
      </c>
      <c r="M1076" s="73">
        <v>30</v>
      </c>
      <c r="N1076" s="71" t="s">
        <v>388</v>
      </c>
      <c r="O1076" s="73">
        <v>0.38</v>
      </c>
      <c r="P1076" s="71" t="s">
        <v>389</v>
      </c>
      <c r="Q1076" s="73">
        <v>63.5</v>
      </c>
      <c r="R1076" s="71" t="s">
        <v>388</v>
      </c>
      <c r="S1076" s="73">
        <v>0</v>
      </c>
      <c r="T1076" s="71" t="s">
        <v>390</v>
      </c>
      <c r="U1076" s="74">
        <v>1</v>
      </c>
      <c r="V1076" s="71" t="s">
        <v>391</v>
      </c>
      <c r="W1076" s="130">
        <v>46078.725613425922</v>
      </c>
      <c r="X1076" s="72">
        <v>46079.486111111109</v>
      </c>
      <c r="Y1076" s="72">
        <v>46081.626388888886</v>
      </c>
      <c r="Z1076" s="104" t="s">
        <v>382</v>
      </c>
      <c r="AA1076" s="104" t="s">
        <v>817</v>
      </c>
      <c r="AB1076" s="105">
        <v>46079.526388888888</v>
      </c>
      <c r="AC1076" s="105">
        <v>46079.89375</v>
      </c>
    </row>
    <row r="1077" s="70" customFormat="1" ht="11.25" customHeight="1">
      <c r="A1077" s="87"/>
      <c r="C1077" s="43" t="s">
        <v>2120</v>
      </c>
      <c r="D1077" s="71" t="s">
        <v>382</v>
      </c>
      <c r="E1077" s="71" t="str">
        <f>MID(D1077,1,2)</f>
        <v>IL</v>
      </c>
      <c r="F1077" s="71" t="s">
        <v>546</v>
      </c>
      <c r="G1077" s="71" t="str">
        <f>MID(F1077,1,2)</f>
        <v>GB</v>
      </c>
      <c r="H1077" s="43" t="s">
        <v>2121</v>
      </c>
      <c r="I1077" s="71" t="s">
        <v>2122</v>
      </c>
      <c r="J1077" s="71" t="s">
        <v>400</v>
      </c>
      <c r="K1077" s="43"/>
      <c r="L1077" s="71" t="s">
        <v>105</v>
      </c>
      <c r="M1077" s="73">
        <v>4</v>
      </c>
      <c r="N1077" s="71" t="s">
        <v>388</v>
      </c>
      <c r="O1077" s="73">
        <v>0.024</v>
      </c>
      <c r="P1077" s="71" t="s">
        <v>389</v>
      </c>
      <c r="Q1077" s="73">
        <v>4</v>
      </c>
      <c r="R1077" s="71" t="s">
        <v>388</v>
      </c>
      <c r="S1077" s="73">
        <v>0</v>
      </c>
      <c r="T1077" s="71" t="s">
        <v>390</v>
      </c>
      <c r="U1077" s="74">
        <v>1</v>
      </c>
      <c r="V1077" s="71" t="s">
        <v>446</v>
      </c>
      <c r="W1077" s="130">
        <v>46068.614652777775</v>
      </c>
      <c r="X1077" s="72">
        <v>46070.381944444445</v>
      </c>
      <c r="Y1077" s="72">
        <v>46070.524305555555</v>
      </c>
      <c r="Z1077" s="104" t="s">
        <v>560</v>
      </c>
      <c r="AA1077" s="104" t="s">
        <v>561</v>
      </c>
      <c r="AB1077" s="105"/>
      <c r="AC1077" s="105"/>
    </row>
    <row r="1078" s="70" customFormat="1" ht="11.25" customHeight="1">
      <c r="A1078" s="87"/>
      <c r="C1078" s="43" t="s">
        <v>2120</v>
      </c>
      <c r="D1078" s="71" t="s">
        <v>382</v>
      </c>
      <c r="E1078" s="71" t="str">
        <f>MID(D1078,1,2)</f>
        <v>IL</v>
      </c>
      <c r="F1078" s="71" t="s">
        <v>546</v>
      </c>
      <c r="G1078" s="71" t="str">
        <f>MID(F1078,1,2)</f>
        <v>GB</v>
      </c>
      <c r="H1078" s="43" t="s">
        <v>2121</v>
      </c>
      <c r="I1078" s="71" t="s">
        <v>2122</v>
      </c>
      <c r="J1078" s="71" t="s">
        <v>400</v>
      </c>
      <c r="K1078" s="43"/>
      <c r="L1078" s="71" t="s">
        <v>105</v>
      </c>
      <c r="M1078" s="73">
        <v>4</v>
      </c>
      <c r="N1078" s="71" t="s">
        <v>388</v>
      </c>
      <c r="O1078" s="73">
        <v>0.024</v>
      </c>
      <c r="P1078" s="71" t="s">
        <v>389</v>
      </c>
      <c r="Q1078" s="73">
        <v>4</v>
      </c>
      <c r="R1078" s="71" t="s">
        <v>388</v>
      </c>
      <c r="S1078" s="73">
        <v>0</v>
      </c>
      <c r="T1078" s="71" t="s">
        <v>390</v>
      </c>
      <c r="U1078" s="74">
        <v>1</v>
      </c>
      <c r="V1078" s="71" t="s">
        <v>446</v>
      </c>
      <c r="W1078" s="130">
        <v>46068.614652777775</v>
      </c>
      <c r="X1078" s="72">
        <v>46070.381944444445</v>
      </c>
      <c r="Y1078" s="72">
        <v>46070.524305555555</v>
      </c>
      <c r="Z1078" s="104" t="s">
        <v>382</v>
      </c>
      <c r="AA1078" s="104" t="s">
        <v>546</v>
      </c>
      <c r="AB1078" s="105">
        <v>46070.3875</v>
      </c>
      <c r="AC1078" s="105">
        <v>46070.513194444444</v>
      </c>
    </row>
    <row r="1079" s="70" customFormat="1" ht="11.25" customHeight="1">
      <c r="A1079" s="87"/>
      <c r="C1079" s="43" t="s">
        <v>2123</v>
      </c>
      <c r="D1079" s="71" t="s">
        <v>382</v>
      </c>
      <c r="E1079" s="71" t="str">
        <f>MID(D1079,1,2)</f>
        <v>IL</v>
      </c>
      <c r="F1079" s="71" t="s">
        <v>1234</v>
      </c>
      <c r="G1079" s="71" t="str">
        <f>MID(F1079,1,2)</f>
        <v>PH</v>
      </c>
      <c r="H1079" s="43" t="s">
        <v>2124</v>
      </c>
      <c r="I1079" s="71" t="s">
        <v>2125</v>
      </c>
      <c r="J1079" s="71" t="s">
        <v>400</v>
      </c>
      <c r="K1079" s="43"/>
      <c r="L1079" s="71" t="s">
        <v>105</v>
      </c>
      <c r="M1079" s="73">
        <v>1411</v>
      </c>
      <c r="N1079" s="71" t="s">
        <v>388</v>
      </c>
      <c r="O1079" s="73">
        <v>5.931</v>
      </c>
      <c r="P1079" s="71" t="s">
        <v>389</v>
      </c>
      <c r="Q1079" s="73">
        <v>1411</v>
      </c>
      <c r="R1079" s="71" t="s">
        <v>388</v>
      </c>
      <c r="S1079" s="73">
        <v>0</v>
      </c>
      <c r="T1079" s="71" t="s">
        <v>390</v>
      </c>
      <c r="U1079" s="74">
        <v>5</v>
      </c>
      <c r="V1079" s="71" t="s">
        <v>391</v>
      </c>
      <c r="W1079" s="130">
        <v>46063.70208333333</v>
      </c>
      <c r="X1079" s="72">
        <v>46065.9375</v>
      </c>
      <c r="Y1079" s="72">
        <v>46071.666666666664</v>
      </c>
      <c r="Z1079" s="104" t="s">
        <v>382</v>
      </c>
      <c r="AA1079" s="104" t="s">
        <v>833</v>
      </c>
      <c r="AB1079" s="105">
        <v>46067.936805555553</v>
      </c>
      <c r="AC1079" s="105"/>
    </row>
    <row r="1080" s="70" customFormat="1" ht="11.25" customHeight="1">
      <c r="A1080" s="87"/>
      <c r="C1080" s="43" t="s">
        <v>2123</v>
      </c>
      <c r="D1080" s="71" t="s">
        <v>382</v>
      </c>
      <c r="E1080" s="71" t="str">
        <f>MID(D1080,1,2)</f>
        <v>IL</v>
      </c>
      <c r="F1080" s="71" t="s">
        <v>1234</v>
      </c>
      <c r="G1080" s="71" t="str">
        <f>MID(F1080,1,2)</f>
        <v>PH</v>
      </c>
      <c r="H1080" s="43" t="s">
        <v>2124</v>
      </c>
      <c r="I1080" s="71" t="s">
        <v>2125</v>
      </c>
      <c r="J1080" s="71" t="s">
        <v>400</v>
      </c>
      <c r="K1080" s="43"/>
      <c r="L1080" s="71" t="s">
        <v>105</v>
      </c>
      <c r="M1080" s="73">
        <v>1411</v>
      </c>
      <c r="N1080" s="71" t="s">
        <v>388</v>
      </c>
      <c r="O1080" s="73">
        <v>5.931</v>
      </c>
      <c r="P1080" s="71" t="s">
        <v>389</v>
      </c>
      <c r="Q1080" s="73">
        <v>1411</v>
      </c>
      <c r="R1080" s="71" t="s">
        <v>388</v>
      </c>
      <c r="S1080" s="73">
        <v>0</v>
      </c>
      <c r="T1080" s="71" t="s">
        <v>390</v>
      </c>
      <c r="U1080" s="74">
        <v>5</v>
      </c>
      <c r="V1080" s="71" t="s">
        <v>391</v>
      </c>
      <c r="W1080" s="130">
        <v>46063.70208333333</v>
      </c>
      <c r="X1080" s="72">
        <v>46065.9375</v>
      </c>
      <c r="Y1080" s="72">
        <v>46071.666666666664</v>
      </c>
      <c r="Z1080" s="104" t="s">
        <v>833</v>
      </c>
      <c r="AA1080" s="104" t="s">
        <v>1234</v>
      </c>
      <c r="AB1080" s="105">
        <v>46071.152083333334</v>
      </c>
      <c r="AC1080" s="105">
        <v>46071.321527777778</v>
      </c>
    </row>
    <row r="1081" s="70" customFormat="1" ht="11.25" customHeight="1">
      <c r="A1081" s="87"/>
      <c r="C1081" s="43" t="s">
        <v>2126</v>
      </c>
      <c r="D1081" s="71" t="s">
        <v>382</v>
      </c>
      <c r="E1081" s="71" t="str">
        <f>MID(D1081,1,2)</f>
        <v>IL</v>
      </c>
      <c r="F1081" s="71" t="s">
        <v>414</v>
      </c>
      <c r="G1081" s="71" t="str">
        <f>MID(F1081,1,2)</f>
        <v>US</v>
      </c>
      <c r="H1081" s="43" t="s">
        <v>1663</v>
      </c>
      <c r="I1081" s="71" t="s">
        <v>2127</v>
      </c>
      <c r="J1081" s="71" t="s">
        <v>386</v>
      </c>
      <c r="K1081" s="43" t="s">
        <v>759</v>
      </c>
      <c r="L1081" s="71" t="s">
        <v>107</v>
      </c>
      <c r="M1081" s="73">
        <v>10</v>
      </c>
      <c r="N1081" s="71" t="s">
        <v>388</v>
      </c>
      <c r="O1081" s="73">
        <v>0.298</v>
      </c>
      <c r="P1081" s="71" t="s">
        <v>389</v>
      </c>
      <c r="Q1081" s="73">
        <v>50</v>
      </c>
      <c r="R1081" s="71" t="s">
        <v>388</v>
      </c>
      <c r="S1081" s="73">
        <v>0</v>
      </c>
      <c r="T1081" s="71" t="s">
        <v>390</v>
      </c>
      <c r="U1081" s="74">
        <v>1</v>
      </c>
      <c r="V1081" s="71" t="s">
        <v>427</v>
      </c>
      <c r="W1081" s="130">
        <v>46063.660416666666</v>
      </c>
      <c r="X1081" s="72">
        <v>46066.03125</v>
      </c>
      <c r="Y1081" s="72">
        <v>46066.239583333336</v>
      </c>
      <c r="Z1081" s="104" t="s">
        <v>382</v>
      </c>
      <c r="AA1081" s="104" t="s">
        <v>414</v>
      </c>
      <c r="AB1081" s="105">
        <v>46066.031944444447</v>
      </c>
      <c r="AC1081" s="105">
        <v>46066.213888888888</v>
      </c>
    </row>
    <row r="1082" s="70" customFormat="1" ht="11.25" customHeight="1">
      <c r="A1082" s="87"/>
      <c r="C1082" s="43" t="s">
        <v>2128</v>
      </c>
      <c r="D1082" s="71" t="s">
        <v>382</v>
      </c>
      <c r="E1082" s="71" t="str">
        <f>MID(D1082,1,2)</f>
        <v>IL</v>
      </c>
      <c r="F1082" s="71" t="s">
        <v>414</v>
      </c>
      <c r="G1082" s="71" t="str">
        <f>MID(F1082,1,2)</f>
        <v>US</v>
      </c>
      <c r="H1082" s="43" t="s">
        <v>1663</v>
      </c>
      <c r="I1082" s="71" t="s">
        <v>2129</v>
      </c>
      <c r="J1082" s="71" t="s">
        <v>386</v>
      </c>
      <c r="K1082" s="43" t="s">
        <v>759</v>
      </c>
      <c r="L1082" s="71" t="s">
        <v>107</v>
      </c>
      <c r="M1082" s="73">
        <v>5</v>
      </c>
      <c r="N1082" s="71" t="s">
        <v>388</v>
      </c>
      <c r="O1082" s="73">
        <v>0.15</v>
      </c>
      <c r="P1082" s="71" t="s">
        <v>389</v>
      </c>
      <c r="Q1082" s="73">
        <v>25</v>
      </c>
      <c r="R1082" s="71" t="s">
        <v>388</v>
      </c>
      <c r="S1082" s="73">
        <v>0</v>
      </c>
      <c r="T1082" s="71" t="s">
        <v>390</v>
      </c>
      <c r="U1082" s="74">
        <v>1</v>
      </c>
      <c r="V1082" s="71" t="s">
        <v>427</v>
      </c>
      <c r="W1082" s="130">
        <v>46064.882893518516</v>
      </c>
      <c r="X1082" s="72">
        <v>46066.03125</v>
      </c>
      <c r="Y1082" s="72">
        <v>46066.239583333336</v>
      </c>
      <c r="Z1082" s="104" t="s">
        <v>382</v>
      </c>
      <c r="AA1082" s="104" t="s">
        <v>414</v>
      </c>
      <c r="AB1082" s="105">
        <v>46066.031944444447</v>
      </c>
      <c r="AC1082" s="105">
        <v>46066.213888888888</v>
      </c>
    </row>
    <row r="1083" s="70" customFormat="1" ht="11.25" customHeight="1">
      <c r="A1083" s="87"/>
      <c r="C1083" s="43" t="s">
        <v>2130</v>
      </c>
      <c r="D1083" s="71" t="s">
        <v>382</v>
      </c>
      <c r="E1083" s="71" t="str">
        <f>MID(D1083,1,2)</f>
        <v>IL</v>
      </c>
      <c r="F1083" s="71" t="s">
        <v>963</v>
      </c>
      <c r="G1083" s="71" t="str">
        <f>MID(F1083,1,2)</f>
        <v>IN</v>
      </c>
      <c r="H1083" s="43" t="s">
        <v>1858</v>
      </c>
      <c r="I1083" s="71" t="s">
        <v>2131</v>
      </c>
      <c r="J1083" s="71" t="s">
        <v>426</v>
      </c>
      <c r="K1083" s="43"/>
      <c r="L1083" s="71" t="s">
        <v>105</v>
      </c>
      <c r="M1083" s="73">
        <v>2</v>
      </c>
      <c r="N1083" s="71" t="s">
        <v>388</v>
      </c>
      <c r="O1083" s="73">
        <v>0.021</v>
      </c>
      <c r="P1083" s="71" t="s">
        <v>389</v>
      </c>
      <c r="Q1083" s="73">
        <v>3.5</v>
      </c>
      <c r="R1083" s="71" t="s">
        <v>388</v>
      </c>
      <c r="S1083" s="73">
        <v>0</v>
      </c>
      <c r="T1083" s="71" t="s">
        <v>390</v>
      </c>
      <c r="U1083" s="74">
        <v>1</v>
      </c>
      <c r="V1083" s="71" t="s">
        <v>391</v>
      </c>
      <c r="W1083" s="130">
        <v>46063.667361111111</v>
      </c>
      <c r="X1083" s="72">
        <v>46065.65902777778</v>
      </c>
      <c r="Y1083" s="72">
        <v>46069.003472222219</v>
      </c>
      <c r="Z1083" s="104" t="s">
        <v>382</v>
      </c>
      <c r="AA1083" s="104" t="s">
        <v>833</v>
      </c>
      <c r="AB1083" s="105">
        <v>46065.906944444447</v>
      </c>
      <c r="AC1083" s="105">
        <v>46066.569444444445</v>
      </c>
    </row>
    <row r="1084" s="70" customFormat="1" ht="11.25" customHeight="1">
      <c r="A1084" s="87"/>
      <c r="C1084" s="43" t="s">
        <v>2130</v>
      </c>
      <c r="D1084" s="71" t="s">
        <v>382</v>
      </c>
      <c r="E1084" s="71" t="str">
        <f>MID(D1084,1,2)</f>
        <v>IL</v>
      </c>
      <c r="F1084" s="71" t="s">
        <v>963</v>
      </c>
      <c r="G1084" s="71" t="str">
        <f>MID(F1084,1,2)</f>
        <v>IN</v>
      </c>
      <c r="H1084" s="43" t="s">
        <v>1858</v>
      </c>
      <c r="I1084" s="71" t="s">
        <v>2131</v>
      </c>
      <c r="J1084" s="71" t="s">
        <v>426</v>
      </c>
      <c r="K1084" s="43"/>
      <c r="L1084" s="71" t="s">
        <v>105</v>
      </c>
      <c r="M1084" s="73">
        <v>2</v>
      </c>
      <c r="N1084" s="71" t="s">
        <v>388</v>
      </c>
      <c r="O1084" s="73">
        <v>0.021</v>
      </c>
      <c r="P1084" s="71" t="s">
        <v>389</v>
      </c>
      <c r="Q1084" s="73">
        <v>3.5</v>
      </c>
      <c r="R1084" s="71" t="s">
        <v>388</v>
      </c>
      <c r="S1084" s="73">
        <v>0</v>
      </c>
      <c r="T1084" s="71" t="s">
        <v>390</v>
      </c>
      <c r="U1084" s="74">
        <v>1</v>
      </c>
      <c r="V1084" s="71" t="s">
        <v>391</v>
      </c>
      <c r="W1084" s="130">
        <v>46063.667361111111</v>
      </c>
      <c r="X1084" s="72">
        <v>46065.65902777778</v>
      </c>
      <c r="Y1084" s="72">
        <v>46069.003472222219</v>
      </c>
      <c r="Z1084" s="104" t="s">
        <v>833</v>
      </c>
      <c r="AA1084" s="104" t="s">
        <v>963</v>
      </c>
      <c r="AB1084" s="105">
        <v>46068.913888888892</v>
      </c>
      <c r="AC1084" s="105">
        <v>46069.158333333333</v>
      </c>
    </row>
    <row r="1085" s="70" customFormat="1" ht="11.25" customHeight="1">
      <c r="A1085" s="87"/>
      <c r="C1085" s="43" t="s">
        <v>2132</v>
      </c>
      <c r="D1085" s="71" t="s">
        <v>382</v>
      </c>
      <c r="E1085" s="71" t="str">
        <f>MID(D1085,1,2)</f>
        <v>IL</v>
      </c>
      <c r="F1085" s="71" t="s">
        <v>2133</v>
      </c>
      <c r="G1085" s="71" t="str">
        <f>MID(F1085,1,2)</f>
        <v>FI</v>
      </c>
      <c r="H1085" s="43" t="s">
        <v>2134</v>
      </c>
      <c r="I1085" s="71" t="s">
        <v>2135</v>
      </c>
      <c r="J1085" s="71" t="s">
        <v>400</v>
      </c>
      <c r="K1085" s="43" t="s">
        <v>2136</v>
      </c>
      <c r="L1085" s="71" t="s">
        <v>105</v>
      </c>
      <c r="M1085" s="73">
        <v>2</v>
      </c>
      <c r="N1085" s="71" t="s">
        <v>388</v>
      </c>
      <c r="O1085" s="73">
        <v>0.023</v>
      </c>
      <c r="P1085" s="71" t="s">
        <v>389</v>
      </c>
      <c r="Q1085" s="73">
        <v>4</v>
      </c>
      <c r="R1085" s="71" t="s">
        <v>388</v>
      </c>
      <c r="S1085" s="73">
        <v>0</v>
      </c>
      <c r="T1085" s="71" t="s">
        <v>390</v>
      </c>
      <c r="U1085" s="74">
        <v>1</v>
      </c>
      <c r="V1085" s="71" t="s">
        <v>391</v>
      </c>
      <c r="W1085" s="130">
        <v>46064.683159722219</v>
      </c>
      <c r="X1085" s="72">
        <v>46064.577777777777</v>
      </c>
      <c r="Y1085" s="72">
        <v>46068.510416666664</v>
      </c>
      <c r="Z1085" s="104" t="s">
        <v>382</v>
      </c>
      <c r="AA1085" s="104" t="s">
        <v>667</v>
      </c>
      <c r="AB1085" s="105">
        <v>46066.705555555556</v>
      </c>
      <c r="AC1085" s="105">
        <v>46066.835416666669</v>
      </c>
    </row>
    <row r="1086" s="70" customFormat="1" ht="11.25" customHeight="1">
      <c r="A1086" s="87"/>
      <c r="C1086" s="43" t="s">
        <v>2132</v>
      </c>
      <c r="D1086" s="71" t="s">
        <v>382</v>
      </c>
      <c r="E1086" s="71" t="str">
        <f>MID(D1086,1,2)</f>
        <v>IL</v>
      </c>
      <c r="F1086" s="71" t="s">
        <v>2133</v>
      </c>
      <c r="G1086" s="71" t="str">
        <f>MID(F1086,1,2)</f>
        <v>FI</v>
      </c>
      <c r="H1086" s="43" t="s">
        <v>2134</v>
      </c>
      <c r="I1086" s="71" t="s">
        <v>2135</v>
      </c>
      <c r="J1086" s="71" t="s">
        <v>400</v>
      </c>
      <c r="K1086" s="43" t="s">
        <v>2136</v>
      </c>
      <c r="L1086" s="71" t="s">
        <v>105</v>
      </c>
      <c r="M1086" s="73">
        <v>2</v>
      </c>
      <c r="N1086" s="71" t="s">
        <v>388</v>
      </c>
      <c r="O1086" s="73">
        <v>0.023</v>
      </c>
      <c r="P1086" s="71" t="s">
        <v>389</v>
      </c>
      <c r="Q1086" s="73">
        <v>4</v>
      </c>
      <c r="R1086" s="71" t="s">
        <v>388</v>
      </c>
      <c r="S1086" s="73">
        <v>0</v>
      </c>
      <c r="T1086" s="71" t="s">
        <v>390</v>
      </c>
      <c r="U1086" s="74">
        <v>1</v>
      </c>
      <c r="V1086" s="71" t="s">
        <v>391</v>
      </c>
      <c r="W1086" s="130">
        <v>46064.683159722219</v>
      </c>
      <c r="X1086" s="72">
        <v>46064.577777777777</v>
      </c>
      <c r="Y1086" s="72">
        <v>46068.510416666664</v>
      </c>
      <c r="Z1086" s="104" t="s">
        <v>667</v>
      </c>
      <c r="AA1086" s="104" t="s">
        <v>2133</v>
      </c>
      <c r="AB1086" s="105">
        <v>46067.370833333334</v>
      </c>
      <c r="AC1086" s="105">
        <v>46068.504861111112</v>
      </c>
    </row>
    <row r="1087" s="70" customFormat="1" ht="11.25" customHeight="1">
      <c r="A1087" s="87"/>
      <c r="C1087" s="43" t="s">
        <v>2137</v>
      </c>
      <c r="D1087" s="71" t="s">
        <v>382</v>
      </c>
      <c r="E1087" s="71" t="str">
        <f>MID(D1087,1,2)</f>
        <v>IL</v>
      </c>
      <c r="F1087" s="71" t="s">
        <v>468</v>
      </c>
      <c r="G1087" s="71" t="str">
        <f>MID(F1087,1,2)</f>
        <v>US</v>
      </c>
      <c r="H1087" s="43" t="s">
        <v>1631</v>
      </c>
      <c r="I1087" s="71" t="s">
        <v>2138</v>
      </c>
      <c r="J1087" s="71" t="s">
        <v>386</v>
      </c>
      <c r="K1087" s="43"/>
      <c r="L1087" s="71" t="s">
        <v>107</v>
      </c>
      <c r="M1087" s="73">
        <v>3</v>
      </c>
      <c r="N1087" s="71" t="s">
        <v>388</v>
      </c>
      <c r="O1087" s="73">
        <v>0.092</v>
      </c>
      <c r="P1087" s="71" t="s">
        <v>389</v>
      </c>
      <c r="Q1087" s="73">
        <v>15.5</v>
      </c>
      <c r="R1087" s="71" t="s">
        <v>388</v>
      </c>
      <c r="S1087" s="73">
        <v>0</v>
      </c>
      <c r="T1087" s="71" t="s">
        <v>390</v>
      </c>
      <c r="U1087" s="74">
        <v>1</v>
      </c>
      <c r="V1087" s="71" t="s">
        <v>446</v>
      </c>
      <c r="W1087" s="130">
        <v>46063.688194444447</v>
      </c>
      <c r="X1087" s="72">
        <v>46066.965277777781</v>
      </c>
      <c r="Y1087" s="72">
        <v>46071.416666666664</v>
      </c>
      <c r="Z1087" s="104" t="s">
        <v>382</v>
      </c>
      <c r="AA1087" s="104" t="s">
        <v>422</v>
      </c>
      <c r="AB1087" s="105">
        <v>46066.967361111114</v>
      </c>
      <c r="AC1087" s="105">
        <v>46067.170138888891</v>
      </c>
    </row>
    <row r="1088" s="70" customFormat="1" ht="11.25" customHeight="1">
      <c r="A1088" s="87"/>
      <c r="C1088" s="43" t="s">
        <v>2137</v>
      </c>
      <c r="D1088" s="71" t="s">
        <v>382</v>
      </c>
      <c r="E1088" s="71" t="str">
        <f>MID(D1088,1,2)</f>
        <v>IL</v>
      </c>
      <c r="F1088" s="71" t="s">
        <v>468</v>
      </c>
      <c r="G1088" s="71" t="str">
        <f>MID(F1088,1,2)</f>
        <v>US</v>
      </c>
      <c r="H1088" s="43" t="s">
        <v>1631</v>
      </c>
      <c r="I1088" s="71" t="s">
        <v>2138</v>
      </c>
      <c r="J1088" s="71" t="s">
        <v>386</v>
      </c>
      <c r="K1088" s="43"/>
      <c r="L1088" s="71" t="s">
        <v>107</v>
      </c>
      <c r="M1088" s="73">
        <v>3</v>
      </c>
      <c r="N1088" s="71" t="s">
        <v>388</v>
      </c>
      <c r="O1088" s="73">
        <v>0.092</v>
      </c>
      <c r="P1088" s="71" t="s">
        <v>389</v>
      </c>
      <c r="Q1088" s="73">
        <v>15.5</v>
      </c>
      <c r="R1088" s="71" t="s">
        <v>388</v>
      </c>
      <c r="S1088" s="73">
        <v>0</v>
      </c>
      <c r="T1088" s="71" t="s">
        <v>390</v>
      </c>
      <c r="U1088" s="74">
        <v>1</v>
      </c>
      <c r="V1088" s="71" t="s">
        <v>446</v>
      </c>
      <c r="W1088" s="130">
        <v>46063.688194444447</v>
      </c>
      <c r="X1088" s="72">
        <v>46066.965277777781</v>
      </c>
      <c r="Y1088" s="72">
        <v>46071.416666666664</v>
      </c>
      <c r="Z1088" s="104" t="s">
        <v>422</v>
      </c>
      <c r="AA1088" s="104" t="s">
        <v>468</v>
      </c>
      <c r="AB1088" s="105">
        <v>46069.363888888889</v>
      </c>
      <c r="AC1088" s="105">
        <v>46071.509027777778</v>
      </c>
    </row>
    <row r="1089" s="70" customFormat="1" ht="11.25" customHeight="1">
      <c r="A1089" s="87"/>
      <c r="C1089" s="43" t="s">
        <v>2139</v>
      </c>
      <c r="D1089" s="71" t="s">
        <v>382</v>
      </c>
      <c r="E1089" s="71" t="str">
        <f>MID(D1089,1,2)</f>
        <v>IL</v>
      </c>
      <c r="F1089" s="71" t="s">
        <v>414</v>
      </c>
      <c r="G1089" s="71" t="str">
        <f>MID(F1089,1,2)</f>
        <v>US</v>
      </c>
      <c r="H1089" s="43" t="s">
        <v>1663</v>
      </c>
      <c r="I1089" s="71" t="s">
        <v>2140</v>
      </c>
      <c r="J1089" s="71" t="s">
        <v>454</v>
      </c>
      <c r="K1089" s="43" t="s">
        <v>759</v>
      </c>
      <c r="L1089" s="71" t="s">
        <v>107</v>
      </c>
      <c r="M1089" s="73">
        <v>2</v>
      </c>
      <c r="N1089" s="71" t="s">
        <v>388</v>
      </c>
      <c r="O1089" s="73">
        <v>0.015</v>
      </c>
      <c r="P1089" s="71" t="s">
        <v>389</v>
      </c>
      <c r="Q1089" s="73">
        <v>2.5</v>
      </c>
      <c r="R1089" s="71" t="s">
        <v>388</v>
      </c>
      <c r="S1089" s="73">
        <v>0</v>
      </c>
      <c r="T1089" s="71" t="s">
        <v>390</v>
      </c>
      <c r="U1089" s="74">
        <v>1</v>
      </c>
      <c r="V1089" s="71" t="s">
        <v>427</v>
      </c>
      <c r="W1089" s="130">
        <v>46063.722222222219</v>
      </c>
      <c r="X1089" s="72">
        <v>46066.03125</v>
      </c>
      <c r="Y1089" s="72">
        <v>46066.239583333336</v>
      </c>
      <c r="Z1089" s="104" t="s">
        <v>382</v>
      </c>
      <c r="AA1089" s="104" t="s">
        <v>414</v>
      </c>
      <c r="AB1089" s="105">
        <v>46066.031944444447</v>
      </c>
      <c r="AC1089" s="105">
        <v>46066.213888888888</v>
      </c>
    </row>
    <row r="1090" s="70" customFormat="1" ht="11.25" customHeight="1">
      <c r="A1090" s="87"/>
      <c r="C1090" s="43" t="s">
        <v>2141</v>
      </c>
      <c r="D1090" s="71" t="s">
        <v>382</v>
      </c>
      <c r="E1090" s="71" t="str">
        <f>MID(D1090,1,2)</f>
        <v>IL</v>
      </c>
      <c r="F1090" s="71" t="s">
        <v>963</v>
      </c>
      <c r="G1090" s="71" t="str">
        <f>MID(F1090,1,2)</f>
        <v>IN</v>
      </c>
      <c r="H1090" s="43" t="s">
        <v>1858</v>
      </c>
      <c r="I1090" s="71" t="s">
        <v>2142</v>
      </c>
      <c r="J1090" s="71" t="s">
        <v>426</v>
      </c>
      <c r="K1090" s="43"/>
      <c r="L1090" s="71" t="s">
        <v>105</v>
      </c>
      <c r="M1090" s="73">
        <v>3</v>
      </c>
      <c r="N1090" s="71" t="s">
        <v>388</v>
      </c>
      <c r="O1090" s="73">
        <v>0.03</v>
      </c>
      <c r="P1090" s="71" t="s">
        <v>389</v>
      </c>
      <c r="Q1090" s="73">
        <v>5</v>
      </c>
      <c r="R1090" s="71" t="s">
        <v>388</v>
      </c>
      <c r="S1090" s="73">
        <v>0</v>
      </c>
      <c r="T1090" s="71" t="s">
        <v>390</v>
      </c>
      <c r="U1090" s="74">
        <v>1</v>
      </c>
      <c r="V1090" s="71" t="s">
        <v>391</v>
      </c>
      <c r="W1090" s="130">
        <v>46063.729166666664</v>
      </c>
      <c r="X1090" s="72">
        <v>46065.895833333336</v>
      </c>
      <c r="Y1090" s="72">
        <v>46069.003472222219</v>
      </c>
      <c r="Z1090" s="104" t="s">
        <v>382</v>
      </c>
      <c r="AA1090" s="104" t="s">
        <v>833</v>
      </c>
      <c r="AB1090" s="105">
        <v>46065.906944444447</v>
      </c>
      <c r="AC1090" s="105">
        <v>46066.569444444445</v>
      </c>
    </row>
    <row r="1091" s="70" customFormat="1" ht="11.25" customHeight="1">
      <c r="A1091" s="87"/>
      <c r="C1091" s="43" t="s">
        <v>2141</v>
      </c>
      <c r="D1091" s="71" t="s">
        <v>382</v>
      </c>
      <c r="E1091" s="71" t="str">
        <f>MID(D1091,1,2)</f>
        <v>IL</v>
      </c>
      <c r="F1091" s="71" t="s">
        <v>963</v>
      </c>
      <c r="G1091" s="71" t="str">
        <f>MID(F1091,1,2)</f>
        <v>IN</v>
      </c>
      <c r="H1091" s="43" t="s">
        <v>1858</v>
      </c>
      <c r="I1091" s="71" t="s">
        <v>2142</v>
      </c>
      <c r="J1091" s="71" t="s">
        <v>426</v>
      </c>
      <c r="K1091" s="43"/>
      <c r="L1091" s="71" t="s">
        <v>105</v>
      </c>
      <c r="M1091" s="73">
        <v>3</v>
      </c>
      <c r="N1091" s="71" t="s">
        <v>388</v>
      </c>
      <c r="O1091" s="73">
        <v>0.03</v>
      </c>
      <c r="P1091" s="71" t="s">
        <v>389</v>
      </c>
      <c r="Q1091" s="73">
        <v>5</v>
      </c>
      <c r="R1091" s="71" t="s">
        <v>388</v>
      </c>
      <c r="S1091" s="73">
        <v>0</v>
      </c>
      <c r="T1091" s="71" t="s">
        <v>390</v>
      </c>
      <c r="U1091" s="74">
        <v>1</v>
      </c>
      <c r="V1091" s="71" t="s">
        <v>391</v>
      </c>
      <c r="W1091" s="130">
        <v>46063.729166666664</v>
      </c>
      <c r="X1091" s="72">
        <v>46065.895833333336</v>
      </c>
      <c r="Y1091" s="72">
        <v>46069.003472222219</v>
      </c>
      <c r="Z1091" s="104" t="s">
        <v>833</v>
      </c>
      <c r="AA1091" s="104" t="s">
        <v>963</v>
      </c>
      <c r="AB1091" s="105">
        <v>46068.913888888892</v>
      </c>
      <c r="AC1091" s="105">
        <v>46069.158333333333</v>
      </c>
    </row>
    <row r="1092" s="70" customFormat="1" ht="11.25" customHeight="1">
      <c r="A1092" s="87"/>
      <c r="C1092" s="43" t="s">
        <v>2143</v>
      </c>
      <c r="D1092" s="71" t="s">
        <v>382</v>
      </c>
      <c r="E1092" s="71" t="str">
        <f>MID(D1092,1,2)</f>
        <v>IL</v>
      </c>
      <c r="F1092" s="71" t="s">
        <v>422</v>
      </c>
      <c r="G1092" s="71" t="str">
        <f>MID(F1092,1,2)</f>
        <v>US</v>
      </c>
      <c r="H1092" s="43" t="s">
        <v>2144</v>
      </c>
      <c r="I1092" s="71" t="s">
        <v>2145</v>
      </c>
      <c r="J1092" s="71" t="s">
        <v>435</v>
      </c>
      <c r="K1092" s="43"/>
      <c r="L1092" s="71" t="s">
        <v>105</v>
      </c>
      <c r="M1092" s="73">
        <v>180</v>
      </c>
      <c r="N1092" s="71" t="s">
        <v>388</v>
      </c>
      <c r="O1092" s="73">
        <v>3.84</v>
      </c>
      <c r="P1092" s="71" t="s">
        <v>389</v>
      </c>
      <c r="Q1092" s="73">
        <v>640</v>
      </c>
      <c r="R1092" s="71" t="s">
        <v>388</v>
      </c>
      <c r="S1092" s="73">
        <v>0</v>
      </c>
      <c r="T1092" s="71" t="s">
        <v>390</v>
      </c>
      <c r="U1092" s="74">
        <v>2</v>
      </c>
      <c r="V1092" s="71" t="s">
        <v>391</v>
      </c>
      <c r="W1092" s="130">
        <v>46063.74375</v>
      </c>
      <c r="X1092" s="72">
        <v>46066.965277777781</v>
      </c>
      <c r="Y1092" s="72">
        <v>46067.67291666667</v>
      </c>
      <c r="Z1092" s="104" t="s">
        <v>382</v>
      </c>
      <c r="AA1092" s="104" t="s">
        <v>422</v>
      </c>
      <c r="AB1092" s="105">
        <v>46066.967361111114</v>
      </c>
      <c r="AC1092" s="105">
        <v>46067.174305555556</v>
      </c>
    </row>
    <row r="1093" s="70" customFormat="1" ht="11.25" customHeight="1">
      <c r="A1093" s="87"/>
      <c r="C1093" s="43" t="s">
        <v>2146</v>
      </c>
      <c r="D1093" s="71" t="s">
        <v>382</v>
      </c>
      <c r="E1093" s="71" t="str">
        <f>MID(D1093,1,2)</f>
        <v>IL</v>
      </c>
      <c r="F1093" s="71" t="s">
        <v>2147</v>
      </c>
      <c r="G1093" s="71" t="str">
        <f>MID(F1093,1,2)</f>
        <v>CN</v>
      </c>
      <c r="H1093" s="43" t="s">
        <v>2148</v>
      </c>
      <c r="I1093" s="71" t="s">
        <v>2149</v>
      </c>
      <c r="J1093" s="71" t="s">
        <v>386</v>
      </c>
      <c r="K1093" s="43"/>
      <c r="L1093" s="71" t="s">
        <v>107</v>
      </c>
      <c r="M1093" s="73">
        <v>1164</v>
      </c>
      <c r="N1093" s="71" t="s">
        <v>388</v>
      </c>
      <c r="O1093" s="73">
        <v>1.228</v>
      </c>
      <c r="P1093" s="71" t="s">
        <v>389</v>
      </c>
      <c r="Q1093" s="73">
        <v>1164</v>
      </c>
      <c r="R1093" s="71" t="s">
        <v>388</v>
      </c>
      <c r="S1093" s="73">
        <v>0</v>
      </c>
      <c r="T1093" s="71" t="s">
        <v>390</v>
      </c>
      <c r="U1093" s="74">
        <v>6</v>
      </c>
      <c r="V1093" s="71" t="s">
        <v>391</v>
      </c>
      <c r="W1093" s="130">
        <v>46064.731782407405</v>
      </c>
      <c r="X1093" s="72">
        <v>46065.472222222219</v>
      </c>
      <c r="Y1093" s="72">
        <v>46074.776388888888</v>
      </c>
      <c r="Z1093" s="104" t="s">
        <v>382</v>
      </c>
      <c r="AA1093" s="104" t="s">
        <v>1363</v>
      </c>
      <c r="AB1093" s="105">
        <v>46065.409722222219</v>
      </c>
      <c r="AC1093" s="105">
        <v>46066.129166666666</v>
      </c>
    </row>
    <row r="1094" s="70" customFormat="1" ht="11.25" customHeight="1">
      <c r="A1094" s="87"/>
      <c r="C1094" s="43" t="s">
        <v>2146</v>
      </c>
      <c r="D1094" s="71" t="s">
        <v>382</v>
      </c>
      <c r="E1094" s="71" t="str">
        <f>MID(D1094,1,2)</f>
        <v>IL</v>
      </c>
      <c r="F1094" s="71" t="s">
        <v>2147</v>
      </c>
      <c r="G1094" s="71" t="str">
        <f>MID(F1094,1,2)</f>
        <v>CN</v>
      </c>
      <c r="H1094" s="43" t="s">
        <v>2148</v>
      </c>
      <c r="I1094" s="71" t="s">
        <v>2149</v>
      </c>
      <c r="J1094" s="71" t="s">
        <v>386</v>
      </c>
      <c r="K1094" s="43"/>
      <c r="L1094" s="71" t="s">
        <v>107</v>
      </c>
      <c r="M1094" s="73">
        <v>1164</v>
      </c>
      <c r="N1094" s="71" t="s">
        <v>388</v>
      </c>
      <c r="O1094" s="73">
        <v>1.228</v>
      </c>
      <c r="P1094" s="71" t="s">
        <v>389</v>
      </c>
      <c r="Q1094" s="73">
        <v>1164</v>
      </c>
      <c r="R1094" s="71" t="s">
        <v>388</v>
      </c>
      <c r="S1094" s="73">
        <v>0</v>
      </c>
      <c r="T1094" s="71" t="s">
        <v>390</v>
      </c>
      <c r="U1094" s="74">
        <v>6</v>
      </c>
      <c r="V1094" s="71" t="s">
        <v>391</v>
      </c>
      <c r="W1094" s="130">
        <v>46064.731782407405</v>
      </c>
      <c r="X1094" s="72">
        <v>46065.472222222219</v>
      </c>
      <c r="Y1094" s="72">
        <v>46074.776388888888</v>
      </c>
      <c r="Z1094" s="104" t="s">
        <v>1363</v>
      </c>
      <c r="AA1094" s="104" t="s">
        <v>774</v>
      </c>
      <c r="AB1094" s="105">
        <v>46067.701388888891</v>
      </c>
      <c r="AC1094" s="105">
        <v>46067.854861111111</v>
      </c>
    </row>
    <row r="1095" s="70" customFormat="1" ht="11.25" customHeight="1">
      <c r="A1095" s="87"/>
      <c r="C1095" s="43" t="s">
        <v>2150</v>
      </c>
      <c r="D1095" s="71" t="s">
        <v>382</v>
      </c>
      <c r="E1095" s="71" t="str">
        <f>MID(D1095,1,2)</f>
        <v>IL</v>
      </c>
      <c r="F1095" s="71" t="s">
        <v>443</v>
      </c>
      <c r="G1095" s="71" t="str">
        <f>MID(F1095,1,2)</f>
        <v>US</v>
      </c>
      <c r="H1095" s="43" t="s">
        <v>1997</v>
      </c>
      <c r="I1095" s="71" t="s">
        <v>2151</v>
      </c>
      <c r="J1095" s="71" t="s">
        <v>400</v>
      </c>
      <c r="K1095" s="43"/>
      <c r="L1095" s="71" t="s">
        <v>105</v>
      </c>
      <c r="M1095" s="73">
        <v>103</v>
      </c>
      <c r="N1095" s="71" t="s">
        <v>388</v>
      </c>
      <c r="O1095" s="73">
        <v>1.229</v>
      </c>
      <c r="P1095" s="71" t="s">
        <v>389</v>
      </c>
      <c r="Q1095" s="73">
        <v>205</v>
      </c>
      <c r="R1095" s="71" t="s">
        <v>388</v>
      </c>
      <c r="S1095" s="73">
        <v>0</v>
      </c>
      <c r="T1095" s="71" t="s">
        <v>390</v>
      </c>
      <c r="U1095" s="74">
        <v>1</v>
      </c>
      <c r="V1095" s="71" t="s">
        <v>391</v>
      </c>
      <c r="W1095" s="130">
        <v>46064.638888888891</v>
      </c>
      <c r="X1095" s="72">
        <v>46065.965277777781</v>
      </c>
      <c r="Y1095" s="72">
        <v>46066.76875</v>
      </c>
      <c r="Z1095" s="104" t="s">
        <v>382</v>
      </c>
      <c r="AA1095" s="104" t="s">
        <v>422</v>
      </c>
      <c r="AB1095" s="105">
        <v>46065.958333333336</v>
      </c>
      <c r="AC1095" s="105">
        <v>46066.146527777775</v>
      </c>
    </row>
    <row r="1096" s="70" customFormat="1" ht="11.25" customHeight="1">
      <c r="A1096" s="87"/>
      <c r="C1096" s="43" t="s">
        <v>2150</v>
      </c>
      <c r="D1096" s="71" t="s">
        <v>382</v>
      </c>
      <c r="E1096" s="71" t="str">
        <f>MID(D1096,1,2)</f>
        <v>IL</v>
      </c>
      <c r="F1096" s="71" t="s">
        <v>443</v>
      </c>
      <c r="G1096" s="71" t="str">
        <f>MID(F1096,1,2)</f>
        <v>US</v>
      </c>
      <c r="H1096" s="43" t="s">
        <v>1997</v>
      </c>
      <c r="I1096" s="71" t="s">
        <v>2151</v>
      </c>
      <c r="J1096" s="71" t="s">
        <v>400</v>
      </c>
      <c r="K1096" s="43"/>
      <c r="L1096" s="71" t="s">
        <v>105</v>
      </c>
      <c r="M1096" s="73">
        <v>103</v>
      </c>
      <c r="N1096" s="71" t="s">
        <v>388</v>
      </c>
      <c r="O1096" s="73">
        <v>1.229</v>
      </c>
      <c r="P1096" s="71" t="s">
        <v>389</v>
      </c>
      <c r="Q1096" s="73">
        <v>205</v>
      </c>
      <c r="R1096" s="71" t="s">
        <v>388</v>
      </c>
      <c r="S1096" s="73">
        <v>0</v>
      </c>
      <c r="T1096" s="71" t="s">
        <v>390</v>
      </c>
      <c r="U1096" s="74">
        <v>1</v>
      </c>
      <c r="V1096" s="71" t="s">
        <v>391</v>
      </c>
      <c r="W1096" s="130">
        <v>46064.638888888891</v>
      </c>
      <c r="X1096" s="72">
        <v>46065.965277777781</v>
      </c>
      <c r="Y1096" s="72">
        <v>46066.76875</v>
      </c>
      <c r="Z1096" s="104" t="s">
        <v>422</v>
      </c>
      <c r="AA1096" s="104" t="s">
        <v>443</v>
      </c>
      <c r="AB1096" s="105">
        <v>46066.638888888891</v>
      </c>
      <c r="AC1096" s="105">
        <v>46066.763194444444</v>
      </c>
    </row>
    <row r="1097" s="70" customFormat="1" ht="11.25" customHeight="1">
      <c r="A1097" s="87"/>
      <c r="C1097" s="43" t="s">
        <v>2152</v>
      </c>
      <c r="D1097" s="71" t="s">
        <v>382</v>
      </c>
      <c r="E1097" s="71" t="str">
        <f>MID(D1097,1,2)</f>
        <v>IL</v>
      </c>
      <c r="F1097" s="71" t="s">
        <v>510</v>
      </c>
      <c r="G1097" s="71" t="str">
        <f>MID(F1097,1,2)</f>
        <v>US</v>
      </c>
      <c r="H1097" s="43" t="s">
        <v>2153</v>
      </c>
      <c r="I1097" s="71" t="s">
        <v>2154</v>
      </c>
      <c r="J1097" s="71" t="s">
        <v>400</v>
      </c>
      <c r="K1097" s="43"/>
      <c r="L1097" s="71" t="s">
        <v>105</v>
      </c>
      <c r="M1097" s="73">
        <v>7</v>
      </c>
      <c r="N1097" s="71" t="s">
        <v>388</v>
      </c>
      <c r="O1097" s="73">
        <v>0.032</v>
      </c>
      <c r="P1097" s="71" t="s">
        <v>389</v>
      </c>
      <c r="Q1097" s="73">
        <v>7</v>
      </c>
      <c r="R1097" s="71" t="s">
        <v>388</v>
      </c>
      <c r="S1097" s="73">
        <v>0</v>
      </c>
      <c r="T1097" s="71" t="s">
        <v>390</v>
      </c>
      <c r="U1097" s="74">
        <v>1</v>
      </c>
      <c r="V1097" s="71" t="s">
        <v>446</v>
      </c>
      <c r="W1097" s="130"/>
      <c r="X1097" s="72">
        <v>46066.690972222219</v>
      </c>
      <c r="Y1097" s="72">
        <v>46072.655555555553</v>
      </c>
      <c r="Z1097" s="104" t="s">
        <v>382</v>
      </c>
      <c r="AA1097" s="104" t="s">
        <v>383</v>
      </c>
      <c r="AB1097" s="105">
        <v>46066.686805555553</v>
      </c>
      <c r="AC1097" s="105">
        <v>46066.836111111108</v>
      </c>
    </row>
    <row r="1098" s="70" customFormat="1" ht="11.25" customHeight="1">
      <c r="A1098" s="87"/>
      <c r="C1098" s="43" t="s">
        <v>2152</v>
      </c>
      <c r="D1098" s="71" t="s">
        <v>382</v>
      </c>
      <c r="E1098" s="71" t="str">
        <f>MID(D1098,1,2)</f>
        <v>IL</v>
      </c>
      <c r="F1098" s="71" t="s">
        <v>510</v>
      </c>
      <c r="G1098" s="71" t="str">
        <f>MID(F1098,1,2)</f>
        <v>US</v>
      </c>
      <c r="H1098" s="43" t="s">
        <v>2153</v>
      </c>
      <c r="I1098" s="71" t="s">
        <v>2154</v>
      </c>
      <c r="J1098" s="71" t="s">
        <v>400</v>
      </c>
      <c r="K1098" s="43"/>
      <c r="L1098" s="71" t="s">
        <v>105</v>
      </c>
      <c r="M1098" s="73">
        <v>7</v>
      </c>
      <c r="N1098" s="71" t="s">
        <v>388</v>
      </c>
      <c r="O1098" s="73">
        <v>0.032</v>
      </c>
      <c r="P1098" s="71" t="s">
        <v>389</v>
      </c>
      <c r="Q1098" s="73">
        <v>7</v>
      </c>
      <c r="R1098" s="71" t="s">
        <v>388</v>
      </c>
      <c r="S1098" s="73">
        <v>0</v>
      </c>
      <c r="T1098" s="71" t="s">
        <v>390</v>
      </c>
      <c r="U1098" s="74">
        <v>1</v>
      </c>
      <c r="V1098" s="71" t="s">
        <v>446</v>
      </c>
      <c r="W1098" s="130"/>
      <c r="X1098" s="72">
        <v>46066.690972222219</v>
      </c>
      <c r="Y1098" s="72">
        <v>46072.655555555553</v>
      </c>
      <c r="Z1098" s="104" t="s">
        <v>383</v>
      </c>
      <c r="AA1098" s="104" t="s">
        <v>510</v>
      </c>
      <c r="AB1098" s="105">
        <v>46067.425</v>
      </c>
      <c r="AC1098" s="105">
        <v>46067.584722222222</v>
      </c>
    </row>
    <row r="1099" s="70" customFormat="1" ht="11.25" customHeight="1">
      <c r="A1099" s="87"/>
      <c r="C1099" s="43" t="s">
        <v>2155</v>
      </c>
      <c r="D1099" s="71" t="s">
        <v>382</v>
      </c>
      <c r="E1099" s="71" t="str">
        <f>MID(D1099,1,2)</f>
        <v>IL</v>
      </c>
      <c r="F1099" s="71" t="s">
        <v>414</v>
      </c>
      <c r="G1099" s="71" t="str">
        <f>MID(F1099,1,2)</f>
        <v>US</v>
      </c>
      <c r="H1099" s="43" t="s">
        <v>1663</v>
      </c>
      <c r="I1099" s="71" t="s">
        <v>2156</v>
      </c>
      <c r="J1099" s="71" t="s">
        <v>386</v>
      </c>
      <c r="K1099" s="43" t="s">
        <v>759</v>
      </c>
      <c r="L1099" s="71" t="s">
        <v>107</v>
      </c>
      <c r="M1099" s="73">
        <v>4</v>
      </c>
      <c r="N1099" s="71" t="s">
        <v>388</v>
      </c>
      <c r="O1099" s="73">
        <v>0.075</v>
      </c>
      <c r="P1099" s="71" t="s">
        <v>389</v>
      </c>
      <c r="Q1099" s="73">
        <v>12.5</v>
      </c>
      <c r="R1099" s="71" t="s">
        <v>388</v>
      </c>
      <c r="S1099" s="73">
        <v>0</v>
      </c>
      <c r="T1099" s="71" t="s">
        <v>390</v>
      </c>
      <c r="U1099" s="74">
        <v>1</v>
      </c>
      <c r="V1099" s="71" t="s">
        <v>427</v>
      </c>
      <c r="W1099" s="130">
        <v>46064.3125</v>
      </c>
      <c r="X1099" s="72">
        <v>46066.03125</v>
      </c>
      <c r="Y1099" s="72">
        <v>46066.239583333336</v>
      </c>
      <c r="Z1099" s="104" t="s">
        <v>382</v>
      </c>
      <c r="AA1099" s="104" t="s">
        <v>414</v>
      </c>
      <c r="AB1099" s="105">
        <v>46066.031944444447</v>
      </c>
      <c r="AC1099" s="105">
        <v>46066.213888888888</v>
      </c>
    </row>
    <row r="1100" s="70" customFormat="1" ht="11.25" customHeight="1">
      <c r="A1100" s="87"/>
      <c r="C1100" s="43" t="s">
        <v>2157</v>
      </c>
      <c r="D1100" s="71" t="s">
        <v>382</v>
      </c>
      <c r="E1100" s="71" t="str">
        <f>MID(D1100,1,2)</f>
        <v>IL</v>
      </c>
      <c r="F1100" s="71" t="s">
        <v>414</v>
      </c>
      <c r="G1100" s="71" t="str">
        <f>MID(F1100,1,2)</f>
        <v>US</v>
      </c>
      <c r="H1100" s="43" t="s">
        <v>1663</v>
      </c>
      <c r="I1100" s="71" t="s">
        <v>2158</v>
      </c>
      <c r="J1100" s="71" t="s">
        <v>400</v>
      </c>
      <c r="K1100" s="43"/>
      <c r="L1100" s="71" t="s">
        <v>105</v>
      </c>
      <c r="M1100" s="73">
        <v>2</v>
      </c>
      <c r="N1100" s="71" t="s">
        <v>388</v>
      </c>
      <c r="O1100" s="73">
        <v>0.022</v>
      </c>
      <c r="P1100" s="71" t="s">
        <v>389</v>
      </c>
      <c r="Q1100" s="73">
        <v>4</v>
      </c>
      <c r="R1100" s="71" t="s">
        <v>388</v>
      </c>
      <c r="S1100" s="73">
        <v>0</v>
      </c>
      <c r="T1100" s="71" t="s">
        <v>390</v>
      </c>
      <c r="U1100" s="74">
        <v>1</v>
      </c>
      <c r="V1100" s="71" t="s">
        <v>427</v>
      </c>
      <c r="W1100" s="130">
        <v>46064.320138888892</v>
      </c>
      <c r="X1100" s="72">
        <v>46066.03125</v>
      </c>
      <c r="Y1100" s="72">
        <v>46066.239583333336</v>
      </c>
      <c r="Z1100" s="104" t="s">
        <v>382</v>
      </c>
      <c r="AA1100" s="104" t="s">
        <v>414</v>
      </c>
      <c r="AB1100" s="105">
        <v>46066.031944444447</v>
      </c>
      <c r="AC1100" s="105">
        <v>46066.213888888888</v>
      </c>
    </row>
    <row r="1101" s="70" customFormat="1" ht="11.25" customHeight="1">
      <c r="A1101" s="87"/>
      <c r="C1101" s="43" t="s">
        <v>2159</v>
      </c>
      <c r="D1101" s="71" t="s">
        <v>382</v>
      </c>
      <c r="E1101" s="71" t="str">
        <f>MID(D1101,1,2)</f>
        <v>IL</v>
      </c>
      <c r="F1101" s="71" t="s">
        <v>677</v>
      </c>
      <c r="G1101" s="71" t="str">
        <f>MID(F1101,1,2)</f>
        <v>DE</v>
      </c>
      <c r="H1101" s="43" t="s">
        <v>2160</v>
      </c>
      <c r="I1101" s="71"/>
      <c r="J1101" s="71" t="s">
        <v>435</v>
      </c>
      <c r="K1101" s="43"/>
      <c r="L1101" s="71" t="s">
        <v>105</v>
      </c>
      <c r="M1101" s="73">
        <v>15</v>
      </c>
      <c r="N1101" s="71" t="s">
        <v>388</v>
      </c>
      <c r="O1101" s="73">
        <v>0.099</v>
      </c>
      <c r="P1101" s="71" t="s">
        <v>389</v>
      </c>
      <c r="Q1101" s="73">
        <v>16.5</v>
      </c>
      <c r="R1101" s="71" t="s">
        <v>388</v>
      </c>
      <c r="S1101" s="73">
        <v>0</v>
      </c>
      <c r="T1101" s="71" t="s">
        <v>390</v>
      </c>
      <c r="U1101" s="74">
        <v>1</v>
      </c>
      <c r="V1101" s="71" t="s">
        <v>391</v>
      </c>
      <c r="W1101" s="130"/>
      <c r="X1101" s="72">
        <v>46066.423611111109</v>
      </c>
      <c r="Y1101" s="72">
        <v>46069.364583333336</v>
      </c>
      <c r="Z1101" s="104" t="s">
        <v>382</v>
      </c>
      <c r="AA1101" s="104" t="s">
        <v>383</v>
      </c>
      <c r="AB1101" s="105">
        <v>46066.5625</v>
      </c>
      <c r="AC1101" s="105">
        <v>46066.709722222222</v>
      </c>
    </row>
    <row r="1102" s="70" customFormat="1" ht="11.25" customHeight="1">
      <c r="A1102" s="87"/>
      <c r="C1102" s="43" t="s">
        <v>2159</v>
      </c>
      <c r="D1102" s="71" t="s">
        <v>382</v>
      </c>
      <c r="E1102" s="71" t="str">
        <f>MID(D1102,1,2)</f>
        <v>IL</v>
      </c>
      <c r="F1102" s="71" t="s">
        <v>677</v>
      </c>
      <c r="G1102" s="71" t="str">
        <f>MID(F1102,1,2)</f>
        <v>DE</v>
      </c>
      <c r="H1102" s="43" t="s">
        <v>2160</v>
      </c>
      <c r="I1102" s="71"/>
      <c r="J1102" s="71" t="s">
        <v>435</v>
      </c>
      <c r="K1102" s="43"/>
      <c r="L1102" s="71" t="s">
        <v>105</v>
      </c>
      <c r="M1102" s="73">
        <v>15</v>
      </c>
      <c r="N1102" s="71" t="s">
        <v>388</v>
      </c>
      <c r="O1102" s="73">
        <v>0.099</v>
      </c>
      <c r="P1102" s="71" t="s">
        <v>389</v>
      </c>
      <c r="Q1102" s="73">
        <v>16.5</v>
      </c>
      <c r="R1102" s="71" t="s">
        <v>388</v>
      </c>
      <c r="S1102" s="73">
        <v>0</v>
      </c>
      <c r="T1102" s="71" t="s">
        <v>390</v>
      </c>
      <c r="U1102" s="74">
        <v>1</v>
      </c>
      <c r="V1102" s="71" t="s">
        <v>391</v>
      </c>
      <c r="W1102" s="130"/>
      <c r="X1102" s="72">
        <v>46066.423611111109</v>
      </c>
      <c r="Y1102" s="72">
        <v>46069.364583333336</v>
      </c>
      <c r="Z1102" s="104" t="s">
        <v>383</v>
      </c>
      <c r="AA1102" s="104" t="s">
        <v>677</v>
      </c>
      <c r="AB1102" s="105">
        <v>46069.135416666664</v>
      </c>
      <c r="AC1102" s="105">
        <v>46069.291666666664</v>
      </c>
    </row>
    <row r="1103" s="70" customFormat="1" ht="11.25" customHeight="1">
      <c r="A1103" s="87"/>
      <c r="C1103" s="43" t="s">
        <v>2161</v>
      </c>
      <c r="D1103" s="71" t="s">
        <v>382</v>
      </c>
      <c r="E1103" s="71" t="str">
        <f>MID(D1103,1,2)</f>
        <v>IL</v>
      </c>
      <c r="F1103" s="71" t="s">
        <v>963</v>
      </c>
      <c r="G1103" s="71" t="str">
        <f>MID(F1103,1,2)</f>
        <v>IN</v>
      </c>
      <c r="H1103" s="43" t="s">
        <v>1858</v>
      </c>
      <c r="I1103" s="71" t="s">
        <v>2162</v>
      </c>
      <c r="J1103" s="71" t="s">
        <v>426</v>
      </c>
      <c r="K1103" s="43"/>
      <c r="L1103" s="71" t="s">
        <v>105</v>
      </c>
      <c r="M1103" s="73">
        <v>9</v>
      </c>
      <c r="N1103" s="71" t="s">
        <v>388</v>
      </c>
      <c r="O1103" s="73">
        <v>0.108</v>
      </c>
      <c r="P1103" s="71" t="s">
        <v>389</v>
      </c>
      <c r="Q1103" s="73">
        <v>18</v>
      </c>
      <c r="R1103" s="71" t="s">
        <v>388</v>
      </c>
      <c r="S1103" s="73">
        <v>0</v>
      </c>
      <c r="T1103" s="71" t="s">
        <v>390</v>
      </c>
      <c r="U1103" s="74">
        <v>1</v>
      </c>
      <c r="V1103" s="71" t="s">
        <v>391</v>
      </c>
      <c r="W1103" s="130">
        <v>46064.36875</v>
      </c>
      <c r="X1103" s="72">
        <v>46065.895833333336</v>
      </c>
      <c r="Y1103" s="72">
        <v>46069.003472222219</v>
      </c>
      <c r="Z1103" s="104" t="s">
        <v>382</v>
      </c>
      <c r="AA1103" s="104" t="s">
        <v>833</v>
      </c>
      <c r="AB1103" s="105">
        <v>46065.906944444447</v>
      </c>
      <c r="AC1103" s="105">
        <v>46066.569444444445</v>
      </c>
    </row>
    <row r="1104" s="70" customFormat="1" ht="11.25" customHeight="1">
      <c r="A1104" s="87"/>
      <c r="C1104" s="43" t="s">
        <v>2161</v>
      </c>
      <c r="D1104" s="71" t="s">
        <v>382</v>
      </c>
      <c r="E1104" s="71" t="str">
        <f>MID(D1104,1,2)</f>
        <v>IL</v>
      </c>
      <c r="F1104" s="71" t="s">
        <v>963</v>
      </c>
      <c r="G1104" s="71" t="str">
        <f>MID(F1104,1,2)</f>
        <v>IN</v>
      </c>
      <c r="H1104" s="43" t="s">
        <v>1858</v>
      </c>
      <c r="I1104" s="71" t="s">
        <v>2162</v>
      </c>
      <c r="J1104" s="71" t="s">
        <v>426</v>
      </c>
      <c r="K1104" s="43"/>
      <c r="L1104" s="71" t="s">
        <v>105</v>
      </c>
      <c r="M1104" s="73">
        <v>9</v>
      </c>
      <c r="N1104" s="71" t="s">
        <v>388</v>
      </c>
      <c r="O1104" s="73">
        <v>0.108</v>
      </c>
      <c r="P1104" s="71" t="s">
        <v>389</v>
      </c>
      <c r="Q1104" s="73">
        <v>18</v>
      </c>
      <c r="R1104" s="71" t="s">
        <v>388</v>
      </c>
      <c r="S1104" s="73">
        <v>0</v>
      </c>
      <c r="T1104" s="71" t="s">
        <v>390</v>
      </c>
      <c r="U1104" s="74">
        <v>1</v>
      </c>
      <c r="V1104" s="71" t="s">
        <v>391</v>
      </c>
      <c r="W1104" s="130">
        <v>46064.36875</v>
      </c>
      <c r="X1104" s="72">
        <v>46065.895833333336</v>
      </c>
      <c r="Y1104" s="72">
        <v>46069.003472222219</v>
      </c>
      <c r="Z1104" s="104" t="s">
        <v>833</v>
      </c>
      <c r="AA1104" s="104" t="s">
        <v>963</v>
      </c>
      <c r="AB1104" s="105">
        <v>46068.913888888892</v>
      </c>
      <c r="AC1104" s="105">
        <v>46069.158333333333</v>
      </c>
    </row>
    <row r="1105" s="70" customFormat="1" ht="11.25" customHeight="1">
      <c r="A1105" s="87"/>
      <c r="C1105" s="43" t="s">
        <v>2163</v>
      </c>
      <c r="D1105" s="71" t="s">
        <v>382</v>
      </c>
      <c r="E1105" s="71" t="str">
        <f>MID(D1105,1,2)</f>
        <v>IL</v>
      </c>
      <c r="F1105" s="71" t="s">
        <v>414</v>
      </c>
      <c r="G1105" s="71" t="str">
        <f>MID(F1105,1,2)</f>
        <v>US</v>
      </c>
      <c r="H1105" s="43" t="s">
        <v>1663</v>
      </c>
      <c r="I1105" s="71" t="s">
        <v>2164</v>
      </c>
      <c r="J1105" s="71" t="s">
        <v>386</v>
      </c>
      <c r="K1105" s="43" t="s">
        <v>759</v>
      </c>
      <c r="L1105" s="71" t="s">
        <v>107</v>
      </c>
      <c r="M1105" s="73">
        <v>20</v>
      </c>
      <c r="N1105" s="71" t="s">
        <v>388</v>
      </c>
      <c r="O1105" s="73">
        <v>0.094</v>
      </c>
      <c r="P1105" s="71" t="s">
        <v>389</v>
      </c>
      <c r="Q1105" s="73">
        <v>20</v>
      </c>
      <c r="R1105" s="71" t="s">
        <v>388</v>
      </c>
      <c r="S1105" s="73">
        <v>0</v>
      </c>
      <c r="T1105" s="71" t="s">
        <v>390</v>
      </c>
      <c r="U1105" s="74">
        <v>1</v>
      </c>
      <c r="V1105" s="71" t="s">
        <v>427</v>
      </c>
      <c r="W1105" s="130">
        <v>46064.375694444447</v>
      </c>
      <c r="X1105" s="72">
        <v>46066.03125</v>
      </c>
      <c r="Y1105" s="72">
        <v>46066.239583333336</v>
      </c>
      <c r="Z1105" s="104" t="s">
        <v>382</v>
      </c>
      <c r="AA1105" s="104" t="s">
        <v>414</v>
      </c>
      <c r="AB1105" s="105">
        <v>46066.031944444447</v>
      </c>
      <c r="AC1105" s="105">
        <v>46066.213888888888</v>
      </c>
    </row>
    <row r="1106" s="70" customFormat="1" ht="11.25" customHeight="1">
      <c r="A1106" s="87"/>
      <c r="C1106" s="43" t="s">
        <v>2165</v>
      </c>
      <c r="D1106" s="71" t="s">
        <v>382</v>
      </c>
      <c r="E1106" s="71" t="str">
        <f>MID(D1106,1,2)</f>
        <v>IL</v>
      </c>
      <c r="F1106" s="71" t="s">
        <v>919</v>
      </c>
      <c r="G1106" s="71" t="str">
        <f>MID(F1106,1,2)</f>
        <v>CN</v>
      </c>
      <c r="H1106" s="43" t="s">
        <v>2166</v>
      </c>
      <c r="I1106" s="71" t="s">
        <v>2167</v>
      </c>
      <c r="J1106" s="71" t="s">
        <v>755</v>
      </c>
      <c r="K1106" s="43"/>
      <c r="L1106" s="71" t="s">
        <v>105</v>
      </c>
      <c r="M1106" s="73">
        <v>1</v>
      </c>
      <c r="N1106" s="71" t="s">
        <v>388</v>
      </c>
      <c r="O1106" s="73">
        <v>0.013</v>
      </c>
      <c r="P1106" s="71" t="s">
        <v>389</v>
      </c>
      <c r="Q1106" s="73">
        <v>2.5</v>
      </c>
      <c r="R1106" s="71" t="s">
        <v>388</v>
      </c>
      <c r="S1106" s="73">
        <v>0</v>
      </c>
      <c r="T1106" s="71" t="s">
        <v>390</v>
      </c>
      <c r="U1106" s="74">
        <v>1</v>
      </c>
      <c r="V1106" s="71" t="s">
        <v>391</v>
      </c>
      <c r="W1106" s="130">
        <v>46064.902129629627</v>
      </c>
      <c r="X1106" s="72">
        <v>46065.246527777781</v>
      </c>
      <c r="Y1106" s="72">
        <v>46068.527777777781</v>
      </c>
      <c r="Z1106" s="104" t="s">
        <v>382</v>
      </c>
      <c r="AA1106" s="104" t="s">
        <v>595</v>
      </c>
      <c r="AB1106" s="105">
        <v>46065.664583333331</v>
      </c>
      <c r="AC1106" s="105">
        <v>46065.769444444442</v>
      </c>
    </row>
    <row r="1107" s="70" customFormat="1" ht="11.25" customHeight="1">
      <c r="A1107" s="87"/>
      <c r="C1107" s="43" t="s">
        <v>2165</v>
      </c>
      <c r="D1107" s="71" t="s">
        <v>382</v>
      </c>
      <c r="E1107" s="71" t="str">
        <f>MID(D1107,1,2)</f>
        <v>IL</v>
      </c>
      <c r="F1107" s="71" t="s">
        <v>919</v>
      </c>
      <c r="G1107" s="71" t="str">
        <f>MID(F1107,1,2)</f>
        <v>CN</v>
      </c>
      <c r="H1107" s="43" t="s">
        <v>2166</v>
      </c>
      <c r="I1107" s="71" t="s">
        <v>2167</v>
      </c>
      <c r="J1107" s="71" t="s">
        <v>755</v>
      </c>
      <c r="K1107" s="43"/>
      <c r="L1107" s="71" t="s">
        <v>105</v>
      </c>
      <c r="M1107" s="73">
        <v>1</v>
      </c>
      <c r="N1107" s="71" t="s">
        <v>388</v>
      </c>
      <c r="O1107" s="73">
        <v>0.013</v>
      </c>
      <c r="P1107" s="71" t="s">
        <v>389</v>
      </c>
      <c r="Q1107" s="73">
        <v>2.5</v>
      </c>
      <c r="R1107" s="71" t="s">
        <v>388</v>
      </c>
      <c r="S1107" s="73">
        <v>0</v>
      </c>
      <c r="T1107" s="71" t="s">
        <v>390</v>
      </c>
      <c r="U1107" s="74">
        <v>1</v>
      </c>
      <c r="V1107" s="71" t="s">
        <v>391</v>
      </c>
      <c r="W1107" s="130">
        <v>46064.902129629627</v>
      </c>
      <c r="X1107" s="72">
        <v>46065.246527777781</v>
      </c>
      <c r="Y1107" s="72">
        <v>46068.527777777781</v>
      </c>
      <c r="Z1107" s="104" t="s">
        <v>595</v>
      </c>
      <c r="AA1107" s="104" t="s">
        <v>667</v>
      </c>
      <c r="AB1107" s="105">
        <v>46066.275694444441</v>
      </c>
      <c r="AC1107" s="105"/>
    </row>
    <row r="1108" s="70" customFormat="1" ht="11.25" customHeight="1">
      <c r="A1108" s="87"/>
      <c r="C1108" s="43" t="s">
        <v>2165</v>
      </c>
      <c r="D1108" s="71" t="s">
        <v>382</v>
      </c>
      <c r="E1108" s="71" t="str">
        <f>MID(D1108,1,2)</f>
        <v>IL</v>
      </c>
      <c r="F1108" s="71" t="s">
        <v>919</v>
      </c>
      <c r="G1108" s="71" t="str">
        <f>MID(F1108,1,2)</f>
        <v>CN</v>
      </c>
      <c r="H1108" s="43" t="s">
        <v>2166</v>
      </c>
      <c r="I1108" s="71" t="s">
        <v>2167</v>
      </c>
      <c r="J1108" s="71" t="s">
        <v>755</v>
      </c>
      <c r="K1108" s="43"/>
      <c r="L1108" s="71" t="s">
        <v>105</v>
      </c>
      <c r="M1108" s="73">
        <v>1</v>
      </c>
      <c r="N1108" s="71" t="s">
        <v>388</v>
      </c>
      <c r="O1108" s="73">
        <v>0.013</v>
      </c>
      <c r="P1108" s="71" t="s">
        <v>389</v>
      </c>
      <c r="Q1108" s="73">
        <v>2.5</v>
      </c>
      <c r="R1108" s="71" t="s">
        <v>388</v>
      </c>
      <c r="S1108" s="73">
        <v>0</v>
      </c>
      <c r="T1108" s="71" t="s">
        <v>390</v>
      </c>
      <c r="U1108" s="74">
        <v>1</v>
      </c>
      <c r="V1108" s="71" t="s">
        <v>391</v>
      </c>
      <c r="W1108" s="130">
        <v>46064.902129629627</v>
      </c>
      <c r="X1108" s="72">
        <v>46065.246527777781</v>
      </c>
      <c r="Y1108" s="72">
        <v>46068.527777777781</v>
      </c>
      <c r="Z1108" s="104" t="s">
        <v>667</v>
      </c>
      <c r="AA1108" s="104" t="s">
        <v>919</v>
      </c>
      <c r="AB1108" s="105">
        <v>46066.796527777777</v>
      </c>
      <c r="AC1108" s="105">
        <v>46067.490972222222</v>
      </c>
    </row>
    <row r="1109" s="70" customFormat="1" ht="11.25" customHeight="1">
      <c r="A1109" s="87"/>
      <c r="C1109" s="43" t="s">
        <v>2168</v>
      </c>
      <c r="D1109" s="71" t="s">
        <v>382</v>
      </c>
      <c r="E1109" s="71" t="str">
        <f>MID(D1109,1,2)</f>
        <v>IL</v>
      </c>
      <c r="F1109" s="71" t="s">
        <v>422</v>
      </c>
      <c r="G1109" s="71" t="str">
        <f>MID(F1109,1,2)</f>
        <v>US</v>
      </c>
      <c r="H1109" s="43" t="s">
        <v>1920</v>
      </c>
      <c r="I1109" s="71" t="s">
        <v>2169</v>
      </c>
      <c r="J1109" s="71" t="s">
        <v>400</v>
      </c>
      <c r="K1109" s="43"/>
      <c r="L1109" s="71" t="s">
        <v>105</v>
      </c>
      <c r="M1109" s="73">
        <v>645</v>
      </c>
      <c r="N1109" s="71" t="s">
        <v>388</v>
      </c>
      <c r="O1109" s="73">
        <v>1.124</v>
      </c>
      <c r="P1109" s="71" t="s">
        <v>389</v>
      </c>
      <c r="Q1109" s="73">
        <v>645</v>
      </c>
      <c r="R1109" s="71" t="s">
        <v>388</v>
      </c>
      <c r="S1109" s="73">
        <v>0</v>
      </c>
      <c r="T1109" s="71" t="s">
        <v>390</v>
      </c>
      <c r="U1109" s="74">
        <v>1</v>
      </c>
      <c r="V1109" s="71" t="s">
        <v>391</v>
      </c>
      <c r="W1109" s="130">
        <v>46064.70208333333</v>
      </c>
      <c r="X1109" s="72">
        <v>46067.479166666664</v>
      </c>
      <c r="Y1109" s="72">
        <v>46068.67291666667</v>
      </c>
      <c r="Z1109" s="104" t="s">
        <v>382</v>
      </c>
      <c r="AA1109" s="104" t="s">
        <v>422</v>
      </c>
      <c r="AB1109" s="105">
        <v>46067.470138888886</v>
      </c>
      <c r="AC1109" s="105">
        <v>46067.691666666666</v>
      </c>
    </row>
    <row r="1110" s="70" customFormat="1" ht="11.25" customHeight="1">
      <c r="A1110" s="87"/>
      <c r="C1110" s="43" t="s">
        <v>2170</v>
      </c>
      <c r="D1110" s="71" t="s">
        <v>382</v>
      </c>
      <c r="E1110" s="71" t="str">
        <f>MID(D1110,1,2)</f>
        <v>IL</v>
      </c>
      <c r="F1110" s="71" t="s">
        <v>383</v>
      </c>
      <c r="G1110" s="71" t="str">
        <f>MID(F1110,1,2)</f>
        <v>DE</v>
      </c>
      <c r="H1110" s="43" t="s">
        <v>2171</v>
      </c>
      <c r="I1110" s="71" t="s">
        <v>2172</v>
      </c>
      <c r="J1110" s="71" t="s">
        <v>386</v>
      </c>
      <c r="K1110" s="43"/>
      <c r="L1110" s="71" t="s">
        <v>107</v>
      </c>
      <c r="M1110" s="73">
        <v>42</v>
      </c>
      <c r="N1110" s="71" t="s">
        <v>388</v>
      </c>
      <c r="O1110" s="73">
        <v>0.509</v>
      </c>
      <c r="P1110" s="71" t="s">
        <v>389</v>
      </c>
      <c r="Q1110" s="73">
        <v>85</v>
      </c>
      <c r="R1110" s="71" t="s">
        <v>388</v>
      </c>
      <c r="S1110" s="73">
        <v>0</v>
      </c>
      <c r="T1110" s="71" t="s">
        <v>390</v>
      </c>
      <c r="U1110" s="74">
        <v>1</v>
      </c>
      <c r="V1110" s="71" t="s">
        <v>391</v>
      </c>
      <c r="W1110" s="130">
        <v>46070.612361111111</v>
      </c>
      <c r="X1110" s="72">
        <v>46074.552083333336</v>
      </c>
      <c r="Y1110" s="72">
        <v>46078.25</v>
      </c>
      <c r="Z1110" s="104" t="s">
        <v>383</v>
      </c>
      <c r="AA1110" s="104" t="s">
        <v>667</v>
      </c>
      <c r="AB1110" s="105">
        <v>46077.827777777777</v>
      </c>
      <c r="AC1110" s="105"/>
    </row>
    <row r="1111" s="70" customFormat="1" ht="11.25" customHeight="1">
      <c r="A1111" s="87"/>
      <c r="C1111" s="43" t="s">
        <v>2170</v>
      </c>
      <c r="D1111" s="71" t="s">
        <v>382</v>
      </c>
      <c r="E1111" s="71" t="str">
        <f>MID(D1111,1,2)</f>
        <v>IL</v>
      </c>
      <c r="F1111" s="71" t="s">
        <v>383</v>
      </c>
      <c r="G1111" s="71" t="str">
        <f>MID(F1111,1,2)</f>
        <v>DE</v>
      </c>
      <c r="H1111" s="43" t="s">
        <v>2171</v>
      </c>
      <c r="I1111" s="71" t="s">
        <v>2172</v>
      </c>
      <c r="J1111" s="71" t="s">
        <v>386</v>
      </c>
      <c r="K1111" s="43"/>
      <c r="L1111" s="71" t="s">
        <v>107</v>
      </c>
      <c r="M1111" s="73">
        <v>42</v>
      </c>
      <c r="N1111" s="71" t="s">
        <v>388</v>
      </c>
      <c r="O1111" s="73">
        <v>0.509</v>
      </c>
      <c r="P1111" s="71" t="s">
        <v>389</v>
      </c>
      <c r="Q1111" s="73">
        <v>85</v>
      </c>
      <c r="R1111" s="71" t="s">
        <v>388</v>
      </c>
      <c r="S1111" s="73">
        <v>0</v>
      </c>
      <c r="T1111" s="71" t="s">
        <v>390</v>
      </c>
      <c r="U1111" s="74">
        <v>1</v>
      </c>
      <c r="V1111" s="71" t="s">
        <v>391</v>
      </c>
      <c r="W1111" s="130">
        <v>46070.612361111111</v>
      </c>
      <c r="X1111" s="72">
        <v>46074.552083333336</v>
      </c>
      <c r="Y1111" s="72">
        <v>46078.25</v>
      </c>
      <c r="Z1111" s="104" t="s">
        <v>382</v>
      </c>
      <c r="AA1111" s="104" t="s">
        <v>1117</v>
      </c>
      <c r="AB1111" s="105">
        <v>46074.552083333336</v>
      </c>
      <c r="AC1111" s="105"/>
    </row>
    <row r="1112" s="70" customFormat="1" ht="11.25" customHeight="1">
      <c r="A1112" s="87"/>
      <c r="C1112" s="43" t="s">
        <v>2170</v>
      </c>
      <c r="D1112" s="71" t="s">
        <v>382</v>
      </c>
      <c r="E1112" s="71" t="str">
        <f>MID(D1112,1,2)</f>
        <v>IL</v>
      </c>
      <c r="F1112" s="71" t="s">
        <v>383</v>
      </c>
      <c r="G1112" s="71" t="str">
        <f>MID(F1112,1,2)</f>
        <v>DE</v>
      </c>
      <c r="H1112" s="43" t="s">
        <v>2171</v>
      </c>
      <c r="I1112" s="71" t="s">
        <v>2172</v>
      </c>
      <c r="J1112" s="71" t="s">
        <v>386</v>
      </c>
      <c r="K1112" s="43"/>
      <c r="L1112" s="71" t="s">
        <v>107</v>
      </c>
      <c r="M1112" s="73">
        <v>42</v>
      </c>
      <c r="N1112" s="71" t="s">
        <v>388</v>
      </c>
      <c r="O1112" s="73">
        <v>0.509</v>
      </c>
      <c r="P1112" s="71" t="s">
        <v>389</v>
      </c>
      <c r="Q1112" s="73">
        <v>85</v>
      </c>
      <c r="R1112" s="71" t="s">
        <v>388</v>
      </c>
      <c r="S1112" s="73">
        <v>0</v>
      </c>
      <c r="T1112" s="71" t="s">
        <v>390</v>
      </c>
      <c r="U1112" s="74">
        <v>1</v>
      </c>
      <c r="V1112" s="71" t="s">
        <v>391</v>
      </c>
      <c r="W1112" s="130">
        <v>46070.612361111111</v>
      </c>
      <c r="X1112" s="72">
        <v>46074.552083333336</v>
      </c>
      <c r="Y1112" s="72">
        <v>46078.25</v>
      </c>
      <c r="Z1112" s="104" t="s">
        <v>1117</v>
      </c>
      <c r="AA1112" s="104" t="s">
        <v>383</v>
      </c>
      <c r="AB1112" s="105">
        <v>46075.416666666664</v>
      </c>
      <c r="AC1112" s="105">
        <v>46075.603472222225</v>
      </c>
    </row>
    <row r="1113" s="70" customFormat="1" ht="11.25" customHeight="1">
      <c r="A1113" s="87"/>
      <c r="C1113" s="43" t="s">
        <v>2173</v>
      </c>
      <c r="D1113" s="71" t="s">
        <v>382</v>
      </c>
      <c r="E1113" s="71" t="str">
        <f>MID(D1113,1,2)</f>
        <v>IL</v>
      </c>
      <c r="F1113" s="71" t="s">
        <v>383</v>
      </c>
      <c r="G1113" s="71" t="str">
        <f>MID(F1113,1,2)</f>
        <v>DE</v>
      </c>
      <c r="H1113" s="43" t="s">
        <v>1910</v>
      </c>
      <c r="I1113" s="71" t="s">
        <v>2174</v>
      </c>
      <c r="J1113" s="71" t="s">
        <v>435</v>
      </c>
      <c r="K1113" s="43"/>
      <c r="L1113" s="71" t="s">
        <v>105</v>
      </c>
      <c r="M1113" s="73">
        <v>308</v>
      </c>
      <c r="N1113" s="71" t="s">
        <v>388</v>
      </c>
      <c r="O1113" s="73">
        <v>0.768</v>
      </c>
      <c r="P1113" s="71" t="s">
        <v>389</v>
      </c>
      <c r="Q1113" s="73">
        <v>308</v>
      </c>
      <c r="R1113" s="71" t="s">
        <v>388</v>
      </c>
      <c r="S1113" s="73">
        <v>0</v>
      </c>
      <c r="T1113" s="71" t="s">
        <v>390</v>
      </c>
      <c r="U1113" s="74">
        <v>1</v>
      </c>
      <c r="V1113" s="71" t="s">
        <v>391</v>
      </c>
      <c r="W1113" s="130"/>
      <c r="X1113" s="72">
        <v>46066.572916666664</v>
      </c>
      <c r="Y1113" s="72">
        <v>46066.725694444445</v>
      </c>
      <c r="Z1113" s="104" t="s">
        <v>383</v>
      </c>
      <c r="AA1113" s="104" t="s">
        <v>1065</v>
      </c>
      <c r="AB1113" s="105">
        <v>46071.083333333336</v>
      </c>
      <c r="AC1113" s="105">
        <v>46071.083333333336</v>
      </c>
    </row>
    <row r="1114" s="70" customFormat="1" ht="11.25" customHeight="1">
      <c r="A1114" s="87"/>
      <c r="C1114" s="43" t="s">
        <v>2173</v>
      </c>
      <c r="D1114" s="71" t="s">
        <v>382</v>
      </c>
      <c r="E1114" s="71" t="str">
        <f>MID(D1114,1,2)</f>
        <v>IL</v>
      </c>
      <c r="F1114" s="71" t="s">
        <v>383</v>
      </c>
      <c r="G1114" s="71" t="str">
        <f>MID(F1114,1,2)</f>
        <v>DE</v>
      </c>
      <c r="H1114" s="43" t="s">
        <v>1910</v>
      </c>
      <c r="I1114" s="71" t="s">
        <v>2174</v>
      </c>
      <c r="J1114" s="71" t="s">
        <v>435</v>
      </c>
      <c r="K1114" s="43"/>
      <c r="L1114" s="71" t="s">
        <v>105</v>
      </c>
      <c r="M1114" s="73">
        <v>308</v>
      </c>
      <c r="N1114" s="71" t="s">
        <v>388</v>
      </c>
      <c r="O1114" s="73">
        <v>0.768</v>
      </c>
      <c r="P1114" s="71" t="s">
        <v>389</v>
      </c>
      <c r="Q1114" s="73">
        <v>308</v>
      </c>
      <c r="R1114" s="71" t="s">
        <v>388</v>
      </c>
      <c r="S1114" s="73">
        <v>0</v>
      </c>
      <c r="T1114" s="71" t="s">
        <v>390</v>
      </c>
      <c r="U1114" s="74">
        <v>1</v>
      </c>
      <c r="V1114" s="71" t="s">
        <v>391</v>
      </c>
      <c r="W1114" s="130"/>
      <c r="X1114" s="72">
        <v>46066.572916666664</v>
      </c>
      <c r="Y1114" s="72">
        <v>46066.725694444445</v>
      </c>
      <c r="Z1114" s="104" t="s">
        <v>382</v>
      </c>
      <c r="AA1114" s="104" t="s">
        <v>383</v>
      </c>
      <c r="AB1114" s="105">
        <v>46066.5625</v>
      </c>
      <c r="AC1114" s="105">
        <v>46066.709722222222</v>
      </c>
    </row>
    <row r="1115" s="70" customFormat="1" ht="11.25" customHeight="1">
      <c r="A1115" s="87"/>
      <c r="C1115" s="43" t="s">
        <v>2175</v>
      </c>
      <c r="D1115" s="71" t="s">
        <v>382</v>
      </c>
      <c r="E1115" s="71" t="str">
        <f>MID(D1115,1,2)</f>
        <v>IL</v>
      </c>
      <c r="F1115" s="71" t="s">
        <v>1234</v>
      </c>
      <c r="G1115" s="71" t="str">
        <f>MID(F1115,1,2)</f>
        <v>PH</v>
      </c>
      <c r="H1115" s="43" t="s">
        <v>2176</v>
      </c>
      <c r="I1115" s="71" t="s">
        <v>2177</v>
      </c>
      <c r="J1115" s="71" t="s">
        <v>426</v>
      </c>
      <c r="K1115" s="43"/>
      <c r="L1115" s="71" t="s">
        <v>105</v>
      </c>
      <c r="M1115" s="73">
        <v>160</v>
      </c>
      <c r="N1115" s="71" t="s">
        <v>388</v>
      </c>
      <c r="O1115" s="73">
        <v>1.638</v>
      </c>
      <c r="P1115" s="71" t="s">
        <v>389</v>
      </c>
      <c r="Q1115" s="73">
        <v>273</v>
      </c>
      <c r="R1115" s="71" t="s">
        <v>388</v>
      </c>
      <c r="S1115" s="73">
        <v>0</v>
      </c>
      <c r="T1115" s="71" t="s">
        <v>390</v>
      </c>
      <c r="U1115" s="74">
        <v>1</v>
      </c>
      <c r="V1115" s="71" t="s">
        <v>391</v>
      </c>
      <c r="W1115" s="130">
        <v>46071.5625</v>
      </c>
      <c r="X1115" s="72">
        <v>46076.585416666669</v>
      </c>
      <c r="Y1115" s="72">
        <v>46078.496527777781</v>
      </c>
      <c r="Z1115" s="104" t="s">
        <v>382</v>
      </c>
      <c r="AA1115" s="104" t="s">
        <v>833</v>
      </c>
      <c r="AB1115" s="105">
        <v>46076.951388888891</v>
      </c>
      <c r="AC1115" s="105">
        <v>46077.59097222222</v>
      </c>
    </row>
    <row r="1116" s="70" customFormat="1" ht="11.25" customHeight="1">
      <c r="A1116" s="87"/>
      <c r="C1116" s="43" t="s">
        <v>2175</v>
      </c>
      <c r="D1116" s="71" t="s">
        <v>382</v>
      </c>
      <c r="E1116" s="71" t="str">
        <f>MID(D1116,1,2)</f>
        <v>IL</v>
      </c>
      <c r="F1116" s="71" t="s">
        <v>1234</v>
      </c>
      <c r="G1116" s="71" t="str">
        <f>MID(F1116,1,2)</f>
        <v>PH</v>
      </c>
      <c r="H1116" s="43" t="s">
        <v>2176</v>
      </c>
      <c r="I1116" s="71" t="s">
        <v>2177</v>
      </c>
      <c r="J1116" s="71" t="s">
        <v>426</v>
      </c>
      <c r="K1116" s="43"/>
      <c r="L1116" s="71" t="s">
        <v>105</v>
      </c>
      <c r="M1116" s="73">
        <v>160</v>
      </c>
      <c r="N1116" s="71" t="s">
        <v>388</v>
      </c>
      <c r="O1116" s="73">
        <v>1.638</v>
      </c>
      <c r="P1116" s="71" t="s">
        <v>389</v>
      </c>
      <c r="Q1116" s="73">
        <v>273</v>
      </c>
      <c r="R1116" s="71" t="s">
        <v>388</v>
      </c>
      <c r="S1116" s="73">
        <v>0</v>
      </c>
      <c r="T1116" s="71" t="s">
        <v>390</v>
      </c>
      <c r="U1116" s="74">
        <v>1</v>
      </c>
      <c r="V1116" s="71" t="s">
        <v>391</v>
      </c>
      <c r="W1116" s="130">
        <v>46071.5625</v>
      </c>
      <c r="X1116" s="72">
        <v>46076.585416666669</v>
      </c>
      <c r="Y1116" s="72">
        <v>46078.496527777781</v>
      </c>
      <c r="Z1116" s="104" t="s">
        <v>833</v>
      </c>
      <c r="AA1116" s="104" t="s">
        <v>1234</v>
      </c>
      <c r="AB1116" s="105">
        <v>46078.30972222222</v>
      </c>
      <c r="AC1116" s="105">
        <v>46078.503472222219</v>
      </c>
    </row>
    <row r="1117" s="70" customFormat="1" ht="11.25" customHeight="1">
      <c r="A1117" s="87"/>
      <c r="C1117" s="43" t="s">
        <v>2178</v>
      </c>
      <c r="D1117" s="71" t="s">
        <v>382</v>
      </c>
      <c r="E1117" s="71" t="str">
        <f>MID(D1117,1,2)</f>
        <v>IL</v>
      </c>
      <c r="F1117" s="71" t="s">
        <v>496</v>
      </c>
      <c r="G1117" s="71" t="str">
        <f>MID(F1117,1,2)</f>
        <v>RO</v>
      </c>
      <c r="H1117" s="43" t="s">
        <v>2179</v>
      </c>
      <c r="I1117" s="71" t="s">
        <v>2180</v>
      </c>
      <c r="J1117" s="71" t="s">
        <v>400</v>
      </c>
      <c r="K1117" s="43"/>
      <c r="L1117" s="71" t="s">
        <v>105</v>
      </c>
      <c r="M1117" s="73">
        <v>1</v>
      </c>
      <c r="N1117" s="71" t="s">
        <v>388</v>
      </c>
      <c r="O1117" s="73">
        <v>0.009</v>
      </c>
      <c r="P1117" s="71" t="s">
        <v>389</v>
      </c>
      <c r="Q1117" s="73">
        <v>1.5</v>
      </c>
      <c r="R1117" s="71" t="s">
        <v>388</v>
      </c>
      <c r="S1117" s="73">
        <v>0</v>
      </c>
      <c r="T1117" s="71" t="s">
        <v>390</v>
      </c>
      <c r="U1117" s="74">
        <v>1</v>
      </c>
      <c r="V1117" s="71" t="s">
        <v>391</v>
      </c>
      <c r="W1117" s="130">
        <v>46064.402777777781</v>
      </c>
      <c r="X1117" s="72">
        <v>46066.013888888891</v>
      </c>
      <c r="Y1117" s="72">
        <v>46068.128472222219</v>
      </c>
      <c r="Z1117" s="104" t="s">
        <v>382</v>
      </c>
      <c r="AA1117" s="104" t="s">
        <v>496</v>
      </c>
      <c r="AB1117" s="105">
        <v>46068.013888888891</v>
      </c>
      <c r="AC1117" s="105">
        <v>46068.1625</v>
      </c>
    </row>
    <row r="1118" s="70" customFormat="1" ht="11.25" customHeight="1">
      <c r="A1118" s="87"/>
      <c r="C1118" s="43" t="s">
        <v>2181</v>
      </c>
      <c r="D1118" s="71" t="s">
        <v>382</v>
      </c>
      <c r="E1118" s="71" t="str">
        <f>MID(D1118,1,2)</f>
        <v>IL</v>
      </c>
      <c r="F1118" s="71" t="s">
        <v>397</v>
      </c>
      <c r="G1118" s="71" t="str">
        <f>MID(F1118,1,2)</f>
        <v>IN</v>
      </c>
      <c r="H1118" s="43" t="s">
        <v>2182</v>
      </c>
      <c r="I1118" s="71" t="s">
        <v>2183</v>
      </c>
      <c r="J1118" s="71" t="s">
        <v>811</v>
      </c>
      <c r="K1118" s="43"/>
      <c r="L1118" s="71" t="s">
        <v>105</v>
      </c>
      <c r="M1118" s="73">
        <v>23</v>
      </c>
      <c r="N1118" s="71" t="s">
        <v>388</v>
      </c>
      <c r="O1118" s="73">
        <v>0.062</v>
      </c>
      <c r="P1118" s="71" t="s">
        <v>389</v>
      </c>
      <c r="Q1118" s="73">
        <v>100</v>
      </c>
      <c r="R1118" s="71" t="s">
        <v>388</v>
      </c>
      <c r="S1118" s="73">
        <v>0</v>
      </c>
      <c r="T1118" s="71" t="s">
        <v>390</v>
      </c>
      <c r="U1118" s="74">
        <v>1</v>
      </c>
      <c r="V1118" s="71" t="s">
        <v>391</v>
      </c>
      <c r="W1118" s="130">
        <v>46064.590277777781</v>
      </c>
      <c r="X1118" s="72">
        <v>46065.895833333336</v>
      </c>
      <c r="Y1118" s="72">
        <v>46068.580555555556</v>
      </c>
      <c r="Z1118" s="104" t="s">
        <v>382</v>
      </c>
      <c r="AA1118" s="104" t="s">
        <v>833</v>
      </c>
      <c r="AB1118" s="105">
        <v>46065.906944444447</v>
      </c>
      <c r="AC1118" s="105">
        <v>46066.569444444445</v>
      </c>
    </row>
    <row r="1119" s="70" customFormat="1" ht="11.25" customHeight="1">
      <c r="A1119" s="87"/>
      <c r="C1119" s="43" t="s">
        <v>2181</v>
      </c>
      <c r="D1119" s="71" t="s">
        <v>382</v>
      </c>
      <c r="E1119" s="71" t="str">
        <f>MID(D1119,1,2)</f>
        <v>IL</v>
      </c>
      <c r="F1119" s="71" t="s">
        <v>397</v>
      </c>
      <c r="G1119" s="71" t="str">
        <f>MID(F1119,1,2)</f>
        <v>IN</v>
      </c>
      <c r="H1119" s="43" t="s">
        <v>2182</v>
      </c>
      <c r="I1119" s="71" t="s">
        <v>2183</v>
      </c>
      <c r="J1119" s="71" t="s">
        <v>811</v>
      </c>
      <c r="K1119" s="43"/>
      <c r="L1119" s="71" t="s">
        <v>105</v>
      </c>
      <c r="M1119" s="73">
        <v>23</v>
      </c>
      <c r="N1119" s="71" t="s">
        <v>388</v>
      </c>
      <c r="O1119" s="73">
        <v>0.062</v>
      </c>
      <c r="P1119" s="71" t="s">
        <v>389</v>
      </c>
      <c r="Q1119" s="73">
        <v>100</v>
      </c>
      <c r="R1119" s="71" t="s">
        <v>388</v>
      </c>
      <c r="S1119" s="73">
        <v>0</v>
      </c>
      <c r="T1119" s="71" t="s">
        <v>390</v>
      </c>
      <c r="U1119" s="74">
        <v>1</v>
      </c>
      <c r="V1119" s="71" t="s">
        <v>391</v>
      </c>
      <c r="W1119" s="130">
        <v>46064.590277777781</v>
      </c>
      <c r="X1119" s="72">
        <v>46065.895833333336</v>
      </c>
      <c r="Y1119" s="72">
        <v>46068.580555555556</v>
      </c>
      <c r="Z1119" s="104" t="s">
        <v>833</v>
      </c>
      <c r="AA1119" s="104" t="s">
        <v>397</v>
      </c>
      <c r="AB1119" s="105">
        <v>46067.925694444442</v>
      </c>
      <c r="AC1119" s="105">
        <v>46067.998611111114</v>
      </c>
    </row>
    <row r="1120" s="70" customFormat="1" ht="11.25" customHeight="1">
      <c r="A1120" s="87"/>
      <c r="C1120" s="43" t="s">
        <v>2184</v>
      </c>
      <c r="D1120" s="71" t="s">
        <v>382</v>
      </c>
      <c r="E1120" s="71" t="str">
        <f>MID(D1120,1,2)</f>
        <v>IL</v>
      </c>
      <c r="F1120" s="71" t="s">
        <v>383</v>
      </c>
      <c r="G1120" s="71" t="str">
        <f>MID(F1120,1,2)</f>
        <v>DE</v>
      </c>
      <c r="H1120" s="43" t="s">
        <v>1910</v>
      </c>
      <c r="I1120" s="71" t="s">
        <v>2185</v>
      </c>
      <c r="J1120" s="71" t="s">
        <v>559</v>
      </c>
      <c r="K1120" s="43"/>
      <c r="L1120" s="71" t="s">
        <v>107</v>
      </c>
      <c r="M1120" s="73">
        <v>15</v>
      </c>
      <c r="N1120" s="71" t="s">
        <v>388</v>
      </c>
      <c r="O1120" s="73">
        <v>0.111</v>
      </c>
      <c r="P1120" s="71" t="s">
        <v>389</v>
      </c>
      <c r="Q1120" s="73">
        <v>18.5</v>
      </c>
      <c r="R1120" s="71" t="s">
        <v>388</v>
      </c>
      <c r="S1120" s="73">
        <v>0</v>
      </c>
      <c r="T1120" s="71" t="s">
        <v>390</v>
      </c>
      <c r="U1120" s="74">
        <v>1</v>
      </c>
      <c r="V1120" s="71" t="s">
        <v>391</v>
      </c>
      <c r="W1120" s="130"/>
      <c r="X1120" s="72">
        <v>46066.572916666664</v>
      </c>
      <c r="Y1120" s="72">
        <v>46072.375</v>
      </c>
      <c r="Z1120" s="104" t="s">
        <v>383</v>
      </c>
      <c r="AA1120" s="104" t="s">
        <v>667</v>
      </c>
      <c r="AB1120" s="105"/>
      <c r="AC1120" s="105"/>
    </row>
    <row r="1121" s="70" customFormat="1" ht="11.25" customHeight="1">
      <c r="A1121" s="87"/>
      <c r="C1121" s="43" t="s">
        <v>2184</v>
      </c>
      <c r="D1121" s="71" t="s">
        <v>382</v>
      </c>
      <c r="E1121" s="71" t="str">
        <f>MID(D1121,1,2)</f>
        <v>IL</v>
      </c>
      <c r="F1121" s="71" t="s">
        <v>383</v>
      </c>
      <c r="G1121" s="71" t="str">
        <f>MID(F1121,1,2)</f>
        <v>DE</v>
      </c>
      <c r="H1121" s="43" t="s">
        <v>1910</v>
      </c>
      <c r="I1121" s="71" t="s">
        <v>2185</v>
      </c>
      <c r="J1121" s="71" t="s">
        <v>559</v>
      </c>
      <c r="K1121" s="43"/>
      <c r="L1121" s="71" t="s">
        <v>107</v>
      </c>
      <c r="M1121" s="73">
        <v>15</v>
      </c>
      <c r="N1121" s="71" t="s">
        <v>388</v>
      </c>
      <c r="O1121" s="73">
        <v>0.111</v>
      </c>
      <c r="P1121" s="71" t="s">
        <v>389</v>
      </c>
      <c r="Q1121" s="73">
        <v>18.5</v>
      </c>
      <c r="R1121" s="71" t="s">
        <v>388</v>
      </c>
      <c r="S1121" s="73">
        <v>0</v>
      </c>
      <c r="T1121" s="71" t="s">
        <v>390</v>
      </c>
      <c r="U1121" s="74">
        <v>1</v>
      </c>
      <c r="V1121" s="71" t="s">
        <v>391</v>
      </c>
      <c r="W1121" s="130"/>
      <c r="X1121" s="72">
        <v>46066.572916666664</v>
      </c>
      <c r="Y1121" s="72">
        <v>46072.375</v>
      </c>
      <c r="Z1121" s="104" t="s">
        <v>382</v>
      </c>
      <c r="AA1121" s="104" t="s">
        <v>383</v>
      </c>
      <c r="AB1121" s="105">
        <v>46066.5625</v>
      </c>
      <c r="AC1121" s="105">
        <v>46066.709722222222</v>
      </c>
    </row>
    <row r="1122" s="70" customFormat="1" ht="11.25" customHeight="1">
      <c r="A1122" s="87"/>
      <c r="C1122" s="43" t="s">
        <v>2186</v>
      </c>
      <c r="D1122" s="71" t="s">
        <v>382</v>
      </c>
      <c r="E1122" s="71" t="str">
        <f>MID(D1122,1,2)</f>
        <v>IL</v>
      </c>
      <c r="F1122" s="71" t="s">
        <v>496</v>
      </c>
      <c r="G1122" s="71" t="str">
        <f>MID(F1122,1,2)</f>
        <v>RO</v>
      </c>
      <c r="H1122" s="43" t="s">
        <v>2179</v>
      </c>
      <c r="I1122" s="71" t="s">
        <v>2187</v>
      </c>
      <c r="J1122" s="71" t="s">
        <v>400</v>
      </c>
      <c r="K1122" s="43"/>
      <c r="L1122" s="71" t="s">
        <v>105</v>
      </c>
      <c r="M1122" s="73">
        <v>40</v>
      </c>
      <c r="N1122" s="71" t="s">
        <v>388</v>
      </c>
      <c r="O1122" s="73">
        <v>0.708</v>
      </c>
      <c r="P1122" s="71" t="s">
        <v>389</v>
      </c>
      <c r="Q1122" s="73">
        <v>118</v>
      </c>
      <c r="R1122" s="71" t="s">
        <v>388</v>
      </c>
      <c r="S1122" s="73">
        <v>0</v>
      </c>
      <c r="T1122" s="71" t="s">
        <v>390</v>
      </c>
      <c r="U1122" s="74">
        <v>1</v>
      </c>
      <c r="V1122" s="71" t="s">
        <v>391</v>
      </c>
      <c r="W1122" s="130">
        <v>46064.416666666664</v>
      </c>
      <c r="X1122" s="72">
        <v>46066.013888888891</v>
      </c>
      <c r="Y1122" s="72">
        <v>46068.128472222219</v>
      </c>
      <c r="Z1122" s="104" t="s">
        <v>382</v>
      </c>
      <c r="AA1122" s="104" t="s">
        <v>496</v>
      </c>
      <c r="AB1122" s="105">
        <v>46068.013888888891</v>
      </c>
      <c r="AC1122" s="105">
        <v>46068.1625</v>
      </c>
    </row>
    <row r="1123" s="70" customFormat="1" ht="11.25" customHeight="1">
      <c r="A1123" s="87"/>
      <c r="C1123" s="43" t="s">
        <v>2188</v>
      </c>
      <c r="D1123" s="71" t="s">
        <v>382</v>
      </c>
      <c r="E1123" s="71" t="str">
        <f>MID(D1123,1,2)</f>
        <v>IL</v>
      </c>
      <c r="F1123" s="71" t="s">
        <v>963</v>
      </c>
      <c r="G1123" s="71" t="str">
        <f>MID(F1123,1,2)</f>
        <v>IN</v>
      </c>
      <c r="H1123" s="43" t="s">
        <v>1858</v>
      </c>
      <c r="I1123" s="71" t="s">
        <v>2189</v>
      </c>
      <c r="J1123" s="71" t="s">
        <v>426</v>
      </c>
      <c r="K1123" s="43"/>
      <c r="L1123" s="71" t="s">
        <v>105</v>
      </c>
      <c r="M1123" s="73">
        <v>24</v>
      </c>
      <c r="N1123" s="71" t="s">
        <v>388</v>
      </c>
      <c r="O1123" s="73">
        <v>0.132</v>
      </c>
      <c r="P1123" s="71" t="s">
        <v>389</v>
      </c>
      <c r="Q1123" s="73">
        <v>24</v>
      </c>
      <c r="R1123" s="71" t="s">
        <v>388</v>
      </c>
      <c r="S1123" s="73">
        <v>0</v>
      </c>
      <c r="T1123" s="71" t="s">
        <v>390</v>
      </c>
      <c r="U1123" s="74">
        <v>1</v>
      </c>
      <c r="V1123" s="71" t="s">
        <v>391</v>
      </c>
      <c r="W1123" s="130">
        <v>46064.445138888892</v>
      </c>
      <c r="X1123" s="72">
        <v>46065.895833333336</v>
      </c>
      <c r="Y1123" s="72">
        <v>46069.003472222219</v>
      </c>
      <c r="Z1123" s="104" t="s">
        <v>382</v>
      </c>
      <c r="AA1123" s="104" t="s">
        <v>833</v>
      </c>
      <c r="AB1123" s="105">
        <v>46065.906944444447</v>
      </c>
      <c r="AC1123" s="105">
        <v>46066.569444444445</v>
      </c>
    </row>
    <row r="1124" s="70" customFormat="1" ht="11.25" customHeight="1">
      <c r="A1124" s="87"/>
      <c r="C1124" s="43" t="s">
        <v>2188</v>
      </c>
      <c r="D1124" s="71" t="s">
        <v>382</v>
      </c>
      <c r="E1124" s="71" t="str">
        <f>MID(D1124,1,2)</f>
        <v>IL</v>
      </c>
      <c r="F1124" s="71" t="s">
        <v>963</v>
      </c>
      <c r="G1124" s="71" t="str">
        <f>MID(F1124,1,2)</f>
        <v>IN</v>
      </c>
      <c r="H1124" s="43" t="s">
        <v>1858</v>
      </c>
      <c r="I1124" s="71" t="s">
        <v>2189</v>
      </c>
      <c r="J1124" s="71" t="s">
        <v>426</v>
      </c>
      <c r="K1124" s="43"/>
      <c r="L1124" s="71" t="s">
        <v>105</v>
      </c>
      <c r="M1124" s="73">
        <v>24</v>
      </c>
      <c r="N1124" s="71" t="s">
        <v>388</v>
      </c>
      <c r="O1124" s="73">
        <v>0.132</v>
      </c>
      <c r="P1124" s="71" t="s">
        <v>389</v>
      </c>
      <c r="Q1124" s="73">
        <v>24</v>
      </c>
      <c r="R1124" s="71" t="s">
        <v>388</v>
      </c>
      <c r="S1124" s="73">
        <v>0</v>
      </c>
      <c r="T1124" s="71" t="s">
        <v>390</v>
      </c>
      <c r="U1124" s="74">
        <v>1</v>
      </c>
      <c r="V1124" s="71" t="s">
        <v>391</v>
      </c>
      <c r="W1124" s="130">
        <v>46064.445138888892</v>
      </c>
      <c r="X1124" s="72">
        <v>46065.895833333336</v>
      </c>
      <c r="Y1124" s="72">
        <v>46069.003472222219</v>
      </c>
      <c r="Z1124" s="104" t="s">
        <v>833</v>
      </c>
      <c r="AA1124" s="104" t="s">
        <v>963</v>
      </c>
      <c r="AB1124" s="105">
        <v>46068.913888888892</v>
      </c>
      <c r="AC1124" s="105">
        <v>46069.158333333333</v>
      </c>
    </row>
    <row r="1125" s="70" customFormat="1" ht="11.25" customHeight="1">
      <c r="A1125" s="87"/>
      <c r="C1125" s="43" t="s">
        <v>2190</v>
      </c>
      <c r="D1125" s="71" t="s">
        <v>382</v>
      </c>
      <c r="E1125" s="71" t="str">
        <f>MID(D1125,1,2)</f>
        <v>IL</v>
      </c>
      <c r="F1125" s="71" t="s">
        <v>702</v>
      </c>
      <c r="G1125" s="71" t="str">
        <f>MID(F1125,1,2)</f>
        <v>JP</v>
      </c>
      <c r="H1125" s="43" t="s">
        <v>2111</v>
      </c>
      <c r="I1125" s="71" t="s">
        <v>2112</v>
      </c>
      <c r="J1125" s="71" t="s">
        <v>386</v>
      </c>
      <c r="K1125" s="43"/>
      <c r="L1125" s="71" t="s">
        <v>107</v>
      </c>
      <c r="M1125" s="73">
        <v>5381</v>
      </c>
      <c r="N1125" s="71" t="s">
        <v>388</v>
      </c>
      <c r="O1125" s="73">
        <v>8.448</v>
      </c>
      <c r="P1125" s="71" t="s">
        <v>389</v>
      </c>
      <c r="Q1125" s="73">
        <v>5381</v>
      </c>
      <c r="R1125" s="71" t="s">
        <v>388</v>
      </c>
      <c r="S1125" s="73">
        <v>0</v>
      </c>
      <c r="T1125" s="71" t="s">
        <v>390</v>
      </c>
      <c r="U1125" s="74">
        <v>8</v>
      </c>
      <c r="V1125" s="71" t="s">
        <v>391</v>
      </c>
      <c r="W1125" s="130">
        <v>46064.443576388891</v>
      </c>
      <c r="X1125" s="72">
        <v>46066.916666666664</v>
      </c>
      <c r="Y1125" s="72">
        <v>46073.559027777781</v>
      </c>
      <c r="Z1125" s="104" t="s">
        <v>382</v>
      </c>
      <c r="AA1125" s="104" t="s">
        <v>465</v>
      </c>
      <c r="AB1125" s="105">
        <v>46068.447916666664</v>
      </c>
      <c r="AC1125" s="105">
        <v>46068.631944444445</v>
      </c>
    </row>
    <row r="1126" s="70" customFormat="1" ht="11.25" customHeight="1">
      <c r="A1126" s="87"/>
      <c r="C1126" s="43" t="s">
        <v>2190</v>
      </c>
      <c r="D1126" s="71" t="s">
        <v>382</v>
      </c>
      <c r="E1126" s="71" t="str">
        <f>MID(D1126,1,2)</f>
        <v>IL</v>
      </c>
      <c r="F1126" s="71" t="s">
        <v>702</v>
      </c>
      <c r="G1126" s="71" t="str">
        <f>MID(F1126,1,2)</f>
        <v>JP</v>
      </c>
      <c r="H1126" s="43" t="s">
        <v>2111</v>
      </c>
      <c r="I1126" s="71" t="s">
        <v>2112</v>
      </c>
      <c r="J1126" s="71" t="s">
        <v>386</v>
      </c>
      <c r="K1126" s="43"/>
      <c r="L1126" s="71" t="s">
        <v>107</v>
      </c>
      <c r="M1126" s="73">
        <v>5381</v>
      </c>
      <c r="N1126" s="71" t="s">
        <v>388</v>
      </c>
      <c r="O1126" s="73">
        <v>8.448</v>
      </c>
      <c r="P1126" s="71" t="s">
        <v>389</v>
      </c>
      <c r="Q1126" s="73">
        <v>5381</v>
      </c>
      <c r="R1126" s="71" t="s">
        <v>388</v>
      </c>
      <c r="S1126" s="73">
        <v>0</v>
      </c>
      <c r="T1126" s="71" t="s">
        <v>390</v>
      </c>
      <c r="U1126" s="74">
        <v>8</v>
      </c>
      <c r="V1126" s="71" t="s">
        <v>391</v>
      </c>
      <c r="W1126" s="130">
        <v>46064.443576388891</v>
      </c>
      <c r="X1126" s="72">
        <v>46066.916666666664</v>
      </c>
      <c r="Y1126" s="72">
        <v>46073.559027777781</v>
      </c>
      <c r="Z1126" s="104" t="s">
        <v>465</v>
      </c>
      <c r="AA1126" s="104" t="s">
        <v>702</v>
      </c>
      <c r="AB1126" s="105">
        <v>46068.95</v>
      </c>
      <c r="AC1126" s="105">
        <v>46069.5375</v>
      </c>
    </row>
    <row r="1127" s="70" customFormat="1" ht="11.25" customHeight="1">
      <c r="A1127" s="87"/>
      <c r="C1127" s="43" t="s">
        <v>2191</v>
      </c>
      <c r="D1127" s="71" t="s">
        <v>382</v>
      </c>
      <c r="E1127" s="71" t="str">
        <f>MID(D1127,1,2)</f>
        <v>IL</v>
      </c>
      <c r="F1127" s="71" t="s">
        <v>702</v>
      </c>
      <c r="G1127" s="71" t="str">
        <f>MID(F1127,1,2)</f>
        <v>JP</v>
      </c>
      <c r="H1127" s="43" t="s">
        <v>2111</v>
      </c>
      <c r="I1127" s="71" t="s">
        <v>2112</v>
      </c>
      <c r="J1127" s="71" t="s">
        <v>386</v>
      </c>
      <c r="K1127" s="43"/>
      <c r="L1127" s="71" t="s">
        <v>107</v>
      </c>
      <c r="M1127" s="73">
        <v>4828</v>
      </c>
      <c r="N1127" s="71" t="s">
        <v>388</v>
      </c>
      <c r="O1127" s="73">
        <v>8.035</v>
      </c>
      <c r="P1127" s="71" t="s">
        <v>389</v>
      </c>
      <c r="Q1127" s="73">
        <v>4828</v>
      </c>
      <c r="R1127" s="71" t="s">
        <v>388</v>
      </c>
      <c r="S1127" s="73">
        <v>0</v>
      </c>
      <c r="T1127" s="71" t="s">
        <v>390</v>
      </c>
      <c r="U1127" s="74">
        <v>8</v>
      </c>
      <c r="V1127" s="71" t="s">
        <v>391</v>
      </c>
      <c r="W1127" s="130"/>
      <c r="X1127" s="72">
        <v>46066.916666666664</v>
      </c>
      <c r="Y1127" s="72">
        <v>46073.559027777781</v>
      </c>
      <c r="Z1127" s="104" t="s">
        <v>382</v>
      </c>
      <c r="AA1127" s="104" t="s">
        <v>465</v>
      </c>
      <c r="AB1127" s="105">
        <v>46068.447916666664</v>
      </c>
      <c r="AC1127" s="105">
        <v>46068.631944444445</v>
      </c>
    </row>
    <row r="1128" s="70" customFormat="1" ht="11.25" customHeight="1">
      <c r="A1128" s="87"/>
      <c r="C1128" s="43" t="s">
        <v>2191</v>
      </c>
      <c r="D1128" s="71" t="s">
        <v>382</v>
      </c>
      <c r="E1128" s="71" t="str">
        <f>MID(D1128,1,2)</f>
        <v>IL</v>
      </c>
      <c r="F1128" s="71" t="s">
        <v>702</v>
      </c>
      <c r="G1128" s="71" t="str">
        <f>MID(F1128,1,2)</f>
        <v>JP</v>
      </c>
      <c r="H1128" s="43" t="s">
        <v>2111</v>
      </c>
      <c r="I1128" s="71" t="s">
        <v>2112</v>
      </c>
      <c r="J1128" s="71" t="s">
        <v>386</v>
      </c>
      <c r="K1128" s="43"/>
      <c r="L1128" s="71" t="s">
        <v>107</v>
      </c>
      <c r="M1128" s="73">
        <v>4828</v>
      </c>
      <c r="N1128" s="71" t="s">
        <v>388</v>
      </c>
      <c r="O1128" s="73">
        <v>8.035</v>
      </c>
      <c r="P1128" s="71" t="s">
        <v>389</v>
      </c>
      <c r="Q1128" s="73">
        <v>4828</v>
      </c>
      <c r="R1128" s="71" t="s">
        <v>388</v>
      </c>
      <c r="S1128" s="73">
        <v>0</v>
      </c>
      <c r="T1128" s="71" t="s">
        <v>390</v>
      </c>
      <c r="U1128" s="74">
        <v>8</v>
      </c>
      <c r="V1128" s="71" t="s">
        <v>391</v>
      </c>
      <c r="W1128" s="130"/>
      <c r="X1128" s="72">
        <v>46066.916666666664</v>
      </c>
      <c r="Y1128" s="72">
        <v>46073.559027777781</v>
      </c>
      <c r="Z1128" s="104" t="s">
        <v>465</v>
      </c>
      <c r="AA1128" s="104" t="s">
        <v>702</v>
      </c>
      <c r="AB1128" s="105">
        <v>46068.95</v>
      </c>
      <c r="AC1128" s="105">
        <v>46069.5375</v>
      </c>
    </row>
    <row r="1129" s="70" customFormat="1" ht="11.25" customHeight="1">
      <c r="A1129" s="87"/>
      <c r="C1129" s="43" t="s">
        <v>2192</v>
      </c>
      <c r="D1129" s="71" t="s">
        <v>382</v>
      </c>
      <c r="E1129" s="71" t="str">
        <f>MID(D1129,1,2)</f>
        <v>IL</v>
      </c>
      <c r="F1129" s="71" t="s">
        <v>2090</v>
      </c>
      <c r="G1129" s="71" t="str">
        <f>MID(F1129,1,2)</f>
        <v>NO</v>
      </c>
      <c r="H1129" s="43" t="s">
        <v>2193</v>
      </c>
      <c r="I1129" s="71" t="s">
        <v>2194</v>
      </c>
      <c r="J1129" s="71" t="s">
        <v>426</v>
      </c>
      <c r="K1129" s="43"/>
      <c r="L1129" s="71" t="s">
        <v>105</v>
      </c>
      <c r="M1129" s="73">
        <v>538</v>
      </c>
      <c r="N1129" s="71" t="s">
        <v>388</v>
      </c>
      <c r="O1129" s="73">
        <v>0.601</v>
      </c>
      <c r="P1129" s="71" t="s">
        <v>389</v>
      </c>
      <c r="Q1129" s="73">
        <v>538</v>
      </c>
      <c r="R1129" s="71" t="s">
        <v>388</v>
      </c>
      <c r="S1129" s="73">
        <v>0</v>
      </c>
      <c r="T1129" s="71" t="s">
        <v>390</v>
      </c>
      <c r="U1129" s="74">
        <v>1</v>
      </c>
      <c r="V1129" s="71" t="s">
        <v>391</v>
      </c>
      <c r="W1129" s="130"/>
      <c r="X1129" s="72">
        <v>46065.663194444445</v>
      </c>
      <c r="Y1129" s="72">
        <v>46070.388888888891</v>
      </c>
      <c r="Z1129" s="104" t="s">
        <v>382</v>
      </c>
      <c r="AA1129" s="104" t="s">
        <v>577</v>
      </c>
      <c r="AB1129" s="105">
        <v>46065.697222222225</v>
      </c>
      <c r="AC1129" s="105">
        <v>46065.813888888886</v>
      </c>
    </row>
    <row r="1130" s="70" customFormat="1" ht="11.25" customHeight="1">
      <c r="A1130" s="87"/>
      <c r="C1130" s="43" t="s">
        <v>2192</v>
      </c>
      <c r="D1130" s="71" t="s">
        <v>382</v>
      </c>
      <c r="E1130" s="71" t="str">
        <f>MID(D1130,1,2)</f>
        <v>IL</v>
      </c>
      <c r="F1130" s="71" t="s">
        <v>2090</v>
      </c>
      <c r="G1130" s="71" t="str">
        <f>MID(F1130,1,2)</f>
        <v>NO</v>
      </c>
      <c r="H1130" s="43" t="s">
        <v>2193</v>
      </c>
      <c r="I1130" s="71" t="s">
        <v>2194</v>
      </c>
      <c r="J1130" s="71" t="s">
        <v>426</v>
      </c>
      <c r="K1130" s="43"/>
      <c r="L1130" s="71" t="s">
        <v>105</v>
      </c>
      <c r="M1130" s="73">
        <v>538</v>
      </c>
      <c r="N1130" s="71" t="s">
        <v>388</v>
      </c>
      <c r="O1130" s="73">
        <v>0.601</v>
      </c>
      <c r="P1130" s="71" t="s">
        <v>389</v>
      </c>
      <c r="Q1130" s="73">
        <v>538</v>
      </c>
      <c r="R1130" s="71" t="s">
        <v>388</v>
      </c>
      <c r="S1130" s="73">
        <v>0</v>
      </c>
      <c r="T1130" s="71" t="s">
        <v>390</v>
      </c>
      <c r="U1130" s="74">
        <v>1</v>
      </c>
      <c r="V1130" s="71" t="s">
        <v>391</v>
      </c>
      <c r="W1130" s="130"/>
      <c r="X1130" s="72">
        <v>46065.663194444445</v>
      </c>
      <c r="Y1130" s="72">
        <v>46070.388888888891</v>
      </c>
      <c r="Z1130" s="104" t="s">
        <v>577</v>
      </c>
      <c r="AA1130" s="104" t="s">
        <v>597</v>
      </c>
      <c r="AB1130" s="105">
        <v>46066.826388888891</v>
      </c>
      <c r="AC1130" s="105"/>
    </row>
    <row r="1131" s="70" customFormat="1" ht="11.25" customHeight="1">
      <c r="A1131" s="87"/>
      <c r="C1131" s="43" t="s">
        <v>2192</v>
      </c>
      <c r="D1131" s="71" t="s">
        <v>382</v>
      </c>
      <c r="E1131" s="71" t="str">
        <f>MID(D1131,1,2)</f>
        <v>IL</v>
      </c>
      <c r="F1131" s="71" t="s">
        <v>2090</v>
      </c>
      <c r="G1131" s="71" t="str">
        <f>MID(F1131,1,2)</f>
        <v>NO</v>
      </c>
      <c r="H1131" s="43" t="s">
        <v>2193</v>
      </c>
      <c r="I1131" s="71" t="s">
        <v>2194</v>
      </c>
      <c r="J1131" s="71" t="s">
        <v>426</v>
      </c>
      <c r="K1131" s="43"/>
      <c r="L1131" s="71" t="s">
        <v>105</v>
      </c>
      <c r="M1131" s="73">
        <v>538</v>
      </c>
      <c r="N1131" s="71" t="s">
        <v>388</v>
      </c>
      <c r="O1131" s="73">
        <v>0.601</v>
      </c>
      <c r="P1131" s="71" t="s">
        <v>389</v>
      </c>
      <c r="Q1131" s="73">
        <v>538</v>
      </c>
      <c r="R1131" s="71" t="s">
        <v>388</v>
      </c>
      <c r="S1131" s="73">
        <v>0</v>
      </c>
      <c r="T1131" s="71" t="s">
        <v>390</v>
      </c>
      <c r="U1131" s="74">
        <v>1</v>
      </c>
      <c r="V1131" s="71" t="s">
        <v>391</v>
      </c>
      <c r="W1131" s="130"/>
      <c r="X1131" s="72">
        <v>46065.663194444445</v>
      </c>
      <c r="Y1131" s="72">
        <v>46070.388888888891</v>
      </c>
      <c r="Z1131" s="104" t="s">
        <v>597</v>
      </c>
      <c r="AA1131" s="104" t="s">
        <v>2090</v>
      </c>
      <c r="AB1131" s="105">
        <v>46068.911805555559</v>
      </c>
      <c r="AC1131" s="105">
        <v>46070.383333333331</v>
      </c>
    </row>
    <row r="1132" s="70" customFormat="1" ht="11.25" customHeight="1">
      <c r="A1132" s="87"/>
      <c r="C1132" s="43" t="s">
        <v>2195</v>
      </c>
      <c r="D1132" s="71" t="s">
        <v>382</v>
      </c>
      <c r="E1132" s="71" t="str">
        <f>MID(D1132,1,2)</f>
        <v>IL</v>
      </c>
      <c r="F1132" s="71" t="s">
        <v>496</v>
      </c>
      <c r="G1132" s="71" t="str">
        <f>MID(F1132,1,2)</f>
        <v>RO</v>
      </c>
      <c r="H1132" s="43" t="s">
        <v>2196</v>
      </c>
      <c r="I1132" s="71" t="s">
        <v>2197</v>
      </c>
      <c r="J1132" s="71" t="s">
        <v>400</v>
      </c>
      <c r="K1132" s="43"/>
      <c r="L1132" s="71" t="s">
        <v>105</v>
      </c>
      <c r="M1132" s="73">
        <v>2</v>
      </c>
      <c r="N1132" s="71" t="s">
        <v>388</v>
      </c>
      <c r="O1132" s="73">
        <v>0.013</v>
      </c>
      <c r="P1132" s="71" t="s">
        <v>389</v>
      </c>
      <c r="Q1132" s="73">
        <v>2.5</v>
      </c>
      <c r="R1132" s="71" t="s">
        <v>388</v>
      </c>
      <c r="S1132" s="73">
        <v>0</v>
      </c>
      <c r="T1132" s="71" t="s">
        <v>390</v>
      </c>
      <c r="U1132" s="74">
        <v>1</v>
      </c>
      <c r="V1132" s="71" t="s">
        <v>427</v>
      </c>
      <c r="W1132" s="130">
        <v>46065.56453703704</v>
      </c>
      <c r="X1132" s="72">
        <v>46068.013888888891</v>
      </c>
      <c r="Y1132" s="72">
        <v>46068.128472222219</v>
      </c>
      <c r="Z1132" s="104" t="s">
        <v>382</v>
      </c>
      <c r="AA1132" s="104" t="s">
        <v>496</v>
      </c>
      <c r="AB1132" s="105">
        <v>46068.013888888891</v>
      </c>
      <c r="AC1132" s="105">
        <v>46068.161805555559</v>
      </c>
    </row>
    <row r="1133" s="70" customFormat="1" ht="11.25" customHeight="1">
      <c r="A1133" s="87"/>
      <c r="C1133" s="43" t="s">
        <v>2198</v>
      </c>
      <c r="D1133" s="71" t="s">
        <v>382</v>
      </c>
      <c r="E1133" s="71" t="str">
        <f>MID(D1133,1,2)</f>
        <v>IL</v>
      </c>
      <c r="F1133" s="71" t="s">
        <v>496</v>
      </c>
      <c r="G1133" s="71" t="str">
        <f>MID(F1133,1,2)</f>
        <v>RO</v>
      </c>
      <c r="H1133" s="43" t="s">
        <v>2179</v>
      </c>
      <c r="I1133" s="71" t="s">
        <v>2199</v>
      </c>
      <c r="J1133" s="71" t="s">
        <v>400</v>
      </c>
      <c r="K1133" s="43"/>
      <c r="L1133" s="71" t="s">
        <v>105</v>
      </c>
      <c r="M1133" s="73">
        <v>100</v>
      </c>
      <c r="N1133" s="71" t="s">
        <v>388</v>
      </c>
      <c r="O1133" s="73">
        <v>1.509</v>
      </c>
      <c r="P1133" s="71" t="s">
        <v>389</v>
      </c>
      <c r="Q1133" s="73">
        <v>251.5</v>
      </c>
      <c r="R1133" s="71" t="s">
        <v>388</v>
      </c>
      <c r="S1133" s="73">
        <v>0</v>
      </c>
      <c r="T1133" s="71" t="s">
        <v>390</v>
      </c>
      <c r="U1133" s="74">
        <v>3</v>
      </c>
      <c r="V1133" s="71" t="s">
        <v>391</v>
      </c>
      <c r="W1133" s="130">
        <v>46064.513888888891</v>
      </c>
      <c r="X1133" s="72">
        <v>46066.013888888891</v>
      </c>
      <c r="Y1133" s="72">
        <v>46068.128472222219</v>
      </c>
      <c r="Z1133" s="104" t="s">
        <v>382</v>
      </c>
      <c r="AA1133" s="104" t="s">
        <v>496</v>
      </c>
      <c r="AB1133" s="105">
        <v>46068.013888888891</v>
      </c>
      <c r="AC1133" s="105">
        <v>46068.1625</v>
      </c>
    </row>
    <row r="1134" s="70" customFormat="1" ht="11.25" customHeight="1">
      <c r="A1134" s="87"/>
      <c r="C1134" s="43" t="s">
        <v>2200</v>
      </c>
      <c r="D1134" s="71" t="s">
        <v>382</v>
      </c>
      <c r="E1134" s="71" t="str">
        <f>MID(D1134,1,2)</f>
        <v>IL</v>
      </c>
      <c r="F1134" s="71" t="s">
        <v>2201</v>
      </c>
      <c r="G1134" s="71" t="str">
        <f>MID(F1134,1,2)</f>
        <v>PL</v>
      </c>
      <c r="H1134" s="43" t="s">
        <v>2202</v>
      </c>
      <c r="I1134" s="71" t="s">
        <v>2203</v>
      </c>
      <c r="J1134" s="71" t="s">
        <v>811</v>
      </c>
      <c r="K1134" s="43"/>
      <c r="L1134" s="71" t="s">
        <v>105</v>
      </c>
      <c r="M1134" s="73">
        <v>492</v>
      </c>
      <c r="N1134" s="71" t="s">
        <v>388</v>
      </c>
      <c r="O1134" s="73">
        <v>1.944</v>
      </c>
      <c r="P1134" s="71" t="s">
        <v>389</v>
      </c>
      <c r="Q1134" s="73">
        <v>492</v>
      </c>
      <c r="R1134" s="71" t="s">
        <v>388</v>
      </c>
      <c r="S1134" s="73">
        <v>0</v>
      </c>
      <c r="T1134" s="71" t="s">
        <v>390</v>
      </c>
      <c r="U1134" s="74">
        <v>1</v>
      </c>
      <c r="V1134" s="71" t="s">
        <v>391</v>
      </c>
      <c r="W1134" s="130"/>
      <c r="X1134" s="72">
        <v>46070.44027777778</v>
      </c>
      <c r="Y1134" s="72">
        <v>46072.767361111109</v>
      </c>
      <c r="Z1134" s="104" t="s">
        <v>382</v>
      </c>
      <c r="AA1134" s="104" t="s">
        <v>748</v>
      </c>
      <c r="AB1134" s="105">
        <v>46070.80625</v>
      </c>
      <c r="AC1134" s="105"/>
    </row>
    <row r="1135" s="70" customFormat="1" ht="11.25" customHeight="1">
      <c r="A1135" s="87"/>
      <c r="C1135" s="43" t="s">
        <v>2200</v>
      </c>
      <c r="D1135" s="71" t="s">
        <v>382</v>
      </c>
      <c r="E1135" s="71" t="str">
        <f>MID(D1135,1,2)</f>
        <v>IL</v>
      </c>
      <c r="F1135" s="71" t="s">
        <v>2201</v>
      </c>
      <c r="G1135" s="71" t="str">
        <f>MID(F1135,1,2)</f>
        <v>PL</v>
      </c>
      <c r="H1135" s="43" t="s">
        <v>2202</v>
      </c>
      <c r="I1135" s="71" t="s">
        <v>2203</v>
      </c>
      <c r="J1135" s="71" t="s">
        <v>811</v>
      </c>
      <c r="K1135" s="43"/>
      <c r="L1135" s="71" t="s">
        <v>105</v>
      </c>
      <c r="M1135" s="73">
        <v>492</v>
      </c>
      <c r="N1135" s="71" t="s">
        <v>388</v>
      </c>
      <c r="O1135" s="73">
        <v>1.944</v>
      </c>
      <c r="P1135" s="71" t="s">
        <v>389</v>
      </c>
      <c r="Q1135" s="73">
        <v>492</v>
      </c>
      <c r="R1135" s="71" t="s">
        <v>388</v>
      </c>
      <c r="S1135" s="73">
        <v>0</v>
      </c>
      <c r="T1135" s="71" t="s">
        <v>390</v>
      </c>
      <c r="U1135" s="74">
        <v>1</v>
      </c>
      <c r="V1135" s="71" t="s">
        <v>391</v>
      </c>
      <c r="W1135" s="130"/>
      <c r="X1135" s="72">
        <v>46070.44027777778</v>
      </c>
      <c r="Y1135" s="72">
        <v>46072.767361111109</v>
      </c>
      <c r="Z1135" s="104" t="s">
        <v>748</v>
      </c>
      <c r="AA1135" s="104" t="s">
        <v>2201</v>
      </c>
      <c r="AB1135" s="105">
        <v>46072.267361111109</v>
      </c>
      <c r="AC1135" s="105">
        <v>46072.313888888886</v>
      </c>
    </row>
    <row r="1136" s="70" customFormat="1" ht="11.25" customHeight="1">
      <c r="A1136" s="87"/>
      <c r="C1136" s="43" t="s">
        <v>2204</v>
      </c>
      <c r="D1136" s="71" t="s">
        <v>382</v>
      </c>
      <c r="E1136" s="71" t="str">
        <f>MID(D1136,1,2)</f>
        <v>IL</v>
      </c>
      <c r="F1136" s="71" t="s">
        <v>963</v>
      </c>
      <c r="G1136" s="71" t="str">
        <f>MID(F1136,1,2)</f>
        <v>IN</v>
      </c>
      <c r="H1136" s="43" t="s">
        <v>1858</v>
      </c>
      <c r="I1136" s="71" t="s">
        <v>2205</v>
      </c>
      <c r="J1136" s="71" t="s">
        <v>426</v>
      </c>
      <c r="K1136" s="43"/>
      <c r="L1136" s="71" t="s">
        <v>105</v>
      </c>
      <c r="M1136" s="73">
        <v>19</v>
      </c>
      <c r="N1136" s="71" t="s">
        <v>388</v>
      </c>
      <c r="O1136" s="73">
        <v>0.099</v>
      </c>
      <c r="P1136" s="71" t="s">
        <v>389</v>
      </c>
      <c r="Q1136" s="73">
        <v>19</v>
      </c>
      <c r="R1136" s="71" t="s">
        <v>388</v>
      </c>
      <c r="S1136" s="73">
        <v>0</v>
      </c>
      <c r="T1136" s="71" t="s">
        <v>390</v>
      </c>
      <c r="U1136" s="74">
        <v>1</v>
      </c>
      <c r="V1136" s="71" t="s">
        <v>391</v>
      </c>
      <c r="W1136" s="130">
        <v>46064.451388888891</v>
      </c>
      <c r="X1136" s="72">
        <v>46065.895833333336</v>
      </c>
      <c r="Y1136" s="72">
        <v>46069.003472222219</v>
      </c>
      <c r="Z1136" s="104" t="s">
        <v>382</v>
      </c>
      <c r="AA1136" s="104" t="s">
        <v>833</v>
      </c>
      <c r="AB1136" s="105">
        <v>46065.906944444447</v>
      </c>
      <c r="AC1136" s="105">
        <v>46066.569444444445</v>
      </c>
    </row>
    <row r="1137" s="70" customFormat="1" ht="11.25" customHeight="1">
      <c r="A1137" s="87"/>
      <c r="C1137" s="43" t="s">
        <v>2204</v>
      </c>
      <c r="D1137" s="71" t="s">
        <v>382</v>
      </c>
      <c r="E1137" s="71" t="str">
        <f>MID(D1137,1,2)</f>
        <v>IL</v>
      </c>
      <c r="F1137" s="71" t="s">
        <v>963</v>
      </c>
      <c r="G1137" s="71" t="str">
        <f>MID(F1137,1,2)</f>
        <v>IN</v>
      </c>
      <c r="H1137" s="43" t="s">
        <v>1858</v>
      </c>
      <c r="I1137" s="71" t="s">
        <v>2205</v>
      </c>
      <c r="J1137" s="71" t="s">
        <v>426</v>
      </c>
      <c r="K1137" s="43"/>
      <c r="L1137" s="71" t="s">
        <v>105</v>
      </c>
      <c r="M1137" s="73">
        <v>19</v>
      </c>
      <c r="N1137" s="71" t="s">
        <v>388</v>
      </c>
      <c r="O1137" s="73">
        <v>0.099</v>
      </c>
      <c r="P1137" s="71" t="s">
        <v>389</v>
      </c>
      <c r="Q1137" s="73">
        <v>19</v>
      </c>
      <c r="R1137" s="71" t="s">
        <v>388</v>
      </c>
      <c r="S1137" s="73">
        <v>0</v>
      </c>
      <c r="T1137" s="71" t="s">
        <v>390</v>
      </c>
      <c r="U1137" s="74">
        <v>1</v>
      </c>
      <c r="V1137" s="71" t="s">
        <v>391</v>
      </c>
      <c r="W1137" s="130">
        <v>46064.451388888891</v>
      </c>
      <c r="X1137" s="72">
        <v>46065.895833333336</v>
      </c>
      <c r="Y1137" s="72">
        <v>46069.003472222219</v>
      </c>
      <c r="Z1137" s="104" t="s">
        <v>833</v>
      </c>
      <c r="AA1137" s="104" t="s">
        <v>963</v>
      </c>
      <c r="AB1137" s="105">
        <v>46068.913888888892</v>
      </c>
      <c r="AC1137" s="105">
        <v>46069.158333333333</v>
      </c>
    </row>
    <row r="1138" s="70" customFormat="1" ht="11.25" customHeight="1">
      <c r="A1138" s="87"/>
      <c r="C1138" s="43" t="s">
        <v>2206</v>
      </c>
      <c r="D1138" s="71" t="s">
        <v>382</v>
      </c>
      <c r="E1138" s="71" t="str">
        <f>MID(D1138,1,2)</f>
        <v>IL</v>
      </c>
      <c r="F1138" s="71" t="s">
        <v>496</v>
      </c>
      <c r="G1138" s="71" t="str">
        <f>MID(F1138,1,2)</f>
        <v>RO</v>
      </c>
      <c r="H1138" s="43" t="s">
        <v>2179</v>
      </c>
      <c r="I1138" s="71" t="s">
        <v>2207</v>
      </c>
      <c r="J1138" s="71" t="s">
        <v>400</v>
      </c>
      <c r="K1138" s="43"/>
      <c r="L1138" s="71" t="s">
        <v>105</v>
      </c>
      <c r="M1138" s="73">
        <v>16</v>
      </c>
      <c r="N1138" s="71" t="s">
        <v>388</v>
      </c>
      <c r="O1138" s="73">
        <v>0.166</v>
      </c>
      <c r="P1138" s="71" t="s">
        <v>389</v>
      </c>
      <c r="Q1138" s="73">
        <v>28</v>
      </c>
      <c r="R1138" s="71" t="s">
        <v>388</v>
      </c>
      <c r="S1138" s="73">
        <v>0</v>
      </c>
      <c r="T1138" s="71" t="s">
        <v>390</v>
      </c>
      <c r="U1138" s="74">
        <v>2</v>
      </c>
      <c r="V1138" s="71" t="s">
        <v>391</v>
      </c>
      <c r="W1138" s="130">
        <v>46064.88989583333</v>
      </c>
      <c r="X1138" s="72">
        <v>46066.013888888891</v>
      </c>
      <c r="Y1138" s="72">
        <v>46068.128472222219</v>
      </c>
      <c r="Z1138" s="104" t="s">
        <v>382</v>
      </c>
      <c r="AA1138" s="104" t="s">
        <v>496</v>
      </c>
      <c r="AB1138" s="105">
        <v>46068.013888888891</v>
      </c>
      <c r="AC1138" s="105">
        <v>46068.1625</v>
      </c>
    </row>
    <row r="1139" s="70" customFormat="1" ht="11.25" customHeight="1">
      <c r="A1139" s="87"/>
      <c r="C1139" s="43" t="s">
        <v>2208</v>
      </c>
      <c r="D1139" s="71" t="s">
        <v>382</v>
      </c>
      <c r="E1139" s="71" t="str">
        <f>MID(D1139,1,2)</f>
        <v>IL</v>
      </c>
      <c r="F1139" s="71" t="s">
        <v>510</v>
      </c>
      <c r="G1139" s="71" t="str">
        <f>MID(F1139,1,2)</f>
        <v>US</v>
      </c>
      <c r="H1139" s="43" t="s">
        <v>2209</v>
      </c>
      <c r="I1139" s="71" t="s">
        <v>2210</v>
      </c>
      <c r="J1139" s="71" t="s">
        <v>386</v>
      </c>
      <c r="K1139" s="43"/>
      <c r="L1139" s="71" t="s">
        <v>107</v>
      </c>
      <c r="M1139" s="73">
        <v>1018</v>
      </c>
      <c r="N1139" s="71" t="s">
        <v>388</v>
      </c>
      <c r="O1139" s="73">
        <v>5.562</v>
      </c>
      <c r="P1139" s="71" t="s">
        <v>389</v>
      </c>
      <c r="Q1139" s="73">
        <v>2200</v>
      </c>
      <c r="R1139" s="71" t="s">
        <v>388</v>
      </c>
      <c r="S1139" s="73">
        <v>0</v>
      </c>
      <c r="T1139" s="71" t="s">
        <v>390</v>
      </c>
      <c r="U1139" s="74">
        <v>1</v>
      </c>
      <c r="V1139" s="71" t="s">
        <v>391</v>
      </c>
      <c r="W1139" s="130">
        <v>46064.513888888891</v>
      </c>
      <c r="X1139" s="72">
        <v>46066.291666666664</v>
      </c>
      <c r="Y1139" s="72">
        <v>46076.54791666667</v>
      </c>
      <c r="Z1139" s="104" t="s">
        <v>382</v>
      </c>
      <c r="AA1139" s="104" t="s">
        <v>466</v>
      </c>
      <c r="AB1139" s="105">
        <v>46066.300694444442</v>
      </c>
      <c r="AC1139" s="105">
        <v>46066.442361111112</v>
      </c>
    </row>
    <row r="1140" s="70" customFormat="1" ht="11.25" customHeight="1">
      <c r="A1140" s="87"/>
      <c r="C1140" s="43" t="s">
        <v>2208</v>
      </c>
      <c r="D1140" s="71" t="s">
        <v>382</v>
      </c>
      <c r="E1140" s="71" t="str">
        <f>MID(D1140,1,2)</f>
        <v>IL</v>
      </c>
      <c r="F1140" s="71" t="s">
        <v>510</v>
      </c>
      <c r="G1140" s="71" t="str">
        <f>MID(F1140,1,2)</f>
        <v>US</v>
      </c>
      <c r="H1140" s="43" t="s">
        <v>2209</v>
      </c>
      <c r="I1140" s="71" t="s">
        <v>2210</v>
      </c>
      <c r="J1140" s="71" t="s">
        <v>386</v>
      </c>
      <c r="K1140" s="43"/>
      <c r="L1140" s="71" t="s">
        <v>107</v>
      </c>
      <c r="M1140" s="73">
        <v>1018</v>
      </c>
      <c r="N1140" s="71" t="s">
        <v>388</v>
      </c>
      <c r="O1140" s="73">
        <v>5.562</v>
      </c>
      <c r="P1140" s="71" t="s">
        <v>389</v>
      </c>
      <c r="Q1140" s="73">
        <v>2200</v>
      </c>
      <c r="R1140" s="71" t="s">
        <v>388</v>
      </c>
      <c r="S1140" s="73">
        <v>0</v>
      </c>
      <c r="T1140" s="71" t="s">
        <v>390</v>
      </c>
      <c r="U1140" s="74">
        <v>1</v>
      </c>
      <c r="V1140" s="71" t="s">
        <v>391</v>
      </c>
      <c r="W1140" s="130">
        <v>46064.513888888891</v>
      </c>
      <c r="X1140" s="72">
        <v>46066.291666666664</v>
      </c>
      <c r="Y1140" s="72">
        <v>46076.54791666667</v>
      </c>
      <c r="Z1140" s="104" t="s">
        <v>466</v>
      </c>
      <c r="AA1140" s="104" t="s">
        <v>510</v>
      </c>
      <c r="AB1140" s="105">
        <v>46068.427777777775</v>
      </c>
      <c r="AC1140" s="105">
        <v>46068.54583333333</v>
      </c>
    </row>
    <row r="1141" s="70" customFormat="1" ht="11.25" customHeight="1">
      <c r="A1141" s="87"/>
      <c r="C1141" s="43" t="s">
        <v>2211</v>
      </c>
      <c r="D1141" s="71" t="s">
        <v>382</v>
      </c>
      <c r="E1141" s="71" t="str">
        <f>MID(D1141,1,2)</f>
        <v>IL</v>
      </c>
      <c r="F1141" s="71" t="s">
        <v>1388</v>
      </c>
      <c r="G1141" s="71" t="str">
        <f>MID(F1141,1,2)</f>
        <v>GB</v>
      </c>
      <c r="H1141" s="43" t="s">
        <v>2212</v>
      </c>
      <c r="I1141" s="71" t="s">
        <v>2213</v>
      </c>
      <c r="J1141" s="71" t="s">
        <v>811</v>
      </c>
      <c r="K1141" s="43"/>
      <c r="L1141" s="71" t="s">
        <v>105</v>
      </c>
      <c r="M1141" s="73">
        <v>105</v>
      </c>
      <c r="N1141" s="71" t="s">
        <v>388</v>
      </c>
      <c r="O1141" s="73">
        <v>0.451</v>
      </c>
      <c r="P1141" s="71" t="s">
        <v>389</v>
      </c>
      <c r="Q1141" s="73">
        <v>105</v>
      </c>
      <c r="R1141" s="71" t="s">
        <v>388</v>
      </c>
      <c r="S1141" s="73">
        <v>0</v>
      </c>
      <c r="T1141" s="71" t="s">
        <v>390</v>
      </c>
      <c r="U1141" s="74">
        <v>1</v>
      </c>
      <c r="V1141" s="71" t="s">
        <v>391</v>
      </c>
      <c r="W1141" s="130"/>
      <c r="X1141" s="72">
        <v>46065.617361111108</v>
      </c>
      <c r="Y1141" s="72">
        <v>46073.851388888892</v>
      </c>
      <c r="Z1141" s="104" t="s">
        <v>382</v>
      </c>
      <c r="AA1141" s="104" t="s">
        <v>684</v>
      </c>
      <c r="AB1141" s="105">
        <v>46065.625</v>
      </c>
      <c r="AC1141" s="105">
        <v>46065.958333333336</v>
      </c>
    </row>
    <row r="1142" s="70" customFormat="1" ht="11.25" customHeight="1">
      <c r="A1142" s="87"/>
      <c r="C1142" s="43" t="s">
        <v>2211</v>
      </c>
      <c r="D1142" s="71" t="s">
        <v>382</v>
      </c>
      <c r="E1142" s="71" t="str">
        <f>MID(D1142,1,2)</f>
        <v>IL</v>
      </c>
      <c r="F1142" s="71" t="s">
        <v>1388</v>
      </c>
      <c r="G1142" s="71" t="str">
        <f>MID(F1142,1,2)</f>
        <v>GB</v>
      </c>
      <c r="H1142" s="43" t="s">
        <v>2212</v>
      </c>
      <c r="I1142" s="71" t="s">
        <v>2213</v>
      </c>
      <c r="J1142" s="71" t="s">
        <v>811</v>
      </c>
      <c r="K1142" s="43"/>
      <c r="L1142" s="71" t="s">
        <v>105</v>
      </c>
      <c r="M1142" s="73">
        <v>105</v>
      </c>
      <c r="N1142" s="71" t="s">
        <v>388</v>
      </c>
      <c r="O1142" s="73">
        <v>0.451</v>
      </c>
      <c r="P1142" s="71" t="s">
        <v>389</v>
      </c>
      <c r="Q1142" s="73">
        <v>105</v>
      </c>
      <c r="R1142" s="71" t="s">
        <v>388</v>
      </c>
      <c r="S1142" s="73">
        <v>0</v>
      </c>
      <c r="T1142" s="71" t="s">
        <v>390</v>
      </c>
      <c r="U1142" s="74">
        <v>1</v>
      </c>
      <c r="V1142" s="71" t="s">
        <v>391</v>
      </c>
      <c r="W1142" s="130"/>
      <c r="X1142" s="72">
        <v>46065.617361111108</v>
      </c>
      <c r="Y1142" s="72">
        <v>46073.851388888892</v>
      </c>
      <c r="Z1142" s="104" t="s">
        <v>684</v>
      </c>
      <c r="AA1142" s="104" t="s">
        <v>1391</v>
      </c>
      <c r="AB1142" s="105">
        <v>46066.011111111111</v>
      </c>
      <c r="AC1142" s="105">
        <v>46066.041666666664</v>
      </c>
    </row>
    <row r="1143" s="70" customFormat="1" ht="11.25" customHeight="1">
      <c r="A1143" s="87"/>
      <c r="C1143" s="43" t="s">
        <v>2211</v>
      </c>
      <c r="D1143" s="71" t="s">
        <v>382</v>
      </c>
      <c r="E1143" s="71" t="str">
        <f>MID(D1143,1,2)</f>
        <v>IL</v>
      </c>
      <c r="F1143" s="71" t="s">
        <v>1388</v>
      </c>
      <c r="G1143" s="71" t="str">
        <f>MID(F1143,1,2)</f>
        <v>GB</v>
      </c>
      <c r="H1143" s="43" t="s">
        <v>2212</v>
      </c>
      <c r="I1143" s="71" t="s">
        <v>2213</v>
      </c>
      <c r="J1143" s="71" t="s">
        <v>811</v>
      </c>
      <c r="K1143" s="43"/>
      <c r="L1143" s="71" t="s">
        <v>105</v>
      </c>
      <c r="M1143" s="73">
        <v>105</v>
      </c>
      <c r="N1143" s="71" t="s">
        <v>388</v>
      </c>
      <c r="O1143" s="73">
        <v>0.451</v>
      </c>
      <c r="P1143" s="71" t="s">
        <v>389</v>
      </c>
      <c r="Q1143" s="73">
        <v>105</v>
      </c>
      <c r="R1143" s="71" t="s">
        <v>388</v>
      </c>
      <c r="S1143" s="73">
        <v>0</v>
      </c>
      <c r="T1143" s="71" t="s">
        <v>390</v>
      </c>
      <c r="U1143" s="74">
        <v>1</v>
      </c>
      <c r="V1143" s="71" t="s">
        <v>391</v>
      </c>
      <c r="W1143" s="130"/>
      <c r="X1143" s="72">
        <v>46065.617361111108</v>
      </c>
      <c r="Y1143" s="72">
        <v>46073.851388888892</v>
      </c>
      <c r="Z1143" s="104" t="s">
        <v>1391</v>
      </c>
      <c r="AA1143" s="104" t="s">
        <v>1388</v>
      </c>
      <c r="AB1143" s="105">
        <v>46066.936111111114</v>
      </c>
      <c r="AC1143" s="105">
        <v>46067.5</v>
      </c>
    </row>
    <row r="1144" s="70" customFormat="1" ht="11.25" customHeight="1">
      <c r="A1144" s="87"/>
      <c r="C1144" s="43" t="s">
        <v>2214</v>
      </c>
      <c r="D1144" s="71" t="s">
        <v>382</v>
      </c>
      <c r="E1144" s="71" t="str">
        <f>MID(D1144,1,2)</f>
        <v>IL</v>
      </c>
      <c r="F1144" s="71" t="s">
        <v>2090</v>
      </c>
      <c r="G1144" s="71" t="str">
        <f>MID(F1144,1,2)</f>
        <v>NO</v>
      </c>
      <c r="H1144" s="43" t="s">
        <v>2215</v>
      </c>
      <c r="I1144" s="71" t="s">
        <v>2216</v>
      </c>
      <c r="J1144" s="71" t="s">
        <v>386</v>
      </c>
      <c r="K1144" s="43"/>
      <c r="L1144" s="71" t="s">
        <v>107</v>
      </c>
      <c r="M1144" s="73">
        <v>990</v>
      </c>
      <c r="N1144" s="71" t="s">
        <v>388</v>
      </c>
      <c r="O1144" s="73">
        <v>4.464</v>
      </c>
      <c r="P1144" s="71" t="s">
        <v>389</v>
      </c>
      <c r="Q1144" s="73">
        <v>1000</v>
      </c>
      <c r="R1144" s="71" t="s">
        <v>388</v>
      </c>
      <c r="S1144" s="73">
        <v>0</v>
      </c>
      <c r="T1144" s="71" t="s">
        <v>390</v>
      </c>
      <c r="U1144" s="74">
        <v>3</v>
      </c>
      <c r="V1144" s="71" t="s">
        <v>391</v>
      </c>
      <c r="W1144" s="130">
        <v>46065.644467592596</v>
      </c>
      <c r="X1144" s="72">
        <v>46067.24375</v>
      </c>
      <c r="Y1144" s="72">
        <v>46069.67083333333</v>
      </c>
      <c r="Z1144" s="104" t="s">
        <v>382</v>
      </c>
      <c r="AA1144" s="104" t="s">
        <v>748</v>
      </c>
      <c r="AB1144" s="105">
        <v>46066.404861111114</v>
      </c>
      <c r="AC1144" s="105"/>
    </row>
    <row r="1145" s="70" customFormat="1" ht="11.25" customHeight="1">
      <c r="A1145" s="87"/>
      <c r="C1145" s="43" t="s">
        <v>2214</v>
      </c>
      <c r="D1145" s="71" t="s">
        <v>382</v>
      </c>
      <c r="E1145" s="71" t="str">
        <f>MID(D1145,1,2)</f>
        <v>IL</v>
      </c>
      <c r="F1145" s="71" t="s">
        <v>2090</v>
      </c>
      <c r="G1145" s="71" t="str">
        <f>MID(F1145,1,2)</f>
        <v>NO</v>
      </c>
      <c r="H1145" s="43" t="s">
        <v>2215</v>
      </c>
      <c r="I1145" s="71" t="s">
        <v>2216</v>
      </c>
      <c r="J1145" s="71" t="s">
        <v>386</v>
      </c>
      <c r="K1145" s="43"/>
      <c r="L1145" s="71" t="s">
        <v>107</v>
      </c>
      <c r="M1145" s="73">
        <v>990</v>
      </c>
      <c r="N1145" s="71" t="s">
        <v>388</v>
      </c>
      <c r="O1145" s="73">
        <v>4.464</v>
      </c>
      <c r="P1145" s="71" t="s">
        <v>389</v>
      </c>
      <c r="Q1145" s="73">
        <v>1000</v>
      </c>
      <c r="R1145" s="71" t="s">
        <v>388</v>
      </c>
      <c r="S1145" s="73">
        <v>0</v>
      </c>
      <c r="T1145" s="71" t="s">
        <v>390</v>
      </c>
      <c r="U1145" s="74">
        <v>3</v>
      </c>
      <c r="V1145" s="71" t="s">
        <v>391</v>
      </c>
      <c r="W1145" s="130">
        <v>46065.644467592596</v>
      </c>
      <c r="X1145" s="72">
        <v>46067.24375</v>
      </c>
      <c r="Y1145" s="72">
        <v>46069.67083333333</v>
      </c>
      <c r="Z1145" s="104" t="s">
        <v>748</v>
      </c>
      <c r="AA1145" s="104" t="s">
        <v>2090</v>
      </c>
      <c r="AB1145" s="105">
        <v>46067.267361111109</v>
      </c>
      <c r="AC1145" s="105">
        <v>46069.272222222222</v>
      </c>
    </row>
    <row r="1146" s="70" customFormat="1" ht="11.25" customHeight="1">
      <c r="A1146" s="87"/>
      <c r="C1146" s="43" t="s">
        <v>2217</v>
      </c>
      <c r="D1146" s="71" t="s">
        <v>382</v>
      </c>
      <c r="E1146" s="71" t="str">
        <f>MID(D1146,1,2)</f>
        <v>IL</v>
      </c>
      <c r="F1146" s="71" t="s">
        <v>405</v>
      </c>
      <c r="G1146" s="71" t="str">
        <f>MID(F1146,1,2)</f>
        <v>CA</v>
      </c>
      <c r="H1146" s="43" t="s">
        <v>2218</v>
      </c>
      <c r="I1146" s="71" t="s">
        <v>2219</v>
      </c>
      <c r="J1146" s="71" t="s">
        <v>386</v>
      </c>
      <c r="K1146" s="43"/>
      <c r="L1146" s="71" t="s">
        <v>107</v>
      </c>
      <c r="M1146" s="73">
        <v>204</v>
      </c>
      <c r="N1146" s="71" t="s">
        <v>388</v>
      </c>
      <c r="O1146" s="73">
        <v>0.529</v>
      </c>
      <c r="P1146" s="71" t="s">
        <v>389</v>
      </c>
      <c r="Q1146" s="73">
        <v>204</v>
      </c>
      <c r="R1146" s="71" t="s">
        <v>388</v>
      </c>
      <c r="S1146" s="73">
        <v>0</v>
      </c>
      <c r="T1146" s="71" t="s">
        <v>390</v>
      </c>
      <c r="U1146" s="74">
        <v>2</v>
      </c>
      <c r="V1146" s="71" t="s">
        <v>417</v>
      </c>
      <c r="W1146" s="130">
        <v>46065.417361111111</v>
      </c>
      <c r="X1146" s="72">
        <v>46066.458333333336</v>
      </c>
      <c r="Y1146" s="72">
        <v>46069.679861111108</v>
      </c>
      <c r="Z1146" s="104" t="s">
        <v>382</v>
      </c>
      <c r="AA1146" s="104" t="s">
        <v>405</v>
      </c>
      <c r="AB1146" s="105">
        <v>46066.55</v>
      </c>
      <c r="AC1146" s="105">
        <v>46066.68125</v>
      </c>
    </row>
    <row r="1147" s="70" customFormat="1" ht="11.25" customHeight="1">
      <c r="A1147" s="87"/>
      <c r="C1147" s="43" t="s">
        <v>2220</v>
      </c>
      <c r="D1147" s="71" t="s">
        <v>382</v>
      </c>
      <c r="E1147" s="71" t="str">
        <f>MID(D1147,1,2)</f>
        <v>IL</v>
      </c>
      <c r="F1147" s="71" t="s">
        <v>1976</v>
      </c>
      <c r="G1147" s="71" t="str">
        <f>MID(F1147,1,2)</f>
        <v>SE</v>
      </c>
      <c r="H1147" s="43" t="s">
        <v>2062</v>
      </c>
      <c r="I1147" s="71" t="s">
        <v>2221</v>
      </c>
      <c r="J1147" s="71" t="s">
        <v>386</v>
      </c>
      <c r="K1147" s="43"/>
      <c r="L1147" s="71" t="s">
        <v>107</v>
      </c>
      <c r="M1147" s="73">
        <v>288</v>
      </c>
      <c r="N1147" s="71" t="s">
        <v>388</v>
      </c>
      <c r="O1147" s="73">
        <v>3.576</v>
      </c>
      <c r="P1147" s="71" t="s">
        <v>389</v>
      </c>
      <c r="Q1147" s="73">
        <v>596</v>
      </c>
      <c r="R1147" s="71" t="s">
        <v>388</v>
      </c>
      <c r="S1147" s="73">
        <v>0</v>
      </c>
      <c r="T1147" s="71" t="s">
        <v>390</v>
      </c>
      <c r="U1147" s="74">
        <v>2</v>
      </c>
      <c r="V1147" s="71" t="s">
        <v>391</v>
      </c>
      <c r="W1147" s="130"/>
      <c r="X1147" s="72">
        <v>46064.753472222219</v>
      </c>
      <c r="Y1147" s="72">
        <v>46066.541666666664</v>
      </c>
      <c r="Z1147" s="104" t="s">
        <v>382</v>
      </c>
      <c r="AA1147" s="104" t="s">
        <v>748</v>
      </c>
      <c r="AB1147" s="105">
        <v>46065.826388888891</v>
      </c>
      <c r="AC1147" s="105">
        <v>46065.955555555556</v>
      </c>
    </row>
    <row r="1148" s="70" customFormat="1" ht="11.25" customHeight="1">
      <c r="A1148" s="87"/>
      <c r="C1148" s="43" t="s">
        <v>2220</v>
      </c>
      <c r="D1148" s="71" t="s">
        <v>382</v>
      </c>
      <c r="E1148" s="71" t="str">
        <f>MID(D1148,1,2)</f>
        <v>IL</v>
      </c>
      <c r="F1148" s="71" t="s">
        <v>1976</v>
      </c>
      <c r="G1148" s="71" t="str">
        <f>MID(F1148,1,2)</f>
        <v>SE</v>
      </c>
      <c r="H1148" s="43" t="s">
        <v>2062</v>
      </c>
      <c r="I1148" s="71" t="s">
        <v>2221</v>
      </c>
      <c r="J1148" s="71" t="s">
        <v>386</v>
      </c>
      <c r="K1148" s="43"/>
      <c r="L1148" s="71" t="s">
        <v>107</v>
      </c>
      <c r="M1148" s="73">
        <v>288</v>
      </c>
      <c r="N1148" s="71" t="s">
        <v>388</v>
      </c>
      <c r="O1148" s="73">
        <v>3.576</v>
      </c>
      <c r="P1148" s="71" t="s">
        <v>389</v>
      </c>
      <c r="Q1148" s="73">
        <v>596</v>
      </c>
      <c r="R1148" s="71" t="s">
        <v>388</v>
      </c>
      <c r="S1148" s="73">
        <v>0</v>
      </c>
      <c r="T1148" s="71" t="s">
        <v>390</v>
      </c>
      <c r="U1148" s="74">
        <v>2</v>
      </c>
      <c r="V1148" s="71" t="s">
        <v>391</v>
      </c>
      <c r="W1148" s="130"/>
      <c r="X1148" s="72">
        <v>46064.753472222219</v>
      </c>
      <c r="Y1148" s="72">
        <v>46066.541666666664</v>
      </c>
      <c r="Z1148" s="104" t="s">
        <v>748</v>
      </c>
      <c r="AA1148" s="104" t="s">
        <v>2064</v>
      </c>
      <c r="AB1148" s="105">
        <v>46066.170138888891</v>
      </c>
      <c r="AC1148" s="105">
        <v>46066.243055555555</v>
      </c>
    </row>
    <row r="1149" s="70" customFormat="1" ht="11.25" customHeight="1">
      <c r="A1149" s="87"/>
      <c r="C1149" s="43" t="s">
        <v>2220</v>
      </c>
      <c r="D1149" s="71" t="s">
        <v>382</v>
      </c>
      <c r="E1149" s="71" t="str">
        <f>MID(D1149,1,2)</f>
        <v>IL</v>
      </c>
      <c r="F1149" s="71" t="s">
        <v>1976</v>
      </c>
      <c r="G1149" s="71" t="str">
        <f>MID(F1149,1,2)</f>
        <v>SE</v>
      </c>
      <c r="H1149" s="43" t="s">
        <v>2062</v>
      </c>
      <c r="I1149" s="71" t="s">
        <v>2221</v>
      </c>
      <c r="J1149" s="71" t="s">
        <v>386</v>
      </c>
      <c r="K1149" s="43"/>
      <c r="L1149" s="71" t="s">
        <v>107</v>
      </c>
      <c r="M1149" s="73">
        <v>288</v>
      </c>
      <c r="N1149" s="71" t="s">
        <v>388</v>
      </c>
      <c r="O1149" s="73">
        <v>3.576</v>
      </c>
      <c r="P1149" s="71" t="s">
        <v>389</v>
      </c>
      <c r="Q1149" s="73">
        <v>596</v>
      </c>
      <c r="R1149" s="71" t="s">
        <v>388</v>
      </c>
      <c r="S1149" s="73">
        <v>0</v>
      </c>
      <c r="T1149" s="71" t="s">
        <v>390</v>
      </c>
      <c r="U1149" s="74">
        <v>2</v>
      </c>
      <c r="V1149" s="71" t="s">
        <v>391</v>
      </c>
      <c r="W1149" s="130"/>
      <c r="X1149" s="72">
        <v>46064.753472222219</v>
      </c>
      <c r="Y1149" s="72">
        <v>46066.541666666664</v>
      </c>
      <c r="Z1149" s="104" t="s">
        <v>2064</v>
      </c>
      <c r="AA1149" s="104" t="s">
        <v>1976</v>
      </c>
      <c r="AB1149" s="105">
        <v>46066.27847222222</v>
      </c>
      <c r="AC1149" s="105">
        <v>46066.321527777778</v>
      </c>
    </row>
    <row r="1150" s="70" customFormat="1" ht="11.25" customHeight="1">
      <c r="A1150" s="87"/>
      <c r="C1150" s="43" t="s">
        <v>2222</v>
      </c>
      <c r="D1150" s="71" t="s">
        <v>382</v>
      </c>
      <c r="E1150" s="71" t="str">
        <f>MID(D1150,1,2)</f>
        <v>IL</v>
      </c>
      <c r="F1150" s="71" t="s">
        <v>2223</v>
      </c>
      <c r="G1150" s="71" t="str">
        <f>MID(F1150,1,2)</f>
        <v>GB</v>
      </c>
      <c r="H1150" s="43" t="s">
        <v>2224</v>
      </c>
      <c r="I1150" s="71" t="s">
        <v>2225</v>
      </c>
      <c r="J1150" s="71" t="s">
        <v>386</v>
      </c>
      <c r="K1150" s="43"/>
      <c r="L1150" s="71" t="s">
        <v>107</v>
      </c>
      <c r="M1150" s="73">
        <v>9</v>
      </c>
      <c r="N1150" s="71" t="s">
        <v>388</v>
      </c>
      <c r="O1150" s="73">
        <v>0.047</v>
      </c>
      <c r="P1150" s="71" t="s">
        <v>389</v>
      </c>
      <c r="Q1150" s="73">
        <v>9</v>
      </c>
      <c r="R1150" s="71" t="s">
        <v>388</v>
      </c>
      <c r="S1150" s="73">
        <v>0</v>
      </c>
      <c r="T1150" s="71" t="s">
        <v>390</v>
      </c>
      <c r="U1150" s="74">
        <v>1</v>
      </c>
      <c r="V1150" s="71" t="s">
        <v>446</v>
      </c>
      <c r="W1150" s="130">
        <v>46064.506944444445</v>
      </c>
      <c r="X1150" s="72">
        <v>46065.381944444445</v>
      </c>
      <c r="Y1150" s="72">
        <v>46065.845833333333</v>
      </c>
      <c r="Z1150" s="104" t="s">
        <v>382</v>
      </c>
      <c r="AA1150" s="104" t="s">
        <v>546</v>
      </c>
      <c r="AB1150" s="105">
        <v>46065.711111111108</v>
      </c>
      <c r="AC1150" s="105">
        <v>46065.840277777781</v>
      </c>
    </row>
    <row r="1151" s="70" customFormat="1" ht="11.25" customHeight="1">
      <c r="A1151" s="87"/>
      <c r="C1151" s="43" t="s">
        <v>2226</v>
      </c>
      <c r="D1151" s="71" t="s">
        <v>382</v>
      </c>
      <c r="E1151" s="71" t="str">
        <f>MID(D1151,1,2)</f>
        <v>IL</v>
      </c>
      <c r="F1151" s="71" t="s">
        <v>1069</v>
      </c>
      <c r="G1151" s="71" t="str">
        <f>MID(F1151,1,2)</f>
        <v>AU</v>
      </c>
      <c r="H1151" s="43" t="s">
        <v>2227</v>
      </c>
      <c r="I1151" s="71" t="s">
        <v>2228</v>
      </c>
      <c r="J1151" s="71" t="s">
        <v>426</v>
      </c>
      <c r="K1151" s="43"/>
      <c r="L1151" s="71" t="s">
        <v>105</v>
      </c>
      <c r="M1151" s="73">
        <v>510</v>
      </c>
      <c r="N1151" s="71" t="s">
        <v>388</v>
      </c>
      <c r="O1151" s="73">
        <v>4.67</v>
      </c>
      <c r="P1151" s="71" t="s">
        <v>389</v>
      </c>
      <c r="Q1151" s="73">
        <v>778.5</v>
      </c>
      <c r="R1151" s="71" t="s">
        <v>388</v>
      </c>
      <c r="S1151" s="73">
        <v>0</v>
      </c>
      <c r="T1151" s="71" t="s">
        <v>390</v>
      </c>
      <c r="U1151" s="74">
        <v>5</v>
      </c>
      <c r="V1151" s="71" t="s">
        <v>391</v>
      </c>
      <c r="W1151" s="130">
        <v>46064.542361111111</v>
      </c>
      <c r="X1151" s="72">
        <v>46067.895833333336</v>
      </c>
      <c r="Y1151" s="72">
        <v>46072.305555555555</v>
      </c>
      <c r="Z1151" s="104" t="s">
        <v>382</v>
      </c>
      <c r="AA1151" s="104" t="s">
        <v>833</v>
      </c>
      <c r="AB1151" s="105">
        <v>46067.893055555556</v>
      </c>
      <c r="AC1151" s="105">
        <v>46068.54375</v>
      </c>
    </row>
    <row r="1152" s="70" customFormat="1" ht="11.25" customHeight="1">
      <c r="A1152" s="87"/>
      <c r="C1152" s="43" t="s">
        <v>2226</v>
      </c>
      <c r="D1152" s="71" t="s">
        <v>382</v>
      </c>
      <c r="E1152" s="71" t="str">
        <f>MID(D1152,1,2)</f>
        <v>IL</v>
      </c>
      <c r="F1152" s="71" t="s">
        <v>1069</v>
      </c>
      <c r="G1152" s="71" t="str">
        <f>MID(F1152,1,2)</f>
        <v>AU</v>
      </c>
      <c r="H1152" s="43" t="s">
        <v>2227</v>
      </c>
      <c r="I1152" s="71" t="s">
        <v>2228</v>
      </c>
      <c r="J1152" s="71" t="s">
        <v>426</v>
      </c>
      <c r="K1152" s="43"/>
      <c r="L1152" s="71" t="s">
        <v>105</v>
      </c>
      <c r="M1152" s="73">
        <v>510</v>
      </c>
      <c r="N1152" s="71" t="s">
        <v>388</v>
      </c>
      <c r="O1152" s="73">
        <v>4.67</v>
      </c>
      <c r="P1152" s="71" t="s">
        <v>389</v>
      </c>
      <c r="Q1152" s="73">
        <v>778.5</v>
      </c>
      <c r="R1152" s="71" t="s">
        <v>388</v>
      </c>
      <c r="S1152" s="73">
        <v>0</v>
      </c>
      <c r="T1152" s="71" t="s">
        <v>390</v>
      </c>
      <c r="U1152" s="74">
        <v>5</v>
      </c>
      <c r="V1152" s="71" t="s">
        <v>391</v>
      </c>
      <c r="W1152" s="130">
        <v>46064.542361111111</v>
      </c>
      <c r="X1152" s="72">
        <v>46067.895833333336</v>
      </c>
      <c r="Y1152" s="72">
        <v>46072.305555555555</v>
      </c>
      <c r="Z1152" s="104" t="s">
        <v>833</v>
      </c>
      <c r="AA1152" s="104" t="s">
        <v>1069</v>
      </c>
      <c r="AB1152" s="105">
        <v>46071.763888888891</v>
      </c>
      <c r="AC1152" s="105">
        <v>46072.305555555555</v>
      </c>
    </row>
    <row r="1153" s="70" customFormat="1" ht="11.25" customHeight="1">
      <c r="A1153" s="87"/>
      <c r="C1153" s="43" t="s">
        <v>2229</v>
      </c>
      <c r="D1153" s="71" t="s">
        <v>382</v>
      </c>
      <c r="E1153" s="71" t="str">
        <f>MID(D1153,1,2)</f>
        <v>IL</v>
      </c>
      <c r="F1153" s="71" t="s">
        <v>597</v>
      </c>
      <c r="G1153" s="71" t="str">
        <f>MID(F1153,1,2)</f>
        <v>NL</v>
      </c>
      <c r="H1153" s="43" t="s">
        <v>2105</v>
      </c>
      <c r="I1153" s="71" t="s">
        <v>2230</v>
      </c>
      <c r="J1153" s="71" t="s">
        <v>426</v>
      </c>
      <c r="K1153" s="43"/>
      <c r="L1153" s="71" t="s">
        <v>105</v>
      </c>
      <c r="M1153" s="73">
        <v>90</v>
      </c>
      <c r="N1153" s="71" t="s">
        <v>388</v>
      </c>
      <c r="O1153" s="73">
        <v>0.662</v>
      </c>
      <c r="P1153" s="71" t="s">
        <v>389</v>
      </c>
      <c r="Q1153" s="73">
        <v>110.5</v>
      </c>
      <c r="R1153" s="71" t="s">
        <v>388</v>
      </c>
      <c r="S1153" s="73">
        <v>0</v>
      </c>
      <c r="T1153" s="71" t="s">
        <v>390</v>
      </c>
      <c r="U1153" s="74">
        <v>1</v>
      </c>
      <c r="V1153" s="71" t="s">
        <v>391</v>
      </c>
      <c r="W1153" s="130">
        <v>46065.388888888891</v>
      </c>
      <c r="X1153" s="72">
        <v>46066.586805555555</v>
      </c>
      <c r="Y1153" s="72">
        <v>46068.402777777781</v>
      </c>
      <c r="Z1153" s="104" t="s">
        <v>382</v>
      </c>
      <c r="AA1153" s="104" t="s">
        <v>590</v>
      </c>
      <c r="AB1153" s="105">
        <v>46066.480555555558</v>
      </c>
      <c r="AC1153" s="105">
        <v>46066.997916666667</v>
      </c>
    </row>
    <row r="1154" s="70" customFormat="1" ht="11.25" customHeight="1">
      <c r="A1154" s="87"/>
      <c r="C1154" s="43" t="s">
        <v>2229</v>
      </c>
      <c r="D1154" s="71" t="s">
        <v>382</v>
      </c>
      <c r="E1154" s="71" t="str">
        <f>MID(D1154,1,2)</f>
        <v>IL</v>
      </c>
      <c r="F1154" s="71" t="s">
        <v>597</v>
      </c>
      <c r="G1154" s="71" t="str">
        <f>MID(F1154,1,2)</f>
        <v>NL</v>
      </c>
      <c r="H1154" s="43" t="s">
        <v>2105</v>
      </c>
      <c r="I1154" s="71" t="s">
        <v>2230</v>
      </c>
      <c r="J1154" s="71" t="s">
        <v>426</v>
      </c>
      <c r="K1154" s="43"/>
      <c r="L1154" s="71" t="s">
        <v>105</v>
      </c>
      <c r="M1154" s="73">
        <v>90</v>
      </c>
      <c r="N1154" s="71" t="s">
        <v>388</v>
      </c>
      <c r="O1154" s="73">
        <v>0.662</v>
      </c>
      <c r="P1154" s="71" t="s">
        <v>389</v>
      </c>
      <c r="Q1154" s="73">
        <v>110.5</v>
      </c>
      <c r="R1154" s="71" t="s">
        <v>388</v>
      </c>
      <c r="S1154" s="73">
        <v>0</v>
      </c>
      <c r="T1154" s="71" t="s">
        <v>390</v>
      </c>
      <c r="U1154" s="74">
        <v>1</v>
      </c>
      <c r="V1154" s="71" t="s">
        <v>391</v>
      </c>
      <c r="W1154" s="130">
        <v>46065.388888888891</v>
      </c>
      <c r="X1154" s="72">
        <v>46066.586805555555</v>
      </c>
      <c r="Y1154" s="72">
        <v>46068.402777777781</v>
      </c>
      <c r="Z1154" s="104" t="s">
        <v>590</v>
      </c>
      <c r="AA1154" s="104" t="s">
        <v>597</v>
      </c>
      <c r="AB1154" s="105">
        <v>46068.307638888888</v>
      </c>
      <c r="AC1154" s="105">
        <v>46068.414583333331</v>
      </c>
    </row>
    <row r="1155" s="70" customFormat="1" ht="11.25" customHeight="1">
      <c r="A1155" s="87"/>
      <c r="C1155" s="43" t="s">
        <v>2231</v>
      </c>
      <c r="D1155" s="71" t="s">
        <v>382</v>
      </c>
      <c r="E1155" s="71" t="str">
        <f>MID(D1155,1,2)</f>
        <v>IL</v>
      </c>
      <c r="F1155" s="71" t="s">
        <v>978</v>
      </c>
      <c r="G1155" s="71" t="str">
        <f>MID(F1155,1,2)</f>
        <v>PL</v>
      </c>
      <c r="H1155" s="43" t="s">
        <v>2232</v>
      </c>
      <c r="I1155" s="71" t="s">
        <v>2233</v>
      </c>
      <c r="J1155" s="71" t="s">
        <v>454</v>
      </c>
      <c r="K1155" s="43"/>
      <c r="L1155" s="71" t="s">
        <v>107</v>
      </c>
      <c r="M1155" s="73">
        <v>55</v>
      </c>
      <c r="N1155" s="71" t="s">
        <v>388</v>
      </c>
      <c r="O1155" s="73">
        <v>0.397</v>
      </c>
      <c r="P1155" s="71" t="s">
        <v>389</v>
      </c>
      <c r="Q1155" s="73">
        <v>66.5</v>
      </c>
      <c r="R1155" s="71" t="s">
        <v>388</v>
      </c>
      <c r="S1155" s="73">
        <v>0</v>
      </c>
      <c r="T1155" s="71" t="s">
        <v>390</v>
      </c>
      <c r="U1155" s="74">
        <v>1</v>
      </c>
      <c r="V1155" s="71" t="s">
        <v>391</v>
      </c>
      <c r="W1155" s="130">
        <v>46064.658877314818</v>
      </c>
      <c r="X1155" s="72">
        <v>46066.222222222219</v>
      </c>
      <c r="Y1155" s="72">
        <v>46066.579861111109</v>
      </c>
      <c r="Z1155" s="104" t="s">
        <v>382</v>
      </c>
      <c r="AA1155" s="104" t="s">
        <v>978</v>
      </c>
      <c r="AB1155" s="105">
        <v>46066.223611111112</v>
      </c>
      <c r="AC1155" s="105">
        <v>46066.338194444441</v>
      </c>
    </row>
    <row r="1156" s="70" customFormat="1" ht="11.25" customHeight="1">
      <c r="A1156" s="87"/>
      <c r="C1156" s="43" t="s">
        <v>2231</v>
      </c>
      <c r="D1156" s="71" t="s">
        <v>382</v>
      </c>
      <c r="E1156" s="71" t="str">
        <f>MID(D1156,1,2)</f>
        <v>IL</v>
      </c>
      <c r="F1156" s="71" t="s">
        <v>978</v>
      </c>
      <c r="G1156" s="71" t="str">
        <f>MID(F1156,1,2)</f>
        <v>PL</v>
      </c>
      <c r="H1156" s="43" t="s">
        <v>2232</v>
      </c>
      <c r="I1156" s="71" t="s">
        <v>2233</v>
      </c>
      <c r="J1156" s="71" t="s">
        <v>454</v>
      </c>
      <c r="K1156" s="43"/>
      <c r="L1156" s="71" t="s">
        <v>107</v>
      </c>
      <c r="M1156" s="73">
        <v>55</v>
      </c>
      <c r="N1156" s="71" t="s">
        <v>388</v>
      </c>
      <c r="O1156" s="73">
        <v>0.397</v>
      </c>
      <c r="P1156" s="71" t="s">
        <v>389</v>
      </c>
      <c r="Q1156" s="73">
        <v>66.5</v>
      </c>
      <c r="R1156" s="71" t="s">
        <v>388</v>
      </c>
      <c r="S1156" s="73">
        <v>0</v>
      </c>
      <c r="T1156" s="71" t="s">
        <v>390</v>
      </c>
      <c r="U1156" s="74">
        <v>1</v>
      </c>
      <c r="V1156" s="71" t="s">
        <v>391</v>
      </c>
      <c r="W1156" s="130">
        <v>46064.658877314818</v>
      </c>
      <c r="X1156" s="72">
        <v>46066.222222222219</v>
      </c>
      <c r="Y1156" s="72">
        <v>46066.579861111109</v>
      </c>
      <c r="Z1156" s="104" t="s">
        <v>978</v>
      </c>
      <c r="AA1156" s="104" t="s">
        <v>2201</v>
      </c>
      <c r="AB1156" s="105">
        <v>46069.4375</v>
      </c>
      <c r="AC1156" s="105">
        <v>46069.666666666664</v>
      </c>
    </row>
    <row r="1157" s="70" customFormat="1" ht="11.25" customHeight="1">
      <c r="A1157" s="87"/>
      <c r="C1157" s="43" t="s">
        <v>2234</v>
      </c>
      <c r="D1157" s="71" t="s">
        <v>382</v>
      </c>
      <c r="E1157" s="71" t="str">
        <f>MID(D1157,1,2)</f>
        <v>IL</v>
      </c>
      <c r="F1157" s="71" t="s">
        <v>702</v>
      </c>
      <c r="G1157" s="71" t="str">
        <f>MID(F1157,1,2)</f>
        <v>JP</v>
      </c>
      <c r="H1157" s="43" t="s">
        <v>2235</v>
      </c>
      <c r="I1157" s="71" t="s">
        <v>2236</v>
      </c>
      <c r="J1157" s="71" t="s">
        <v>386</v>
      </c>
      <c r="K1157" s="43"/>
      <c r="L1157" s="71" t="s">
        <v>107</v>
      </c>
      <c r="M1157" s="73">
        <v>37</v>
      </c>
      <c r="N1157" s="71" t="s">
        <v>388</v>
      </c>
      <c r="O1157" s="73">
        <v>0.38</v>
      </c>
      <c r="P1157" s="71" t="s">
        <v>389</v>
      </c>
      <c r="Q1157" s="73">
        <v>63.5</v>
      </c>
      <c r="R1157" s="71" t="s">
        <v>388</v>
      </c>
      <c r="S1157" s="73">
        <v>0</v>
      </c>
      <c r="T1157" s="71" t="s">
        <v>390</v>
      </c>
      <c r="U1157" s="74">
        <v>1</v>
      </c>
      <c r="V1157" s="71" t="s">
        <v>391</v>
      </c>
      <c r="W1157" s="130">
        <v>46064.521527777775</v>
      </c>
      <c r="X1157" s="72">
        <v>46067.902777777781</v>
      </c>
      <c r="Y1157" s="72">
        <v>46068.658333333333</v>
      </c>
      <c r="Z1157" s="104" t="s">
        <v>382</v>
      </c>
      <c r="AA1157" s="104" t="s">
        <v>702</v>
      </c>
      <c r="AB1157" s="105">
        <v>46067.899305555555</v>
      </c>
      <c r="AC1157" s="105">
        <v>46068.658333333333</v>
      </c>
    </row>
    <row r="1158" s="70" customFormat="1" ht="11.25" customHeight="1">
      <c r="A1158" s="87"/>
      <c r="C1158" s="43" t="s">
        <v>2237</v>
      </c>
      <c r="D1158" s="71" t="s">
        <v>382</v>
      </c>
      <c r="E1158" s="71" t="str">
        <f>MID(D1158,1,2)</f>
        <v>IL</v>
      </c>
      <c r="F1158" s="71" t="s">
        <v>817</v>
      </c>
      <c r="G1158" s="71" t="str">
        <f>MID(F1158,1,2)</f>
        <v>IN</v>
      </c>
      <c r="H1158" s="43" t="s">
        <v>2238</v>
      </c>
      <c r="I1158" s="71" t="s">
        <v>2239</v>
      </c>
      <c r="J1158" s="71" t="s">
        <v>400</v>
      </c>
      <c r="K1158" s="43"/>
      <c r="L1158" s="71" t="s">
        <v>105</v>
      </c>
      <c r="M1158" s="73">
        <v>15</v>
      </c>
      <c r="N1158" s="71" t="s">
        <v>388</v>
      </c>
      <c r="O1158" s="73">
        <v>0.048</v>
      </c>
      <c r="P1158" s="71" t="s">
        <v>389</v>
      </c>
      <c r="Q1158" s="73">
        <v>15</v>
      </c>
      <c r="R1158" s="71" t="s">
        <v>388</v>
      </c>
      <c r="S1158" s="73">
        <v>0</v>
      </c>
      <c r="T1158" s="71" t="s">
        <v>390</v>
      </c>
      <c r="U1158" s="74">
        <v>1</v>
      </c>
      <c r="V1158" s="71" t="s">
        <v>391</v>
      </c>
      <c r="W1158" s="130">
        <v>46065.706944444442</v>
      </c>
      <c r="X1158" s="72">
        <v>46067.486111111109</v>
      </c>
      <c r="Y1158" s="72">
        <v>46067.868055555555</v>
      </c>
      <c r="Z1158" s="104" t="s">
        <v>382</v>
      </c>
      <c r="AA1158" s="104" t="s">
        <v>817</v>
      </c>
      <c r="AB1158" s="105">
        <v>46067.4875</v>
      </c>
      <c r="AC1158" s="105">
        <v>46067.850694444445</v>
      </c>
    </row>
    <row r="1159" s="70" customFormat="1" ht="11.25" customHeight="1">
      <c r="A1159" s="87"/>
      <c r="C1159" s="43" t="s">
        <v>2240</v>
      </c>
      <c r="D1159" s="71" t="s">
        <v>382</v>
      </c>
      <c r="E1159" s="71" t="str">
        <f>MID(D1159,1,2)</f>
        <v>IL</v>
      </c>
      <c r="F1159" s="71" t="s">
        <v>414</v>
      </c>
      <c r="G1159" s="71" t="str">
        <f>MID(F1159,1,2)</f>
        <v>US</v>
      </c>
      <c r="H1159" s="43" t="s">
        <v>1663</v>
      </c>
      <c r="I1159" s="71" t="s">
        <v>2241</v>
      </c>
      <c r="J1159" s="71" t="s">
        <v>386</v>
      </c>
      <c r="K1159" s="43" t="s">
        <v>759</v>
      </c>
      <c r="L1159" s="71" t="s">
        <v>107</v>
      </c>
      <c r="M1159" s="73">
        <v>2</v>
      </c>
      <c r="N1159" s="71" t="s">
        <v>388</v>
      </c>
      <c r="O1159" s="73">
        <v>0.023</v>
      </c>
      <c r="P1159" s="71" t="s">
        <v>389</v>
      </c>
      <c r="Q1159" s="73">
        <v>4</v>
      </c>
      <c r="R1159" s="71" t="s">
        <v>388</v>
      </c>
      <c r="S1159" s="73">
        <v>0</v>
      </c>
      <c r="T1159" s="71" t="s">
        <v>390</v>
      </c>
      <c r="U1159" s="74">
        <v>1</v>
      </c>
      <c r="V1159" s="71" t="s">
        <v>427</v>
      </c>
      <c r="W1159" s="130">
        <v>46064.521527777775</v>
      </c>
      <c r="X1159" s="72">
        <v>46066.03125</v>
      </c>
      <c r="Y1159" s="72">
        <v>46066.239583333336</v>
      </c>
      <c r="Z1159" s="104" t="s">
        <v>382</v>
      </c>
      <c r="AA1159" s="104" t="s">
        <v>414</v>
      </c>
      <c r="AB1159" s="105">
        <v>46066.031944444447</v>
      </c>
      <c r="AC1159" s="105">
        <v>46066.213888888888</v>
      </c>
    </row>
    <row r="1160" s="70" customFormat="1" ht="11.25" customHeight="1">
      <c r="A1160" s="87"/>
      <c r="C1160" s="43" t="s">
        <v>2242</v>
      </c>
      <c r="D1160" s="71" t="s">
        <v>382</v>
      </c>
      <c r="E1160" s="71" t="str">
        <f>MID(D1160,1,2)</f>
        <v>IL</v>
      </c>
      <c r="F1160" s="71" t="s">
        <v>963</v>
      </c>
      <c r="G1160" s="71" t="str">
        <f>MID(F1160,1,2)</f>
        <v>IN</v>
      </c>
      <c r="H1160" s="43" t="s">
        <v>1858</v>
      </c>
      <c r="I1160" s="71" t="s">
        <v>2243</v>
      </c>
      <c r="J1160" s="71" t="s">
        <v>426</v>
      </c>
      <c r="K1160" s="43"/>
      <c r="L1160" s="71" t="s">
        <v>105</v>
      </c>
      <c r="M1160" s="73">
        <v>7</v>
      </c>
      <c r="N1160" s="71" t="s">
        <v>388</v>
      </c>
      <c r="O1160" s="73">
        <v>0.156</v>
      </c>
      <c r="P1160" s="71" t="s">
        <v>389</v>
      </c>
      <c r="Q1160" s="73">
        <v>26</v>
      </c>
      <c r="R1160" s="71" t="s">
        <v>388</v>
      </c>
      <c r="S1160" s="73">
        <v>0</v>
      </c>
      <c r="T1160" s="71" t="s">
        <v>390</v>
      </c>
      <c r="U1160" s="74">
        <v>1</v>
      </c>
      <c r="V1160" s="71" t="s">
        <v>391</v>
      </c>
      <c r="W1160" s="130">
        <v>46064.862129629626</v>
      </c>
      <c r="X1160" s="72">
        <v>46065.513194444444</v>
      </c>
      <c r="Y1160" s="72">
        <v>46069.003472222219</v>
      </c>
      <c r="Z1160" s="104" t="s">
        <v>382</v>
      </c>
      <c r="AA1160" s="104" t="s">
        <v>833</v>
      </c>
      <c r="AB1160" s="105">
        <v>46065.906944444447</v>
      </c>
      <c r="AC1160" s="105">
        <v>46066.569444444445</v>
      </c>
    </row>
    <row r="1161" s="70" customFormat="1" ht="11.25" customHeight="1">
      <c r="A1161" s="87"/>
      <c r="C1161" s="43" t="s">
        <v>2242</v>
      </c>
      <c r="D1161" s="71" t="s">
        <v>382</v>
      </c>
      <c r="E1161" s="71" t="str">
        <f>MID(D1161,1,2)</f>
        <v>IL</v>
      </c>
      <c r="F1161" s="71" t="s">
        <v>963</v>
      </c>
      <c r="G1161" s="71" t="str">
        <f>MID(F1161,1,2)</f>
        <v>IN</v>
      </c>
      <c r="H1161" s="43" t="s">
        <v>1858</v>
      </c>
      <c r="I1161" s="71" t="s">
        <v>2243</v>
      </c>
      <c r="J1161" s="71" t="s">
        <v>426</v>
      </c>
      <c r="K1161" s="43"/>
      <c r="L1161" s="71" t="s">
        <v>105</v>
      </c>
      <c r="M1161" s="73">
        <v>7</v>
      </c>
      <c r="N1161" s="71" t="s">
        <v>388</v>
      </c>
      <c r="O1161" s="73">
        <v>0.156</v>
      </c>
      <c r="P1161" s="71" t="s">
        <v>389</v>
      </c>
      <c r="Q1161" s="73">
        <v>26</v>
      </c>
      <c r="R1161" s="71" t="s">
        <v>388</v>
      </c>
      <c r="S1161" s="73">
        <v>0</v>
      </c>
      <c r="T1161" s="71" t="s">
        <v>390</v>
      </c>
      <c r="U1161" s="74">
        <v>1</v>
      </c>
      <c r="V1161" s="71" t="s">
        <v>391</v>
      </c>
      <c r="W1161" s="130">
        <v>46064.862129629626</v>
      </c>
      <c r="X1161" s="72">
        <v>46065.513194444444</v>
      </c>
      <c r="Y1161" s="72">
        <v>46069.003472222219</v>
      </c>
      <c r="Z1161" s="104" t="s">
        <v>833</v>
      </c>
      <c r="AA1161" s="104" t="s">
        <v>963</v>
      </c>
      <c r="AB1161" s="105">
        <v>46068.913888888892</v>
      </c>
      <c r="AC1161" s="105">
        <v>46069.158333333333</v>
      </c>
    </row>
    <row r="1162" s="70" customFormat="1" ht="11.25" customHeight="1">
      <c r="A1162" s="87"/>
      <c r="C1162" s="43" t="s">
        <v>2244</v>
      </c>
      <c r="D1162" s="71" t="s">
        <v>382</v>
      </c>
      <c r="E1162" s="71" t="str">
        <f>MID(D1162,1,2)</f>
        <v>IL</v>
      </c>
      <c r="F1162" s="71" t="s">
        <v>414</v>
      </c>
      <c r="G1162" s="71" t="str">
        <f>MID(F1162,1,2)</f>
        <v>US</v>
      </c>
      <c r="H1162" s="43" t="s">
        <v>1663</v>
      </c>
      <c r="I1162" s="71" t="s">
        <v>2245</v>
      </c>
      <c r="J1162" s="71" t="s">
        <v>386</v>
      </c>
      <c r="K1162" s="43" t="s">
        <v>759</v>
      </c>
      <c r="L1162" s="71" t="s">
        <v>107</v>
      </c>
      <c r="M1162" s="73">
        <v>17</v>
      </c>
      <c r="N1162" s="71" t="s">
        <v>388</v>
      </c>
      <c r="O1162" s="73">
        <v>0.161</v>
      </c>
      <c r="P1162" s="71" t="s">
        <v>389</v>
      </c>
      <c r="Q1162" s="73">
        <v>27</v>
      </c>
      <c r="R1162" s="71" t="s">
        <v>388</v>
      </c>
      <c r="S1162" s="73">
        <v>0</v>
      </c>
      <c r="T1162" s="71" t="s">
        <v>390</v>
      </c>
      <c r="U1162" s="74">
        <v>1</v>
      </c>
      <c r="V1162" s="71" t="s">
        <v>427</v>
      </c>
      <c r="W1162" s="130">
        <v>46064.942361111112</v>
      </c>
      <c r="X1162" s="72">
        <v>46066.03125</v>
      </c>
      <c r="Y1162" s="72">
        <v>46066.239583333336</v>
      </c>
      <c r="Z1162" s="104" t="s">
        <v>382</v>
      </c>
      <c r="AA1162" s="104" t="s">
        <v>414</v>
      </c>
      <c r="AB1162" s="105">
        <v>46066.031944444447</v>
      </c>
      <c r="AC1162" s="105">
        <v>46066.213888888888</v>
      </c>
    </row>
    <row r="1163" s="70" customFormat="1" ht="11.25" customHeight="1">
      <c r="A1163" s="87"/>
      <c r="C1163" s="43" t="s">
        <v>2246</v>
      </c>
      <c r="D1163" s="71" t="s">
        <v>382</v>
      </c>
      <c r="E1163" s="71" t="str">
        <f>MID(D1163,1,2)</f>
        <v>IL</v>
      </c>
      <c r="F1163" s="71" t="s">
        <v>2133</v>
      </c>
      <c r="G1163" s="71" t="str">
        <f>MID(F1163,1,2)</f>
        <v>FI</v>
      </c>
      <c r="H1163" s="43" t="s">
        <v>2247</v>
      </c>
      <c r="I1163" s="71" t="s">
        <v>2248</v>
      </c>
      <c r="J1163" s="71" t="s">
        <v>811</v>
      </c>
      <c r="K1163" s="43" t="s">
        <v>2249</v>
      </c>
      <c r="L1163" s="71" t="s">
        <v>105</v>
      </c>
      <c r="M1163" s="73">
        <v>448</v>
      </c>
      <c r="N1163" s="71" t="s">
        <v>388</v>
      </c>
      <c r="O1163" s="73">
        <v>1.944</v>
      </c>
      <c r="P1163" s="71" t="s">
        <v>389</v>
      </c>
      <c r="Q1163" s="73">
        <v>448</v>
      </c>
      <c r="R1163" s="71" t="s">
        <v>388</v>
      </c>
      <c r="S1163" s="73">
        <v>0</v>
      </c>
      <c r="T1163" s="71" t="s">
        <v>390</v>
      </c>
      <c r="U1163" s="74">
        <v>1</v>
      </c>
      <c r="V1163" s="71" t="s">
        <v>391</v>
      </c>
      <c r="W1163" s="130">
        <v>46069.514351851853</v>
      </c>
      <c r="X1163" s="72">
        <v>46070.663194444445</v>
      </c>
      <c r="Y1163" s="72">
        <v>46074.458333333336</v>
      </c>
      <c r="Z1163" s="104" t="s">
        <v>382</v>
      </c>
      <c r="AA1163" s="104" t="s">
        <v>577</v>
      </c>
      <c r="AB1163" s="105">
        <v>46070.65902777778</v>
      </c>
      <c r="AC1163" s="105">
        <v>46070.8125</v>
      </c>
    </row>
    <row r="1164" s="70" customFormat="1" ht="11.25" customHeight="1">
      <c r="A1164" s="87"/>
      <c r="C1164" s="43" t="s">
        <v>2246</v>
      </c>
      <c r="D1164" s="71" t="s">
        <v>382</v>
      </c>
      <c r="E1164" s="71" t="str">
        <f>MID(D1164,1,2)</f>
        <v>IL</v>
      </c>
      <c r="F1164" s="71" t="s">
        <v>2133</v>
      </c>
      <c r="G1164" s="71" t="str">
        <f>MID(F1164,1,2)</f>
        <v>FI</v>
      </c>
      <c r="H1164" s="43" t="s">
        <v>2247</v>
      </c>
      <c r="I1164" s="71" t="s">
        <v>2248</v>
      </c>
      <c r="J1164" s="71" t="s">
        <v>811</v>
      </c>
      <c r="K1164" s="43" t="s">
        <v>2249</v>
      </c>
      <c r="L1164" s="71" t="s">
        <v>105</v>
      </c>
      <c r="M1164" s="73">
        <v>448</v>
      </c>
      <c r="N1164" s="71" t="s">
        <v>388</v>
      </c>
      <c r="O1164" s="73">
        <v>1.944</v>
      </c>
      <c r="P1164" s="71" t="s">
        <v>389</v>
      </c>
      <c r="Q1164" s="73">
        <v>448</v>
      </c>
      <c r="R1164" s="71" t="s">
        <v>388</v>
      </c>
      <c r="S1164" s="73">
        <v>0</v>
      </c>
      <c r="T1164" s="71" t="s">
        <v>390</v>
      </c>
      <c r="U1164" s="74">
        <v>1</v>
      </c>
      <c r="V1164" s="71" t="s">
        <v>391</v>
      </c>
      <c r="W1164" s="130">
        <v>46069.514351851853</v>
      </c>
      <c r="X1164" s="72">
        <v>46070.663194444445</v>
      </c>
      <c r="Y1164" s="72">
        <v>46074.458333333336</v>
      </c>
      <c r="Z1164" s="104" t="s">
        <v>577</v>
      </c>
      <c r="AA1164" s="104" t="s">
        <v>1976</v>
      </c>
      <c r="AB1164" s="105">
        <v>46071.473611111112</v>
      </c>
      <c r="AC1164" s="105"/>
    </row>
    <row r="1165" s="70" customFormat="1" ht="11.25" customHeight="1">
      <c r="A1165" s="87"/>
      <c r="C1165" s="43" t="s">
        <v>2246</v>
      </c>
      <c r="D1165" s="71" t="s">
        <v>382</v>
      </c>
      <c r="E1165" s="71" t="str">
        <f>MID(D1165,1,2)</f>
        <v>IL</v>
      </c>
      <c r="F1165" s="71" t="s">
        <v>2133</v>
      </c>
      <c r="G1165" s="71" t="str">
        <f>MID(F1165,1,2)</f>
        <v>FI</v>
      </c>
      <c r="H1165" s="43" t="s">
        <v>2247</v>
      </c>
      <c r="I1165" s="71" t="s">
        <v>2248</v>
      </c>
      <c r="J1165" s="71" t="s">
        <v>811</v>
      </c>
      <c r="K1165" s="43" t="s">
        <v>2249</v>
      </c>
      <c r="L1165" s="71" t="s">
        <v>105</v>
      </c>
      <c r="M1165" s="73">
        <v>448</v>
      </c>
      <c r="N1165" s="71" t="s">
        <v>388</v>
      </c>
      <c r="O1165" s="73">
        <v>1.944</v>
      </c>
      <c r="P1165" s="71" t="s">
        <v>389</v>
      </c>
      <c r="Q1165" s="73">
        <v>448</v>
      </c>
      <c r="R1165" s="71" t="s">
        <v>388</v>
      </c>
      <c r="S1165" s="73">
        <v>0</v>
      </c>
      <c r="T1165" s="71" t="s">
        <v>390</v>
      </c>
      <c r="U1165" s="74">
        <v>1</v>
      </c>
      <c r="V1165" s="71" t="s">
        <v>391</v>
      </c>
      <c r="W1165" s="130">
        <v>46069.514351851853</v>
      </c>
      <c r="X1165" s="72">
        <v>46070.663194444445</v>
      </c>
      <c r="Y1165" s="72">
        <v>46074.458333333336</v>
      </c>
      <c r="Z1165" s="104" t="s">
        <v>1976</v>
      </c>
      <c r="AA1165" s="104" t="s">
        <v>2133</v>
      </c>
      <c r="AB1165" s="105">
        <v>46072.916666666664</v>
      </c>
      <c r="AC1165" s="105">
        <v>46074.986805555556</v>
      </c>
    </row>
    <row r="1166" s="70" customFormat="1" ht="11.25" customHeight="1">
      <c r="A1166" s="87"/>
      <c r="C1166" s="43" t="s">
        <v>2250</v>
      </c>
      <c r="D1166" s="71" t="s">
        <v>382</v>
      </c>
      <c r="E1166" s="71" t="str">
        <f>MID(D1166,1,2)</f>
        <v>IL</v>
      </c>
      <c r="F1166" s="71" t="s">
        <v>496</v>
      </c>
      <c r="G1166" s="71" t="str">
        <f>MID(F1166,1,2)</f>
        <v>RO</v>
      </c>
      <c r="H1166" s="43" t="s">
        <v>2179</v>
      </c>
      <c r="I1166" s="71" t="s">
        <v>2251</v>
      </c>
      <c r="J1166" s="71" t="s">
        <v>400</v>
      </c>
      <c r="K1166" s="43"/>
      <c r="L1166" s="71" t="s">
        <v>105</v>
      </c>
      <c r="M1166" s="73">
        <v>45</v>
      </c>
      <c r="N1166" s="71" t="s">
        <v>388</v>
      </c>
      <c r="O1166" s="73">
        <v>0.708</v>
      </c>
      <c r="P1166" s="71" t="s">
        <v>389</v>
      </c>
      <c r="Q1166" s="73">
        <v>118</v>
      </c>
      <c r="R1166" s="71" t="s">
        <v>388</v>
      </c>
      <c r="S1166" s="73">
        <v>0</v>
      </c>
      <c r="T1166" s="71" t="s">
        <v>390</v>
      </c>
      <c r="U1166" s="74">
        <v>1</v>
      </c>
      <c r="V1166" s="71" t="s">
        <v>391</v>
      </c>
      <c r="W1166" s="130">
        <v>46064.883032407408</v>
      </c>
      <c r="X1166" s="72">
        <v>46066.013888888891</v>
      </c>
      <c r="Y1166" s="72">
        <v>46068.128472222219</v>
      </c>
      <c r="Z1166" s="104" t="s">
        <v>382</v>
      </c>
      <c r="AA1166" s="104" t="s">
        <v>496</v>
      </c>
      <c r="AB1166" s="105">
        <v>46068.013888888891</v>
      </c>
      <c r="AC1166" s="105">
        <v>46068.1625</v>
      </c>
    </row>
    <row r="1167" s="70" customFormat="1" ht="11.25" customHeight="1">
      <c r="A1167" s="87"/>
      <c r="C1167" s="43" t="s">
        <v>2252</v>
      </c>
      <c r="D1167" s="71" t="s">
        <v>382</v>
      </c>
      <c r="E1167" s="71" t="str">
        <f>MID(D1167,1,2)</f>
        <v>IL</v>
      </c>
      <c r="F1167" s="71" t="s">
        <v>1823</v>
      </c>
      <c r="G1167" s="71" t="str">
        <f>MID(F1167,1,2)</f>
        <v>DK</v>
      </c>
      <c r="H1167" s="43" t="s">
        <v>2253</v>
      </c>
      <c r="I1167" s="71" t="s">
        <v>2254</v>
      </c>
      <c r="J1167" s="71" t="s">
        <v>400</v>
      </c>
      <c r="K1167" s="43"/>
      <c r="L1167" s="71" t="s">
        <v>105</v>
      </c>
      <c r="M1167" s="73">
        <v>34</v>
      </c>
      <c r="N1167" s="71" t="s">
        <v>388</v>
      </c>
      <c r="O1167" s="73">
        <v>0.243</v>
      </c>
      <c r="P1167" s="71" t="s">
        <v>389</v>
      </c>
      <c r="Q1167" s="73">
        <v>40.5</v>
      </c>
      <c r="R1167" s="71" t="s">
        <v>388</v>
      </c>
      <c r="S1167" s="73">
        <v>0</v>
      </c>
      <c r="T1167" s="71" t="s">
        <v>390</v>
      </c>
      <c r="U1167" s="74">
        <v>2</v>
      </c>
      <c r="V1167" s="71" t="s">
        <v>391</v>
      </c>
      <c r="W1167" s="130">
        <v>46064.926261574074</v>
      </c>
      <c r="X1167" s="72">
        <v>46066.572916666664</v>
      </c>
      <c r="Y1167" s="72">
        <v>46069.291666666664</v>
      </c>
      <c r="Z1167" s="104" t="s">
        <v>382</v>
      </c>
      <c r="AA1167" s="104" t="s">
        <v>383</v>
      </c>
      <c r="AB1167" s="105">
        <v>46066.5625</v>
      </c>
      <c r="AC1167" s="105">
        <v>46066.709722222222</v>
      </c>
    </row>
    <row r="1168" s="70" customFormat="1" ht="11.25" customHeight="1">
      <c r="A1168" s="87"/>
      <c r="C1168" s="43" t="s">
        <v>2252</v>
      </c>
      <c r="D1168" s="71" t="s">
        <v>382</v>
      </c>
      <c r="E1168" s="71" t="str">
        <f>MID(D1168,1,2)</f>
        <v>IL</v>
      </c>
      <c r="F1168" s="71" t="s">
        <v>1823</v>
      </c>
      <c r="G1168" s="71" t="str">
        <f>MID(F1168,1,2)</f>
        <v>DK</v>
      </c>
      <c r="H1168" s="43" t="s">
        <v>2253</v>
      </c>
      <c r="I1168" s="71" t="s">
        <v>2254</v>
      </c>
      <c r="J1168" s="71" t="s">
        <v>400</v>
      </c>
      <c r="K1168" s="43"/>
      <c r="L1168" s="71" t="s">
        <v>105</v>
      </c>
      <c r="M1168" s="73">
        <v>34</v>
      </c>
      <c r="N1168" s="71" t="s">
        <v>388</v>
      </c>
      <c r="O1168" s="73">
        <v>0.243</v>
      </c>
      <c r="P1168" s="71" t="s">
        <v>389</v>
      </c>
      <c r="Q1168" s="73">
        <v>40.5</v>
      </c>
      <c r="R1168" s="71" t="s">
        <v>388</v>
      </c>
      <c r="S1168" s="73">
        <v>0</v>
      </c>
      <c r="T1168" s="71" t="s">
        <v>390</v>
      </c>
      <c r="U1168" s="74">
        <v>2</v>
      </c>
      <c r="V1168" s="71" t="s">
        <v>391</v>
      </c>
      <c r="W1168" s="130">
        <v>46064.926261574074</v>
      </c>
      <c r="X1168" s="72">
        <v>46066.572916666664</v>
      </c>
      <c r="Y1168" s="72">
        <v>46069.291666666664</v>
      </c>
      <c r="Z1168" s="104" t="s">
        <v>383</v>
      </c>
      <c r="AA1168" s="104" t="s">
        <v>1823</v>
      </c>
      <c r="AB1168" s="105">
        <v>46068.729166666664</v>
      </c>
      <c r="AC1168" s="105">
        <v>46069.354166666664</v>
      </c>
    </row>
    <row r="1169" s="70" customFormat="1" ht="11.25" customHeight="1">
      <c r="A1169" s="87"/>
      <c r="C1169" s="43" t="s">
        <v>2255</v>
      </c>
      <c r="D1169" s="71" t="s">
        <v>382</v>
      </c>
      <c r="E1169" s="71" t="str">
        <f>MID(D1169,1,2)</f>
        <v>IL</v>
      </c>
      <c r="F1169" s="71" t="s">
        <v>577</v>
      </c>
      <c r="G1169" s="71" t="str">
        <f>MID(F1169,1,2)</f>
        <v>FR</v>
      </c>
      <c r="H1169" s="43" t="s">
        <v>2256</v>
      </c>
      <c r="I1169" s="71" t="s">
        <v>2257</v>
      </c>
      <c r="J1169" s="71" t="s">
        <v>426</v>
      </c>
      <c r="K1169" s="43"/>
      <c r="L1169" s="71" t="s">
        <v>105</v>
      </c>
      <c r="M1169" s="73">
        <v>1350</v>
      </c>
      <c r="N1169" s="71" t="s">
        <v>388</v>
      </c>
      <c r="O1169" s="73">
        <v>5.832</v>
      </c>
      <c r="P1169" s="71" t="s">
        <v>389</v>
      </c>
      <c r="Q1169" s="73">
        <v>1350</v>
      </c>
      <c r="R1169" s="71" t="s">
        <v>388</v>
      </c>
      <c r="S1169" s="73">
        <v>0</v>
      </c>
      <c r="T1169" s="71" t="s">
        <v>390</v>
      </c>
      <c r="U1169" s="74">
        <v>3</v>
      </c>
      <c r="V1169" s="71" t="s">
        <v>391</v>
      </c>
      <c r="W1169" s="130">
        <v>46069.5144212963</v>
      </c>
      <c r="X1169" s="72">
        <v>46070.663194444445</v>
      </c>
      <c r="Y1169" s="72">
        <v>46071.819444444445</v>
      </c>
      <c r="Z1169" s="104" t="s">
        <v>382</v>
      </c>
      <c r="AA1169" s="104" t="s">
        <v>577</v>
      </c>
      <c r="AB1169" s="105">
        <v>46071.658333333333</v>
      </c>
      <c r="AC1169" s="105">
        <v>46071.821527777778</v>
      </c>
    </row>
    <row r="1170" s="70" customFormat="1" ht="11.25" customHeight="1">
      <c r="A1170" s="87"/>
      <c r="C1170" s="43" t="s">
        <v>2258</v>
      </c>
      <c r="D1170" s="71" t="s">
        <v>382</v>
      </c>
      <c r="E1170" s="71" t="str">
        <f>MID(D1170,1,2)</f>
        <v>IL</v>
      </c>
      <c r="F1170" s="71" t="s">
        <v>402</v>
      </c>
      <c r="G1170" s="71" t="str">
        <f>MID(F1170,1,2)</f>
        <v>CY</v>
      </c>
      <c r="H1170" s="43" t="s">
        <v>2259</v>
      </c>
      <c r="I1170" s="71" t="s">
        <v>2260</v>
      </c>
      <c r="J1170" s="71" t="s">
        <v>400</v>
      </c>
      <c r="K1170" s="43"/>
      <c r="L1170" s="71" t="s">
        <v>105</v>
      </c>
      <c r="M1170" s="73">
        <v>120</v>
      </c>
      <c r="N1170" s="71" t="s">
        <v>388</v>
      </c>
      <c r="O1170" s="73">
        <v>0.962</v>
      </c>
      <c r="P1170" s="71" t="s">
        <v>389</v>
      </c>
      <c r="Q1170" s="73">
        <v>160.5</v>
      </c>
      <c r="R1170" s="71" t="s">
        <v>388</v>
      </c>
      <c r="S1170" s="73">
        <v>0</v>
      </c>
      <c r="T1170" s="71" t="s">
        <v>390</v>
      </c>
      <c r="U1170" s="74">
        <v>1</v>
      </c>
      <c r="V1170" s="71" t="s">
        <v>391</v>
      </c>
      <c r="W1170" s="130"/>
      <c r="X1170" s="72">
        <v>46066.48333333333</v>
      </c>
      <c r="Y1170" s="72">
        <v>46068.532638888886</v>
      </c>
      <c r="Z1170" s="104" t="s">
        <v>382</v>
      </c>
      <c r="AA1170" s="104" t="s">
        <v>383</v>
      </c>
      <c r="AB1170" s="105">
        <v>46066.5625</v>
      </c>
      <c r="AC1170" s="105">
        <v>46066.709722222222</v>
      </c>
    </row>
    <row r="1171" s="70" customFormat="1" ht="11.25" customHeight="1">
      <c r="A1171" s="87"/>
      <c r="C1171" s="43" t="s">
        <v>2258</v>
      </c>
      <c r="D1171" s="71" t="s">
        <v>382</v>
      </c>
      <c r="E1171" s="71" t="str">
        <f>MID(D1171,1,2)</f>
        <v>IL</v>
      </c>
      <c r="F1171" s="71" t="s">
        <v>402</v>
      </c>
      <c r="G1171" s="71" t="str">
        <f>MID(F1171,1,2)</f>
        <v>CY</v>
      </c>
      <c r="H1171" s="43" t="s">
        <v>2259</v>
      </c>
      <c r="I1171" s="71" t="s">
        <v>2260</v>
      </c>
      <c r="J1171" s="71" t="s">
        <v>400</v>
      </c>
      <c r="K1171" s="43"/>
      <c r="L1171" s="71" t="s">
        <v>105</v>
      </c>
      <c r="M1171" s="73">
        <v>120</v>
      </c>
      <c r="N1171" s="71" t="s">
        <v>388</v>
      </c>
      <c r="O1171" s="73">
        <v>0.962</v>
      </c>
      <c r="P1171" s="71" t="s">
        <v>389</v>
      </c>
      <c r="Q1171" s="73">
        <v>160.5</v>
      </c>
      <c r="R1171" s="71" t="s">
        <v>388</v>
      </c>
      <c r="S1171" s="73">
        <v>0</v>
      </c>
      <c r="T1171" s="71" t="s">
        <v>390</v>
      </c>
      <c r="U1171" s="74">
        <v>1</v>
      </c>
      <c r="V1171" s="71" t="s">
        <v>391</v>
      </c>
      <c r="W1171" s="130"/>
      <c r="X1171" s="72">
        <v>46066.48333333333</v>
      </c>
      <c r="Y1171" s="72">
        <v>46068.532638888886</v>
      </c>
      <c r="Z1171" s="104" t="s">
        <v>383</v>
      </c>
      <c r="AA1171" s="104" t="s">
        <v>402</v>
      </c>
      <c r="AB1171" s="105">
        <v>46068.338194444441</v>
      </c>
      <c r="AC1171" s="105">
        <v>46068.531944444447</v>
      </c>
    </row>
    <row r="1172" s="70" customFormat="1" ht="11.25" customHeight="1">
      <c r="A1172" s="87"/>
      <c r="C1172" s="43" t="s">
        <v>2261</v>
      </c>
      <c r="D1172" s="71" t="s">
        <v>382</v>
      </c>
      <c r="E1172" s="71" t="str">
        <f>MID(D1172,1,2)</f>
        <v>IL</v>
      </c>
      <c r="F1172" s="71" t="s">
        <v>476</v>
      </c>
      <c r="G1172" s="71" t="str">
        <f>MID(F1172,1,2)</f>
        <v>SG</v>
      </c>
      <c r="H1172" s="43" t="s">
        <v>2262</v>
      </c>
      <c r="I1172" s="71" t="s">
        <v>2263</v>
      </c>
      <c r="J1172" s="71" t="s">
        <v>426</v>
      </c>
      <c r="K1172" s="43"/>
      <c r="L1172" s="71" t="s">
        <v>105</v>
      </c>
      <c r="M1172" s="73">
        <v>3</v>
      </c>
      <c r="N1172" s="71" t="s">
        <v>388</v>
      </c>
      <c r="O1172" s="73">
        <v>0.029</v>
      </c>
      <c r="P1172" s="71" t="s">
        <v>389</v>
      </c>
      <c r="Q1172" s="73">
        <v>5</v>
      </c>
      <c r="R1172" s="71" t="s">
        <v>388</v>
      </c>
      <c r="S1172" s="73">
        <v>0</v>
      </c>
      <c r="T1172" s="71" t="s">
        <v>390</v>
      </c>
      <c r="U1172" s="74">
        <v>1</v>
      </c>
      <c r="V1172" s="71" t="s">
        <v>391</v>
      </c>
      <c r="W1172" s="130">
        <v>46064.655601851853</v>
      </c>
      <c r="X1172" s="72">
        <v>46064.577777777777</v>
      </c>
      <c r="Y1172" s="72">
        <v>46068.704861111109</v>
      </c>
      <c r="Z1172" s="104" t="s">
        <v>382</v>
      </c>
      <c r="AA1172" s="104" t="s">
        <v>383</v>
      </c>
      <c r="AB1172" s="105">
        <v>46066.5625</v>
      </c>
      <c r="AC1172" s="105">
        <v>46066.709722222222</v>
      </c>
    </row>
    <row r="1173" s="70" customFormat="1" ht="11.25" customHeight="1">
      <c r="A1173" s="87"/>
      <c r="C1173" s="43" t="s">
        <v>2261</v>
      </c>
      <c r="D1173" s="71" t="s">
        <v>382</v>
      </c>
      <c r="E1173" s="71" t="str">
        <f>MID(D1173,1,2)</f>
        <v>IL</v>
      </c>
      <c r="F1173" s="71" t="s">
        <v>476</v>
      </c>
      <c r="G1173" s="71" t="str">
        <f>MID(F1173,1,2)</f>
        <v>SG</v>
      </c>
      <c r="H1173" s="43" t="s">
        <v>2262</v>
      </c>
      <c r="I1173" s="71" t="s">
        <v>2263</v>
      </c>
      <c r="J1173" s="71" t="s">
        <v>426</v>
      </c>
      <c r="K1173" s="43"/>
      <c r="L1173" s="71" t="s">
        <v>105</v>
      </c>
      <c r="M1173" s="73">
        <v>3</v>
      </c>
      <c r="N1173" s="71" t="s">
        <v>388</v>
      </c>
      <c r="O1173" s="73">
        <v>0.029</v>
      </c>
      <c r="P1173" s="71" t="s">
        <v>389</v>
      </c>
      <c r="Q1173" s="73">
        <v>5</v>
      </c>
      <c r="R1173" s="71" t="s">
        <v>388</v>
      </c>
      <c r="S1173" s="73">
        <v>0</v>
      </c>
      <c r="T1173" s="71" t="s">
        <v>390</v>
      </c>
      <c r="U1173" s="74">
        <v>1</v>
      </c>
      <c r="V1173" s="71" t="s">
        <v>391</v>
      </c>
      <c r="W1173" s="130">
        <v>46064.655601851853</v>
      </c>
      <c r="X1173" s="72">
        <v>46064.577777777777</v>
      </c>
      <c r="Y1173" s="72">
        <v>46068.704861111109</v>
      </c>
      <c r="Z1173" s="104" t="s">
        <v>383</v>
      </c>
      <c r="AA1173" s="104" t="s">
        <v>476</v>
      </c>
      <c r="AB1173" s="105">
        <v>46067.906944444447</v>
      </c>
      <c r="AC1173" s="105">
        <v>46068.695833333331</v>
      </c>
    </row>
    <row r="1174" s="70" customFormat="1" ht="11.25" customHeight="1">
      <c r="A1174" s="87"/>
      <c r="C1174" s="43" t="s">
        <v>2264</v>
      </c>
      <c r="D1174" s="71" t="s">
        <v>382</v>
      </c>
      <c r="E1174" s="71" t="str">
        <f>MID(D1174,1,2)</f>
        <v>IL</v>
      </c>
      <c r="F1174" s="71" t="s">
        <v>684</v>
      </c>
      <c r="G1174" s="71" t="str">
        <f>MID(F1174,1,2)</f>
        <v>IT</v>
      </c>
      <c r="H1174" s="43" t="s">
        <v>2265</v>
      </c>
      <c r="I1174" s="71" t="s">
        <v>2266</v>
      </c>
      <c r="J1174" s="71" t="s">
        <v>811</v>
      </c>
      <c r="K1174" s="43"/>
      <c r="L1174" s="71" t="s">
        <v>105</v>
      </c>
      <c r="M1174" s="73">
        <v>358</v>
      </c>
      <c r="N1174" s="71" t="s">
        <v>388</v>
      </c>
      <c r="O1174" s="73">
        <v>1.944</v>
      </c>
      <c r="P1174" s="71" t="s">
        <v>389</v>
      </c>
      <c r="Q1174" s="73">
        <v>358</v>
      </c>
      <c r="R1174" s="71" t="s">
        <v>388</v>
      </c>
      <c r="S1174" s="73">
        <v>0</v>
      </c>
      <c r="T1174" s="71" t="s">
        <v>390</v>
      </c>
      <c r="U1174" s="74">
        <v>1</v>
      </c>
      <c r="V1174" s="71" t="s">
        <v>391</v>
      </c>
      <c r="W1174" s="130">
        <v>46069.514351851853</v>
      </c>
      <c r="X1174" s="72">
        <v>46070.663194444445</v>
      </c>
      <c r="Y1174" s="72">
        <v>46073.999305555553</v>
      </c>
      <c r="Z1174" s="104" t="s">
        <v>382</v>
      </c>
      <c r="AA1174" s="104" t="s">
        <v>577</v>
      </c>
      <c r="AB1174" s="105">
        <v>46071.658333333333</v>
      </c>
      <c r="AC1174" s="105">
        <v>46071.821527777778</v>
      </c>
    </row>
    <row r="1175" s="70" customFormat="1" ht="11.25" customHeight="1">
      <c r="A1175" s="87"/>
      <c r="C1175" s="43" t="s">
        <v>2264</v>
      </c>
      <c r="D1175" s="71" t="s">
        <v>382</v>
      </c>
      <c r="E1175" s="71" t="str">
        <f>MID(D1175,1,2)</f>
        <v>IL</v>
      </c>
      <c r="F1175" s="71" t="s">
        <v>684</v>
      </c>
      <c r="G1175" s="71" t="str">
        <f>MID(F1175,1,2)</f>
        <v>IT</v>
      </c>
      <c r="H1175" s="43" t="s">
        <v>2265</v>
      </c>
      <c r="I1175" s="71" t="s">
        <v>2266</v>
      </c>
      <c r="J1175" s="71" t="s">
        <v>811</v>
      </c>
      <c r="K1175" s="43"/>
      <c r="L1175" s="71" t="s">
        <v>105</v>
      </c>
      <c r="M1175" s="73">
        <v>358</v>
      </c>
      <c r="N1175" s="71" t="s">
        <v>388</v>
      </c>
      <c r="O1175" s="73">
        <v>1.944</v>
      </c>
      <c r="P1175" s="71" t="s">
        <v>389</v>
      </c>
      <c r="Q1175" s="73">
        <v>358</v>
      </c>
      <c r="R1175" s="71" t="s">
        <v>388</v>
      </c>
      <c r="S1175" s="73">
        <v>0</v>
      </c>
      <c r="T1175" s="71" t="s">
        <v>390</v>
      </c>
      <c r="U1175" s="74">
        <v>1</v>
      </c>
      <c r="V1175" s="71" t="s">
        <v>391</v>
      </c>
      <c r="W1175" s="130">
        <v>46069.514351851853</v>
      </c>
      <c r="X1175" s="72">
        <v>46070.663194444445</v>
      </c>
      <c r="Y1175" s="72">
        <v>46073.999305555553</v>
      </c>
      <c r="Z1175" s="104" t="s">
        <v>577</v>
      </c>
      <c r="AA1175" s="104" t="s">
        <v>684</v>
      </c>
      <c r="AB1175" s="105">
        <v>46072.967361111114</v>
      </c>
      <c r="AC1175" s="105">
        <v>46073.56875</v>
      </c>
    </row>
    <row r="1176" s="70" customFormat="1" ht="11.25" customHeight="1">
      <c r="A1176" s="87"/>
      <c r="C1176" s="43" t="s">
        <v>2267</v>
      </c>
      <c r="D1176" s="71" t="s">
        <v>382</v>
      </c>
      <c r="E1176" s="71" t="str">
        <f>MID(D1176,1,2)</f>
        <v>IL</v>
      </c>
      <c r="F1176" s="71" t="s">
        <v>833</v>
      </c>
      <c r="G1176" s="71" t="str">
        <f>MID(F1176,1,2)</f>
        <v>TH</v>
      </c>
      <c r="H1176" s="43" t="s">
        <v>2268</v>
      </c>
      <c r="I1176" s="71" t="s">
        <v>2269</v>
      </c>
      <c r="J1176" s="71" t="s">
        <v>400</v>
      </c>
      <c r="K1176" s="43"/>
      <c r="L1176" s="71" t="s">
        <v>105</v>
      </c>
      <c r="M1176" s="73">
        <v>15</v>
      </c>
      <c r="N1176" s="71" t="s">
        <v>388</v>
      </c>
      <c r="O1176" s="73">
        <v>0.07</v>
      </c>
      <c r="P1176" s="71" t="s">
        <v>389</v>
      </c>
      <c r="Q1176" s="73">
        <v>15</v>
      </c>
      <c r="R1176" s="71" t="s">
        <v>388</v>
      </c>
      <c r="S1176" s="73">
        <v>0</v>
      </c>
      <c r="T1176" s="71" t="s">
        <v>390</v>
      </c>
      <c r="U1176" s="74">
        <v>1</v>
      </c>
      <c r="V1176" s="71" t="s">
        <v>391</v>
      </c>
      <c r="W1176" s="130">
        <v>46064.542361111111</v>
      </c>
      <c r="X1176" s="72">
        <v>46065.895833333336</v>
      </c>
      <c r="Y1176" s="72">
        <v>46066.576388888891</v>
      </c>
      <c r="Z1176" s="104" t="s">
        <v>382</v>
      </c>
      <c r="AA1176" s="104" t="s">
        <v>833</v>
      </c>
      <c r="AB1176" s="105">
        <v>46065.906944444447</v>
      </c>
      <c r="AC1176" s="105">
        <v>46066.569444444445</v>
      </c>
    </row>
    <row r="1177" s="70" customFormat="1" ht="11.25" customHeight="1">
      <c r="A1177" s="87"/>
      <c r="C1177" s="43" t="s">
        <v>2270</v>
      </c>
      <c r="D1177" s="71" t="s">
        <v>382</v>
      </c>
      <c r="E1177" s="71" t="str">
        <f>MID(D1177,1,2)</f>
        <v>IL</v>
      </c>
      <c r="F1177" s="71" t="s">
        <v>465</v>
      </c>
      <c r="G1177" s="71" t="str">
        <f>MID(F1177,1,2)</f>
        <v>AZ</v>
      </c>
      <c r="H1177" s="43" t="s">
        <v>2271</v>
      </c>
      <c r="I1177" s="71" t="s">
        <v>2272</v>
      </c>
      <c r="J1177" s="71" t="s">
        <v>426</v>
      </c>
      <c r="K1177" s="43"/>
      <c r="L1177" s="71" t="s">
        <v>105</v>
      </c>
      <c r="M1177" s="73">
        <v>301</v>
      </c>
      <c r="N1177" s="71" t="s">
        <v>388</v>
      </c>
      <c r="O1177" s="73">
        <v>1.917</v>
      </c>
      <c r="P1177" s="71" t="s">
        <v>389</v>
      </c>
      <c r="Q1177" s="73">
        <v>319.5</v>
      </c>
      <c r="R1177" s="71" t="s">
        <v>388</v>
      </c>
      <c r="S1177" s="73">
        <v>0</v>
      </c>
      <c r="T1177" s="71" t="s">
        <v>390</v>
      </c>
      <c r="U1177" s="74">
        <v>2</v>
      </c>
      <c r="V1177" s="71" t="s">
        <v>391</v>
      </c>
      <c r="W1177" s="130"/>
      <c r="X1177" s="72">
        <v>46066.916666666664</v>
      </c>
      <c r="Y1177" s="72">
        <v>46067.097222222219</v>
      </c>
      <c r="Z1177" s="104" t="s">
        <v>382</v>
      </c>
      <c r="AA1177" s="104" t="s">
        <v>465</v>
      </c>
      <c r="AB1177" s="105">
        <v>46068.447916666664</v>
      </c>
      <c r="AC1177" s="105">
        <v>46068.631944444445</v>
      </c>
    </row>
    <row r="1178" s="70" customFormat="1" ht="11.25" customHeight="1">
      <c r="A1178" s="87"/>
      <c r="C1178" s="43" t="s">
        <v>2273</v>
      </c>
      <c r="D1178" s="71" t="s">
        <v>382</v>
      </c>
      <c r="E1178" s="71" t="str">
        <f>MID(D1178,1,2)</f>
        <v>IL</v>
      </c>
      <c r="F1178" s="71" t="s">
        <v>1169</v>
      </c>
      <c r="G1178" s="71" t="str">
        <f>MID(F1178,1,2)</f>
        <v>HU</v>
      </c>
      <c r="H1178" s="43" t="s">
        <v>2274</v>
      </c>
      <c r="I1178" s="71" t="s">
        <v>2275</v>
      </c>
      <c r="J1178" s="71" t="s">
        <v>811</v>
      </c>
      <c r="K1178" s="43"/>
      <c r="L1178" s="71" t="s">
        <v>105</v>
      </c>
      <c r="M1178" s="73">
        <v>828</v>
      </c>
      <c r="N1178" s="71" t="s">
        <v>388</v>
      </c>
      <c r="O1178" s="73">
        <v>3.888</v>
      </c>
      <c r="P1178" s="71" t="s">
        <v>389</v>
      </c>
      <c r="Q1178" s="73">
        <v>828</v>
      </c>
      <c r="R1178" s="71" t="s">
        <v>388</v>
      </c>
      <c r="S1178" s="73">
        <v>0</v>
      </c>
      <c r="T1178" s="71" t="s">
        <v>390</v>
      </c>
      <c r="U1178" s="74">
        <v>2</v>
      </c>
      <c r="V1178" s="71" t="s">
        <v>391</v>
      </c>
      <c r="W1178" s="130">
        <v>46069.514444444445</v>
      </c>
      <c r="X1178" s="72">
        <v>46070.663194444445</v>
      </c>
      <c r="Y1178" s="72">
        <v>46073.791666666664</v>
      </c>
      <c r="Z1178" s="104" t="s">
        <v>382</v>
      </c>
      <c r="AA1178" s="104" t="s">
        <v>577</v>
      </c>
      <c r="AB1178" s="105">
        <v>46070.65902777778</v>
      </c>
      <c r="AC1178" s="105">
        <v>46070.8125</v>
      </c>
    </row>
    <row r="1179" s="70" customFormat="1" ht="11.25" customHeight="1">
      <c r="A1179" s="87"/>
      <c r="C1179" s="43" t="s">
        <v>2273</v>
      </c>
      <c r="D1179" s="71" t="s">
        <v>382</v>
      </c>
      <c r="E1179" s="71" t="str">
        <f>MID(D1179,1,2)</f>
        <v>IL</v>
      </c>
      <c r="F1179" s="71" t="s">
        <v>1169</v>
      </c>
      <c r="G1179" s="71" t="str">
        <f>MID(F1179,1,2)</f>
        <v>HU</v>
      </c>
      <c r="H1179" s="43" t="s">
        <v>2274</v>
      </c>
      <c r="I1179" s="71" t="s">
        <v>2275</v>
      </c>
      <c r="J1179" s="71" t="s">
        <v>811</v>
      </c>
      <c r="K1179" s="43"/>
      <c r="L1179" s="71" t="s">
        <v>105</v>
      </c>
      <c r="M1179" s="73">
        <v>828</v>
      </c>
      <c r="N1179" s="71" t="s">
        <v>388</v>
      </c>
      <c r="O1179" s="73">
        <v>3.888</v>
      </c>
      <c r="P1179" s="71" t="s">
        <v>389</v>
      </c>
      <c r="Q1179" s="73">
        <v>828</v>
      </c>
      <c r="R1179" s="71" t="s">
        <v>388</v>
      </c>
      <c r="S1179" s="73">
        <v>0</v>
      </c>
      <c r="T1179" s="71" t="s">
        <v>390</v>
      </c>
      <c r="U1179" s="74">
        <v>2</v>
      </c>
      <c r="V1179" s="71" t="s">
        <v>391</v>
      </c>
      <c r="W1179" s="130">
        <v>46069.514444444445</v>
      </c>
      <c r="X1179" s="72">
        <v>46070.663194444445</v>
      </c>
      <c r="Y1179" s="72">
        <v>46073.791666666664</v>
      </c>
      <c r="Z1179" s="104" t="s">
        <v>577</v>
      </c>
      <c r="AA1179" s="104" t="s">
        <v>1169</v>
      </c>
      <c r="AB1179" s="105">
        <v>46072.629861111112</v>
      </c>
      <c r="AC1179" s="105">
        <v>46073.465277777781</v>
      </c>
    </row>
    <row r="1180" s="70" customFormat="1" ht="11.25" customHeight="1">
      <c r="A1180" s="87"/>
      <c r="C1180" s="43" t="s">
        <v>2276</v>
      </c>
      <c r="D1180" s="71" t="s">
        <v>382</v>
      </c>
      <c r="E1180" s="71" t="str">
        <f>MID(D1180,1,2)</f>
        <v>IL</v>
      </c>
      <c r="F1180" s="71" t="s">
        <v>468</v>
      </c>
      <c r="G1180" s="71" t="str">
        <f>MID(F1180,1,2)</f>
        <v>US</v>
      </c>
      <c r="H1180" s="43" t="s">
        <v>1631</v>
      </c>
      <c r="I1180" s="71" t="s">
        <v>2277</v>
      </c>
      <c r="J1180" s="71" t="s">
        <v>386</v>
      </c>
      <c r="K1180" s="43"/>
      <c r="L1180" s="71" t="s">
        <v>107</v>
      </c>
      <c r="M1180" s="73">
        <v>7</v>
      </c>
      <c r="N1180" s="71" t="s">
        <v>388</v>
      </c>
      <c r="O1180" s="73">
        <v>0.085</v>
      </c>
      <c r="P1180" s="71" t="s">
        <v>389</v>
      </c>
      <c r="Q1180" s="73">
        <v>14.5</v>
      </c>
      <c r="R1180" s="71" t="s">
        <v>388</v>
      </c>
      <c r="S1180" s="73">
        <v>0</v>
      </c>
      <c r="T1180" s="71" t="s">
        <v>390</v>
      </c>
      <c r="U1180" s="74">
        <v>1</v>
      </c>
      <c r="V1180" s="71" t="s">
        <v>391</v>
      </c>
      <c r="W1180" s="130">
        <v>46064.6121875</v>
      </c>
      <c r="X1180" s="72">
        <v>46066.965277777781</v>
      </c>
      <c r="Y1180" s="72">
        <v>46071.416666666664</v>
      </c>
      <c r="Z1180" s="104" t="s">
        <v>382</v>
      </c>
      <c r="AA1180" s="104" t="s">
        <v>422</v>
      </c>
      <c r="AB1180" s="105">
        <v>46066.967361111114</v>
      </c>
      <c r="AC1180" s="105">
        <v>46067.170138888891</v>
      </c>
    </row>
    <row r="1181" s="70" customFormat="1" ht="11.25" customHeight="1">
      <c r="A1181" s="87"/>
      <c r="C1181" s="43" t="s">
        <v>2276</v>
      </c>
      <c r="D1181" s="71" t="s">
        <v>382</v>
      </c>
      <c r="E1181" s="71" t="str">
        <f>MID(D1181,1,2)</f>
        <v>IL</v>
      </c>
      <c r="F1181" s="71" t="s">
        <v>468</v>
      </c>
      <c r="G1181" s="71" t="str">
        <f>MID(F1181,1,2)</f>
        <v>US</v>
      </c>
      <c r="H1181" s="43" t="s">
        <v>1631</v>
      </c>
      <c r="I1181" s="71" t="s">
        <v>2277</v>
      </c>
      <c r="J1181" s="71" t="s">
        <v>386</v>
      </c>
      <c r="K1181" s="43"/>
      <c r="L1181" s="71" t="s">
        <v>107</v>
      </c>
      <c r="M1181" s="73">
        <v>7</v>
      </c>
      <c r="N1181" s="71" t="s">
        <v>388</v>
      </c>
      <c r="O1181" s="73">
        <v>0.085</v>
      </c>
      <c r="P1181" s="71" t="s">
        <v>389</v>
      </c>
      <c r="Q1181" s="73">
        <v>14.5</v>
      </c>
      <c r="R1181" s="71" t="s">
        <v>388</v>
      </c>
      <c r="S1181" s="73">
        <v>0</v>
      </c>
      <c r="T1181" s="71" t="s">
        <v>390</v>
      </c>
      <c r="U1181" s="74">
        <v>1</v>
      </c>
      <c r="V1181" s="71" t="s">
        <v>391</v>
      </c>
      <c r="W1181" s="130">
        <v>46064.6121875</v>
      </c>
      <c r="X1181" s="72">
        <v>46066.965277777781</v>
      </c>
      <c r="Y1181" s="72">
        <v>46071.416666666664</v>
      </c>
      <c r="Z1181" s="104" t="s">
        <v>422</v>
      </c>
      <c r="AA1181" s="104" t="s">
        <v>468</v>
      </c>
      <c r="AB1181" s="105">
        <v>46069.363888888889</v>
      </c>
      <c r="AC1181" s="105">
        <v>46071.509027777778</v>
      </c>
    </row>
    <row r="1182" s="70" customFormat="1" ht="11.25" customHeight="1">
      <c r="A1182" s="87"/>
      <c r="C1182" s="43" t="s">
        <v>2278</v>
      </c>
      <c r="D1182" s="71" t="s">
        <v>382</v>
      </c>
      <c r="E1182" s="71" t="str">
        <f>MID(D1182,1,2)</f>
        <v>IL</v>
      </c>
      <c r="F1182" s="71" t="s">
        <v>573</v>
      </c>
      <c r="G1182" s="71" t="str">
        <f>MID(F1182,1,2)</f>
        <v>CH</v>
      </c>
      <c r="H1182" s="43" t="s">
        <v>2279</v>
      </c>
      <c r="I1182" s="71" t="s">
        <v>2280</v>
      </c>
      <c r="J1182" s="71" t="s">
        <v>811</v>
      </c>
      <c r="K1182" s="43"/>
      <c r="L1182" s="71" t="s">
        <v>105</v>
      </c>
      <c r="M1182" s="73">
        <v>488</v>
      </c>
      <c r="N1182" s="71" t="s">
        <v>388</v>
      </c>
      <c r="O1182" s="73">
        <v>1.944</v>
      </c>
      <c r="P1182" s="71" t="s">
        <v>389</v>
      </c>
      <c r="Q1182" s="73">
        <v>488</v>
      </c>
      <c r="R1182" s="71" t="s">
        <v>388</v>
      </c>
      <c r="S1182" s="73">
        <v>0</v>
      </c>
      <c r="T1182" s="71" t="s">
        <v>390</v>
      </c>
      <c r="U1182" s="74">
        <v>1</v>
      </c>
      <c r="V1182" s="71" t="s">
        <v>391</v>
      </c>
      <c r="W1182" s="130">
        <v>46069.5144212963</v>
      </c>
      <c r="X1182" s="72">
        <v>46070.663194444445</v>
      </c>
      <c r="Y1182" s="72">
        <v>46073.75</v>
      </c>
      <c r="Z1182" s="104" t="s">
        <v>382</v>
      </c>
      <c r="AA1182" s="104" t="s">
        <v>577</v>
      </c>
      <c r="AB1182" s="105">
        <v>46070.65902777778</v>
      </c>
      <c r="AC1182" s="105">
        <v>46070.8125</v>
      </c>
    </row>
    <row r="1183" s="70" customFormat="1" ht="11.25" customHeight="1">
      <c r="A1183" s="87"/>
      <c r="C1183" s="43" t="s">
        <v>2278</v>
      </c>
      <c r="D1183" s="71" t="s">
        <v>382</v>
      </c>
      <c r="E1183" s="71" t="str">
        <f>MID(D1183,1,2)</f>
        <v>IL</v>
      </c>
      <c r="F1183" s="71" t="s">
        <v>573</v>
      </c>
      <c r="G1183" s="71" t="str">
        <f>MID(F1183,1,2)</f>
        <v>CH</v>
      </c>
      <c r="H1183" s="43" t="s">
        <v>2279</v>
      </c>
      <c r="I1183" s="71" t="s">
        <v>2280</v>
      </c>
      <c r="J1183" s="71" t="s">
        <v>811</v>
      </c>
      <c r="K1183" s="43"/>
      <c r="L1183" s="71" t="s">
        <v>105</v>
      </c>
      <c r="M1183" s="73">
        <v>488</v>
      </c>
      <c r="N1183" s="71" t="s">
        <v>388</v>
      </c>
      <c r="O1183" s="73">
        <v>1.944</v>
      </c>
      <c r="P1183" s="71" t="s">
        <v>389</v>
      </c>
      <c r="Q1183" s="73">
        <v>488</v>
      </c>
      <c r="R1183" s="71" t="s">
        <v>388</v>
      </c>
      <c r="S1183" s="73">
        <v>0</v>
      </c>
      <c r="T1183" s="71" t="s">
        <v>390</v>
      </c>
      <c r="U1183" s="74">
        <v>1</v>
      </c>
      <c r="V1183" s="71" t="s">
        <v>391</v>
      </c>
      <c r="W1183" s="130">
        <v>46069.5144212963</v>
      </c>
      <c r="X1183" s="72">
        <v>46070.663194444445</v>
      </c>
      <c r="Y1183" s="72">
        <v>46073.75</v>
      </c>
      <c r="Z1183" s="104" t="s">
        <v>577</v>
      </c>
      <c r="AA1183" s="104" t="s">
        <v>573</v>
      </c>
      <c r="AB1183" s="105">
        <v>46072.833333333336</v>
      </c>
      <c r="AC1183" s="105">
        <v>46076.314583333333</v>
      </c>
    </row>
    <row r="1184" s="70" customFormat="1" ht="11.25" customHeight="1">
      <c r="A1184" s="87"/>
      <c r="C1184" s="43" t="s">
        <v>2281</v>
      </c>
      <c r="D1184" s="71" t="s">
        <v>382</v>
      </c>
      <c r="E1184" s="71" t="str">
        <f>MID(D1184,1,2)</f>
        <v>IL</v>
      </c>
      <c r="F1184" s="71" t="s">
        <v>422</v>
      </c>
      <c r="G1184" s="71" t="str">
        <f>MID(F1184,1,2)</f>
        <v>US</v>
      </c>
      <c r="H1184" s="43" t="s">
        <v>2144</v>
      </c>
      <c r="I1184" s="71" t="s">
        <v>2282</v>
      </c>
      <c r="J1184" s="71" t="s">
        <v>435</v>
      </c>
      <c r="K1184" s="43"/>
      <c r="L1184" s="71" t="s">
        <v>105</v>
      </c>
      <c r="M1184" s="73">
        <v>49</v>
      </c>
      <c r="N1184" s="71" t="s">
        <v>388</v>
      </c>
      <c r="O1184" s="73">
        <v>0.323</v>
      </c>
      <c r="P1184" s="71" t="s">
        <v>389</v>
      </c>
      <c r="Q1184" s="73">
        <v>100</v>
      </c>
      <c r="R1184" s="71" t="s">
        <v>388</v>
      </c>
      <c r="S1184" s="73">
        <v>0</v>
      </c>
      <c r="T1184" s="71" t="s">
        <v>390</v>
      </c>
      <c r="U1184" s="74">
        <v>10</v>
      </c>
      <c r="V1184" s="71" t="s">
        <v>391</v>
      </c>
      <c r="W1184" s="130">
        <v>46065.666666666664</v>
      </c>
      <c r="X1184" s="72">
        <v>46066.965277777781</v>
      </c>
      <c r="Y1184" s="72">
        <v>46067.67291666667</v>
      </c>
      <c r="Z1184" s="104" t="s">
        <v>382</v>
      </c>
      <c r="AA1184" s="104" t="s">
        <v>422</v>
      </c>
      <c r="AB1184" s="105">
        <v>46066.967361111114</v>
      </c>
      <c r="AC1184" s="105">
        <v>46067.174305555556</v>
      </c>
    </row>
    <row r="1185" s="70" customFormat="1" ht="11.25" customHeight="1">
      <c r="A1185" s="87"/>
      <c r="C1185" s="43" t="s">
        <v>2283</v>
      </c>
      <c r="D1185" s="71" t="s">
        <v>382</v>
      </c>
      <c r="E1185" s="71" t="str">
        <f>MID(D1185,1,2)</f>
        <v>IL</v>
      </c>
      <c r="F1185" s="71" t="s">
        <v>2090</v>
      </c>
      <c r="G1185" s="71" t="str">
        <f>MID(F1185,1,2)</f>
        <v>NO</v>
      </c>
      <c r="H1185" s="43" t="s">
        <v>2284</v>
      </c>
      <c r="I1185" s="71" t="s">
        <v>2285</v>
      </c>
      <c r="J1185" s="71" t="s">
        <v>386</v>
      </c>
      <c r="K1185" s="43"/>
      <c r="L1185" s="71" t="s">
        <v>107</v>
      </c>
      <c r="M1185" s="73">
        <v>453</v>
      </c>
      <c r="N1185" s="71" t="s">
        <v>388</v>
      </c>
      <c r="O1185" s="73">
        <v>0.614</v>
      </c>
      <c r="P1185" s="71" t="s">
        <v>389</v>
      </c>
      <c r="Q1185" s="73">
        <v>453</v>
      </c>
      <c r="R1185" s="71" t="s">
        <v>388</v>
      </c>
      <c r="S1185" s="73">
        <v>0</v>
      </c>
      <c r="T1185" s="71" t="s">
        <v>390</v>
      </c>
      <c r="U1185" s="74">
        <v>1</v>
      </c>
      <c r="V1185" s="71" t="s">
        <v>391</v>
      </c>
      <c r="W1185" s="130"/>
      <c r="X1185" s="72">
        <v>46066.572916666664</v>
      </c>
      <c r="Y1185" s="72">
        <v>46067.364583333336</v>
      </c>
      <c r="Z1185" s="104" t="s">
        <v>382</v>
      </c>
      <c r="AA1185" s="104" t="s">
        <v>383</v>
      </c>
      <c r="AB1185" s="105">
        <v>46066.5625</v>
      </c>
      <c r="AC1185" s="105">
        <v>46066.709722222222</v>
      </c>
    </row>
    <row r="1186" s="70" customFormat="1" ht="11.25" customHeight="1">
      <c r="A1186" s="87"/>
      <c r="C1186" s="43" t="s">
        <v>2283</v>
      </c>
      <c r="D1186" s="71" t="s">
        <v>382</v>
      </c>
      <c r="E1186" s="71" t="str">
        <f>MID(D1186,1,2)</f>
        <v>IL</v>
      </c>
      <c r="F1186" s="71" t="s">
        <v>2090</v>
      </c>
      <c r="G1186" s="71" t="str">
        <f>MID(F1186,1,2)</f>
        <v>NO</v>
      </c>
      <c r="H1186" s="43" t="s">
        <v>2284</v>
      </c>
      <c r="I1186" s="71" t="s">
        <v>2285</v>
      </c>
      <c r="J1186" s="71" t="s">
        <v>386</v>
      </c>
      <c r="K1186" s="43"/>
      <c r="L1186" s="71" t="s">
        <v>107</v>
      </c>
      <c r="M1186" s="73">
        <v>453</v>
      </c>
      <c r="N1186" s="71" t="s">
        <v>388</v>
      </c>
      <c r="O1186" s="73">
        <v>0.614</v>
      </c>
      <c r="P1186" s="71" t="s">
        <v>389</v>
      </c>
      <c r="Q1186" s="73">
        <v>453</v>
      </c>
      <c r="R1186" s="71" t="s">
        <v>388</v>
      </c>
      <c r="S1186" s="73">
        <v>0</v>
      </c>
      <c r="T1186" s="71" t="s">
        <v>390</v>
      </c>
      <c r="U1186" s="74">
        <v>1</v>
      </c>
      <c r="V1186" s="71" t="s">
        <v>391</v>
      </c>
      <c r="W1186" s="130"/>
      <c r="X1186" s="72">
        <v>46066.572916666664</v>
      </c>
      <c r="Y1186" s="72">
        <v>46067.364583333336</v>
      </c>
      <c r="Z1186" s="104" t="s">
        <v>383</v>
      </c>
      <c r="AA1186" s="104" t="s">
        <v>2090</v>
      </c>
      <c r="AB1186" s="105">
        <v>46067.282638888886</v>
      </c>
      <c r="AC1186" s="105">
        <v>46067.357638888891</v>
      </c>
    </row>
    <row r="1187" s="70" customFormat="1" ht="11.25" customHeight="1">
      <c r="A1187" s="87"/>
      <c r="C1187" s="43" t="s">
        <v>2286</v>
      </c>
      <c r="D1187" s="71" t="s">
        <v>382</v>
      </c>
      <c r="E1187" s="71" t="str">
        <f>MID(D1187,1,2)</f>
        <v>IL</v>
      </c>
      <c r="F1187" s="71" t="s">
        <v>465</v>
      </c>
      <c r="G1187" s="71" t="str">
        <f>MID(F1187,1,2)</f>
        <v>AZ</v>
      </c>
      <c r="H1187" s="43" t="s">
        <v>2287</v>
      </c>
      <c r="I1187" s="71"/>
      <c r="J1187" s="71" t="s">
        <v>426</v>
      </c>
      <c r="K1187" s="43"/>
      <c r="L1187" s="71" t="s">
        <v>105</v>
      </c>
      <c r="M1187" s="73">
        <v>20</v>
      </c>
      <c r="N1187" s="71" t="s">
        <v>388</v>
      </c>
      <c r="O1187" s="73">
        <v>0.389</v>
      </c>
      <c r="P1187" s="71" t="s">
        <v>389</v>
      </c>
      <c r="Q1187" s="73">
        <v>100</v>
      </c>
      <c r="R1187" s="71" t="s">
        <v>388</v>
      </c>
      <c r="S1187" s="73">
        <v>0</v>
      </c>
      <c r="T1187" s="71" t="s">
        <v>390</v>
      </c>
      <c r="U1187" s="74">
        <v>1</v>
      </c>
      <c r="V1187" s="71" t="s">
        <v>391</v>
      </c>
      <c r="W1187" s="130">
        <v>46064.57708333333</v>
      </c>
      <c r="X1187" s="72">
        <v>46071.951388888891</v>
      </c>
      <c r="Y1187" s="72">
        <v>46072.878472222219</v>
      </c>
      <c r="Z1187" s="104" t="s">
        <v>382</v>
      </c>
      <c r="AA1187" s="104" t="s">
        <v>465</v>
      </c>
      <c r="AB1187" s="105">
        <v>46071.973611111112</v>
      </c>
      <c r="AC1187" s="105">
        <v>46072.181944444441</v>
      </c>
    </row>
    <row r="1188" s="70" customFormat="1" ht="11.25" customHeight="1">
      <c r="A1188" s="87"/>
      <c r="C1188" s="43" t="s">
        <v>2288</v>
      </c>
      <c r="D1188" s="71" t="s">
        <v>382</v>
      </c>
      <c r="E1188" s="71" t="str">
        <f>MID(D1188,1,2)</f>
        <v>IL</v>
      </c>
      <c r="F1188" s="71" t="s">
        <v>443</v>
      </c>
      <c r="G1188" s="71" t="str">
        <f>MID(F1188,1,2)</f>
        <v>US</v>
      </c>
      <c r="H1188" s="43" t="s">
        <v>2289</v>
      </c>
      <c r="I1188" s="71" t="s">
        <v>2290</v>
      </c>
      <c r="J1188" s="71" t="s">
        <v>755</v>
      </c>
      <c r="K1188" s="43"/>
      <c r="L1188" s="71" t="s">
        <v>105</v>
      </c>
      <c r="M1188" s="73">
        <v>169</v>
      </c>
      <c r="N1188" s="71" t="s">
        <v>388</v>
      </c>
      <c r="O1188" s="73">
        <v>1.344</v>
      </c>
      <c r="P1188" s="71" t="s">
        <v>389</v>
      </c>
      <c r="Q1188" s="73">
        <v>224</v>
      </c>
      <c r="R1188" s="71" t="s">
        <v>388</v>
      </c>
      <c r="S1188" s="73">
        <v>0</v>
      </c>
      <c r="T1188" s="71" t="s">
        <v>390</v>
      </c>
      <c r="U1188" s="74">
        <v>1</v>
      </c>
      <c r="V1188" s="71" t="s">
        <v>391</v>
      </c>
      <c r="W1188" s="130">
        <v>46064.584027777775</v>
      </c>
      <c r="X1188" s="72">
        <v>46066.965277777781</v>
      </c>
      <c r="Y1188" s="72">
        <v>46067.7625</v>
      </c>
      <c r="Z1188" s="104" t="s">
        <v>382</v>
      </c>
      <c r="AA1188" s="104" t="s">
        <v>422</v>
      </c>
      <c r="AB1188" s="105">
        <v>46066.967361111114</v>
      </c>
      <c r="AC1188" s="105">
        <v>46067.170138888891</v>
      </c>
    </row>
    <row r="1189" s="70" customFormat="1" ht="11.25" customHeight="1">
      <c r="A1189" s="87"/>
      <c r="C1189" s="43" t="s">
        <v>2288</v>
      </c>
      <c r="D1189" s="71" t="s">
        <v>382</v>
      </c>
      <c r="E1189" s="71" t="str">
        <f>MID(D1189,1,2)</f>
        <v>IL</v>
      </c>
      <c r="F1189" s="71" t="s">
        <v>443</v>
      </c>
      <c r="G1189" s="71" t="str">
        <f>MID(F1189,1,2)</f>
        <v>US</v>
      </c>
      <c r="H1189" s="43" t="s">
        <v>2289</v>
      </c>
      <c r="I1189" s="71" t="s">
        <v>2290</v>
      </c>
      <c r="J1189" s="71" t="s">
        <v>755</v>
      </c>
      <c r="K1189" s="43"/>
      <c r="L1189" s="71" t="s">
        <v>105</v>
      </c>
      <c r="M1189" s="73">
        <v>169</v>
      </c>
      <c r="N1189" s="71" t="s">
        <v>388</v>
      </c>
      <c r="O1189" s="73">
        <v>1.344</v>
      </c>
      <c r="P1189" s="71" t="s">
        <v>389</v>
      </c>
      <c r="Q1189" s="73">
        <v>224</v>
      </c>
      <c r="R1189" s="71" t="s">
        <v>388</v>
      </c>
      <c r="S1189" s="73">
        <v>0</v>
      </c>
      <c r="T1189" s="71" t="s">
        <v>390</v>
      </c>
      <c r="U1189" s="74">
        <v>1</v>
      </c>
      <c r="V1189" s="71" t="s">
        <v>391</v>
      </c>
      <c r="W1189" s="130">
        <v>46064.584027777775</v>
      </c>
      <c r="X1189" s="72">
        <v>46066.965277777781</v>
      </c>
      <c r="Y1189" s="72">
        <v>46067.7625</v>
      </c>
      <c r="Z1189" s="104" t="s">
        <v>422</v>
      </c>
      <c r="AA1189" s="104" t="s">
        <v>443</v>
      </c>
      <c r="AB1189" s="105">
        <v>46067.635416666664</v>
      </c>
      <c r="AC1189" s="105">
        <v>46067.761805555558</v>
      </c>
    </row>
    <row r="1190" s="70" customFormat="1" ht="11.25" customHeight="1">
      <c r="A1190" s="87"/>
      <c r="C1190" s="43" t="s">
        <v>2291</v>
      </c>
      <c r="D1190" s="71" t="s">
        <v>382</v>
      </c>
      <c r="E1190" s="71" t="str">
        <f>MID(D1190,1,2)</f>
        <v>IL</v>
      </c>
      <c r="F1190" s="71" t="s">
        <v>496</v>
      </c>
      <c r="G1190" s="71" t="str">
        <f>MID(F1190,1,2)</f>
        <v>RO</v>
      </c>
      <c r="H1190" s="43" t="s">
        <v>2292</v>
      </c>
      <c r="I1190" s="71" t="s">
        <v>2293</v>
      </c>
      <c r="J1190" s="71" t="s">
        <v>400</v>
      </c>
      <c r="K1190" s="43"/>
      <c r="L1190" s="71" t="s">
        <v>105</v>
      </c>
      <c r="M1190" s="73">
        <v>27</v>
      </c>
      <c r="N1190" s="71" t="s">
        <v>388</v>
      </c>
      <c r="O1190" s="73">
        <v>0.506</v>
      </c>
      <c r="P1190" s="71" t="s">
        <v>389</v>
      </c>
      <c r="Q1190" s="73">
        <v>84.5</v>
      </c>
      <c r="R1190" s="71" t="s">
        <v>388</v>
      </c>
      <c r="S1190" s="73">
        <v>0</v>
      </c>
      <c r="T1190" s="71" t="s">
        <v>390</v>
      </c>
      <c r="U1190" s="74">
        <v>1</v>
      </c>
      <c r="V1190" s="71" t="s">
        <v>391</v>
      </c>
      <c r="W1190" s="130">
        <v>46064.597916666666</v>
      </c>
      <c r="X1190" s="72">
        <v>46065.56527777778</v>
      </c>
      <c r="Y1190" s="72">
        <v>46065.56527777778</v>
      </c>
      <c r="Z1190" s="104" t="s">
        <v>382</v>
      </c>
      <c r="AA1190" s="104" t="s">
        <v>496</v>
      </c>
      <c r="AB1190" s="105">
        <v>46065.241666666669</v>
      </c>
      <c r="AC1190" s="105">
        <v>46065.347222222219</v>
      </c>
    </row>
    <row r="1191" s="70" customFormat="1" ht="11.25" customHeight="1">
      <c r="A1191" s="87"/>
      <c r="C1191" s="43" t="s">
        <v>2294</v>
      </c>
      <c r="D1191" s="71" t="s">
        <v>382</v>
      </c>
      <c r="E1191" s="71" t="str">
        <f>MID(D1191,1,2)</f>
        <v>IL</v>
      </c>
      <c r="F1191" s="71" t="s">
        <v>1108</v>
      </c>
      <c r="G1191" s="71" t="str">
        <f>MID(F1191,1,2)</f>
        <v>TW</v>
      </c>
      <c r="H1191" s="43" t="s">
        <v>2295</v>
      </c>
      <c r="I1191" s="71" t="s">
        <v>2296</v>
      </c>
      <c r="J1191" s="71" t="s">
        <v>386</v>
      </c>
      <c r="K1191" s="43"/>
      <c r="L1191" s="71" t="s">
        <v>107</v>
      </c>
      <c r="M1191" s="73">
        <v>2883</v>
      </c>
      <c r="N1191" s="71" t="s">
        <v>388</v>
      </c>
      <c r="O1191" s="73">
        <v>21.876</v>
      </c>
      <c r="P1191" s="71" t="s">
        <v>389</v>
      </c>
      <c r="Q1191" s="73">
        <v>3646</v>
      </c>
      <c r="R1191" s="71" t="s">
        <v>388</v>
      </c>
      <c r="S1191" s="73">
        <v>0</v>
      </c>
      <c r="T1191" s="71" t="s">
        <v>390</v>
      </c>
      <c r="U1191" s="74">
        <v>3</v>
      </c>
      <c r="V1191" s="71" t="s">
        <v>391</v>
      </c>
      <c r="W1191" s="130">
        <v>46087.563194444447</v>
      </c>
      <c r="X1191" s="72">
        <v>46093.951388888891</v>
      </c>
      <c r="Y1191" s="72">
        <v>46102.677083333336</v>
      </c>
      <c r="Z1191" s="104" t="s">
        <v>382</v>
      </c>
      <c r="AA1191" s="104" t="s">
        <v>466</v>
      </c>
      <c r="AB1191" s="105">
        <v>46094.325694444444</v>
      </c>
      <c r="AC1191" s="105">
        <v>46094.4625</v>
      </c>
    </row>
    <row r="1192" s="70" customFormat="1" ht="11.25" customHeight="1">
      <c r="A1192" s="87"/>
      <c r="C1192" s="43" t="s">
        <v>2294</v>
      </c>
      <c r="D1192" s="71" t="s">
        <v>382</v>
      </c>
      <c r="E1192" s="71" t="str">
        <f>MID(D1192,1,2)</f>
        <v>IL</v>
      </c>
      <c r="F1192" s="71" t="s">
        <v>1108</v>
      </c>
      <c r="G1192" s="71" t="str">
        <f>MID(F1192,1,2)</f>
        <v>TW</v>
      </c>
      <c r="H1192" s="43" t="s">
        <v>2295</v>
      </c>
      <c r="I1192" s="71" t="s">
        <v>2296</v>
      </c>
      <c r="J1192" s="71" t="s">
        <v>386</v>
      </c>
      <c r="K1192" s="43"/>
      <c r="L1192" s="71" t="s">
        <v>107</v>
      </c>
      <c r="M1192" s="73">
        <v>2883</v>
      </c>
      <c r="N1192" s="71" t="s">
        <v>388</v>
      </c>
      <c r="O1192" s="73">
        <v>21.876</v>
      </c>
      <c r="P1192" s="71" t="s">
        <v>389</v>
      </c>
      <c r="Q1192" s="73">
        <v>3646</v>
      </c>
      <c r="R1192" s="71" t="s">
        <v>388</v>
      </c>
      <c r="S1192" s="73">
        <v>0</v>
      </c>
      <c r="T1192" s="71" t="s">
        <v>390</v>
      </c>
      <c r="U1192" s="74">
        <v>3</v>
      </c>
      <c r="V1192" s="71" t="s">
        <v>391</v>
      </c>
      <c r="W1192" s="130">
        <v>46087.563194444447</v>
      </c>
      <c r="X1192" s="72">
        <v>46093.951388888891</v>
      </c>
      <c r="Y1192" s="72">
        <v>46102.677083333336</v>
      </c>
      <c r="Z1192" s="104" t="s">
        <v>466</v>
      </c>
      <c r="AA1192" s="104" t="s">
        <v>1370</v>
      </c>
      <c r="AB1192" s="105">
        <v>46095.010416666664</v>
      </c>
      <c r="AC1192" s="105">
        <v>46095.120138888888</v>
      </c>
    </row>
    <row r="1193" s="70" customFormat="1" ht="11.25" customHeight="1">
      <c r="A1193" s="87"/>
      <c r="C1193" s="43" t="s">
        <v>2294</v>
      </c>
      <c r="D1193" s="71" t="s">
        <v>382</v>
      </c>
      <c r="E1193" s="71" t="str">
        <f>MID(D1193,1,2)</f>
        <v>IL</v>
      </c>
      <c r="F1193" s="71" t="s">
        <v>1108</v>
      </c>
      <c r="G1193" s="71" t="str">
        <f>MID(F1193,1,2)</f>
        <v>TW</v>
      </c>
      <c r="H1193" s="43" t="s">
        <v>2295</v>
      </c>
      <c r="I1193" s="71" t="s">
        <v>2296</v>
      </c>
      <c r="J1193" s="71" t="s">
        <v>386</v>
      </c>
      <c r="K1193" s="43"/>
      <c r="L1193" s="71" t="s">
        <v>107</v>
      </c>
      <c r="M1193" s="73">
        <v>2883</v>
      </c>
      <c r="N1193" s="71" t="s">
        <v>388</v>
      </c>
      <c r="O1193" s="73">
        <v>21.876</v>
      </c>
      <c r="P1193" s="71" t="s">
        <v>389</v>
      </c>
      <c r="Q1193" s="73">
        <v>3646</v>
      </c>
      <c r="R1193" s="71" t="s">
        <v>388</v>
      </c>
      <c r="S1193" s="73">
        <v>0</v>
      </c>
      <c r="T1193" s="71" t="s">
        <v>390</v>
      </c>
      <c r="U1193" s="74">
        <v>3</v>
      </c>
      <c r="V1193" s="71" t="s">
        <v>391</v>
      </c>
      <c r="W1193" s="130">
        <v>46087.563194444447</v>
      </c>
      <c r="X1193" s="72">
        <v>46093.951388888891</v>
      </c>
      <c r="Y1193" s="72">
        <v>46102.677083333336</v>
      </c>
      <c r="Z1193" s="104" t="s">
        <v>1370</v>
      </c>
      <c r="AA1193" s="104" t="s">
        <v>1108</v>
      </c>
      <c r="AB1193" s="105">
        <v>46100.897916666669</v>
      </c>
      <c r="AC1193" s="105">
        <v>46099.932638888888</v>
      </c>
    </row>
    <row r="1194" s="70" customFormat="1" ht="11.25" customHeight="1">
      <c r="A1194" s="87"/>
      <c r="C1194" s="43" t="s">
        <v>2297</v>
      </c>
      <c r="D1194" s="71" t="s">
        <v>382</v>
      </c>
      <c r="E1194" s="71" t="str">
        <f>MID(D1194,1,2)</f>
        <v>IL</v>
      </c>
      <c r="F1194" s="71" t="s">
        <v>422</v>
      </c>
      <c r="G1194" s="71" t="str">
        <f>MID(F1194,1,2)</f>
        <v>US</v>
      </c>
      <c r="H1194" s="43" t="s">
        <v>2298</v>
      </c>
      <c r="I1194" s="71"/>
      <c r="J1194" s="71" t="s">
        <v>426</v>
      </c>
      <c r="K1194" s="43"/>
      <c r="L1194" s="71" t="s">
        <v>105</v>
      </c>
      <c r="M1194" s="73">
        <v>5951</v>
      </c>
      <c r="N1194" s="71" t="s">
        <v>388</v>
      </c>
      <c r="O1194" s="73">
        <v>20.64</v>
      </c>
      <c r="P1194" s="71" t="s">
        <v>389</v>
      </c>
      <c r="Q1194" s="73">
        <v>5951</v>
      </c>
      <c r="R1194" s="71" t="s">
        <v>388</v>
      </c>
      <c r="S1194" s="73">
        <v>0</v>
      </c>
      <c r="T1194" s="71" t="s">
        <v>390</v>
      </c>
      <c r="U1194" s="74">
        <v>18</v>
      </c>
      <c r="V1194" s="71" t="s">
        <v>391</v>
      </c>
      <c r="W1194" s="130">
        <v>46064.652777777781</v>
      </c>
      <c r="X1194" s="72">
        <v>46069.041666666664</v>
      </c>
      <c r="Y1194" s="72">
        <v>46070.211805555555</v>
      </c>
      <c r="Z1194" s="104" t="s">
        <v>382</v>
      </c>
      <c r="AA1194" s="104" t="s">
        <v>422</v>
      </c>
      <c r="AB1194" s="105">
        <v>46070.009027777778</v>
      </c>
      <c r="AC1194" s="105">
        <v>46070.188194444447</v>
      </c>
    </row>
    <row r="1195" s="70" customFormat="1" ht="11.25" customHeight="1">
      <c r="A1195" s="87"/>
      <c r="C1195" s="43" t="s">
        <v>2299</v>
      </c>
      <c r="D1195" s="71" t="s">
        <v>382</v>
      </c>
      <c r="E1195" s="71" t="str">
        <f>MID(D1195,1,2)</f>
        <v>IL</v>
      </c>
      <c r="F1195" s="71" t="s">
        <v>1108</v>
      </c>
      <c r="G1195" s="71" t="str">
        <f>MID(F1195,1,2)</f>
        <v>TW</v>
      </c>
      <c r="H1195" s="43" t="s">
        <v>2295</v>
      </c>
      <c r="I1195" s="71" t="s">
        <v>2300</v>
      </c>
      <c r="J1195" s="71" t="s">
        <v>386</v>
      </c>
      <c r="K1195" s="43"/>
      <c r="L1195" s="71" t="s">
        <v>107</v>
      </c>
      <c r="M1195" s="73">
        <v>2704</v>
      </c>
      <c r="N1195" s="71" t="s">
        <v>388</v>
      </c>
      <c r="O1195" s="73">
        <v>21.197</v>
      </c>
      <c r="P1195" s="71" t="s">
        <v>389</v>
      </c>
      <c r="Q1195" s="73">
        <v>3533</v>
      </c>
      <c r="R1195" s="71" t="s">
        <v>388</v>
      </c>
      <c r="S1195" s="73">
        <v>0</v>
      </c>
      <c r="T1195" s="71" t="s">
        <v>390</v>
      </c>
      <c r="U1195" s="74">
        <v>3</v>
      </c>
      <c r="V1195" s="71" t="s">
        <v>391</v>
      </c>
      <c r="W1195" s="130">
        <v>46089.469444444447</v>
      </c>
      <c r="X1195" s="72">
        <v>46093.951388888891</v>
      </c>
      <c r="Y1195" s="72">
        <v>46099.979166666664</v>
      </c>
      <c r="Z1195" s="104" t="s">
        <v>382</v>
      </c>
      <c r="AA1195" s="104" t="s">
        <v>466</v>
      </c>
      <c r="AB1195" s="105">
        <v>46094.325694444444</v>
      </c>
      <c r="AC1195" s="105">
        <v>46094.4625</v>
      </c>
    </row>
    <row r="1196" s="70" customFormat="1" ht="11.25" customHeight="1">
      <c r="A1196" s="87"/>
      <c r="C1196" s="43" t="s">
        <v>2299</v>
      </c>
      <c r="D1196" s="71" t="s">
        <v>382</v>
      </c>
      <c r="E1196" s="71" t="str">
        <f>MID(D1196,1,2)</f>
        <v>IL</v>
      </c>
      <c r="F1196" s="71" t="s">
        <v>1108</v>
      </c>
      <c r="G1196" s="71" t="str">
        <f>MID(F1196,1,2)</f>
        <v>TW</v>
      </c>
      <c r="H1196" s="43" t="s">
        <v>2295</v>
      </c>
      <c r="I1196" s="71" t="s">
        <v>2300</v>
      </c>
      <c r="J1196" s="71" t="s">
        <v>386</v>
      </c>
      <c r="K1196" s="43"/>
      <c r="L1196" s="71" t="s">
        <v>107</v>
      </c>
      <c r="M1196" s="73">
        <v>2704</v>
      </c>
      <c r="N1196" s="71" t="s">
        <v>388</v>
      </c>
      <c r="O1196" s="73">
        <v>21.197</v>
      </c>
      <c r="P1196" s="71" t="s">
        <v>389</v>
      </c>
      <c r="Q1196" s="73">
        <v>3533</v>
      </c>
      <c r="R1196" s="71" t="s">
        <v>388</v>
      </c>
      <c r="S1196" s="73">
        <v>0</v>
      </c>
      <c r="T1196" s="71" t="s">
        <v>390</v>
      </c>
      <c r="U1196" s="74">
        <v>3</v>
      </c>
      <c r="V1196" s="71" t="s">
        <v>391</v>
      </c>
      <c r="W1196" s="130">
        <v>46089.469444444447</v>
      </c>
      <c r="X1196" s="72">
        <v>46093.951388888891</v>
      </c>
      <c r="Y1196" s="72">
        <v>46099.979166666664</v>
      </c>
      <c r="Z1196" s="104" t="s">
        <v>466</v>
      </c>
      <c r="AA1196" s="104" t="s">
        <v>1370</v>
      </c>
      <c r="AB1196" s="105">
        <v>46095.010416666664</v>
      </c>
      <c r="AC1196" s="105">
        <v>46095.120138888888</v>
      </c>
    </row>
    <row r="1197" s="70" customFormat="1" ht="11.25" customHeight="1">
      <c r="A1197" s="87"/>
      <c r="C1197" s="43" t="s">
        <v>2299</v>
      </c>
      <c r="D1197" s="71" t="s">
        <v>382</v>
      </c>
      <c r="E1197" s="71" t="str">
        <f>MID(D1197,1,2)</f>
        <v>IL</v>
      </c>
      <c r="F1197" s="71" t="s">
        <v>1108</v>
      </c>
      <c r="G1197" s="71" t="str">
        <f>MID(F1197,1,2)</f>
        <v>TW</v>
      </c>
      <c r="H1197" s="43" t="s">
        <v>2295</v>
      </c>
      <c r="I1197" s="71" t="s">
        <v>2300</v>
      </c>
      <c r="J1197" s="71" t="s">
        <v>386</v>
      </c>
      <c r="K1197" s="43"/>
      <c r="L1197" s="71" t="s">
        <v>107</v>
      </c>
      <c r="M1197" s="73">
        <v>2704</v>
      </c>
      <c r="N1197" s="71" t="s">
        <v>388</v>
      </c>
      <c r="O1197" s="73">
        <v>21.197</v>
      </c>
      <c r="P1197" s="71" t="s">
        <v>389</v>
      </c>
      <c r="Q1197" s="73">
        <v>3533</v>
      </c>
      <c r="R1197" s="71" t="s">
        <v>388</v>
      </c>
      <c r="S1197" s="73">
        <v>0</v>
      </c>
      <c r="T1197" s="71" t="s">
        <v>390</v>
      </c>
      <c r="U1197" s="74">
        <v>3</v>
      </c>
      <c r="V1197" s="71" t="s">
        <v>391</v>
      </c>
      <c r="W1197" s="130">
        <v>46089.469444444447</v>
      </c>
      <c r="X1197" s="72">
        <v>46093.951388888891</v>
      </c>
      <c r="Y1197" s="72">
        <v>46099.979166666664</v>
      </c>
      <c r="Z1197" s="104" t="s">
        <v>1370</v>
      </c>
      <c r="AA1197" s="104" t="s">
        <v>1108</v>
      </c>
      <c r="AB1197" s="105">
        <v>46100.897916666669</v>
      </c>
      <c r="AC1197" s="105">
        <v>46099.932638888888</v>
      </c>
    </row>
    <row r="1198" s="70" customFormat="1" ht="11.25" customHeight="1">
      <c r="A1198" s="87"/>
      <c r="C1198" s="43" t="s">
        <v>2301</v>
      </c>
      <c r="D1198" s="71" t="s">
        <v>382</v>
      </c>
      <c r="E1198" s="71" t="str">
        <f>MID(D1198,1,2)</f>
        <v>IL</v>
      </c>
      <c r="F1198" s="71" t="s">
        <v>419</v>
      </c>
      <c r="G1198" s="71" t="str">
        <f>MID(F1198,1,2)</f>
        <v>US</v>
      </c>
      <c r="H1198" s="43" t="s">
        <v>2302</v>
      </c>
      <c r="I1198" s="71" t="s">
        <v>2303</v>
      </c>
      <c r="J1198" s="71" t="s">
        <v>386</v>
      </c>
      <c r="K1198" s="43"/>
      <c r="L1198" s="71" t="s">
        <v>107</v>
      </c>
      <c r="M1198" s="73">
        <v>6</v>
      </c>
      <c r="N1198" s="71" t="s">
        <v>388</v>
      </c>
      <c r="O1198" s="73">
        <v>0.105</v>
      </c>
      <c r="P1198" s="71" t="s">
        <v>389</v>
      </c>
      <c r="Q1198" s="73">
        <v>17.5</v>
      </c>
      <c r="R1198" s="71" t="s">
        <v>388</v>
      </c>
      <c r="S1198" s="73">
        <v>0</v>
      </c>
      <c r="T1198" s="71" t="s">
        <v>390</v>
      </c>
      <c r="U1198" s="74">
        <v>1</v>
      </c>
      <c r="V1198" s="71" t="s">
        <v>391</v>
      </c>
      <c r="W1198" s="130">
        <v>46065.932789351849</v>
      </c>
      <c r="X1198" s="72">
        <v>46066.458333333336</v>
      </c>
      <c r="Y1198" s="72">
        <v>46076.791666666664</v>
      </c>
      <c r="Z1198" s="104" t="s">
        <v>382</v>
      </c>
      <c r="AA1198" s="104" t="s">
        <v>405</v>
      </c>
      <c r="AB1198" s="105">
        <v>46066.491666666669</v>
      </c>
      <c r="AC1198" s="105">
        <v>46066.68125</v>
      </c>
    </row>
    <row r="1199" s="70" customFormat="1" ht="11.25" customHeight="1">
      <c r="A1199" s="87"/>
      <c r="C1199" s="43" t="s">
        <v>2301</v>
      </c>
      <c r="D1199" s="71" t="s">
        <v>382</v>
      </c>
      <c r="E1199" s="71" t="str">
        <f>MID(D1199,1,2)</f>
        <v>IL</v>
      </c>
      <c r="F1199" s="71" t="s">
        <v>419</v>
      </c>
      <c r="G1199" s="71" t="str">
        <f>MID(F1199,1,2)</f>
        <v>US</v>
      </c>
      <c r="H1199" s="43" t="s">
        <v>2302</v>
      </c>
      <c r="I1199" s="71" t="s">
        <v>2303</v>
      </c>
      <c r="J1199" s="71" t="s">
        <v>386</v>
      </c>
      <c r="K1199" s="43"/>
      <c r="L1199" s="71" t="s">
        <v>107</v>
      </c>
      <c r="M1199" s="73">
        <v>6</v>
      </c>
      <c r="N1199" s="71" t="s">
        <v>388</v>
      </c>
      <c r="O1199" s="73">
        <v>0.105</v>
      </c>
      <c r="P1199" s="71" t="s">
        <v>389</v>
      </c>
      <c r="Q1199" s="73">
        <v>17.5</v>
      </c>
      <c r="R1199" s="71" t="s">
        <v>388</v>
      </c>
      <c r="S1199" s="73">
        <v>0</v>
      </c>
      <c r="T1199" s="71" t="s">
        <v>390</v>
      </c>
      <c r="U1199" s="74">
        <v>1</v>
      </c>
      <c r="V1199" s="71" t="s">
        <v>391</v>
      </c>
      <c r="W1199" s="130">
        <v>46065.932789351849</v>
      </c>
      <c r="X1199" s="72">
        <v>46066.458333333336</v>
      </c>
      <c r="Y1199" s="72">
        <v>46076.791666666664</v>
      </c>
      <c r="Z1199" s="104" t="s">
        <v>405</v>
      </c>
      <c r="AA1199" s="104" t="s">
        <v>419</v>
      </c>
      <c r="AB1199" s="105">
        <v>46073.411111111112</v>
      </c>
      <c r="AC1199" s="105">
        <v>46073.493055555555</v>
      </c>
    </row>
    <row r="1200" s="70" customFormat="1" ht="11.25" customHeight="1">
      <c r="A1200" s="87"/>
      <c r="C1200" s="43" t="s">
        <v>2304</v>
      </c>
      <c r="D1200" s="71" t="s">
        <v>382</v>
      </c>
      <c r="E1200" s="71" t="str">
        <f>MID(D1200,1,2)</f>
        <v>IL</v>
      </c>
      <c r="F1200" s="71" t="s">
        <v>1108</v>
      </c>
      <c r="G1200" s="71" t="str">
        <f>MID(F1200,1,2)</f>
        <v>TW</v>
      </c>
      <c r="H1200" s="43" t="s">
        <v>2305</v>
      </c>
      <c r="I1200" s="71" t="s">
        <v>2306</v>
      </c>
      <c r="J1200" s="71" t="s">
        <v>386</v>
      </c>
      <c r="K1200" s="43"/>
      <c r="L1200" s="71" t="s">
        <v>107</v>
      </c>
      <c r="M1200" s="73">
        <v>2948</v>
      </c>
      <c r="N1200" s="71" t="s">
        <v>388</v>
      </c>
      <c r="O1200" s="73">
        <v>21.876</v>
      </c>
      <c r="P1200" s="71" t="s">
        <v>389</v>
      </c>
      <c r="Q1200" s="73">
        <v>3646</v>
      </c>
      <c r="R1200" s="71" t="s">
        <v>388</v>
      </c>
      <c r="S1200" s="73">
        <v>0</v>
      </c>
      <c r="T1200" s="71" t="s">
        <v>390</v>
      </c>
      <c r="U1200" s="74">
        <v>3</v>
      </c>
      <c r="V1200" s="71" t="s">
        <v>391</v>
      </c>
      <c r="W1200" s="130">
        <v>46089.49375</v>
      </c>
      <c r="X1200" s="72">
        <v>46094.166666666664</v>
      </c>
      <c r="Y1200" s="72">
        <v>46102.677083333336</v>
      </c>
      <c r="Z1200" s="104" t="s">
        <v>382</v>
      </c>
      <c r="AA1200" s="104" t="s">
        <v>466</v>
      </c>
      <c r="AB1200" s="105">
        <v>46095.838194444441</v>
      </c>
      <c r="AC1200" s="105">
        <v>46095.968055555553</v>
      </c>
    </row>
    <row r="1201" s="70" customFormat="1" ht="11.25" customHeight="1">
      <c r="A1201" s="87"/>
      <c r="C1201" s="43" t="s">
        <v>2304</v>
      </c>
      <c r="D1201" s="71" t="s">
        <v>382</v>
      </c>
      <c r="E1201" s="71" t="str">
        <f>MID(D1201,1,2)</f>
        <v>IL</v>
      </c>
      <c r="F1201" s="71" t="s">
        <v>1108</v>
      </c>
      <c r="G1201" s="71" t="str">
        <f>MID(F1201,1,2)</f>
        <v>TW</v>
      </c>
      <c r="H1201" s="43" t="s">
        <v>2305</v>
      </c>
      <c r="I1201" s="71" t="s">
        <v>2306</v>
      </c>
      <c r="J1201" s="71" t="s">
        <v>386</v>
      </c>
      <c r="K1201" s="43"/>
      <c r="L1201" s="71" t="s">
        <v>107</v>
      </c>
      <c r="M1201" s="73">
        <v>2948</v>
      </c>
      <c r="N1201" s="71" t="s">
        <v>388</v>
      </c>
      <c r="O1201" s="73">
        <v>21.876</v>
      </c>
      <c r="P1201" s="71" t="s">
        <v>389</v>
      </c>
      <c r="Q1201" s="73">
        <v>3646</v>
      </c>
      <c r="R1201" s="71" t="s">
        <v>388</v>
      </c>
      <c r="S1201" s="73">
        <v>0</v>
      </c>
      <c r="T1201" s="71" t="s">
        <v>390</v>
      </c>
      <c r="U1201" s="74">
        <v>3</v>
      </c>
      <c r="V1201" s="71" t="s">
        <v>391</v>
      </c>
      <c r="W1201" s="130">
        <v>46089.49375</v>
      </c>
      <c r="X1201" s="72">
        <v>46094.166666666664</v>
      </c>
      <c r="Y1201" s="72">
        <v>46102.677083333336</v>
      </c>
      <c r="Z1201" s="104" t="s">
        <v>466</v>
      </c>
      <c r="AA1201" s="104" t="s">
        <v>1370</v>
      </c>
      <c r="AB1201" s="105">
        <v>46096.568055555559</v>
      </c>
      <c r="AC1201" s="105">
        <v>46096.695138888892</v>
      </c>
    </row>
    <row r="1202" s="70" customFormat="1" ht="11.25" customHeight="1">
      <c r="A1202" s="87"/>
      <c r="C1202" s="43" t="s">
        <v>2304</v>
      </c>
      <c r="D1202" s="71" t="s">
        <v>382</v>
      </c>
      <c r="E1202" s="71" t="str">
        <f>MID(D1202,1,2)</f>
        <v>IL</v>
      </c>
      <c r="F1202" s="71" t="s">
        <v>1108</v>
      </c>
      <c r="G1202" s="71" t="str">
        <f>MID(F1202,1,2)</f>
        <v>TW</v>
      </c>
      <c r="H1202" s="43" t="s">
        <v>2305</v>
      </c>
      <c r="I1202" s="71" t="s">
        <v>2306</v>
      </c>
      <c r="J1202" s="71" t="s">
        <v>386</v>
      </c>
      <c r="K1202" s="43"/>
      <c r="L1202" s="71" t="s">
        <v>107</v>
      </c>
      <c r="M1202" s="73">
        <v>2948</v>
      </c>
      <c r="N1202" s="71" t="s">
        <v>388</v>
      </c>
      <c r="O1202" s="73">
        <v>21.876</v>
      </c>
      <c r="P1202" s="71" t="s">
        <v>389</v>
      </c>
      <c r="Q1202" s="73">
        <v>3646</v>
      </c>
      <c r="R1202" s="71" t="s">
        <v>388</v>
      </c>
      <c r="S1202" s="73">
        <v>0</v>
      </c>
      <c r="T1202" s="71" t="s">
        <v>390</v>
      </c>
      <c r="U1202" s="74">
        <v>3</v>
      </c>
      <c r="V1202" s="71" t="s">
        <v>391</v>
      </c>
      <c r="W1202" s="130">
        <v>46089.49375</v>
      </c>
      <c r="X1202" s="72">
        <v>46094.166666666664</v>
      </c>
      <c r="Y1202" s="72">
        <v>46102.677083333336</v>
      </c>
      <c r="Z1202" s="104" t="s">
        <v>1370</v>
      </c>
      <c r="AA1202" s="104" t="s">
        <v>1108</v>
      </c>
      <c r="AB1202" s="105">
        <v>46100.897916666669</v>
      </c>
      <c r="AC1202" s="105">
        <v>46099.932638888888</v>
      </c>
    </row>
    <row r="1203" s="70" customFormat="1" ht="11.25" customHeight="1">
      <c r="A1203" s="87"/>
      <c r="C1203" s="43" t="s">
        <v>2307</v>
      </c>
      <c r="D1203" s="71" t="s">
        <v>382</v>
      </c>
      <c r="E1203" s="71" t="str">
        <f>MID(D1203,1,2)</f>
        <v>IL</v>
      </c>
      <c r="F1203" s="71" t="s">
        <v>978</v>
      </c>
      <c r="G1203" s="71" t="str">
        <f>MID(F1203,1,2)</f>
        <v>PL</v>
      </c>
      <c r="H1203" s="43" t="s">
        <v>2308</v>
      </c>
      <c r="I1203" s="71" t="s">
        <v>2309</v>
      </c>
      <c r="J1203" s="71" t="s">
        <v>426</v>
      </c>
      <c r="K1203" s="43"/>
      <c r="L1203" s="71" t="s">
        <v>105</v>
      </c>
      <c r="M1203" s="73">
        <v>36</v>
      </c>
      <c r="N1203" s="71" t="s">
        <v>388</v>
      </c>
      <c r="O1203" s="73">
        <v>0.169</v>
      </c>
      <c r="P1203" s="71" t="s">
        <v>389</v>
      </c>
      <c r="Q1203" s="73">
        <v>36</v>
      </c>
      <c r="R1203" s="71" t="s">
        <v>388</v>
      </c>
      <c r="S1203" s="73">
        <v>0</v>
      </c>
      <c r="T1203" s="71" t="s">
        <v>390</v>
      </c>
      <c r="U1203" s="74">
        <v>1</v>
      </c>
      <c r="V1203" s="71" t="s">
        <v>391</v>
      </c>
      <c r="W1203" s="130">
        <v>46065.825115740743</v>
      </c>
      <c r="X1203" s="72">
        <v>46068.690972222219</v>
      </c>
      <c r="Y1203" s="72">
        <v>46069.945833333331</v>
      </c>
      <c r="Z1203" s="104" t="s">
        <v>382</v>
      </c>
      <c r="AA1203" s="104" t="s">
        <v>383</v>
      </c>
      <c r="AB1203" s="105">
        <v>46068.717361111114</v>
      </c>
      <c r="AC1203" s="105">
        <v>46068.855555555558</v>
      </c>
    </row>
    <row r="1204" s="70" customFormat="1" ht="11.25" customHeight="1">
      <c r="A1204" s="87"/>
      <c r="C1204" s="43" t="s">
        <v>2307</v>
      </c>
      <c r="D1204" s="71" t="s">
        <v>382</v>
      </c>
      <c r="E1204" s="71" t="str">
        <f>MID(D1204,1,2)</f>
        <v>IL</v>
      </c>
      <c r="F1204" s="71" t="s">
        <v>978</v>
      </c>
      <c r="G1204" s="71" t="str">
        <f>MID(F1204,1,2)</f>
        <v>PL</v>
      </c>
      <c r="H1204" s="43" t="s">
        <v>2308</v>
      </c>
      <c r="I1204" s="71" t="s">
        <v>2309</v>
      </c>
      <c r="J1204" s="71" t="s">
        <v>426</v>
      </c>
      <c r="K1204" s="43"/>
      <c r="L1204" s="71" t="s">
        <v>105</v>
      </c>
      <c r="M1204" s="73">
        <v>36</v>
      </c>
      <c r="N1204" s="71" t="s">
        <v>388</v>
      </c>
      <c r="O1204" s="73">
        <v>0.169</v>
      </c>
      <c r="P1204" s="71" t="s">
        <v>389</v>
      </c>
      <c r="Q1204" s="73">
        <v>36</v>
      </c>
      <c r="R1204" s="71" t="s">
        <v>388</v>
      </c>
      <c r="S1204" s="73">
        <v>0</v>
      </c>
      <c r="T1204" s="71" t="s">
        <v>390</v>
      </c>
      <c r="U1204" s="74">
        <v>1</v>
      </c>
      <c r="V1204" s="71" t="s">
        <v>391</v>
      </c>
      <c r="W1204" s="130">
        <v>46065.825115740743</v>
      </c>
      <c r="X1204" s="72">
        <v>46068.690972222219</v>
      </c>
      <c r="Y1204" s="72">
        <v>46069.945833333331</v>
      </c>
      <c r="Z1204" s="104" t="s">
        <v>383</v>
      </c>
      <c r="AA1204" s="104" t="s">
        <v>978</v>
      </c>
      <c r="AB1204" s="105">
        <v>46069.874305555553</v>
      </c>
      <c r="AC1204" s="105">
        <v>46069.94027777778</v>
      </c>
    </row>
    <row r="1205" s="70" customFormat="1" ht="11.25" customHeight="1">
      <c r="A1205" s="87"/>
      <c r="C1205" s="43" t="s">
        <v>2310</v>
      </c>
      <c r="D1205" s="71" t="s">
        <v>382</v>
      </c>
      <c r="E1205" s="71" t="str">
        <f>MID(D1205,1,2)</f>
        <v>IL</v>
      </c>
      <c r="F1205" s="71" t="s">
        <v>1823</v>
      </c>
      <c r="G1205" s="71" t="str">
        <f>MID(F1205,1,2)</f>
        <v>DK</v>
      </c>
      <c r="H1205" s="43" t="s">
        <v>2253</v>
      </c>
      <c r="I1205" s="71" t="s">
        <v>2311</v>
      </c>
      <c r="J1205" s="71" t="s">
        <v>400</v>
      </c>
      <c r="K1205" s="43"/>
      <c r="L1205" s="71" t="s">
        <v>105</v>
      </c>
      <c r="M1205" s="73">
        <v>732</v>
      </c>
      <c r="N1205" s="71" t="s">
        <v>388</v>
      </c>
      <c r="O1205" s="73">
        <v>1.596</v>
      </c>
      <c r="P1205" s="71" t="s">
        <v>389</v>
      </c>
      <c r="Q1205" s="73">
        <v>732</v>
      </c>
      <c r="R1205" s="71" t="s">
        <v>388</v>
      </c>
      <c r="S1205" s="73">
        <v>0</v>
      </c>
      <c r="T1205" s="71" t="s">
        <v>390</v>
      </c>
      <c r="U1205" s="74">
        <v>4</v>
      </c>
      <c r="V1205" s="71" t="s">
        <v>391</v>
      </c>
      <c r="W1205" s="130">
        <v>46065.644444444442</v>
      </c>
      <c r="X1205" s="72">
        <v>46066.572916666664</v>
      </c>
      <c r="Y1205" s="72">
        <v>46069.291666666664</v>
      </c>
      <c r="Z1205" s="104" t="s">
        <v>382</v>
      </c>
      <c r="AA1205" s="104" t="s">
        <v>383</v>
      </c>
      <c r="AB1205" s="105">
        <v>46066.5625</v>
      </c>
      <c r="AC1205" s="105">
        <v>46066.709722222222</v>
      </c>
    </row>
    <row r="1206" s="70" customFormat="1" ht="11.25" customHeight="1">
      <c r="A1206" s="87"/>
      <c r="C1206" s="43" t="s">
        <v>2310</v>
      </c>
      <c r="D1206" s="71" t="s">
        <v>382</v>
      </c>
      <c r="E1206" s="71" t="str">
        <f>MID(D1206,1,2)</f>
        <v>IL</v>
      </c>
      <c r="F1206" s="71" t="s">
        <v>1823</v>
      </c>
      <c r="G1206" s="71" t="str">
        <f>MID(F1206,1,2)</f>
        <v>DK</v>
      </c>
      <c r="H1206" s="43" t="s">
        <v>2253</v>
      </c>
      <c r="I1206" s="71" t="s">
        <v>2311</v>
      </c>
      <c r="J1206" s="71" t="s">
        <v>400</v>
      </c>
      <c r="K1206" s="43"/>
      <c r="L1206" s="71" t="s">
        <v>105</v>
      </c>
      <c r="M1206" s="73">
        <v>732</v>
      </c>
      <c r="N1206" s="71" t="s">
        <v>388</v>
      </c>
      <c r="O1206" s="73">
        <v>1.596</v>
      </c>
      <c r="P1206" s="71" t="s">
        <v>389</v>
      </c>
      <c r="Q1206" s="73">
        <v>732</v>
      </c>
      <c r="R1206" s="71" t="s">
        <v>388</v>
      </c>
      <c r="S1206" s="73">
        <v>0</v>
      </c>
      <c r="T1206" s="71" t="s">
        <v>390</v>
      </c>
      <c r="U1206" s="74">
        <v>4</v>
      </c>
      <c r="V1206" s="71" t="s">
        <v>391</v>
      </c>
      <c r="W1206" s="130">
        <v>46065.644444444442</v>
      </c>
      <c r="X1206" s="72">
        <v>46066.572916666664</v>
      </c>
      <c r="Y1206" s="72">
        <v>46069.291666666664</v>
      </c>
      <c r="Z1206" s="104" t="s">
        <v>383</v>
      </c>
      <c r="AA1206" s="104" t="s">
        <v>1823</v>
      </c>
      <c r="AB1206" s="105">
        <v>46068.729166666664</v>
      </c>
      <c r="AC1206" s="105">
        <v>46069.354166666664</v>
      </c>
    </row>
    <row r="1207" s="70" customFormat="1" ht="11.25" customHeight="1">
      <c r="A1207" s="87"/>
      <c r="C1207" s="43" t="s">
        <v>2312</v>
      </c>
      <c r="D1207" s="71" t="s">
        <v>382</v>
      </c>
      <c r="E1207" s="71" t="str">
        <f>MID(D1207,1,2)</f>
        <v>IL</v>
      </c>
      <c r="F1207" s="71" t="s">
        <v>422</v>
      </c>
      <c r="G1207" s="71" t="str">
        <f>MID(F1207,1,2)</f>
        <v>US</v>
      </c>
      <c r="H1207" s="43" t="s">
        <v>2313</v>
      </c>
      <c r="I1207" s="71"/>
      <c r="J1207" s="71" t="s">
        <v>426</v>
      </c>
      <c r="K1207" s="43"/>
      <c r="L1207" s="71" t="s">
        <v>105</v>
      </c>
      <c r="M1207" s="73">
        <v>680</v>
      </c>
      <c r="N1207" s="71" t="s">
        <v>388</v>
      </c>
      <c r="O1207" s="73">
        <v>3.18</v>
      </c>
      <c r="P1207" s="71" t="s">
        <v>389</v>
      </c>
      <c r="Q1207" s="73">
        <v>680</v>
      </c>
      <c r="R1207" s="71" t="s">
        <v>388</v>
      </c>
      <c r="S1207" s="73">
        <v>0</v>
      </c>
      <c r="T1207" s="71" t="s">
        <v>390</v>
      </c>
      <c r="U1207" s="74">
        <v>4</v>
      </c>
      <c r="V1207" s="71" t="s">
        <v>391</v>
      </c>
      <c r="W1207" s="130">
        <v>46064.659722222219</v>
      </c>
      <c r="X1207" s="72">
        <v>46069.003472222219</v>
      </c>
      <c r="Y1207" s="72">
        <v>46070.211805555555</v>
      </c>
      <c r="Z1207" s="104" t="s">
        <v>382</v>
      </c>
      <c r="AA1207" s="104" t="s">
        <v>422</v>
      </c>
      <c r="AB1207" s="105">
        <v>46070.009027777778</v>
      </c>
      <c r="AC1207" s="105">
        <v>46070.188194444447</v>
      </c>
    </row>
    <row r="1208" s="70" customFormat="1" ht="11.25" customHeight="1">
      <c r="A1208" s="87"/>
      <c r="C1208" s="43" t="s">
        <v>2314</v>
      </c>
      <c r="D1208" s="71" t="s">
        <v>382</v>
      </c>
      <c r="E1208" s="71" t="str">
        <f>MID(D1208,1,2)</f>
        <v>IL</v>
      </c>
      <c r="F1208" s="71" t="s">
        <v>422</v>
      </c>
      <c r="G1208" s="71" t="str">
        <f>MID(F1208,1,2)</f>
        <v>US</v>
      </c>
      <c r="H1208" s="43" t="s">
        <v>1920</v>
      </c>
      <c r="I1208" s="71" t="s">
        <v>2315</v>
      </c>
      <c r="J1208" s="71" t="s">
        <v>454</v>
      </c>
      <c r="K1208" s="43" t="s">
        <v>431</v>
      </c>
      <c r="L1208" s="71" t="s">
        <v>107</v>
      </c>
      <c r="M1208" s="73">
        <v>2</v>
      </c>
      <c r="N1208" s="71" t="s">
        <v>388</v>
      </c>
      <c r="O1208" s="73">
        <v>0.018</v>
      </c>
      <c r="P1208" s="71" t="s">
        <v>389</v>
      </c>
      <c r="Q1208" s="73">
        <v>3</v>
      </c>
      <c r="R1208" s="71" t="s">
        <v>388</v>
      </c>
      <c r="S1208" s="73">
        <v>0</v>
      </c>
      <c r="T1208" s="71" t="s">
        <v>390</v>
      </c>
      <c r="U1208" s="74">
        <v>1</v>
      </c>
      <c r="V1208" s="71" t="s">
        <v>427</v>
      </c>
      <c r="W1208" s="130">
        <v>46064.611805555556</v>
      </c>
      <c r="X1208" s="72">
        <v>46067.479166666664</v>
      </c>
      <c r="Y1208" s="72">
        <v>46068.67291666667</v>
      </c>
      <c r="Z1208" s="104" t="s">
        <v>382</v>
      </c>
      <c r="AA1208" s="104" t="s">
        <v>422</v>
      </c>
      <c r="AB1208" s="105">
        <v>46067.470138888886</v>
      </c>
      <c r="AC1208" s="105">
        <v>46067.691666666666</v>
      </c>
    </row>
    <row r="1209" s="70" customFormat="1" ht="11.25" customHeight="1">
      <c r="A1209" s="87"/>
      <c r="C1209" s="43" t="s">
        <v>2316</v>
      </c>
      <c r="D1209" s="71" t="s">
        <v>382</v>
      </c>
      <c r="E1209" s="71" t="str">
        <f>MID(D1209,1,2)</f>
        <v>IL</v>
      </c>
      <c r="F1209" s="71" t="s">
        <v>546</v>
      </c>
      <c r="G1209" s="71" t="str">
        <f>MID(F1209,1,2)</f>
        <v>GB</v>
      </c>
      <c r="H1209" s="43" t="s">
        <v>2317</v>
      </c>
      <c r="I1209" s="71" t="s">
        <v>2318</v>
      </c>
      <c r="J1209" s="71" t="s">
        <v>400</v>
      </c>
      <c r="K1209" s="43"/>
      <c r="L1209" s="71" t="s">
        <v>105</v>
      </c>
      <c r="M1209" s="73">
        <v>97</v>
      </c>
      <c r="N1209" s="71" t="s">
        <v>388</v>
      </c>
      <c r="O1209" s="73">
        <v>0.196</v>
      </c>
      <c r="P1209" s="71" t="s">
        <v>389</v>
      </c>
      <c r="Q1209" s="73">
        <v>100</v>
      </c>
      <c r="R1209" s="71" t="s">
        <v>388</v>
      </c>
      <c r="S1209" s="73">
        <v>0</v>
      </c>
      <c r="T1209" s="71" t="s">
        <v>390</v>
      </c>
      <c r="U1209" s="74">
        <v>1</v>
      </c>
      <c r="V1209" s="71" t="s">
        <v>391</v>
      </c>
      <c r="W1209" s="130">
        <v>46065.73128472222</v>
      </c>
      <c r="X1209" s="72">
        <v>46068.381944444445</v>
      </c>
      <c r="Y1209" s="72">
        <v>46069.524305555555</v>
      </c>
      <c r="Z1209" s="104" t="s">
        <v>560</v>
      </c>
      <c r="AA1209" s="104" t="s">
        <v>561</v>
      </c>
      <c r="AB1209" s="105"/>
      <c r="AC1209" s="105"/>
    </row>
    <row r="1210" s="70" customFormat="1" ht="11.25" customHeight="1">
      <c r="A1210" s="87"/>
      <c r="C1210" s="43" t="s">
        <v>2316</v>
      </c>
      <c r="D1210" s="71" t="s">
        <v>382</v>
      </c>
      <c r="E1210" s="71" t="str">
        <f>MID(D1210,1,2)</f>
        <v>IL</v>
      </c>
      <c r="F1210" s="71" t="s">
        <v>546</v>
      </c>
      <c r="G1210" s="71" t="str">
        <f>MID(F1210,1,2)</f>
        <v>GB</v>
      </c>
      <c r="H1210" s="43" t="s">
        <v>2317</v>
      </c>
      <c r="I1210" s="71" t="s">
        <v>2318</v>
      </c>
      <c r="J1210" s="71" t="s">
        <v>400</v>
      </c>
      <c r="K1210" s="43"/>
      <c r="L1210" s="71" t="s">
        <v>105</v>
      </c>
      <c r="M1210" s="73">
        <v>97</v>
      </c>
      <c r="N1210" s="71" t="s">
        <v>388</v>
      </c>
      <c r="O1210" s="73">
        <v>0.196</v>
      </c>
      <c r="P1210" s="71" t="s">
        <v>389</v>
      </c>
      <c r="Q1210" s="73">
        <v>100</v>
      </c>
      <c r="R1210" s="71" t="s">
        <v>388</v>
      </c>
      <c r="S1210" s="73">
        <v>0</v>
      </c>
      <c r="T1210" s="71" t="s">
        <v>390</v>
      </c>
      <c r="U1210" s="74">
        <v>1</v>
      </c>
      <c r="V1210" s="71" t="s">
        <v>391</v>
      </c>
      <c r="W1210" s="130">
        <v>46065.73128472222</v>
      </c>
      <c r="X1210" s="72">
        <v>46068.381944444445</v>
      </c>
      <c r="Y1210" s="72">
        <v>46069.524305555555</v>
      </c>
      <c r="Z1210" s="104" t="s">
        <v>382</v>
      </c>
      <c r="AA1210" s="104" t="s">
        <v>546</v>
      </c>
      <c r="AB1210" s="105">
        <v>46069.38958333333</v>
      </c>
      <c r="AC1210" s="105">
        <v>46069.518055555556</v>
      </c>
    </row>
    <row r="1211" s="70" customFormat="1" ht="11.25" customHeight="1">
      <c r="A1211" s="87"/>
      <c r="C1211" s="43" t="s">
        <v>2319</v>
      </c>
      <c r="D1211" s="71" t="s">
        <v>382</v>
      </c>
      <c r="E1211" s="71" t="str">
        <f>MID(D1211,1,2)</f>
        <v>IL</v>
      </c>
      <c r="F1211" s="71" t="s">
        <v>1108</v>
      </c>
      <c r="G1211" s="71" t="str">
        <f>MID(F1211,1,2)</f>
        <v>TW</v>
      </c>
      <c r="H1211" s="43" t="s">
        <v>2295</v>
      </c>
      <c r="I1211" s="71" t="s">
        <v>2320</v>
      </c>
      <c r="J1211" s="71" t="s">
        <v>386</v>
      </c>
      <c r="K1211" s="43"/>
      <c r="L1211" s="71" t="s">
        <v>107</v>
      </c>
      <c r="M1211" s="73">
        <v>2960</v>
      </c>
      <c r="N1211" s="71" t="s">
        <v>388</v>
      </c>
      <c r="O1211" s="73">
        <v>21.876</v>
      </c>
      <c r="P1211" s="71" t="s">
        <v>389</v>
      </c>
      <c r="Q1211" s="73">
        <v>3646</v>
      </c>
      <c r="R1211" s="71" t="s">
        <v>388</v>
      </c>
      <c r="S1211" s="73">
        <v>0</v>
      </c>
      <c r="T1211" s="71" t="s">
        <v>390</v>
      </c>
      <c r="U1211" s="74">
        <v>3</v>
      </c>
      <c r="V1211" s="71" t="s">
        <v>391</v>
      </c>
      <c r="W1211" s="130">
        <v>46089.474305555559</v>
      </c>
      <c r="X1211" s="72">
        <v>46093.951388888891</v>
      </c>
      <c r="Y1211" s="72">
        <v>46099.979166666664</v>
      </c>
      <c r="Z1211" s="104" t="s">
        <v>382</v>
      </c>
      <c r="AA1211" s="104" t="s">
        <v>466</v>
      </c>
      <c r="AB1211" s="105">
        <v>46094.325694444444</v>
      </c>
      <c r="AC1211" s="105">
        <v>46094.4625</v>
      </c>
    </row>
    <row r="1212" s="70" customFormat="1" ht="11.25" customHeight="1">
      <c r="A1212" s="87"/>
      <c r="C1212" s="43" t="s">
        <v>2319</v>
      </c>
      <c r="D1212" s="71" t="s">
        <v>382</v>
      </c>
      <c r="E1212" s="71" t="str">
        <f>MID(D1212,1,2)</f>
        <v>IL</v>
      </c>
      <c r="F1212" s="71" t="s">
        <v>1108</v>
      </c>
      <c r="G1212" s="71" t="str">
        <f>MID(F1212,1,2)</f>
        <v>TW</v>
      </c>
      <c r="H1212" s="43" t="s">
        <v>2295</v>
      </c>
      <c r="I1212" s="71" t="s">
        <v>2320</v>
      </c>
      <c r="J1212" s="71" t="s">
        <v>386</v>
      </c>
      <c r="K1212" s="43"/>
      <c r="L1212" s="71" t="s">
        <v>107</v>
      </c>
      <c r="M1212" s="73">
        <v>2960</v>
      </c>
      <c r="N1212" s="71" t="s">
        <v>388</v>
      </c>
      <c r="O1212" s="73">
        <v>21.876</v>
      </c>
      <c r="P1212" s="71" t="s">
        <v>389</v>
      </c>
      <c r="Q1212" s="73">
        <v>3646</v>
      </c>
      <c r="R1212" s="71" t="s">
        <v>388</v>
      </c>
      <c r="S1212" s="73">
        <v>0</v>
      </c>
      <c r="T1212" s="71" t="s">
        <v>390</v>
      </c>
      <c r="U1212" s="74">
        <v>3</v>
      </c>
      <c r="V1212" s="71" t="s">
        <v>391</v>
      </c>
      <c r="W1212" s="130">
        <v>46089.474305555559</v>
      </c>
      <c r="X1212" s="72">
        <v>46093.951388888891</v>
      </c>
      <c r="Y1212" s="72">
        <v>46099.979166666664</v>
      </c>
      <c r="Z1212" s="104" t="s">
        <v>466</v>
      </c>
      <c r="AA1212" s="104" t="s">
        <v>1370</v>
      </c>
      <c r="AB1212" s="105">
        <v>46095.010416666664</v>
      </c>
      <c r="AC1212" s="105">
        <v>46095.120138888888</v>
      </c>
    </row>
    <row r="1213" s="70" customFormat="1" ht="11.25" customHeight="1">
      <c r="A1213" s="87"/>
      <c r="C1213" s="43" t="s">
        <v>2319</v>
      </c>
      <c r="D1213" s="71" t="s">
        <v>382</v>
      </c>
      <c r="E1213" s="71" t="str">
        <f>MID(D1213,1,2)</f>
        <v>IL</v>
      </c>
      <c r="F1213" s="71" t="s">
        <v>1108</v>
      </c>
      <c r="G1213" s="71" t="str">
        <f>MID(F1213,1,2)</f>
        <v>TW</v>
      </c>
      <c r="H1213" s="43" t="s">
        <v>2295</v>
      </c>
      <c r="I1213" s="71" t="s">
        <v>2320</v>
      </c>
      <c r="J1213" s="71" t="s">
        <v>386</v>
      </c>
      <c r="K1213" s="43"/>
      <c r="L1213" s="71" t="s">
        <v>107</v>
      </c>
      <c r="M1213" s="73">
        <v>2960</v>
      </c>
      <c r="N1213" s="71" t="s">
        <v>388</v>
      </c>
      <c r="O1213" s="73">
        <v>21.876</v>
      </c>
      <c r="P1213" s="71" t="s">
        <v>389</v>
      </c>
      <c r="Q1213" s="73">
        <v>3646</v>
      </c>
      <c r="R1213" s="71" t="s">
        <v>388</v>
      </c>
      <c r="S1213" s="73">
        <v>0</v>
      </c>
      <c r="T1213" s="71" t="s">
        <v>390</v>
      </c>
      <c r="U1213" s="74">
        <v>3</v>
      </c>
      <c r="V1213" s="71" t="s">
        <v>391</v>
      </c>
      <c r="W1213" s="130">
        <v>46089.474305555559</v>
      </c>
      <c r="X1213" s="72">
        <v>46093.951388888891</v>
      </c>
      <c r="Y1213" s="72">
        <v>46099.979166666664</v>
      </c>
      <c r="Z1213" s="104" t="s">
        <v>1370</v>
      </c>
      <c r="AA1213" s="104" t="s">
        <v>1108</v>
      </c>
      <c r="AB1213" s="105">
        <v>46100.897916666669</v>
      </c>
      <c r="AC1213" s="105">
        <v>46099.932638888888</v>
      </c>
    </row>
    <row r="1214" s="70" customFormat="1" ht="11.25" customHeight="1">
      <c r="A1214" s="87"/>
      <c r="C1214" s="43" t="s">
        <v>2321</v>
      </c>
      <c r="D1214" s="71" t="s">
        <v>808</v>
      </c>
      <c r="E1214" s="71" t="str">
        <f>MID(D1214,1,2)</f>
        <v>IL</v>
      </c>
      <c r="F1214" s="71" t="s">
        <v>1816</v>
      </c>
      <c r="G1214" s="71" t="str">
        <f>MID(F1214,1,2)</f>
        <v>CL</v>
      </c>
      <c r="H1214" s="43"/>
      <c r="I1214" s="71" t="s">
        <v>2322</v>
      </c>
      <c r="J1214" s="71" t="s">
        <v>811</v>
      </c>
      <c r="K1214" s="43"/>
      <c r="L1214" s="71" t="s">
        <v>105</v>
      </c>
      <c r="M1214" s="73">
        <v>0</v>
      </c>
      <c r="N1214" s="71" t="s">
        <v>388</v>
      </c>
      <c r="O1214" s="73">
        <v>0</v>
      </c>
      <c r="P1214" s="71" t="s">
        <v>389</v>
      </c>
      <c r="Q1214" s="73">
        <v>0</v>
      </c>
      <c r="R1214" s="71" t="s">
        <v>388</v>
      </c>
      <c r="S1214" s="73">
        <v>0</v>
      </c>
      <c r="T1214" s="71" t="s">
        <v>390</v>
      </c>
      <c r="U1214" s="74">
        <v>0</v>
      </c>
      <c r="V1214" s="71" t="s">
        <v>391</v>
      </c>
      <c r="W1214" s="130"/>
      <c r="X1214" s="72">
        <v>46064.615972222222</v>
      </c>
      <c r="Y1214" s="72">
        <v>46065.615972222222</v>
      </c>
      <c r="Z1214" s="104"/>
      <c r="AA1214" s="104"/>
      <c r="AB1214" s="105"/>
      <c r="AC1214" s="105"/>
    </row>
    <row r="1215" s="70" customFormat="1" ht="11.25" customHeight="1">
      <c r="A1215" s="87"/>
      <c r="C1215" s="43" t="s">
        <v>2323</v>
      </c>
      <c r="D1215" s="71" t="s">
        <v>382</v>
      </c>
      <c r="E1215" s="71" t="str">
        <f>MID(D1215,1,2)</f>
        <v>IL</v>
      </c>
      <c r="F1215" s="71" t="s">
        <v>422</v>
      </c>
      <c r="G1215" s="71" t="str">
        <f>MID(F1215,1,2)</f>
        <v>US</v>
      </c>
      <c r="H1215" s="43" t="s">
        <v>1920</v>
      </c>
      <c r="I1215" s="71" t="s">
        <v>2324</v>
      </c>
      <c r="J1215" s="71" t="s">
        <v>426</v>
      </c>
      <c r="K1215" s="43" t="s">
        <v>431</v>
      </c>
      <c r="L1215" s="71" t="s">
        <v>105</v>
      </c>
      <c r="M1215" s="73">
        <v>133</v>
      </c>
      <c r="N1215" s="71" t="s">
        <v>388</v>
      </c>
      <c r="O1215" s="73">
        <v>1.488</v>
      </c>
      <c r="P1215" s="71" t="s">
        <v>389</v>
      </c>
      <c r="Q1215" s="73">
        <v>248</v>
      </c>
      <c r="R1215" s="71" t="s">
        <v>388</v>
      </c>
      <c r="S1215" s="73">
        <v>0</v>
      </c>
      <c r="T1215" s="71" t="s">
        <v>390</v>
      </c>
      <c r="U1215" s="74">
        <v>2</v>
      </c>
      <c r="V1215" s="71" t="s">
        <v>391</v>
      </c>
      <c r="W1215" s="130">
        <v>46064.632638888892</v>
      </c>
      <c r="X1215" s="72">
        <v>46067.479166666664</v>
      </c>
      <c r="Y1215" s="72">
        <v>46068.67291666667</v>
      </c>
      <c r="Z1215" s="104" t="s">
        <v>382</v>
      </c>
      <c r="AA1215" s="104" t="s">
        <v>422</v>
      </c>
      <c r="AB1215" s="105">
        <v>46067.470138888886</v>
      </c>
      <c r="AC1215" s="105">
        <v>46067.691666666666</v>
      </c>
    </row>
    <row r="1216" s="70" customFormat="1" ht="11.25" customHeight="1">
      <c r="A1216" s="87"/>
      <c r="C1216" s="43" t="s">
        <v>2325</v>
      </c>
      <c r="D1216" s="71" t="s">
        <v>382</v>
      </c>
      <c r="E1216" s="71" t="str">
        <f>MID(D1216,1,2)</f>
        <v>IL</v>
      </c>
      <c r="F1216" s="71" t="s">
        <v>817</v>
      </c>
      <c r="G1216" s="71" t="str">
        <f>MID(F1216,1,2)</f>
        <v>IN</v>
      </c>
      <c r="H1216" s="43" t="s">
        <v>2238</v>
      </c>
      <c r="I1216" s="71" t="s">
        <v>2326</v>
      </c>
      <c r="J1216" s="71" t="s">
        <v>400</v>
      </c>
      <c r="K1216" s="43"/>
      <c r="L1216" s="71" t="s">
        <v>105</v>
      </c>
      <c r="M1216" s="73">
        <v>8</v>
      </c>
      <c r="N1216" s="71" t="s">
        <v>388</v>
      </c>
      <c r="O1216" s="73">
        <v>0.045</v>
      </c>
      <c r="P1216" s="71" t="s">
        <v>389</v>
      </c>
      <c r="Q1216" s="73">
        <v>8</v>
      </c>
      <c r="R1216" s="71" t="s">
        <v>388</v>
      </c>
      <c r="S1216" s="73">
        <v>0</v>
      </c>
      <c r="T1216" s="71" t="s">
        <v>390</v>
      </c>
      <c r="U1216" s="74">
        <v>1</v>
      </c>
      <c r="V1216" s="71" t="s">
        <v>391</v>
      </c>
      <c r="W1216" s="130">
        <v>46065.706944444442</v>
      </c>
      <c r="X1216" s="72">
        <v>46067.486111111109</v>
      </c>
      <c r="Y1216" s="72">
        <v>46067.868055555555</v>
      </c>
      <c r="Z1216" s="104" t="s">
        <v>382</v>
      </c>
      <c r="AA1216" s="104" t="s">
        <v>817</v>
      </c>
      <c r="AB1216" s="105">
        <v>46067.4875</v>
      </c>
      <c r="AC1216" s="105">
        <v>46067.850694444445</v>
      </c>
    </row>
    <row r="1217" s="70" customFormat="1" ht="11.25" customHeight="1">
      <c r="A1217" s="87"/>
      <c r="C1217" s="43" t="s">
        <v>2327</v>
      </c>
      <c r="D1217" s="71" t="s">
        <v>382</v>
      </c>
      <c r="E1217" s="71" t="str">
        <f>MID(D1217,1,2)</f>
        <v>IL</v>
      </c>
      <c r="F1217" s="71" t="s">
        <v>443</v>
      </c>
      <c r="G1217" s="71" t="str">
        <f>MID(F1217,1,2)</f>
        <v>US</v>
      </c>
      <c r="H1217" s="43" t="s">
        <v>2328</v>
      </c>
      <c r="I1217" s="71" t="s">
        <v>2329</v>
      </c>
      <c r="J1217" s="71" t="s">
        <v>386</v>
      </c>
      <c r="K1217" s="43"/>
      <c r="L1217" s="71" t="s">
        <v>107</v>
      </c>
      <c r="M1217" s="73">
        <v>150</v>
      </c>
      <c r="N1217" s="71" t="s">
        <v>388</v>
      </c>
      <c r="O1217" s="73">
        <v>1.18</v>
      </c>
      <c r="P1217" s="71" t="s">
        <v>389</v>
      </c>
      <c r="Q1217" s="73">
        <v>197</v>
      </c>
      <c r="R1217" s="71" t="s">
        <v>388</v>
      </c>
      <c r="S1217" s="73">
        <v>0</v>
      </c>
      <c r="T1217" s="71" t="s">
        <v>390</v>
      </c>
      <c r="U1217" s="74">
        <v>1</v>
      </c>
      <c r="V1217" s="71" t="s">
        <v>446</v>
      </c>
      <c r="W1217" s="130">
        <v>46068.52847222222</v>
      </c>
      <c r="X1217" s="72">
        <v>46070.479166666664</v>
      </c>
      <c r="Y1217" s="72">
        <v>46071.732638888891</v>
      </c>
      <c r="Z1217" s="104" t="s">
        <v>382</v>
      </c>
      <c r="AA1217" s="104" t="s">
        <v>422</v>
      </c>
      <c r="AB1217" s="105">
        <v>46070.6125</v>
      </c>
      <c r="AC1217" s="105">
        <v>46070.80625</v>
      </c>
    </row>
    <row r="1218" s="70" customFormat="1" ht="11.25" customHeight="1">
      <c r="A1218" s="87"/>
      <c r="C1218" s="43" t="s">
        <v>2327</v>
      </c>
      <c r="D1218" s="71" t="s">
        <v>382</v>
      </c>
      <c r="E1218" s="71" t="str">
        <f>MID(D1218,1,2)</f>
        <v>IL</v>
      </c>
      <c r="F1218" s="71" t="s">
        <v>443</v>
      </c>
      <c r="G1218" s="71" t="str">
        <f>MID(F1218,1,2)</f>
        <v>US</v>
      </c>
      <c r="H1218" s="43" t="s">
        <v>2328</v>
      </c>
      <c r="I1218" s="71" t="s">
        <v>2329</v>
      </c>
      <c r="J1218" s="71" t="s">
        <v>386</v>
      </c>
      <c r="K1218" s="43"/>
      <c r="L1218" s="71" t="s">
        <v>107</v>
      </c>
      <c r="M1218" s="73">
        <v>150</v>
      </c>
      <c r="N1218" s="71" t="s">
        <v>388</v>
      </c>
      <c r="O1218" s="73">
        <v>1.18</v>
      </c>
      <c r="P1218" s="71" t="s">
        <v>389</v>
      </c>
      <c r="Q1218" s="73">
        <v>197</v>
      </c>
      <c r="R1218" s="71" t="s">
        <v>388</v>
      </c>
      <c r="S1218" s="73">
        <v>0</v>
      </c>
      <c r="T1218" s="71" t="s">
        <v>390</v>
      </c>
      <c r="U1218" s="74">
        <v>1</v>
      </c>
      <c r="V1218" s="71" t="s">
        <v>446</v>
      </c>
      <c r="W1218" s="130">
        <v>46068.52847222222</v>
      </c>
      <c r="X1218" s="72">
        <v>46070.479166666664</v>
      </c>
      <c r="Y1218" s="72">
        <v>46071.732638888891</v>
      </c>
      <c r="Z1218" s="104" t="s">
        <v>422</v>
      </c>
      <c r="AA1218" s="104" t="s">
        <v>443</v>
      </c>
      <c r="AB1218" s="105">
        <v>46071.306944444441</v>
      </c>
      <c r="AC1218" s="105">
        <v>46071.434027777781</v>
      </c>
    </row>
    <row r="1219" s="70" customFormat="1" ht="11.25" customHeight="1">
      <c r="A1219" s="87"/>
      <c r="C1219" s="43" t="s">
        <v>2330</v>
      </c>
      <c r="D1219" s="71" t="s">
        <v>382</v>
      </c>
      <c r="E1219" s="71" t="str">
        <f>MID(D1219,1,2)</f>
        <v>IL</v>
      </c>
      <c r="F1219" s="71" t="s">
        <v>465</v>
      </c>
      <c r="G1219" s="71" t="str">
        <f>MID(F1219,1,2)</f>
        <v>AZ</v>
      </c>
      <c r="H1219" s="43" t="s">
        <v>2331</v>
      </c>
      <c r="I1219" s="71"/>
      <c r="J1219" s="71" t="s">
        <v>426</v>
      </c>
      <c r="K1219" s="43"/>
      <c r="L1219" s="71" t="s">
        <v>105</v>
      </c>
      <c r="M1219" s="73">
        <v>25</v>
      </c>
      <c r="N1219" s="71" t="s">
        <v>388</v>
      </c>
      <c r="O1219" s="73">
        <v>0.389</v>
      </c>
      <c r="P1219" s="71" t="s">
        <v>389</v>
      </c>
      <c r="Q1219" s="73">
        <v>100</v>
      </c>
      <c r="R1219" s="71" t="s">
        <v>388</v>
      </c>
      <c r="S1219" s="73">
        <v>0</v>
      </c>
      <c r="T1219" s="71" t="s">
        <v>390</v>
      </c>
      <c r="U1219" s="74">
        <v>1</v>
      </c>
      <c r="V1219" s="71" t="s">
        <v>391</v>
      </c>
      <c r="W1219" s="130">
        <v>46065.854166666664</v>
      </c>
      <c r="X1219" s="72">
        <v>46068.256944444445</v>
      </c>
      <c r="Y1219" s="72">
        <v>46068.385416666664</v>
      </c>
      <c r="Z1219" s="104" t="s">
        <v>382</v>
      </c>
      <c r="AA1219" s="104" t="s">
        <v>465</v>
      </c>
      <c r="AB1219" s="105">
        <v>46068.502083333333</v>
      </c>
      <c r="AC1219" s="105">
        <v>46068.66875</v>
      </c>
    </row>
    <row r="1220" s="70" customFormat="1" ht="11.25" customHeight="1">
      <c r="A1220" s="87"/>
      <c r="C1220" s="43" t="s">
        <v>2332</v>
      </c>
      <c r="D1220" s="71" t="s">
        <v>382</v>
      </c>
      <c r="E1220" s="71" t="str">
        <f>MID(D1220,1,2)</f>
        <v>IL</v>
      </c>
      <c r="F1220" s="71" t="s">
        <v>468</v>
      </c>
      <c r="G1220" s="71" t="str">
        <f>MID(F1220,1,2)</f>
        <v>US</v>
      </c>
      <c r="H1220" s="43" t="s">
        <v>1631</v>
      </c>
      <c r="I1220" s="71" t="s">
        <v>2333</v>
      </c>
      <c r="J1220" s="71" t="s">
        <v>386</v>
      </c>
      <c r="K1220" s="43"/>
      <c r="L1220" s="71" t="s">
        <v>107</v>
      </c>
      <c r="M1220" s="73">
        <v>50</v>
      </c>
      <c r="N1220" s="71" t="s">
        <v>388</v>
      </c>
      <c r="O1220" s="73">
        <v>1.286</v>
      </c>
      <c r="P1220" s="71" t="s">
        <v>389</v>
      </c>
      <c r="Q1220" s="73">
        <v>214.5</v>
      </c>
      <c r="R1220" s="71" t="s">
        <v>388</v>
      </c>
      <c r="S1220" s="73">
        <v>0</v>
      </c>
      <c r="T1220" s="71" t="s">
        <v>390</v>
      </c>
      <c r="U1220" s="74">
        <v>1</v>
      </c>
      <c r="V1220" s="71" t="s">
        <v>391</v>
      </c>
      <c r="W1220" s="130">
        <v>46064.68125</v>
      </c>
      <c r="X1220" s="72">
        <v>46066.965277777781</v>
      </c>
      <c r="Y1220" s="72">
        <v>46071.416666666664</v>
      </c>
      <c r="Z1220" s="104" t="s">
        <v>382</v>
      </c>
      <c r="AA1220" s="104" t="s">
        <v>422</v>
      </c>
      <c r="AB1220" s="105">
        <v>46066.967361111114</v>
      </c>
      <c r="AC1220" s="105">
        <v>46067.170138888891</v>
      </c>
    </row>
    <row r="1221" s="70" customFormat="1" ht="11.25" customHeight="1">
      <c r="A1221" s="87"/>
      <c r="C1221" s="43" t="s">
        <v>2332</v>
      </c>
      <c r="D1221" s="71" t="s">
        <v>382</v>
      </c>
      <c r="E1221" s="71" t="str">
        <f>MID(D1221,1,2)</f>
        <v>IL</v>
      </c>
      <c r="F1221" s="71" t="s">
        <v>468</v>
      </c>
      <c r="G1221" s="71" t="str">
        <f>MID(F1221,1,2)</f>
        <v>US</v>
      </c>
      <c r="H1221" s="43" t="s">
        <v>1631</v>
      </c>
      <c r="I1221" s="71" t="s">
        <v>2333</v>
      </c>
      <c r="J1221" s="71" t="s">
        <v>386</v>
      </c>
      <c r="K1221" s="43"/>
      <c r="L1221" s="71" t="s">
        <v>107</v>
      </c>
      <c r="M1221" s="73">
        <v>50</v>
      </c>
      <c r="N1221" s="71" t="s">
        <v>388</v>
      </c>
      <c r="O1221" s="73">
        <v>1.286</v>
      </c>
      <c r="P1221" s="71" t="s">
        <v>389</v>
      </c>
      <c r="Q1221" s="73">
        <v>214.5</v>
      </c>
      <c r="R1221" s="71" t="s">
        <v>388</v>
      </c>
      <c r="S1221" s="73">
        <v>0</v>
      </c>
      <c r="T1221" s="71" t="s">
        <v>390</v>
      </c>
      <c r="U1221" s="74">
        <v>1</v>
      </c>
      <c r="V1221" s="71" t="s">
        <v>391</v>
      </c>
      <c r="W1221" s="130">
        <v>46064.68125</v>
      </c>
      <c r="X1221" s="72">
        <v>46066.965277777781</v>
      </c>
      <c r="Y1221" s="72">
        <v>46071.416666666664</v>
      </c>
      <c r="Z1221" s="104" t="s">
        <v>422</v>
      </c>
      <c r="AA1221" s="104" t="s">
        <v>468</v>
      </c>
      <c r="AB1221" s="105">
        <v>46069.363888888889</v>
      </c>
      <c r="AC1221" s="105">
        <v>46071.509027777778</v>
      </c>
    </row>
    <row r="1222" s="70" customFormat="1" ht="11.25" customHeight="1">
      <c r="A1222" s="87"/>
      <c r="C1222" s="43" t="s">
        <v>2334</v>
      </c>
      <c r="D1222" s="71" t="s">
        <v>382</v>
      </c>
      <c r="E1222" s="71" t="str">
        <f>MID(D1222,1,2)</f>
        <v>IL</v>
      </c>
      <c r="F1222" s="71" t="s">
        <v>419</v>
      </c>
      <c r="G1222" s="71" t="str">
        <f>MID(F1222,1,2)</f>
        <v>US</v>
      </c>
      <c r="H1222" s="43" t="s">
        <v>2335</v>
      </c>
      <c r="I1222" s="71" t="s">
        <v>2336</v>
      </c>
      <c r="J1222" s="71" t="s">
        <v>386</v>
      </c>
      <c r="K1222" s="43"/>
      <c r="L1222" s="71" t="s">
        <v>107</v>
      </c>
      <c r="M1222" s="73">
        <v>49</v>
      </c>
      <c r="N1222" s="71" t="s">
        <v>388</v>
      </c>
      <c r="O1222" s="73">
        <v>0.836</v>
      </c>
      <c r="P1222" s="71" t="s">
        <v>389</v>
      </c>
      <c r="Q1222" s="73">
        <v>139.5</v>
      </c>
      <c r="R1222" s="71" t="s">
        <v>388</v>
      </c>
      <c r="S1222" s="73">
        <v>0</v>
      </c>
      <c r="T1222" s="71" t="s">
        <v>390</v>
      </c>
      <c r="U1222" s="74">
        <v>1</v>
      </c>
      <c r="V1222" s="71" t="s">
        <v>391</v>
      </c>
      <c r="W1222" s="130">
        <v>46064.68125</v>
      </c>
      <c r="X1222" s="72">
        <v>46066.965277777781</v>
      </c>
      <c r="Y1222" s="72">
        <v>46067.932638888888</v>
      </c>
      <c r="Z1222" s="104" t="s">
        <v>382</v>
      </c>
      <c r="AA1222" s="104" t="s">
        <v>422</v>
      </c>
      <c r="AB1222" s="105">
        <v>46066.967361111114</v>
      </c>
      <c r="AC1222" s="105">
        <v>46067.170138888891</v>
      </c>
    </row>
    <row r="1223" s="70" customFormat="1" ht="11.25" customHeight="1">
      <c r="A1223" s="87"/>
      <c r="C1223" s="43" t="s">
        <v>2334</v>
      </c>
      <c r="D1223" s="71" t="s">
        <v>382</v>
      </c>
      <c r="E1223" s="71" t="str">
        <f>MID(D1223,1,2)</f>
        <v>IL</v>
      </c>
      <c r="F1223" s="71" t="s">
        <v>419</v>
      </c>
      <c r="G1223" s="71" t="str">
        <f>MID(F1223,1,2)</f>
        <v>US</v>
      </c>
      <c r="H1223" s="43" t="s">
        <v>2335</v>
      </c>
      <c r="I1223" s="71" t="s">
        <v>2336</v>
      </c>
      <c r="J1223" s="71" t="s">
        <v>386</v>
      </c>
      <c r="K1223" s="43"/>
      <c r="L1223" s="71" t="s">
        <v>107</v>
      </c>
      <c r="M1223" s="73">
        <v>49</v>
      </c>
      <c r="N1223" s="71" t="s">
        <v>388</v>
      </c>
      <c r="O1223" s="73">
        <v>0.836</v>
      </c>
      <c r="P1223" s="71" t="s">
        <v>389</v>
      </c>
      <c r="Q1223" s="73">
        <v>139.5</v>
      </c>
      <c r="R1223" s="71" t="s">
        <v>388</v>
      </c>
      <c r="S1223" s="73">
        <v>0</v>
      </c>
      <c r="T1223" s="71" t="s">
        <v>390</v>
      </c>
      <c r="U1223" s="74">
        <v>1</v>
      </c>
      <c r="V1223" s="71" t="s">
        <v>391</v>
      </c>
      <c r="W1223" s="130">
        <v>46064.68125</v>
      </c>
      <c r="X1223" s="72">
        <v>46066.965277777781</v>
      </c>
      <c r="Y1223" s="72">
        <v>46067.932638888888</v>
      </c>
      <c r="Z1223" s="104" t="s">
        <v>422</v>
      </c>
      <c r="AA1223" s="104" t="s">
        <v>419</v>
      </c>
      <c r="AB1223" s="105">
        <v>46067.82916666667</v>
      </c>
      <c r="AC1223" s="105">
        <v>46067.920138888891</v>
      </c>
    </row>
    <row r="1224" s="70" customFormat="1" ht="11.25" customHeight="1">
      <c r="A1224" s="87"/>
      <c r="C1224" s="43" t="s">
        <v>2337</v>
      </c>
      <c r="D1224" s="71" t="s">
        <v>382</v>
      </c>
      <c r="E1224" s="71" t="str">
        <f>MID(D1224,1,2)</f>
        <v>IL</v>
      </c>
      <c r="F1224" s="71" t="s">
        <v>546</v>
      </c>
      <c r="G1224" s="71" t="str">
        <f>MID(F1224,1,2)</f>
        <v>GB</v>
      </c>
      <c r="H1224" s="43" t="s">
        <v>2338</v>
      </c>
      <c r="I1224" s="71" t="s">
        <v>2339</v>
      </c>
      <c r="J1224" s="71" t="s">
        <v>386</v>
      </c>
      <c r="K1224" s="43"/>
      <c r="L1224" s="71" t="s">
        <v>107</v>
      </c>
      <c r="M1224" s="73">
        <v>189</v>
      </c>
      <c r="N1224" s="71" t="s">
        <v>388</v>
      </c>
      <c r="O1224" s="73">
        <v>0.984</v>
      </c>
      <c r="P1224" s="71" t="s">
        <v>389</v>
      </c>
      <c r="Q1224" s="73">
        <v>189</v>
      </c>
      <c r="R1224" s="71" t="s">
        <v>388</v>
      </c>
      <c r="S1224" s="73">
        <v>0</v>
      </c>
      <c r="T1224" s="71" t="s">
        <v>390</v>
      </c>
      <c r="U1224" s="74">
        <v>1</v>
      </c>
      <c r="V1224" s="71" t="s">
        <v>391</v>
      </c>
      <c r="W1224" s="130">
        <v>46065.375</v>
      </c>
      <c r="X1224" s="72">
        <v>46065.381944444445</v>
      </c>
      <c r="Y1224" s="72">
        <v>46068.509722222225</v>
      </c>
      <c r="Z1224" s="104" t="s">
        <v>560</v>
      </c>
      <c r="AA1224" s="104" t="s">
        <v>561</v>
      </c>
      <c r="AB1224" s="105"/>
      <c r="AC1224" s="105"/>
    </row>
    <row r="1225" s="70" customFormat="1" ht="11.25" customHeight="1">
      <c r="A1225" s="87"/>
      <c r="C1225" s="43" t="s">
        <v>2337</v>
      </c>
      <c r="D1225" s="71" t="s">
        <v>382</v>
      </c>
      <c r="E1225" s="71" t="str">
        <f>MID(D1225,1,2)</f>
        <v>IL</v>
      </c>
      <c r="F1225" s="71" t="s">
        <v>546</v>
      </c>
      <c r="G1225" s="71" t="str">
        <f>MID(F1225,1,2)</f>
        <v>GB</v>
      </c>
      <c r="H1225" s="43" t="s">
        <v>2338</v>
      </c>
      <c r="I1225" s="71" t="s">
        <v>2339</v>
      </c>
      <c r="J1225" s="71" t="s">
        <v>386</v>
      </c>
      <c r="K1225" s="43"/>
      <c r="L1225" s="71" t="s">
        <v>107</v>
      </c>
      <c r="M1225" s="73">
        <v>189</v>
      </c>
      <c r="N1225" s="71" t="s">
        <v>388</v>
      </c>
      <c r="O1225" s="73">
        <v>0.984</v>
      </c>
      <c r="P1225" s="71" t="s">
        <v>389</v>
      </c>
      <c r="Q1225" s="73">
        <v>189</v>
      </c>
      <c r="R1225" s="71" t="s">
        <v>388</v>
      </c>
      <c r="S1225" s="73">
        <v>0</v>
      </c>
      <c r="T1225" s="71" t="s">
        <v>390</v>
      </c>
      <c r="U1225" s="74">
        <v>1</v>
      </c>
      <c r="V1225" s="71" t="s">
        <v>391</v>
      </c>
      <c r="W1225" s="130">
        <v>46065.375</v>
      </c>
      <c r="X1225" s="72">
        <v>46065.381944444445</v>
      </c>
      <c r="Y1225" s="72">
        <v>46068.509722222225</v>
      </c>
      <c r="Z1225" s="104" t="s">
        <v>382</v>
      </c>
      <c r="AA1225" s="104" t="s">
        <v>546</v>
      </c>
      <c r="AB1225" s="105">
        <v>46068.376388888886</v>
      </c>
      <c r="AC1225" s="105">
        <v>46068.507638888892</v>
      </c>
    </row>
    <row r="1226" s="70" customFormat="1" ht="11.25" customHeight="1">
      <c r="A1226" s="87"/>
      <c r="C1226" s="43" t="s">
        <v>2340</v>
      </c>
      <c r="D1226" s="71" t="s">
        <v>382</v>
      </c>
      <c r="E1226" s="71" t="str">
        <f>MID(D1226,1,2)</f>
        <v>IL</v>
      </c>
      <c r="F1226" s="71" t="s">
        <v>526</v>
      </c>
      <c r="G1226" s="71" t="str">
        <f>MID(F1226,1,2)</f>
        <v>US</v>
      </c>
      <c r="H1226" s="43" t="s">
        <v>2341</v>
      </c>
      <c r="I1226" s="71" t="s">
        <v>2342</v>
      </c>
      <c r="J1226" s="71" t="s">
        <v>386</v>
      </c>
      <c r="K1226" s="43"/>
      <c r="L1226" s="71" t="s">
        <v>107</v>
      </c>
      <c r="M1226" s="73">
        <v>249</v>
      </c>
      <c r="N1226" s="71" t="s">
        <v>388</v>
      </c>
      <c r="O1226" s="73">
        <v>2.268</v>
      </c>
      <c r="P1226" s="71" t="s">
        <v>389</v>
      </c>
      <c r="Q1226" s="73">
        <v>378</v>
      </c>
      <c r="R1226" s="71" t="s">
        <v>388</v>
      </c>
      <c r="S1226" s="73">
        <v>15</v>
      </c>
      <c r="T1226" s="71" t="s">
        <v>390</v>
      </c>
      <c r="U1226" s="74">
        <v>3</v>
      </c>
      <c r="V1226" s="71" t="s">
        <v>391</v>
      </c>
      <c r="W1226" s="130">
        <v>46064.688194444447</v>
      </c>
      <c r="X1226" s="72">
        <v>46066.03125</v>
      </c>
      <c r="Y1226" s="72">
        <v>46066.25</v>
      </c>
      <c r="Z1226" s="104" t="s">
        <v>382</v>
      </c>
      <c r="AA1226" s="104" t="s">
        <v>526</v>
      </c>
      <c r="AB1226" s="105">
        <v>46066.03402777778</v>
      </c>
      <c r="AC1226" s="105">
        <v>46066.229861111111</v>
      </c>
    </row>
    <row r="1227" s="70" customFormat="1" ht="11.25" customHeight="1">
      <c r="A1227" s="87"/>
      <c r="C1227" s="43" t="s">
        <v>2343</v>
      </c>
      <c r="D1227" s="71" t="s">
        <v>382</v>
      </c>
      <c r="E1227" s="71" t="str">
        <f>MID(D1227,1,2)</f>
        <v>IL</v>
      </c>
      <c r="F1227" s="71" t="s">
        <v>522</v>
      </c>
      <c r="G1227" s="71" t="str">
        <f>MID(F1227,1,2)</f>
        <v>CZ</v>
      </c>
      <c r="H1227" s="43" t="s">
        <v>2344</v>
      </c>
      <c r="I1227" s="71" t="s">
        <v>2345</v>
      </c>
      <c r="J1227" s="71" t="s">
        <v>426</v>
      </c>
      <c r="K1227" s="43"/>
      <c r="L1227" s="71" t="s">
        <v>105</v>
      </c>
      <c r="M1227" s="73">
        <v>174</v>
      </c>
      <c r="N1227" s="71" t="s">
        <v>388</v>
      </c>
      <c r="O1227" s="73">
        <v>0.771</v>
      </c>
      <c r="P1227" s="71" t="s">
        <v>389</v>
      </c>
      <c r="Q1227" s="73">
        <v>174</v>
      </c>
      <c r="R1227" s="71" t="s">
        <v>388</v>
      </c>
      <c r="S1227" s="73">
        <v>0</v>
      </c>
      <c r="T1227" s="71" t="s">
        <v>390</v>
      </c>
      <c r="U1227" s="74">
        <v>2</v>
      </c>
      <c r="V1227" s="71" t="s">
        <v>391</v>
      </c>
      <c r="W1227" s="130"/>
      <c r="X1227" s="72">
        <v>46068.767361111109</v>
      </c>
      <c r="Y1227" s="72">
        <v>46070.50277777778</v>
      </c>
      <c r="Z1227" s="104" t="s">
        <v>382</v>
      </c>
      <c r="AA1227" s="104" t="s">
        <v>573</v>
      </c>
      <c r="AB1227" s="105">
        <v>46068.775</v>
      </c>
      <c r="AC1227" s="105">
        <v>46068.913194444445</v>
      </c>
    </row>
    <row r="1228" s="70" customFormat="1" ht="11.25" customHeight="1">
      <c r="A1228" s="87"/>
      <c r="C1228" s="43" t="s">
        <v>2343</v>
      </c>
      <c r="D1228" s="71" t="s">
        <v>382</v>
      </c>
      <c r="E1228" s="71" t="str">
        <f>MID(D1228,1,2)</f>
        <v>IL</v>
      </c>
      <c r="F1228" s="71" t="s">
        <v>522</v>
      </c>
      <c r="G1228" s="71" t="str">
        <f>MID(F1228,1,2)</f>
        <v>CZ</v>
      </c>
      <c r="H1228" s="43" t="s">
        <v>2344</v>
      </c>
      <c r="I1228" s="71" t="s">
        <v>2345</v>
      </c>
      <c r="J1228" s="71" t="s">
        <v>426</v>
      </c>
      <c r="K1228" s="43"/>
      <c r="L1228" s="71" t="s">
        <v>105</v>
      </c>
      <c r="M1228" s="73">
        <v>174</v>
      </c>
      <c r="N1228" s="71" t="s">
        <v>388</v>
      </c>
      <c r="O1228" s="73">
        <v>0.771</v>
      </c>
      <c r="P1228" s="71" t="s">
        <v>389</v>
      </c>
      <c r="Q1228" s="73">
        <v>174</v>
      </c>
      <c r="R1228" s="71" t="s">
        <v>388</v>
      </c>
      <c r="S1228" s="73">
        <v>0</v>
      </c>
      <c r="T1228" s="71" t="s">
        <v>390</v>
      </c>
      <c r="U1228" s="74">
        <v>2</v>
      </c>
      <c r="V1228" s="71" t="s">
        <v>391</v>
      </c>
      <c r="W1228" s="130"/>
      <c r="X1228" s="72">
        <v>46068.767361111109</v>
      </c>
      <c r="Y1228" s="72">
        <v>46070.50277777778</v>
      </c>
      <c r="Z1228" s="104" t="s">
        <v>573</v>
      </c>
      <c r="AA1228" s="104" t="s">
        <v>522</v>
      </c>
      <c r="AB1228" s="105">
        <v>46069.836111111108</v>
      </c>
      <c r="AC1228" s="105">
        <v>46070.484722222223</v>
      </c>
    </row>
    <row r="1229" s="70" customFormat="1" ht="11.25" customHeight="1">
      <c r="A1229" s="87"/>
      <c r="C1229" s="43" t="s">
        <v>2346</v>
      </c>
      <c r="D1229" s="71" t="s">
        <v>382</v>
      </c>
      <c r="E1229" s="71" t="str">
        <f>MID(D1229,1,2)</f>
        <v>IL</v>
      </c>
      <c r="F1229" s="71" t="s">
        <v>468</v>
      </c>
      <c r="G1229" s="71" t="str">
        <f>MID(F1229,1,2)</f>
        <v>US</v>
      </c>
      <c r="H1229" s="43" t="s">
        <v>1631</v>
      </c>
      <c r="I1229" s="71" t="s">
        <v>2347</v>
      </c>
      <c r="J1229" s="71" t="s">
        <v>386</v>
      </c>
      <c r="K1229" s="43"/>
      <c r="L1229" s="71" t="s">
        <v>107</v>
      </c>
      <c r="M1229" s="73">
        <v>36</v>
      </c>
      <c r="N1229" s="71" t="s">
        <v>388</v>
      </c>
      <c r="O1229" s="73">
        <v>0.576</v>
      </c>
      <c r="P1229" s="71" t="s">
        <v>389</v>
      </c>
      <c r="Q1229" s="73">
        <v>96</v>
      </c>
      <c r="R1229" s="71" t="s">
        <v>388</v>
      </c>
      <c r="S1229" s="73">
        <v>0</v>
      </c>
      <c r="T1229" s="71" t="s">
        <v>390</v>
      </c>
      <c r="U1229" s="74">
        <v>1</v>
      </c>
      <c r="V1229" s="71" t="s">
        <v>391</v>
      </c>
      <c r="W1229" s="130">
        <v>46064.695138888892</v>
      </c>
      <c r="X1229" s="72">
        <v>46066.965277777781</v>
      </c>
      <c r="Y1229" s="72">
        <v>46071.416666666664</v>
      </c>
      <c r="Z1229" s="104" t="s">
        <v>382</v>
      </c>
      <c r="AA1229" s="104" t="s">
        <v>422</v>
      </c>
      <c r="AB1229" s="105">
        <v>46066.967361111114</v>
      </c>
      <c r="AC1229" s="105">
        <v>46067.170138888891</v>
      </c>
    </row>
    <row r="1230" s="70" customFormat="1" ht="11.25" customHeight="1">
      <c r="A1230" s="87"/>
      <c r="C1230" s="43" t="s">
        <v>2346</v>
      </c>
      <c r="D1230" s="71" t="s">
        <v>382</v>
      </c>
      <c r="E1230" s="71" t="str">
        <f>MID(D1230,1,2)</f>
        <v>IL</v>
      </c>
      <c r="F1230" s="71" t="s">
        <v>468</v>
      </c>
      <c r="G1230" s="71" t="str">
        <f>MID(F1230,1,2)</f>
        <v>US</v>
      </c>
      <c r="H1230" s="43" t="s">
        <v>1631</v>
      </c>
      <c r="I1230" s="71" t="s">
        <v>2347</v>
      </c>
      <c r="J1230" s="71" t="s">
        <v>386</v>
      </c>
      <c r="K1230" s="43"/>
      <c r="L1230" s="71" t="s">
        <v>107</v>
      </c>
      <c r="M1230" s="73">
        <v>36</v>
      </c>
      <c r="N1230" s="71" t="s">
        <v>388</v>
      </c>
      <c r="O1230" s="73">
        <v>0.576</v>
      </c>
      <c r="P1230" s="71" t="s">
        <v>389</v>
      </c>
      <c r="Q1230" s="73">
        <v>96</v>
      </c>
      <c r="R1230" s="71" t="s">
        <v>388</v>
      </c>
      <c r="S1230" s="73">
        <v>0</v>
      </c>
      <c r="T1230" s="71" t="s">
        <v>390</v>
      </c>
      <c r="U1230" s="74">
        <v>1</v>
      </c>
      <c r="V1230" s="71" t="s">
        <v>391</v>
      </c>
      <c r="W1230" s="130">
        <v>46064.695138888892</v>
      </c>
      <c r="X1230" s="72">
        <v>46066.965277777781</v>
      </c>
      <c r="Y1230" s="72">
        <v>46071.416666666664</v>
      </c>
      <c r="Z1230" s="104" t="s">
        <v>422</v>
      </c>
      <c r="AA1230" s="104" t="s">
        <v>468</v>
      </c>
      <c r="AB1230" s="105">
        <v>46069.363888888889</v>
      </c>
      <c r="AC1230" s="105">
        <v>46071.509027777778</v>
      </c>
    </row>
    <row r="1231" s="70" customFormat="1" ht="11.25" customHeight="1">
      <c r="A1231" s="87"/>
      <c r="C1231" s="43" t="s">
        <v>2348</v>
      </c>
      <c r="D1231" s="71" t="s">
        <v>382</v>
      </c>
      <c r="E1231" s="71" t="str">
        <f>MID(D1231,1,2)</f>
        <v>IL</v>
      </c>
      <c r="F1231" s="71" t="s">
        <v>817</v>
      </c>
      <c r="G1231" s="71" t="str">
        <f>MID(F1231,1,2)</f>
        <v>IN</v>
      </c>
      <c r="H1231" s="43" t="s">
        <v>2349</v>
      </c>
      <c r="I1231" s="71"/>
      <c r="J1231" s="71" t="s">
        <v>426</v>
      </c>
      <c r="K1231" s="43"/>
      <c r="L1231" s="71" t="s">
        <v>105</v>
      </c>
      <c r="M1231" s="73">
        <v>7350</v>
      </c>
      <c r="N1231" s="71" t="s">
        <v>388</v>
      </c>
      <c r="O1231" s="73">
        <v>20.236</v>
      </c>
      <c r="P1231" s="71" t="s">
        <v>389</v>
      </c>
      <c r="Q1231" s="73">
        <v>7350</v>
      </c>
      <c r="R1231" s="71" t="s">
        <v>388</v>
      </c>
      <c r="S1231" s="73">
        <v>0</v>
      </c>
      <c r="T1231" s="71" t="s">
        <v>390</v>
      </c>
      <c r="U1231" s="74">
        <v>22</v>
      </c>
      <c r="V1231" s="71" t="s">
        <v>391</v>
      </c>
      <c r="W1231" s="130"/>
      <c r="X1231" s="72">
        <v>46070.486111111109</v>
      </c>
      <c r="Y1231" s="72">
        <v>46070.868055555555</v>
      </c>
      <c r="Z1231" s="104" t="s">
        <v>382</v>
      </c>
      <c r="AA1231" s="104" t="s">
        <v>817</v>
      </c>
      <c r="AB1231" s="105">
        <v>46070.484722222223</v>
      </c>
      <c r="AC1231" s="105">
        <v>46070.870138888888</v>
      </c>
    </row>
    <row r="1232" s="70" customFormat="1" ht="11.25" customHeight="1">
      <c r="A1232" s="87"/>
      <c r="C1232" s="43" t="s">
        <v>2350</v>
      </c>
      <c r="D1232" s="71" t="s">
        <v>382</v>
      </c>
      <c r="E1232" s="71" t="str">
        <f>MID(D1232,1,2)</f>
        <v>IL</v>
      </c>
      <c r="F1232" s="71" t="s">
        <v>441</v>
      </c>
      <c r="G1232" s="71" t="str">
        <f>MID(F1232,1,2)</f>
        <v>AE</v>
      </c>
      <c r="H1232" s="43" t="s">
        <v>2351</v>
      </c>
      <c r="I1232" s="71" t="s">
        <v>2352</v>
      </c>
      <c r="J1232" s="71" t="s">
        <v>426</v>
      </c>
      <c r="K1232" s="43"/>
      <c r="L1232" s="71" t="s">
        <v>105</v>
      </c>
      <c r="M1232" s="73">
        <v>1</v>
      </c>
      <c r="N1232" s="71" t="s">
        <v>388</v>
      </c>
      <c r="O1232" s="73">
        <v>0.027</v>
      </c>
      <c r="P1232" s="71" t="s">
        <v>389</v>
      </c>
      <c r="Q1232" s="73">
        <v>4.5</v>
      </c>
      <c r="R1232" s="71" t="s">
        <v>388</v>
      </c>
      <c r="S1232" s="73">
        <v>0</v>
      </c>
      <c r="T1232" s="71" t="s">
        <v>390</v>
      </c>
      <c r="U1232" s="74">
        <v>1</v>
      </c>
      <c r="V1232" s="71" t="s">
        <v>391</v>
      </c>
      <c r="W1232" s="130"/>
      <c r="X1232" s="72">
        <v>46069.68125</v>
      </c>
      <c r="Y1232" s="72">
        <v>46069.68125</v>
      </c>
      <c r="Z1232" s="104" t="s">
        <v>382</v>
      </c>
      <c r="AA1232" s="104" t="s">
        <v>441</v>
      </c>
      <c r="AB1232" s="105"/>
      <c r="AC1232" s="105"/>
    </row>
    <row r="1233" s="70" customFormat="1" ht="11.25" customHeight="1">
      <c r="A1233" s="87"/>
      <c r="C1233" s="43" t="s">
        <v>2353</v>
      </c>
      <c r="D1233" s="71" t="s">
        <v>382</v>
      </c>
      <c r="E1233" s="71" t="str">
        <f>MID(D1233,1,2)</f>
        <v>IL</v>
      </c>
      <c r="F1233" s="71" t="s">
        <v>414</v>
      </c>
      <c r="G1233" s="71" t="str">
        <f>MID(F1233,1,2)</f>
        <v>US</v>
      </c>
      <c r="H1233" s="43" t="s">
        <v>2354</v>
      </c>
      <c r="I1233" s="71" t="s">
        <v>2355</v>
      </c>
      <c r="J1233" s="71" t="s">
        <v>426</v>
      </c>
      <c r="K1233" s="43" t="s">
        <v>759</v>
      </c>
      <c r="L1233" s="71" t="s">
        <v>105</v>
      </c>
      <c r="M1233" s="73">
        <v>22</v>
      </c>
      <c r="N1233" s="71" t="s">
        <v>388</v>
      </c>
      <c r="O1233" s="73">
        <v>0.1</v>
      </c>
      <c r="P1233" s="71" t="s">
        <v>389</v>
      </c>
      <c r="Q1233" s="73">
        <v>22</v>
      </c>
      <c r="R1233" s="71" t="s">
        <v>388</v>
      </c>
      <c r="S1233" s="73">
        <v>0</v>
      </c>
      <c r="T1233" s="71" t="s">
        <v>390</v>
      </c>
      <c r="U1233" s="74">
        <v>1</v>
      </c>
      <c r="V1233" s="71" t="s">
        <v>427</v>
      </c>
      <c r="W1233" s="130">
        <v>46064.70208333333</v>
      </c>
      <c r="X1233" s="72">
        <v>46065.541666666664</v>
      </c>
      <c r="Y1233" s="72">
        <v>46065.750694444447</v>
      </c>
      <c r="Z1233" s="104" t="s">
        <v>382</v>
      </c>
      <c r="AA1233" s="104" t="s">
        <v>414</v>
      </c>
      <c r="AB1233" s="105">
        <v>46065.543055555558</v>
      </c>
      <c r="AC1233" s="105">
        <v>46065.727777777778</v>
      </c>
    </row>
    <row r="1234" s="70" customFormat="1" ht="11.25" customHeight="1">
      <c r="A1234" s="87"/>
      <c r="C1234" s="43" t="s">
        <v>2356</v>
      </c>
      <c r="D1234" s="71" t="s">
        <v>382</v>
      </c>
      <c r="E1234" s="71" t="str">
        <f>MID(D1234,1,2)</f>
        <v>IL</v>
      </c>
      <c r="F1234" s="71" t="s">
        <v>919</v>
      </c>
      <c r="G1234" s="71" t="str">
        <f>MID(F1234,1,2)</f>
        <v>CN</v>
      </c>
      <c r="H1234" s="43" t="s">
        <v>2357</v>
      </c>
      <c r="I1234" s="71" t="s">
        <v>2358</v>
      </c>
      <c r="J1234" s="71" t="s">
        <v>755</v>
      </c>
      <c r="K1234" s="43"/>
      <c r="L1234" s="71" t="s">
        <v>105</v>
      </c>
      <c r="M1234" s="73">
        <v>1.5</v>
      </c>
      <c r="N1234" s="71" t="s">
        <v>388</v>
      </c>
      <c r="O1234" s="73">
        <v>0.013</v>
      </c>
      <c r="P1234" s="71" t="s">
        <v>389</v>
      </c>
      <c r="Q1234" s="73">
        <v>2.5</v>
      </c>
      <c r="R1234" s="71" t="s">
        <v>388</v>
      </c>
      <c r="S1234" s="73">
        <v>0</v>
      </c>
      <c r="T1234" s="71" t="s">
        <v>390</v>
      </c>
      <c r="U1234" s="74">
        <v>1</v>
      </c>
      <c r="V1234" s="71" t="s">
        <v>391</v>
      </c>
      <c r="W1234" s="130">
        <v>46065.627106481479</v>
      </c>
      <c r="X1234" s="72">
        <v>46067.03125</v>
      </c>
      <c r="Y1234" s="72">
        <v>46068.531944444447</v>
      </c>
      <c r="Z1234" s="104" t="s">
        <v>382</v>
      </c>
      <c r="AA1234" s="104" t="s">
        <v>667</v>
      </c>
      <c r="AB1234" s="105">
        <v>46067.021527777775</v>
      </c>
      <c r="AC1234" s="105">
        <v>46067.210416666669</v>
      </c>
    </row>
    <row r="1235" s="70" customFormat="1" ht="11.25" customHeight="1">
      <c r="A1235" s="87"/>
      <c r="C1235" s="43" t="s">
        <v>2356</v>
      </c>
      <c r="D1235" s="71" t="s">
        <v>382</v>
      </c>
      <c r="E1235" s="71" t="str">
        <f>MID(D1235,1,2)</f>
        <v>IL</v>
      </c>
      <c r="F1235" s="71" t="s">
        <v>919</v>
      </c>
      <c r="G1235" s="71" t="str">
        <f>MID(F1235,1,2)</f>
        <v>CN</v>
      </c>
      <c r="H1235" s="43" t="s">
        <v>2357</v>
      </c>
      <c r="I1235" s="71" t="s">
        <v>2358</v>
      </c>
      <c r="J1235" s="71" t="s">
        <v>755</v>
      </c>
      <c r="K1235" s="43"/>
      <c r="L1235" s="71" t="s">
        <v>105</v>
      </c>
      <c r="M1235" s="73">
        <v>1.5</v>
      </c>
      <c r="N1235" s="71" t="s">
        <v>388</v>
      </c>
      <c r="O1235" s="73">
        <v>0.013</v>
      </c>
      <c r="P1235" s="71" t="s">
        <v>389</v>
      </c>
      <c r="Q1235" s="73">
        <v>2.5</v>
      </c>
      <c r="R1235" s="71" t="s">
        <v>388</v>
      </c>
      <c r="S1235" s="73">
        <v>0</v>
      </c>
      <c r="T1235" s="71" t="s">
        <v>390</v>
      </c>
      <c r="U1235" s="74">
        <v>1</v>
      </c>
      <c r="V1235" s="71" t="s">
        <v>391</v>
      </c>
      <c r="W1235" s="130">
        <v>46065.627106481479</v>
      </c>
      <c r="X1235" s="72">
        <v>46067.03125</v>
      </c>
      <c r="Y1235" s="72">
        <v>46068.531944444447</v>
      </c>
      <c r="Z1235" s="104" t="s">
        <v>667</v>
      </c>
      <c r="AA1235" s="104" t="s">
        <v>919</v>
      </c>
      <c r="AB1235" s="105">
        <v>46067.805555555555</v>
      </c>
      <c r="AC1235" s="105">
        <v>46068.497916666667</v>
      </c>
    </row>
    <row r="1236" s="70" customFormat="1" ht="11.25" customHeight="1">
      <c r="A1236" s="87"/>
      <c r="C1236" s="43" t="s">
        <v>2359</v>
      </c>
      <c r="D1236" s="71" t="s">
        <v>382</v>
      </c>
      <c r="E1236" s="71" t="str">
        <f>MID(D1236,1,2)</f>
        <v>IL</v>
      </c>
      <c r="F1236" s="71" t="s">
        <v>468</v>
      </c>
      <c r="G1236" s="71" t="str">
        <f>MID(F1236,1,2)</f>
        <v>US</v>
      </c>
      <c r="H1236" s="43" t="s">
        <v>1631</v>
      </c>
      <c r="I1236" s="71" t="s">
        <v>2360</v>
      </c>
      <c r="J1236" s="71" t="s">
        <v>386</v>
      </c>
      <c r="K1236" s="43"/>
      <c r="L1236" s="71" t="s">
        <v>107</v>
      </c>
      <c r="M1236" s="73">
        <v>17</v>
      </c>
      <c r="N1236" s="71" t="s">
        <v>388</v>
      </c>
      <c r="O1236" s="73">
        <v>0.336</v>
      </c>
      <c r="P1236" s="71" t="s">
        <v>389</v>
      </c>
      <c r="Q1236" s="73">
        <v>56</v>
      </c>
      <c r="R1236" s="71" t="s">
        <v>388</v>
      </c>
      <c r="S1236" s="73">
        <v>0</v>
      </c>
      <c r="T1236" s="71" t="s">
        <v>390</v>
      </c>
      <c r="U1236" s="74">
        <v>1</v>
      </c>
      <c r="V1236" s="71" t="s">
        <v>391</v>
      </c>
      <c r="W1236" s="130">
        <v>46064.729861111111</v>
      </c>
      <c r="X1236" s="72">
        <v>46066.965277777781</v>
      </c>
      <c r="Y1236" s="72">
        <v>46071.416666666664</v>
      </c>
      <c r="Z1236" s="104" t="s">
        <v>382</v>
      </c>
      <c r="AA1236" s="104" t="s">
        <v>422</v>
      </c>
      <c r="AB1236" s="105">
        <v>46066.967361111114</v>
      </c>
      <c r="AC1236" s="105">
        <v>46067.170138888891</v>
      </c>
    </row>
    <row r="1237" s="70" customFormat="1" ht="11.25" customHeight="1">
      <c r="A1237" s="87"/>
      <c r="C1237" s="43" t="s">
        <v>2359</v>
      </c>
      <c r="D1237" s="71" t="s">
        <v>382</v>
      </c>
      <c r="E1237" s="71" t="str">
        <f>MID(D1237,1,2)</f>
        <v>IL</v>
      </c>
      <c r="F1237" s="71" t="s">
        <v>468</v>
      </c>
      <c r="G1237" s="71" t="str">
        <f>MID(F1237,1,2)</f>
        <v>US</v>
      </c>
      <c r="H1237" s="43" t="s">
        <v>1631</v>
      </c>
      <c r="I1237" s="71" t="s">
        <v>2360</v>
      </c>
      <c r="J1237" s="71" t="s">
        <v>386</v>
      </c>
      <c r="K1237" s="43"/>
      <c r="L1237" s="71" t="s">
        <v>107</v>
      </c>
      <c r="M1237" s="73">
        <v>17</v>
      </c>
      <c r="N1237" s="71" t="s">
        <v>388</v>
      </c>
      <c r="O1237" s="73">
        <v>0.336</v>
      </c>
      <c r="P1237" s="71" t="s">
        <v>389</v>
      </c>
      <c r="Q1237" s="73">
        <v>56</v>
      </c>
      <c r="R1237" s="71" t="s">
        <v>388</v>
      </c>
      <c r="S1237" s="73">
        <v>0</v>
      </c>
      <c r="T1237" s="71" t="s">
        <v>390</v>
      </c>
      <c r="U1237" s="74">
        <v>1</v>
      </c>
      <c r="V1237" s="71" t="s">
        <v>391</v>
      </c>
      <c r="W1237" s="130">
        <v>46064.729861111111</v>
      </c>
      <c r="X1237" s="72">
        <v>46066.965277777781</v>
      </c>
      <c r="Y1237" s="72">
        <v>46071.416666666664</v>
      </c>
      <c r="Z1237" s="104" t="s">
        <v>422</v>
      </c>
      <c r="AA1237" s="104" t="s">
        <v>468</v>
      </c>
      <c r="AB1237" s="105">
        <v>46069.363888888889</v>
      </c>
      <c r="AC1237" s="105">
        <v>46071.509027777778</v>
      </c>
    </row>
    <row r="1238" s="70" customFormat="1" ht="11.25" customHeight="1">
      <c r="A1238" s="87"/>
      <c r="C1238" s="43" t="s">
        <v>2361</v>
      </c>
      <c r="D1238" s="71" t="s">
        <v>382</v>
      </c>
      <c r="E1238" s="71" t="str">
        <f>MID(D1238,1,2)</f>
        <v>IL</v>
      </c>
      <c r="F1238" s="71" t="s">
        <v>919</v>
      </c>
      <c r="G1238" s="71" t="str">
        <f>MID(F1238,1,2)</f>
        <v>CN</v>
      </c>
      <c r="H1238" s="43" t="s">
        <v>2357</v>
      </c>
      <c r="I1238" s="71" t="s">
        <v>2362</v>
      </c>
      <c r="J1238" s="71" t="s">
        <v>755</v>
      </c>
      <c r="K1238" s="43"/>
      <c r="L1238" s="71" t="s">
        <v>105</v>
      </c>
      <c r="M1238" s="73">
        <v>1.5</v>
      </c>
      <c r="N1238" s="71" t="s">
        <v>388</v>
      </c>
      <c r="O1238" s="73">
        <v>0.013</v>
      </c>
      <c r="P1238" s="71" t="s">
        <v>389</v>
      </c>
      <c r="Q1238" s="73">
        <v>2.5</v>
      </c>
      <c r="R1238" s="71" t="s">
        <v>388</v>
      </c>
      <c r="S1238" s="73">
        <v>0</v>
      </c>
      <c r="T1238" s="71" t="s">
        <v>390</v>
      </c>
      <c r="U1238" s="74">
        <v>1</v>
      </c>
      <c r="V1238" s="71" t="s">
        <v>391</v>
      </c>
      <c r="W1238" s="130">
        <v>46065.627129629633</v>
      </c>
      <c r="X1238" s="72">
        <v>46067.03125</v>
      </c>
      <c r="Y1238" s="72">
        <v>46068.531944444447</v>
      </c>
      <c r="Z1238" s="104" t="s">
        <v>382</v>
      </c>
      <c r="AA1238" s="104" t="s">
        <v>667</v>
      </c>
      <c r="AB1238" s="105">
        <v>46067.021527777775</v>
      </c>
      <c r="AC1238" s="105">
        <v>46067.210416666669</v>
      </c>
    </row>
    <row r="1239" s="70" customFormat="1" ht="11.25" customHeight="1">
      <c r="A1239" s="87"/>
      <c r="C1239" s="43" t="s">
        <v>2361</v>
      </c>
      <c r="D1239" s="71" t="s">
        <v>382</v>
      </c>
      <c r="E1239" s="71" t="str">
        <f>MID(D1239,1,2)</f>
        <v>IL</v>
      </c>
      <c r="F1239" s="71" t="s">
        <v>919</v>
      </c>
      <c r="G1239" s="71" t="str">
        <f>MID(F1239,1,2)</f>
        <v>CN</v>
      </c>
      <c r="H1239" s="43" t="s">
        <v>2357</v>
      </c>
      <c r="I1239" s="71" t="s">
        <v>2362</v>
      </c>
      <c r="J1239" s="71" t="s">
        <v>755</v>
      </c>
      <c r="K1239" s="43"/>
      <c r="L1239" s="71" t="s">
        <v>105</v>
      </c>
      <c r="M1239" s="73">
        <v>1.5</v>
      </c>
      <c r="N1239" s="71" t="s">
        <v>388</v>
      </c>
      <c r="O1239" s="73">
        <v>0.013</v>
      </c>
      <c r="P1239" s="71" t="s">
        <v>389</v>
      </c>
      <c r="Q1239" s="73">
        <v>2.5</v>
      </c>
      <c r="R1239" s="71" t="s">
        <v>388</v>
      </c>
      <c r="S1239" s="73">
        <v>0</v>
      </c>
      <c r="T1239" s="71" t="s">
        <v>390</v>
      </c>
      <c r="U1239" s="74">
        <v>1</v>
      </c>
      <c r="V1239" s="71" t="s">
        <v>391</v>
      </c>
      <c r="W1239" s="130">
        <v>46065.627129629633</v>
      </c>
      <c r="X1239" s="72">
        <v>46067.03125</v>
      </c>
      <c r="Y1239" s="72">
        <v>46068.531944444447</v>
      </c>
      <c r="Z1239" s="104" t="s">
        <v>667</v>
      </c>
      <c r="AA1239" s="104" t="s">
        <v>919</v>
      </c>
      <c r="AB1239" s="105">
        <v>46067.805555555555</v>
      </c>
      <c r="AC1239" s="105">
        <v>46068.497916666667</v>
      </c>
    </row>
    <row r="1240" s="70" customFormat="1" ht="11.25" customHeight="1">
      <c r="A1240" s="87"/>
      <c r="C1240" s="43" t="s">
        <v>2363</v>
      </c>
      <c r="D1240" s="71" t="s">
        <v>382</v>
      </c>
      <c r="E1240" s="71" t="str">
        <f>MID(D1240,1,2)</f>
        <v>IL</v>
      </c>
      <c r="F1240" s="71" t="s">
        <v>546</v>
      </c>
      <c r="G1240" s="71" t="str">
        <f>MID(F1240,1,2)</f>
        <v>GB</v>
      </c>
      <c r="H1240" s="43" t="s">
        <v>2317</v>
      </c>
      <c r="I1240" s="71" t="s">
        <v>2364</v>
      </c>
      <c r="J1240" s="71" t="s">
        <v>559</v>
      </c>
      <c r="K1240" s="43"/>
      <c r="L1240" s="71" t="s">
        <v>107</v>
      </c>
      <c r="M1240" s="73">
        <v>114</v>
      </c>
      <c r="N1240" s="71" t="s">
        <v>388</v>
      </c>
      <c r="O1240" s="73">
        <v>0.432</v>
      </c>
      <c r="P1240" s="71" t="s">
        <v>389</v>
      </c>
      <c r="Q1240" s="73">
        <v>114</v>
      </c>
      <c r="R1240" s="71" t="s">
        <v>388</v>
      </c>
      <c r="S1240" s="73">
        <v>0</v>
      </c>
      <c r="T1240" s="71" t="s">
        <v>390</v>
      </c>
      <c r="U1240" s="74">
        <v>1</v>
      </c>
      <c r="V1240" s="71" t="s">
        <v>391</v>
      </c>
      <c r="W1240" s="130">
        <v>46065.766087962962</v>
      </c>
      <c r="X1240" s="72">
        <v>46068.381944444445</v>
      </c>
      <c r="Y1240" s="72">
        <v>46069.524305555555</v>
      </c>
      <c r="Z1240" s="104" t="s">
        <v>560</v>
      </c>
      <c r="AA1240" s="104" t="s">
        <v>561</v>
      </c>
      <c r="AB1240" s="105"/>
      <c r="AC1240" s="105"/>
    </row>
    <row r="1241" s="70" customFormat="1" ht="11.25" customHeight="1">
      <c r="A1241" s="87"/>
      <c r="C1241" s="43" t="s">
        <v>2363</v>
      </c>
      <c r="D1241" s="71" t="s">
        <v>382</v>
      </c>
      <c r="E1241" s="71" t="str">
        <f>MID(D1241,1,2)</f>
        <v>IL</v>
      </c>
      <c r="F1241" s="71" t="s">
        <v>546</v>
      </c>
      <c r="G1241" s="71" t="str">
        <f>MID(F1241,1,2)</f>
        <v>GB</v>
      </c>
      <c r="H1241" s="43" t="s">
        <v>2317</v>
      </c>
      <c r="I1241" s="71" t="s">
        <v>2364</v>
      </c>
      <c r="J1241" s="71" t="s">
        <v>559</v>
      </c>
      <c r="K1241" s="43"/>
      <c r="L1241" s="71" t="s">
        <v>107</v>
      </c>
      <c r="M1241" s="73">
        <v>114</v>
      </c>
      <c r="N1241" s="71" t="s">
        <v>388</v>
      </c>
      <c r="O1241" s="73">
        <v>0.432</v>
      </c>
      <c r="P1241" s="71" t="s">
        <v>389</v>
      </c>
      <c r="Q1241" s="73">
        <v>114</v>
      </c>
      <c r="R1241" s="71" t="s">
        <v>388</v>
      </c>
      <c r="S1241" s="73">
        <v>0</v>
      </c>
      <c r="T1241" s="71" t="s">
        <v>390</v>
      </c>
      <c r="U1241" s="74">
        <v>1</v>
      </c>
      <c r="V1241" s="71" t="s">
        <v>391</v>
      </c>
      <c r="W1241" s="130">
        <v>46065.766087962962</v>
      </c>
      <c r="X1241" s="72">
        <v>46068.381944444445</v>
      </c>
      <c r="Y1241" s="72">
        <v>46069.524305555555</v>
      </c>
      <c r="Z1241" s="104" t="s">
        <v>382</v>
      </c>
      <c r="AA1241" s="104" t="s">
        <v>546</v>
      </c>
      <c r="AB1241" s="105">
        <v>46069.38958333333</v>
      </c>
      <c r="AC1241" s="105">
        <v>46069.518055555556</v>
      </c>
    </row>
    <row r="1242" s="70" customFormat="1" ht="11.25" customHeight="1">
      <c r="A1242" s="87"/>
      <c r="C1242" s="43" t="s">
        <v>2365</v>
      </c>
      <c r="D1242" s="71" t="s">
        <v>382</v>
      </c>
      <c r="E1242" s="71" t="str">
        <f>MID(D1242,1,2)</f>
        <v>IL</v>
      </c>
      <c r="F1242" s="71" t="s">
        <v>433</v>
      </c>
      <c r="G1242" s="71" t="str">
        <f>MID(F1242,1,2)</f>
        <v>US</v>
      </c>
      <c r="H1242" s="43" t="s">
        <v>2366</v>
      </c>
      <c r="I1242" s="71" t="s">
        <v>2367</v>
      </c>
      <c r="J1242" s="71" t="s">
        <v>483</v>
      </c>
      <c r="K1242" s="43"/>
      <c r="L1242" s="71" t="s">
        <v>105</v>
      </c>
      <c r="M1242" s="73">
        <v>129</v>
      </c>
      <c r="N1242" s="71" t="s">
        <v>388</v>
      </c>
      <c r="O1242" s="73">
        <v>0.96</v>
      </c>
      <c r="P1242" s="71" t="s">
        <v>389</v>
      </c>
      <c r="Q1242" s="73">
        <v>160</v>
      </c>
      <c r="R1242" s="71" t="s">
        <v>388</v>
      </c>
      <c r="S1242" s="73">
        <v>0</v>
      </c>
      <c r="T1242" s="71" t="s">
        <v>390</v>
      </c>
      <c r="U1242" s="74">
        <v>1</v>
      </c>
      <c r="V1242" s="71" t="s">
        <v>391</v>
      </c>
      <c r="W1242" s="130">
        <v>46065.40347222222</v>
      </c>
      <c r="X1242" s="72">
        <v>46068.041666666664</v>
      </c>
      <c r="Y1242" s="72">
        <v>46068.317361111112</v>
      </c>
      <c r="Z1242" s="104" t="s">
        <v>382</v>
      </c>
      <c r="AA1242" s="104" t="s">
        <v>433</v>
      </c>
      <c r="AB1242" s="105">
        <v>46068.040972222225</v>
      </c>
      <c r="AC1242" s="105">
        <v>46068.320833333331</v>
      </c>
    </row>
    <row r="1243" s="70" customFormat="1" ht="11.25" customHeight="1">
      <c r="A1243" s="87"/>
      <c r="C1243" s="43" t="s">
        <v>2368</v>
      </c>
      <c r="D1243" s="71" t="s">
        <v>382</v>
      </c>
      <c r="E1243" s="71" t="str">
        <f>MID(D1243,1,2)</f>
        <v>IL</v>
      </c>
      <c r="F1243" s="71" t="s">
        <v>422</v>
      </c>
      <c r="G1243" s="71" t="str">
        <f>MID(F1243,1,2)</f>
        <v>US</v>
      </c>
      <c r="H1243" s="43" t="s">
        <v>1920</v>
      </c>
      <c r="I1243" s="71" t="s">
        <v>2369</v>
      </c>
      <c r="J1243" s="71" t="s">
        <v>386</v>
      </c>
      <c r="K1243" s="43" t="s">
        <v>431</v>
      </c>
      <c r="L1243" s="71" t="s">
        <v>107</v>
      </c>
      <c r="M1243" s="73">
        <v>3</v>
      </c>
      <c r="N1243" s="71" t="s">
        <v>388</v>
      </c>
      <c r="O1243" s="73">
        <v>0.074</v>
      </c>
      <c r="P1243" s="71" t="s">
        <v>389</v>
      </c>
      <c r="Q1243" s="73">
        <v>12.5</v>
      </c>
      <c r="R1243" s="71" t="s">
        <v>388</v>
      </c>
      <c r="S1243" s="73">
        <v>0</v>
      </c>
      <c r="T1243" s="71" t="s">
        <v>390</v>
      </c>
      <c r="U1243" s="74">
        <v>1</v>
      </c>
      <c r="V1243" s="71" t="s">
        <v>427</v>
      </c>
      <c r="W1243" s="130">
        <v>46065.361111111109</v>
      </c>
      <c r="X1243" s="72">
        <v>46067.479166666664</v>
      </c>
      <c r="Y1243" s="72">
        <v>46068.67291666667</v>
      </c>
      <c r="Z1243" s="104" t="s">
        <v>382</v>
      </c>
      <c r="AA1243" s="104" t="s">
        <v>422</v>
      </c>
      <c r="AB1243" s="105">
        <v>46067.470138888886</v>
      </c>
      <c r="AC1243" s="105">
        <v>46067.691666666666</v>
      </c>
    </row>
    <row r="1244" s="70" customFormat="1" ht="11.25" customHeight="1">
      <c r="A1244" s="87"/>
      <c r="C1244" s="43" t="s">
        <v>2370</v>
      </c>
      <c r="D1244" s="71" t="s">
        <v>382</v>
      </c>
      <c r="E1244" s="71" t="str">
        <f>MID(D1244,1,2)</f>
        <v>IL</v>
      </c>
      <c r="F1244" s="71" t="s">
        <v>1069</v>
      </c>
      <c r="G1244" s="71" t="str">
        <f>MID(F1244,1,2)</f>
        <v>AU</v>
      </c>
      <c r="H1244" s="43" t="s">
        <v>2371</v>
      </c>
      <c r="I1244" s="71" t="s">
        <v>2372</v>
      </c>
      <c r="J1244" s="71" t="s">
        <v>435</v>
      </c>
      <c r="K1244" s="43"/>
      <c r="L1244" s="71" t="s">
        <v>105</v>
      </c>
      <c r="M1244" s="73">
        <v>47</v>
      </c>
      <c r="N1244" s="71" t="s">
        <v>388</v>
      </c>
      <c r="O1244" s="73">
        <v>0.3</v>
      </c>
      <c r="P1244" s="71" t="s">
        <v>389</v>
      </c>
      <c r="Q1244" s="73">
        <v>50</v>
      </c>
      <c r="R1244" s="71" t="s">
        <v>388</v>
      </c>
      <c r="S1244" s="73">
        <v>0</v>
      </c>
      <c r="T1244" s="71" t="s">
        <v>390</v>
      </c>
      <c r="U1244" s="74">
        <v>2</v>
      </c>
      <c r="V1244" s="71" t="s">
        <v>391</v>
      </c>
      <c r="W1244" s="130">
        <v>46065.481122685182</v>
      </c>
      <c r="X1244" s="72">
        <v>46065.636805555558</v>
      </c>
      <c r="Y1244" s="72">
        <v>46069.888888888891</v>
      </c>
      <c r="Z1244" s="104" t="s">
        <v>382</v>
      </c>
      <c r="AA1244" s="104" t="s">
        <v>833</v>
      </c>
      <c r="AB1244" s="105">
        <v>46067.893055555556</v>
      </c>
      <c r="AC1244" s="105">
        <v>46068.54375</v>
      </c>
    </row>
    <row r="1245" s="70" customFormat="1" ht="11.25" customHeight="1">
      <c r="A1245" s="87"/>
      <c r="C1245" s="43" t="s">
        <v>2370</v>
      </c>
      <c r="D1245" s="71" t="s">
        <v>382</v>
      </c>
      <c r="E1245" s="71" t="str">
        <f>MID(D1245,1,2)</f>
        <v>IL</v>
      </c>
      <c r="F1245" s="71" t="s">
        <v>1069</v>
      </c>
      <c r="G1245" s="71" t="str">
        <f>MID(F1245,1,2)</f>
        <v>AU</v>
      </c>
      <c r="H1245" s="43" t="s">
        <v>2371</v>
      </c>
      <c r="I1245" s="71" t="s">
        <v>2372</v>
      </c>
      <c r="J1245" s="71" t="s">
        <v>435</v>
      </c>
      <c r="K1245" s="43"/>
      <c r="L1245" s="71" t="s">
        <v>105</v>
      </c>
      <c r="M1245" s="73">
        <v>47</v>
      </c>
      <c r="N1245" s="71" t="s">
        <v>388</v>
      </c>
      <c r="O1245" s="73">
        <v>0.3</v>
      </c>
      <c r="P1245" s="71" t="s">
        <v>389</v>
      </c>
      <c r="Q1245" s="73">
        <v>50</v>
      </c>
      <c r="R1245" s="71" t="s">
        <v>388</v>
      </c>
      <c r="S1245" s="73">
        <v>0</v>
      </c>
      <c r="T1245" s="71" t="s">
        <v>390</v>
      </c>
      <c r="U1245" s="74">
        <v>2</v>
      </c>
      <c r="V1245" s="71" t="s">
        <v>391</v>
      </c>
      <c r="W1245" s="130">
        <v>46065.481122685182</v>
      </c>
      <c r="X1245" s="72">
        <v>46065.636805555558</v>
      </c>
      <c r="Y1245" s="72">
        <v>46069.888888888891</v>
      </c>
      <c r="Z1245" s="104" t="s">
        <v>833</v>
      </c>
      <c r="AA1245" s="104" t="s">
        <v>1069</v>
      </c>
      <c r="AB1245" s="105">
        <v>46069.356944444444</v>
      </c>
      <c r="AC1245" s="105">
        <v>46069.87777777778</v>
      </c>
    </row>
    <row r="1246" s="70" customFormat="1" ht="11.25" customHeight="1">
      <c r="A1246" s="87"/>
      <c r="C1246" s="43" t="s">
        <v>2373</v>
      </c>
      <c r="D1246" s="71" t="s">
        <v>382</v>
      </c>
      <c r="E1246" s="71" t="str">
        <f>MID(D1246,1,2)</f>
        <v>IL</v>
      </c>
      <c r="F1246" s="71" t="s">
        <v>522</v>
      </c>
      <c r="G1246" s="71" t="str">
        <f>MID(F1246,1,2)</f>
        <v>CZ</v>
      </c>
      <c r="H1246" s="43" t="s">
        <v>2344</v>
      </c>
      <c r="I1246" s="71" t="s">
        <v>2374</v>
      </c>
      <c r="J1246" s="71" t="s">
        <v>426</v>
      </c>
      <c r="K1246" s="43"/>
      <c r="L1246" s="71" t="s">
        <v>105</v>
      </c>
      <c r="M1246" s="73">
        <v>436</v>
      </c>
      <c r="N1246" s="71" t="s">
        <v>388</v>
      </c>
      <c r="O1246" s="73">
        <v>1.445</v>
      </c>
      <c r="P1246" s="71" t="s">
        <v>389</v>
      </c>
      <c r="Q1246" s="73">
        <v>436</v>
      </c>
      <c r="R1246" s="71" t="s">
        <v>388</v>
      </c>
      <c r="S1246" s="73">
        <v>0</v>
      </c>
      <c r="T1246" s="71" t="s">
        <v>390</v>
      </c>
      <c r="U1246" s="74">
        <v>3</v>
      </c>
      <c r="V1246" s="71" t="s">
        <v>391</v>
      </c>
      <c r="W1246" s="130"/>
      <c r="X1246" s="72">
        <v>46068.767361111109</v>
      </c>
      <c r="Y1246" s="72">
        <v>46070.50277777778</v>
      </c>
      <c r="Z1246" s="104" t="s">
        <v>382</v>
      </c>
      <c r="AA1246" s="104" t="s">
        <v>573</v>
      </c>
      <c r="AB1246" s="105">
        <v>46068.775</v>
      </c>
      <c r="AC1246" s="105">
        <v>46068.913194444445</v>
      </c>
    </row>
    <row r="1247" s="70" customFormat="1" ht="11.25" customHeight="1">
      <c r="A1247" s="87"/>
      <c r="C1247" s="43" t="s">
        <v>2373</v>
      </c>
      <c r="D1247" s="71" t="s">
        <v>382</v>
      </c>
      <c r="E1247" s="71" t="str">
        <f>MID(D1247,1,2)</f>
        <v>IL</v>
      </c>
      <c r="F1247" s="71" t="s">
        <v>522</v>
      </c>
      <c r="G1247" s="71" t="str">
        <f>MID(F1247,1,2)</f>
        <v>CZ</v>
      </c>
      <c r="H1247" s="43" t="s">
        <v>2344</v>
      </c>
      <c r="I1247" s="71" t="s">
        <v>2374</v>
      </c>
      <c r="J1247" s="71" t="s">
        <v>426</v>
      </c>
      <c r="K1247" s="43"/>
      <c r="L1247" s="71" t="s">
        <v>105</v>
      </c>
      <c r="M1247" s="73">
        <v>436</v>
      </c>
      <c r="N1247" s="71" t="s">
        <v>388</v>
      </c>
      <c r="O1247" s="73">
        <v>1.445</v>
      </c>
      <c r="P1247" s="71" t="s">
        <v>389</v>
      </c>
      <c r="Q1247" s="73">
        <v>436</v>
      </c>
      <c r="R1247" s="71" t="s">
        <v>388</v>
      </c>
      <c r="S1247" s="73">
        <v>0</v>
      </c>
      <c r="T1247" s="71" t="s">
        <v>390</v>
      </c>
      <c r="U1247" s="74">
        <v>3</v>
      </c>
      <c r="V1247" s="71" t="s">
        <v>391</v>
      </c>
      <c r="W1247" s="130"/>
      <c r="X1247" s="72">
        <v>46068.767361111109</v>
      </c>
      <c r="Y1247" s="72">
        <v>46070.50277777778</v>
      </c>
      <c r="Z1247" s="104" t="s">
        <v>573</v>
      </c>
      <c r="AA1247" s="104" t="s">
        <v>522</v>
      </c>
      <c r="AB1247" s="105">
        <v>46069.836111111108</v>
      </c>
      <c r="AC1247" s="105">
        <v>46070.484722222223</v>
      </c>
    </row>
    <row r="1248" s="70" customFormat="1" ht="11.25" customHeight="1">
      <c r="A1248" s="87"/>
      <c r="C1248" s="43" t="s">
        <v>2375</v>
      </c>
      <c r="D1248" s="71" t="s">
        <v>382</v>
      </c>
      <c r="E1248" s="71" t="str">
        <f>MID(D1248,1,2)</f>
        <v>IL</v>
      </c>
      <c r="F1248" s="71" t="s">
        <v>422</v>
      </c>
      <c r="G1248" s="71" t="str">
        <f>MID(F1248,1,2)</f>
        <v>US</v>
      </c>
      <c r="H1248" s="43" t="s">
        <v>1920</v>
      </c>
      <c r="I1248" s="71" t="s">
        <v>2376</v>
      </c>
      <c r="J1248" s="71" t="s">
        <v>400</v>
      </c>
      <c r="K1248" s="43"/>
      <c r="L1248" s="71" t="s">
        <v>105</v>
      </c>
      <c r="M1248" s="73">
        <v>30</v>
      </c>
      <c r="N1248" s="71" t="s">
        <v>388</v>
      </c>
      <c r="O1248" s="73">
        <v>0.744</v>
      </c>
      <c r="P1248" s="71" t="s">
        <v>389</v>
      </c>
      <c r="Q1248" s="73">
        <v>124</v>
      </c>
      <c r="R1248" s="71" t="s">
        <v>388</v>
      </c>
      <c r="S1248" s="73">
        <v>0</v>
      </c>
      <c r="T1248" s="71" t="s">
        <v>390</v>
      </c>
      <c r="U1248" s="74">
        <v>1</v>
      </c>
      <c r="V1248" s="71" t="s">
        <v>427</v>
      </c>
      <c r="W1248" s="130">
        <v>46065.40347222222</v>
      </c>
      <c r="X1248" s="72">
        <v>46067.479166666664</v>
      </c>
      <c r="Y1248" s="72">
        <v>46068.67291666667</v>
      </c>
      <c r="Z1248" s="104" t="s">
        <v>382</v>
      </c>
      <c r="AA1248" s="104" t="s">
        <v>422</v>
      </c>
      <c r="AB1248" s="105">
        <v>46067.470138888886</v>
      </c>
      <c r="AC1248" s="105">
        <v>46067.691666666666</v>
      </c>
    </row>
    <row r="1249" s="70" customFormat="1" ht="11.25" customHeight="1">
      <c r="A1249" s="87"/>
      <c r="C1249" s="43" t="s">
        <v>2377</v>
      </c>
      <c r="D1249" s="71" t="s">
        <v>382</v>
      </c>
      <c r="E1249" s="71" t="str">
        <f>MID(D1249,1,2)</f>
        <v>IL</v>
      </c>
      <c r="F1249" s="71" t="s">
        <v>702</v>
      </c>
      <c r="G1249" s="71" t="str">
        <f>MID(F1249,1,2)</f>
        <v>JP</v>
      </c>
      <c r="H1249" s="43" t="s">
        <v>2235</v>
      </c>
      <c r="I1249" s="71" t="s">
        <v>2378</v>
      </c>
      <c r="J1249" s="71" t="s">
        <v>386</v>
      </c>
      <c r="K1249" s="43"/>
      <c r="L1249" s="71" t="s">
        <v>107</v>
      </c>
      <c r="M1249" s="73">
        <v>1386</v>
      </c>
      <c r="N1249" s="71" t="s">
        <v>388</v>
      </c>
      <c r="O1249" s="73">
        <v>7.2</v>
      </c>
      <c r="P1249" s="71" t="s">
        <v>389</v>
      </c>
      <c r="Q1249" s="73">
        <v>1386</v>
      </c>
      <c r="R1249" s="71" t="s">
        <v>388</v>
      </c>
      <c r="S1249" s="73">
        <v>0</v>
      </c>
      <c r="T1249" s="71" t="s">
        <v>390</v>
      </c>
      <c r="U1249" s="74">
        <v>5</v>
      </c>
      <c r="V1249" s="71" t="s">
        <v>391</v>
      </c>
      <c r="W1249" s="130">
        <v>46065.424305555556</v>
      </c>
      <c r="X1249" s="72">
        <v>46067.404861111114</v>
      </c>
      <c r="Y1249" s="72">
        <v>46068.658333333333</v>
      </c>
      <c r="Z1249" s="104" t="s">
        <v>382</v>
      </c>
      <c r="AA1249" s="104" t="s">
        <v>702</v>
      </c>
      <c r="AB1249" s="105">
        <v>46067.899305555555</v>
      </c>
      <c r="AC1249" s="105">
        <v>46068.658333333333</v>
      </c>
    </row>
    <row r="1250" s="70" customFormat="1" ht="11.25" customHeight="1">
      <c r="A1250" s="87"/>
      <c r="C1250" s="43" t="s">
        <v>2379</v>
      </c>
      <c r="D1250" s="71" t="s">
        <v>382</v>
      </c>
      <c r="E1250" s="71" t="str">
        <f>MID(D1250,1,2)</f>
        <v>IL</v>
      </c>
      <c r="F1250" s="71" t="s">
        <v>651</v>
      </c>
      <c r="G1250" s="71" t="str">
        <f>MID(F1250,1,2)</f>
        <v>BR</v>
      </c>
      <c r="H1250" s="43" t="s">
        <v>2380</v>
      </c>
      <c r="I1250" s="71" t="s">
        <v>2381</v>
      </c>
      <c r="J1250" s="71" t="s">
        <v>386</v>
      </c>
      <c r="K1250" s="43"/>
      <c r="L1250" s="71" t="s">
        <v>107</v>
      </c>
      <c r="M1250" s="73">
        <v>38</v>
      </c>
      <c r="N1250" s="71" t="s">
        <v>388</v>
      </c>
      <c r="O1250" s="73">
        <v>0.217</v>
      </c>
      <c r="P1250" s="71" t="s">
        <v>389</v>
      </c>
      <c r="Q1250" s="73">
        <v>38</v>
      </c>
      <c r="R1250" s="71" t="s">
        <v>388</v>
      </c>
      <c r="S1250" s="73">
        <v>0</v>
      </c>
      <c r="T1250" s="71" t="s">
        <v>390</v>
      </c>
      <c r="U1250" s="74">
        <v>1</v>
      </c>
      <c r="V1250" s="71" t="s">
        <v>391</v>
      </c>
      <c r="W1250" s="130">
        <v>46065.430555555555</v>
      </c>
      <c r="X1250" s="72">
        <v>46066.586805555555</v>
      </c>
      <c r="Y1250" s="72">
        <v>46068.791666666664</v>
      </c>
      <c r="Z1250" s="104" t="s">
        <v>382</v>
      </c>
      <c r="AA1250" s="104" t="s">
        <v>590</v>
      </c>
      <c r="AB1250" s="105">
        <v>46067.475</v>
      </c>
      <c r="AC1250" s="105"/>
    </row>
    <row r="1251" s="70" customFormat="1" ht="11.25" customHeight="1">
      <c r="A1251" s="87"/>
      <c r="C1251" s="43" t="s">
        <v>2379</v>
      </c>
      <c r="D1251" s="71" t="s">
        <v>382</v>
      </c>
      <c r="E1251" s="71" t="str">
        <f>MID(D1251,1,2)</f>
        <v>IL</v>
      </c>
      <c r="F1251" s="71" t="s">
        <v>651</v>
      </c>
      <c r="G1251" s="71" t="str">
        <f>MID(F1251,1,2)</f>
        <v>BR</v>
      </c>
      <c r="H1251" s="43" t="s">
        <v>2380</v>
      </c>
      <c r="I1251" s="71" t="s">
        <v>2381</v>
      </c>
      <c r="J1251" s="71" t="s">
        <v>386</v>
      </c>
      <c r="K1251" s="43"/>
      <c r="L1251" s="71" t="s">
        <v>107</v>
      </c>
      <c r="M1251" s="73">
        <v>38</v>
      </c>
      <c r="N1251" s="71" t="s">
        <v>388</v>
      </c>
      <c r="O1251" s="73">
        <v>0.217</v>
      </c>
      <c r="P1251" s="71" t="s">
        <v>389</v>
      </c>
      <c r="Q1251" s="73">
        <v>38</v>
      </c>
      <c r="R1251" s="71" t="s">
        <v>388</v>
      </c>
      <c r="S1251" s="73">
        <v>0</v>
      </c>
      <c r="T1251" s="71" t="s">
        <v>390</v>
      </c>
      <c r="U1251" s="74">
        <v>1</v>
      </c>
      <c r="V1251" s="71" t="s">
        <v>391</v>
      </c>
      <c r="W1251" s="130">
        <v>46065.430555555555</v>
      </c>
      <c r="X1251" s="72">
        <v>46066.586805555555</v>
      </c>
      <c r="Y1251" s="72">
        <v>46068.791666666664</v>
      </c>
      <c r="Z1251" s="104" t="s">
        <v>590</v>
      </c>
      <c r="AA1251" s="104" t="s">
        <v>651</v>
      </c>
      <c r="AB1251" s="105">
        <v>46068.01458333333</v>
      </c>
      <c r="AC1251" s="105">
        <v>46068.5</v>
      </c>
    </row>
    <row r="1252" s="70" customFormat="1" ht="11.25" customHeight="1">
      <c r="A1252" s="87"/>
      <c r="C1252" s="43" t="s">
        <v>2382</v>
      </c>
      <c r="D1252" s="71" t="s">
        <v>382</v>
      </c>
      <c r="E1252" s="71" t="str">
        <f>MID(D1252,1,2)</f>
        <v>IL</v>
      </c>
      <c r="F1252" s="71" t="s">
        <v>2383</v>
      </c>
      <c r="G1252" s="71" t="str">
        <f>MID(F1252,1,2)</f>
        <v>SE</v>
      </c>
      <c r="H1252" s="43" t="s">
        <v>2384</v>
      </c>
      <c r="I1252" s="71" t="s">
        <v>2385</v>
      </c>
      <c r="J1252" s="71" t="s">
        <v>454</v>
      </c>
      <c r="K1252" s="43"/>
      <c r="L1252" s="71" t="s">
        <v>107</v>
      </c>
      <c r="M1252" s="73">
        <v>12</v>
      </c>
      <c r="N1252" s="71" t="s">
        <v>388</v>
      </c>
      <c r="O1252" s="73">
        <v>0.147</v>
      </c>
      <c r="P1252" s="71" t="s">
        <v>389</v>
      </c>
      <c r="Q1252" s="73">
        <v>24.5</v>
      </c>
      <c r="R1252" s="71" t="s">
        <v>388</v>
      </c>
      <c r="S1252" s="73">
        <v>0</v>
      </c>
      <c r="T1252" s="71" t="s">
        <v>390</v>
      </c>
      <c r="U1252" s="74">
        <v>1</v>
      </c>
      <c r="V1252" s="71" t="s">
        <v>391</v>
      </c>
      <c r="W1252" s="130"/>
      <c r="X1252" s="72">
        <v>46066.690972222219</v>
      </c>
      <c r="Y1252" s="72">
        <v>46069.378472222219</v>
      </c>
      <c r="Z1252" s="104" t="s">
        <v>382</v>
      </c>
      <c r="AA1252" s="104" t="s">
        <v>595</v>
      </c>
      <c r="AB1252" s="105">
        <v>46068.650694444441</v>
      </c>
      <c r="AC1252" s="105">
        <v>46068.756944444445</v>
      </c>
    </row>
    <row r="1253" s="70" customFormat="1" ht="11.25" customHeight="1">
      <c r="A1253" s="87"/>
      <c r="C1253" s="43" t="s">
        <v>2382</v>
      </c>
      <c r="D1253" s="71" t="s">
        <v>382</v>
      </c>
      <c r="E1253" s="71" t="str">
        <f>MID(D1253,1,2)</f>
        <v>IL</v>
      </c>
      <c r="F1253" s="71" t="s">
        <v>2383</v>
      </c>
      <c r="G1253" s="71" t="str">
        <f>MID(F1253,1,2)</f>
        <v>SE</v>
      </c>
      <c r="H1253" s="43" t="s">
        <v>2384</v>
      </c>
      <c r="I1253" s="71" t="s">
        <v>2385</v>
      </c>
      <c r="J1253" s="71" t="s">
        <v>454</v>
      </c>
      <c r="K1253" s="43"/>
      <c r="L1253" s="71" t="s">
        <v>107</v>
      </c>
      <c r="M1253" s="73">
        <v>12</v>
      </c>
      <c r="N1253" s="71" t="s">
        <v>388</v>
      </c>
      <c r="O1253" s="73">
        <v>0.147</v>
      </c>
      <c r="P1253" s="71" t="s">
        <v>389</v>
      </c>
      <c r="Q1253" s="73">
        <v>24.5</v>
      </c>
      <c r="R1253" s="71" t="s">
        <v>388</v>
      </c>
      <c r="S1253" s="73">
        <v>0</v>
      </c>
      <c r="T1253" s="71" t="s">
        <v>390</v>
      </c>
      <c r="U1253" s="74">
        <v>1</v>
      </c>
      <c r="V1253" s="71" t="s">
        <v>391</v>
      </c>
      <c r="W1253" s="130"/>
      <c r="X1253" s="72">
        <v>46066.690972222219</v>
      </c>
      <c r="Y1253" s="72">
        <v>46069.378472222219</v>
      </c>
      <c r="Z1253" s="104" t="s">
        <v>595</v>
      </c>
      <c r="AA1253" s="104" t="s">
        <v>2383</v>
      </c>
      <c r="AB1253" s="105">
        <v>46069.286111111112</v>
      </c>
      <c r="AC1253" s="105">
        <v>46069.371527777781</v>
      </c>
    </row>
    <row r="1254" s="70" customFormat="1" ht="11.25" customHeight="1">
      <c r="A1254" s="87"/>
      <c r="C1254" s="43" t="s">
        <v>2386</v>
      </c>
      <c r="D1254" s="71" t="s">
        <v>382</v>
      </c>
      <c r="E1254" s="71" t="str">
        <f>MID(D1254,1,2)</f>
        <v>IL</v>
      </c>
      <c r="F1254" s="71" t="s">
        <v>702</v>
      </c>
      <c r="G1254" s="71" t="str">
        <f>MID(F1254,1,2)</f>
        <v>JP</v>
      </c>
      <c r="H1254" s="43" t="s">
        <v>2387</v>
      </c>
      <c r="I1254" s="71" t="s">
        <v>2388</v>
      </c>
      <c r="J1254" s="71" t="s">
        <v>426</v>
      </c>
      <c r="K1254" s="43"/>
      <c r="L1254" s="71" t="s">
        <v>105</v>
      </c>
      <c r="M1254" s="73">
        <v>2565</v>
      </c>
      <c r="N1254" s="71" t="s">
        <v>388</v>
      </c>
      <c r="O1254" s="73">
        <v>18.96</v>
      </c>
      <c r="P1254" s="71" t="s">
        <v>389</v>
      </c>
      <c r="Q1254" s="73">
        <v>3160</v>
      </c>
      <c r="R1254" s="71" t="s">
        <v>388</v>
      </c>
      <c r="S1254" s="73">
        <v>0</v>
      </c>
      <c r="T1254" s="71" t="s">
        <v>390</v>
      </c>
      <c r="U1254" s="74">
        <v>6</v>
      </c>
      <c r="V1254" s="71" t="s">
        <v>391</v>
      </c>
      <c r="W1254" s="130">
        <v>46072.748182870368</v>
      </c>
      <c r="X1254" s="72">
        <v>46074.753472222219</v>
      </c>
      <c r="Y1254" s="72">
        <v>46076.763194444444</v>
      </c>
      <c r="Z1254" s="104" t="s">
        <v>382</v>
      </c>
      <c r="AA1254" s="104" t="s">
        <v>748</v>
      </c>
      <c r="AB1254" s="105">
        <v>46073.627083333333</v>
      </c>
      <c r="AC1254" s="105">
        <v>46075.086111111108</v>
      </c>
    </row>
    <row r="1255" s="70" customFormat="1" ht="11.25" customHeight="1">
      <c r="A1255" s="87"/>
      <c r="C1255" s="43" t="s">
        <v>2386</v>
      </c>
      <c r="D1255" s="71" t="s">
        <v>382</v>
      </c>
      <c r="E1255" s="71" t="str">
        <f>MID(D1255,1,2)</f>
        <v>IL</v>
      </c>
      <c r="F1255" s="71" t="s">
        <v>702</v>
      </c>
      <c r="G1255" s="71" t="str">
        <f>MID(F1255,1,2)</f>
        <v>JP</v>
      </c>
      <c r="H1255" s="43" t="s">
        <v>2387</v>
      </c>
      <c r="I1255" s="71" t="s">
        <v>2388</v>
      </c>
      <c r="J1255" s="71" t="s">
        <v>426</v>
      </c>
      <c r="K1255" s="43"/>
      <c r="L1255" s="71" t="s">
        <v>105</v>
      </c>
      <c r="M1255" s="73">
        <v>2565</v>
      </c>
      <c r="N1255" s="71" t="s">
        <v>388</v>
      </c>
      <c r="O1255" s="73">
        <v>18.96</v>
      </c>
      <c r="P1255" s="71" t="s">
        <v>389</v>
      </c>
      <c r="Q1255" s="73">
        <v>3160</v>
      </c>
      <c r="R1255" s="71" t="s">
        <v>388</v>
      </c>
      <c r="S1255" s="73">
        <v>0</v>
      </c>
      <c r="T1255" s="71" t="s">
        <v>390</v>
      </c>
      <c r="U1255" s="74">
        <v>6</v>
      </c>
      <c r="V1255" s="71" t="s">
        <v>391</v>
      </c>
      <c r="W1255" s="130">
        <v>46072.748182870368</v>
      </c>
      <c r="X1255" s="72">
        <v>46074.753472222219</v>
      </c>
      <c r="Y1255" s="72">
        <v>46076.763194444444</v>
      </c>
      <c r="Z1255" s="104" t="s">
        <v>748</v>
      </c>
      <c r="AA1255" s="104" t="s">
        <v>702</v>
      </c>
      <c r="AB1255" s="105">
        <v>46075.451388888891</v>
      </c>
      <c r="AC1255" s="105">
        <v>46076.763194444444</v>
      </c>
    </row>
    <row r="1256" s="70" customFormat="1" ht="11.25" customHeight="1">
      <c r="A1256" s="87"/>
      <c r="C1256" s="43" t="s">
        <v>2389</v>
      </c>
      <c r="D1256" s="71" t="s">
        <v>382</v>
      </c>
      <c r="E1256" s="71" t="str">
        <f>MID(D1256,1,2)</f>
        <v>IL</v>
      </c>
      <c r="F1256" s="71" t="s">
        <v>1341</v>
      </c>
      <c r="G1256" s="71" t="str">
        <f>MID(F1256,1,2)</f>
        <v>IE</v>
      </c>
      <c r="H1256" s="43" t="s">
        <v>2390</v>
      </c>
      <c r="I1256" s="71" t="s">
        <v>2391</v>
      </c>
      <c r="J1256" s="71" t="s">
        <v>811</v>
      </c>
      <c r="K1256" s="43"/>
      <c r="L1256" s="71" t="s">
        <v>105</v>
      </c>
      <c r="M1256" s="73">
        <v>173</v>
      </c>
      <c r="N1256" s="71" t="s">
        <v>388</v>
      </c>
      <c r="O1256" s="73">
        <v>0.554</v>
      </c>
      <c r="P1256" s="71" t="s">
        <v>389</v>
      </c>
      <c r="Q1256" s="73">
        <v>173</v>
      </c>
      <c r="R1256" s="71" t="s">
        <v>388</v>
      </c>
      <c r="S1256" s="73">
        <v>0</v>
      </c>
      <c r="T1256" s="71" t="s">
        <v>390</v>
      </c>
      <c r="U1256" s="74">
        <v>1</v>
      </c>
      <c r="V1256" s="71" t="s">
        <v>391</v>
      </c>
      <c r="W1256" s="130"/>
      <c r="X1256" s="72">
        <v>46066.340277777781</v>
      </c>
      <c r="Y1256" s="72">
        <v>46067.267361111109</v>
      </c>
      <c r="Z1256" s="104" t="s">
        <v>382</v>
      </c>
      <c r="AA1256" s="104" t="s">
        <v>748</v>
      </c>
      <c r="AB1256" s="105">
        <v>46066.404861111114</v>
      </c>
      <c r="AC1256" s="105">
        <v>46066.529861111114</v>
      </c>
    </row>
    <row r="1257" s="70" customFormat="1" ht="11.25" customHeight="1">
      <c r="A1257" s="87"/>
      <c r="C1257" s="43" t="s">
        <v>2389</v>
      </c>
      <c r="D1257" s="71" t="s">
        <v>382</v>
      </c>
      <c r="E1257" s="71" t="str">
        <f>MID(D1257,1,2)</f>
        <v>IL</v>
      </c>
      <c r="F1257" s="71" t="s">
        <v>1341</v>
      </c>
      <c r="G1257" s="71" t="str">
        <f>MID(F1257,1,2)</f>
        <v>IE</v>
      </c>
      <c r="H1257" s="43" t="s">
        <v>2390</v>
      </c>
      <c r="I1257" s="71" t="s">
        <v>2391</v>
      </c>
      <c r="J1257" s="71" t="s">
        <v>811</v>
      </c>
      <c r="K1257" s="43"/>
      <c r="L1257" s="71" t="s">
        <v>105</v>
      </c>
      <c r="M1257" s="73">
        <v>173</v>
      </c>
      <c r="N1257" s="71" t="s">
        <v>388</v>
      </c>
      <c r="O1257" s="73">
        <v>0.554</v>
      </c>
      <c r="P1257" s="71" t="s">
        <v>389</v>
      </c>
      <c r="Q1257" s="73">
        <v>173</v>
      </c>
      <c r="R1257" s="71" t="s">
        <v>388</v>
      </c>
      <c r="S1257" s="73">
        <v>0</v>
      </c>
      <c r="T1257" s="71" t="s">
        <v>390</v>
      </c>
      <c r="U1257" s="74">
        <v>1</v>
      </c>
      <c r="V1257" s="71" t="s">
        <v>391</v>
      </c>
      <c r="W1257" s="130"/>
      <c r="X1257" s="72">
        <v>46066.340277777781</v>
      </c>
      <c r="Y1257" s="72">
        <v>46067.267361111109</v>
      </c>
      <c r="Z1257" s="104" t="s">
        <v>748</v>
      </c>
      <c r="AA1257" s="104" t="s">
        <v>1341</v>
      </c>
      <c r="AB1257" s="105">
        <v>46067.248611111114</v>
      </c>
      <c r="AC1257" s="105">
        <v>46067.384027777778</v>
      </c>
    </row>
    <row r="1258" s="70" customFormat="1" ht="11.25" customHeight="1">
      <c r="A1258" s="87"/>
      <c r="C1258" s="43" t="s">
        <v>2392</v>
      </c>
      <c r="D1258" s="71" t="s">
        <v>382</v>
      </c>
      <c r="E1258" s="71" t="str">
        <f>MID(D1258,1,2)</f>
        <v>IL</v>
      </c>
      <c r="F1258" s="71" t="s">
        <v>2393</v>
      </c>
      <c r="G1258" s="71" t="str">
        <f>MID(F1258,1,2)</f>
        <v>ES</v>
      </c>
      <c r="H1258" s="43" t="s">
        <v>2394</v>
      </c>
      <c r="I1258" s="71" t="s">
        <v>2395</v>
      </c>
      <c r="J1258" s="71" t="s">
        <v>811</v>
      </c>
      <c r="K1258" s="43"/>
      <c r="L1258" s="71" t="s">
        <v>105</v>
      </c>
      <c r="M1258" s="73">
        <v>102</v>
      </c>
      <c r="N1258" s="71" t="s">
        <v>388</v>
      </c>
      <c r="O1258" s="73">
        <v>1.039</v>
      </c>
      <c r="P1258" s="71" t="s">
        <v>389</v>
      </c>
      <c r="Q1258" s="73">
        <v>173.5</v>
      </c>
      <c r="R1258" s="71" t="s">
        <v>388</v>
      </c>
      <c r="S1258" s="73">
        <v>0</v>
      </c>
      <c r="T1258" s="71" t="s">
        <v>390</v>
      </c>
      <c r="U1258" s="74">
        <v>2</v>
      </c>
      <c r="V1258" s="71" t="s">
        <v>391</v>
      </c>
      <c r="W1258" s="130">
        <v>46065.646527777775</v>
      </c>
      <c r="X1258" s="72">
        <v>46066.270833333336</v>
      </c>
      <c r="Y1258" s="72">
        <v>46068.409722222219</v>
      </c>
      <c r="Z1258" s="104" t="s">
        <v>382</v>
      </c>
      <c r="AA1258" s="104" t="s">
        <v>2393</v>
      </c>
      <c r="AB1258" s="105">
        <v>46068.24722222222</v>
      </c>
      <c r="AC1258" s="105">
        <v>46068.395833333336</v>
      </c>
    </row>
    <row r="1259" s="70" customFormat="1" ht="11.25" customHeight="1">
      <c r="A1259" s="87"/>
      <c r="C1259" s="43" t="s">
        <v>2396</v>
      </c>
      <c r="D1259" s="71" t="s">
        <v>2397</v>
      </c>
      <c r="E1259" s="71" t="str">
        <f>MID(D1259,1,2)</f>
        <v>IL</v>
      </c>
      <c r="F1259" s="71" t="s">
        <v>433</v>
      </c>
      <c r="G1259" s="71" t="str">
        <f>MID(F1259,1,2)</f>
        <v>US</v>
      </c>
      <c r="H1259" s="43" t="s">
        <v>2398</v>
      </c>
      <c r="I1259" s="71" t="s">
        <v>2399</v>
      </c>
      <c r="J1259" s="71" t="s">
        <v>386</v>
      </c>
      <c r="K1259" s="43"/>
      <c r="L1259" s="71" t="s">
        <v>107</v>
      </c>
      <c r="M1259" s="73">
        <v>63</v>
      </c>
      <c r="N1259" s="71" t="s">
        <v>388</v>
      </c>
      <c r="O1259" s="73">
        <v>1.008</v>
      </c>
      <c r="P1259" s="71" t="s">
        <v>389</v>
      </c>
      <c r="Q1259" s="73">
        <v>168</v>
      </c>
      <c r="R1259" s="71" t="s">
        <v>388</v>
      </c>
      <c r="S1259" s="73">
        <v>0</v>
      </c>
      <c r="T1259" s="71" t="s">
        <v>390</v>
      </c>
      <c r="U1259" s="74">
        <v>1</v>
      </c>
      <c r="V1259" s="71" t="s">
        <v>391</v>
      </c>
      <c r="W1259" s="130">
        <v>46065.627210648148</v>
      </c>
      <c r="X1259" s="72">
        <v>46068.013888888891</v>
      </c>
      <c r="Y1259" s="72">
        <v>46073.625</v>
      </c>
      <c r="Z1259" s="104" t="s">
        <v>382</v>
      </c>
      <c r="AA1259" s="104" t="s">
        <v>1960</v>
      </c>
      <c r="AB1259" s="105">
        <v>46068.005555555559</v>
      </c>
      <c r="AC1259" s="105">
        <v>46068.21875</v>
      </c>
    </row>
    <row r="1260" s="70" customFormat="1" ht="11.25" customHeight="1">
      <c r="A1260" s="87"/>
      <c r="C1260" s="43" t="s">
        <v>2396</v>
      </c>
      <c r="D1260" s="71" t="s">
        <v>2397</v>
      </c>
      <c r="E1260" s="71" t="str">
        <f>MID(D1260,1,2)</f>
        <v>IL</v>
      </c>
      <c r="F1260" s="71" t="s">
        <v>433</v>
      </c>
      <c r="G1260" s="71" t="str">
        <f>MID(F1260,1,2)</f>
        <v>US</v>
      </c>
      <c r="H1260" s="43" t="s">
        <v>2398</v>
      </c>
      <c r="I1260" s="71" t="s">
        <v>2399</v>
      </c>
      <c r="J1260" s="71" t="s">
        <v>386</v>
      </c>
      <c r="K1260" s="43"/>
      <c r="L1260" s="71" t="s">
        <v>107</v>
      </c>
      <c r="M1260" s="73">
        <v>63</v>
      </c>
      <c r="N1260" s="71" t="s">
        <v>388</v>
      </c>
      <c r="O1260" s="73">
        <v>1.008</v>
      </c>
      <c r="P1260" s="71" t="s">
        <v>389</v>
      </c>
      <c r="Q1260" s="73">
        <v>168</v>
      </c>
      <c r="R1260" s="71" t="s">
        <v>388</v>
      </c>
      <c r="S1260" s="73">
        <v>0</v>
      </c>
      <c r="T1260" s="71" t="s">
        <v>390</v>
      </c>
      <c r="U1260" s="74">
        <v>1</v>
      </c>
      <c r="V1260" s="71" t="s">
        <v>391</v>
      </c>
      <c r="W1260" s="130">
        <v>46065.627210648148</v>
      </c>
      <c r="X1260" s="72">
        <v>46068.013888888891</v>
      </c>
      <c r="Y1260" s="72">
        <v>46073.625</v>
      </c>
      <c r="Z1260" s="104" t="s">
        <v>1960</v>
      </c>
      <c r="AA1260" s="104" t="s">
        <v>433</v>
      </c>
      <c r="AB1260" s="105">
        <v>46071.239583333336</v>
      </c>
      <c r="AC1260" s="105">
        <v>46073.490277777775</v>
      </c>
    </row>
    <row r="1261" s="70" customFormat="1" ht="11.25" customHeight="1">
      <c r="A1261" s="87"/>
      <c r="C1261" s="43" t="s">
        <v>2400</v>
      </c>
      <c r="D1261" s="71" t="s">
        <v>382</v>
      </c>
      <c r="E1261" s="71" t="str">
        <f>MID(D1261,1,2)</f>
        <v>IL</v>
      </c>
      <c r="F1261" s="71" t="s">
        <v>433</v>
      </c>
      <c r="G1261" s="71" t="str">
        <f>MID(F1261,1,2)</f>
        <v>US</v>
      </c>
      <c r="H1261" s="43" t="s">
        <v>2401</v>
      </c>
      <c r="I1261" s="71" t="s">
        <v>2402</v>
      </c>
      <c r="J1261" s="71" t="s">
        <v>559</v>
      </c>
      <c r="K1261" s="43"/>
      <c r="L1261" s="71" t="s">
        <v>107</v>
      </c>
      <c r="M1261" s="73">
        <v>74</v>
      </c>
      <c r="N1261" s="71" t="s">
        <v>388</v>
      </c>
      <c r="O1261" s="73">
        <v>0.627</v>
      </c>
      <c r="P1261" s="71" t="s">
        <v>389</v>
      </c>
      <c r="Q1261" s="73">
        <v>104.5</v>
      </c>
      <c r="R1261" s="71" t="s">
        <v>388</v>
      </c>
      <c r="S1261" s="73">
        <v>0</v>
      </c>
      <c r="T1261" s="71" t="s">
        <v>390</v>
      </c>
      <c r="U1261" s="74">
        <v>3</v>
      </c>
      <c r="V1261" s="71" t="s">
        <v>446</v>
      </c>
      <c r="W1261" s="130">
        <v>46065.45208333333</v>
      </c>
      <c r="X1261" s="72">
        <v>46066.431944444441</v>
      </c>
      <c r="Y1261" s="72">
        <v>46071.326388888891</v>
      </c>
      <c r="Z1261" s="104" t="s">
        <v>382</v>
      </c>
      <c r="AA1261" s="104" t="s">
        <v>433</v>
      </c>
      <c r="AB1261" s="105">
        <v>46070.040972222225</v>
      </c>
      <c r="AC1261" s="105">
        <v>46070.304166666669</v>
      </c>
    </row>
    <row r="1262" s="70" customFormat="1" ht="11.25" customHeight="1">
      <c r="A1262" s="87"/>
      <c r="C1262" s="43" t="s">
        <v>2403</v>
      </c>
      <c r="D1262" s="71" t="s">
        <v>382</v>
      </c>
      <c r="E1262" s="71" t="str">
        <f>MID(D1262,1,2)</f>
        <v>IL</v>
      </c>
      <c r="F1262" s="71" t="s">
        <v>1583</v>
      </c>
      <c r="G1262" s="71" t="str">
        <f>MID(F1262,1,2)</f>
        <v>BR</v>
      </c>
      <c r="H1262" s="43" t="s">
        <v>2404</v>
      </c>
      <c r="I1262" s="71" t="s">
        <v>2405</v>
      </c>
      <c r="J1262" s="71" t="s">
        <v>454</v>
      </c>
      <c r="K1262" s="43"/>
      <c r="L1262" s="71" t="s">
        <v>107</v>
      </c>
      <c r="M1262" s="73">
        <v>3</v>
      </c>
      <c r="N1262" s="71" t="s">
        <v>388</v>
      </c>
      <c r="O1262" s="73">
        <v>0.027</v>
      </c>
      <c r="P1262" s="71" t="s">
        <v>389</v>
      </c>
      <c r="Q1262" s="73">
        <v>4.5</v>
      </c>
      <c r="R1262" s="71" t="s">
        <v>388</v>
      </c>
      <c r="S1262" s="73">
        <v>0</v>
      </c>
      <c r="T1262" s="71" t="s">
        <v>390</v>
      </c>
      <c r="U1262" s="74">
        <v>1</v>
      </c>
      <c r="V1262" s="71" t="s">
        <v>391</v>
      </c>
      <c r="W1262" s="130">
        <v>46065.706944444442</v>
      </c>
      <c r="X1262" s="72">
        <v>46067.690972222219</v>
      </c>
      <c r="Y1262" s="72">
        <v>46079</v>
      </c>
      <c r="Z1262" s="104" t="s">
        <v>382</v>
      </c>
      <c r="AA1262" s="104" t="s">
        <v>383</v>
      </c>
      <c r="AB1262" s="105">
        <v>46067.7</v>
      </c>
      <c r="AC1262" s="105">
        <v>46067.85</v>
      </c>
    </row>
    <row r="1263" s="70" customFormat="1" ht="11.25" customHeight="1">
      <c r="A1263" s="87"/>
      <c r="C1263" s="43" t="s">
        <v>2403</v>
      </c>
      <c r="D1263" s="71" t="s">
        <v>382</v>
      </c>
      <c r="E1263" s="71" t="str">
        <f>MID(D1263,1,2)</f>
        <v>IL</v>
      </c>
      <c r="F1263" s="71" t="s">
        <v>1583</v>
      </c>
      <c r="G1263" s="71" t="str">
        <f>MID(F1263,1,2)</f>
        <v>BR</v>
      </c>
      <c r="H1263" s="43" t="s">
        <v>2404</v>
      </c>
      <c r="I1263" s="71" t="s">
        <v>2405</v>
      </c>
      <c r="J1263" s="71" t="s">
        <v>454</v>
      </c>
      <c r="K1263" s="43"/>
      <c r="L1263" s="71" t="s">
        <v>107</v>
      </c>
      <c r="M1263" s="73">
        <v>3</v>
      </c>
      <c r="N1263" s="71" t="s">
        <v>388</v>
      </c>
      <c r="O1263" s="73">
        <v>0.027</v>
      </c>
      <c r="P1263" s="71" t="s">
        <v>389</v>
      </c>
      <c r="Q1263" s="73">
        <v>4.5</v>
      </c>
      <c r="R1263" s="71" t="s">
        <v>388</v>
      </c>
      <c r="S1263" s="73">
        <v>0</v>
      </c>
      <c r="T1263" s="71" t="s">
        <v>390</v>
      </c>
      <c r="U1263" s="74">
        <v>1</v>
      </c>
      <c r="V1263" s="71" t="s">
        <v>391</v>
      </c>
      <c r="W1263" s="130">
        <v>46065.706944444442</v>
      </c>
      <c r="X1263" s="72">
        <v>46067.690972222219</v>
      </c>
      <c r="Y1263" s="72">
        <v>46079</v>
      </c>
      <c r="Z1263" s="104" t="s">
        <v>383</v>
      </c>
      <c r="AA1263" s="104" t="s">
        <v>1349</v>
      </c>
      <c r="AB1263" s="105">
        <v>46071.861805555556</v>
      </c>
      <c r="AC1263" s="105">
        <v>46072.20208333333</v>
      </c>
    </row>
    <row r="1264" s="70" customFormat="1" ht="11.25" customHeight="1">
      <c r="A1264" s="87"/>
      <c r="C1264" s="43" t="s">
        <v>2403</v>
      </c>
      <c r="D1264" s="71" t="s">
        <v>382</v>
      </c>
      <c r="E1264" s="71" t="str">
        <f>MID(D1264,1,2)</f>
        <v>IL</v>
      </c>
      <c r="F1264" s="71" t="s">
        <v>1583</v>
      </c>
      <c r="G1264" s="71" t="str">
        <f>MID(F1264,1,2)</f>
        <v>BR</v>
      </c>
      <c r="H1264" s="43" t="s">
        <v>2404</v>
      </c>
      <c r="I1264" s="71" t="s">
        <v>2405</v>
      </c>
      <c r="J1264" s="71" t="s">
        <v>454</v>
      </c>
      <c r="K1264" s="43"/>
      <c r="L1264" s="71" t="s">
        <v>107</v>
      </c>
      <c r="M1264" s="73">
        <v>3</v>
      </c>
      <c r="N1264" s="71" t="s">
        <v>388</v>
      </c>
      <c r="O1264" s="73">
        <v>0.027</v>
      </c>
      <c r="P1264" s="71" t="s">
        <v>389</v>
      </c>
      <c r="Q1264" s="73">
        <v>4.5</v>
      </c>
      <c r="R1264" s="71" t="s">
        <v>388</v>
      </c>
      <c r="S1264" s="73">
        <v>0</v>
      </c>
      <c r="T1264" s="71" t="s">
        <v>390</v>
      </c>
      <c r="U1264" s="74">
        <v>1</v>
      </c>
      <c r="V1264" s="71" t="s">
        <v>391</v>
      </c>
      <c r="W1264" s="130">
        <v>46065.706944444442</v>
      </c>
      <c r="X1264" s="72">
        <v>46067.690972222219</v>
      </c>
      <c r="Y1264" s="72">
        <v>46079</v>
      </c>
      <c r="Z1264" s="104" t="s">
        <v>1349</v>
      </c>
      <c r="AA1264" s="104" t="s">
        <v>1583</v>
      </c>
      <c r="AB1264" s="105">
        <v>46077.368055555555</v>
      </c>
      <c r="AC1264" s="105">
        <v>46079.369444444441</v>
      </c>
    </row>
    <row r="1265" s="70" customFormat="1" ht="11.25" customHeight="1">
      <c r="A1265" s="87"/>
      <c r="C1265" s="43" t="s">
        <v>2406</v>
      </c>
      <c r="D1265" s="71" t="s">
        <v>382</v>
      </c>
      <c r="E1265" s="71" t="str">
        <f>MID(D1265,1,2)</f>
        <v>IL</v>
      </c>
      <c r="F1265" s="71" t="s">
        <v>433</v>
      </c>
      <c r="G1265" s="71" t="str">
        <f>MID(F1265,1,2)</f>
        <v>US</v>
      </c>
      <c r="H1265" s="43" t="s">
        <v>2401</v>
      </c>
      <c r="I1265" s="71" t="s">
        <v>2407</v>
      </c>
      <c r="J1265" s="71" t="s">
        <v>559</v>
      </c>
      <c r="K1265" s="43"/>
      <c r="L1265" s="71" t="s">
        <v>107</v>
      </c>
      <c r="M1265" s="73">
        <v>24</v>
      </c>
      <c r="N1265" s="71" t="s">
        <v>388</v>
      </c>
      <c r="O1265" s="73">
        <v>0.192</v>
      </c>
      <c r="P1265" s="71" t="s">
        <v>389</v>
      </c>
      <c r="Q1265" s="73">
        <v>32</v>
      </c>
      <c r="R1265" s="71" t="s">
        <v>388</v>
      </c>
      <c r="S1265" s="73">
        <v>0</v>
      </c>
      <c r="T1265" s="71" t="s">
        <v>390</v>
      </c>
      <c r="U1265" s="74">
        <v>1</v>
      </c>
      <c r="V1265" s="71" t="s">
        <v>446</v>
      </c>
      <c r="W1265" s="130">
        <v>46065.459027777775</v>
      </c>
      <c r="X1265" s="72">
        <v>46066.041666666664</v>
      </c>
      <c r="Y1265" s="72">
        <v>46071.326388888891</v>
      </c>
      <c r="Z1265" s="104" t="s">
        <v>382</v>
      </c>
      <c r="AA1265" s="104" t="s">
        <v>433</v>
      </c>
      <c r="AB1265" s="105">
        <v>46070.040972222225</v>
      </c>
      <c r="AC1265" s="105">
        <v>46070.304166666669</v>
      </c>
    </row>
    <row r="1266" s="70" customFormat="1" ht="11.25" customHeight="1">
      <c r="A1266" s="87"/>
      <c r="C1266" s="43" t="s">
        <v>2408</v>
      </c>
      <c r="D1266" s="71" t="s">
        <v>382</v>
      </c>
      <c r="E1266" s="71" t="str">
        <f>MID(D1266,1,2)</f>
        <v>IL</v>
      </c>
      <c r="F1266" s="71" t="s">
        <v>405</v>
      </c>
      <c r="G1266" s="71" t="str">
        <f>MID(F1266,1,2)</f>
        <v>CA</v>
      </c>
      <c r="H1266" s="43" t="s">
        <v>2409</v>
      </c>
      <c r="I1266" s="71" t="s">
        <v>2410</v>
      </c>
      <c r="J1266" s="71" t="s">
        <v>435</v>
      </c>
      <c r="K1266" s="43"/>
      <c r="L1266" s="71" t="s">
        <v>105</v>
      </c>
      <c r="M1266" s="73">
        <v>188</v>
      </c>
      <c r="N1266" s="71" t="s">
        <v>388</v>
      </c>
      <c r="O1266" s="73">
        <v>0.506</v>
      </c>
      <c r="P1266" s="71" t="s">
        <v>389</v>
      </c>
      <c r="Q1266" s="73">
        <v>188</v>
      </c>
      <c r="R1266" s="71" t="s">
        <v>388</v>
      </c>
      <c r="S1266" s="73">
        <v>0</v>
      </c>
      <c r="T1266" s="71" t="s">
        <v>390</v>
      </c>
      <c r="U1266" s="74">
        <v>1</v>
      </c>
      <c r="V1266" s="71" t="s">
        <v>391</v>
      </c>
      <c r="W1266" s="130">
        <v>46065.465277777781</v>
      </c>
      <c r="X1266" s="72">
        <v>46066.496527777781</v>
      </c>
      <c r="Y1266" s="72">
        <v>46069.958333333336</v>
      </c>
      <c r="Z1266" s="104" t="s">
        <v>382</v>
      </c>
      <c r="AA1266" s="104" t="s">
        <v>405</v>
      </c>
      <c r="AB1266" s="105">
        <v>46069.538194444445</v>
      </c>
      <c r="AC1266" s="105">
        <v>46069.72152777778</v>
      </c>
    </row>
    <row r="1267" s="70" customFormat="1" ht="11.25" customHeight="1">
      <c r="A1267" s="87"/>
      <c r="C1267" s="43" t="s">
        <v>2411</v>
      </c>
      <c r="D1267" s="71" t="s">
        <v>382</v>
      </c>
      <c r="E1267" s="71" t="str">
        <f>MID(D1267,1,2)</f>
        <v>IL</v>
      </c>
      <c r="F1267" s="71" t="s">
        <v>433</v>
      </c>
      <c r="G1267" s="71" t="str">
        <f>MID(F1267,1,2)</f>
        <v>US</v>
      </c>
      <c r="H1267" s="43" t="s">
        <v>2401</v>
      </c>
      <c r="I1267" s="71" t="s">
        <v>2412</v>
      </c>
      <c r="J1267" s="71" t="s">
        <v>559</v>
      </c>
      <c r="K1267" s="43"/>
      <c r="L1267" s="71" t="s">
        <v>107</v>
      </c>
      <c r="M1267" s="73">
        <v>49</v>
      </c>
      <c r="N1267" s="71" t="s">
        <v>388</v>
      </c>
      <c r="O1267" s="73">
        <v>0.448</v>
      </c>
      <c r="P1267" s="71" t="s">
        <v>389</v>
      </c>
      <c r="Q1267" s="73">
        <v>75</v>
      </c>
      <c r="R1267" s="71" t="s">
        <v>388</v>
      </c>
      <c r="S1267" s="73">
        <v>0</v>
      </c>
      <c r="T1267" s="71" t="s">
        <v>390</v>
      </c>
      <c r="U1267" s="74">
        <v>2</v>
      </c>
      <c r="V1267" s="71" t="s">
        <v>446</v>
      </c>
      <c r="W1267" s="130">
        <v>46066.011111111111</v>
      </c>
      <c r="X1267" s="72">
        <v>46066.041666666664</v>
      </c>
      <c r="Y1267" s="72">
        <v>46071.326388888891</v>
      </c>
      <c r="Z1267" s="104" t="s">
        <v>382</v>
      </c>
      <c r="AA1267" s="104" t="s">
        <v>433</v>
      </c>
      <c r="AB1267" s="105">
        <v>46070.040972222225</v>
      </c>
      <c r="AC1267" s="105">
        <v>46070.304166666669</v>
      </c>
    </row>
    <row r="1268" s="70" customFormat="1" ht="11.25" customHeight="1">
      <c r="A1268" s="87"/>
      <c r="C1268" s="43" t="s">
        <v>2413</v>
      </c>
      <c r="D1268" s="71" t="s">
        <v>382</v>
      </c>
      <c r="E1268" s="71" t="str">
        <f>MID(D1268,1,2)</f>
        <v>IL</v>
      </c>
      <c r="F1268" s="71" t="s">
        <v>405</v>
      </c>
      <c r="G1268" s="71" t="str">
        <f>MID(F1268,1,2)</f>
        <v>CA</v>
      </c>
      <c r="H1268" s="43" t="s">
        <v>2414</v>
      </c>
      <c r="I1268" s="71" t="s">
        <v>2415</v>
      </c>
      <c r="J1268" s="71" t="s">
        <v>386</v>
      </c>
      <c r="K1268" s="43"/>
      <c r="L1268" s="71" t="s">
        <v>107</v>
      </c>
      <c r="M1268" s="73">
        <v>12</v>
      </c>
      <c r="N1268" s="71" t="s">
        <v>388</v>
      </c>
      <c r="O1268" s="73">
        <v>0.223</v>
      </c>
      <c r="P1268" s="71" t="s">
        <v>389</v>
      </c>
      <c r="Q1268" s="73">
        <v>37.5</v>
      </c>
      <c r="R1268" s="71" t="s">
        <v>388</v>
      </c>
      <c r="S1268" s="73">
        <v>0</v>
      </c>
      <c r="T1268" s="71" t="s">
        <v>390</v>
      </c>
      <c r="U1268" s="74">
        <v>1</v>
      </c>
      <c r="V1268" s="71" t="s">
        <v>417</v>
      </c>
      <c r="W1268" s="130">
        <v>46065.57708333333</v>
      </c>
      <c r="X1268" s="72">
        <v>46066.458333333336</v>
      </c>
      <c r="Y1268" s="72">
        <v>46069.72152777778</v>
      </c>
      <c r="Z1268" s="104" t="s">
        <v>382</v>
      </c>
      <c r="AA1268" s="104" t="s">
        <v>405</v>
      </c>
      <c r="AB1268" s="105">
        <v>46069.55</v>
      </c>
      <c r="AC1268" s="105">
        <v>46069.72152777778</v>
      </c>
    </row>
    <row r="1269" s="70" customFormat="1" ht="11.25" customHeight="1">
      <c r="A1269" s="87"/>
      <c r="C1269" s="43" t="s">
        <v>2416</v>
      </c>
      <c r="D1269" s="71" t="s">
        <v>382</v>
      </c>
      <c r="E1269" s="71" t="str">
        <f>MID(D1269,1,2)</f>
        <v>IL</v>
      </c>
      <c r="F1269" s="71" t="s">
        <v>833</v>
      </c>
      <c r="G1269" s="71" t="str">
        <f>MID(F1269,1,2)</f>
        <v>TH</v>
      </c>
      <c r="H1269" s="43" t="s">
        <v>2417</v>
      </c>
      <c r="I1269" s="71" t="s">
        <v>2418</v>
      </c>
      <c r="J1269" s="71" t="s">
        <v>400</v>
      </c>
      <c r="K1269" s="43"/>
      <c r="L1269" s="71" t="s">
        <v>105</v>
      </c>
      <c r="M1269" s="73">
        <v>195</v>
      </c>
      <c r="N1269" s="71" t="s">
        <v>388</v>
      </c>
      <c r="O1269" s="73">
        <v>1.34</v>
      </c>
      <c r="P1269" s="71" t="s">
        <v>389</v>
      </c>
      <c r="Q1269" s="73">
        <v>223.5</v>
      </c>
      <c r="R1269" s="71" t="s">
        <v>388</v>
      </c>
      <c r="S1269" s="73">
        <v>0</v>
      </c>
      <c r="T1269" s="71" t="s">
        <v>390</v>
      </c>
      <c r="U1269" s="74">
        <v>1</v>
      </c>
      <c r="V1269" s="71" t="s">
        <v>391</v>
      </c>
      <c r="W1269" s="130">
        <v>46065.842592592591</v>
      </c>
      <c r="X1269" s="72">
        <v>46067.448611111111</v>
      </c>
      <c r="Y1269" s="72">
        <v>46068.576388888891</v>
      </c>
      <c r="Z1269" s="104" t="s">
        <v>382</v>
      </c>
      <c r="AA1269" s="104" t="s">
        <v>833</v>
      </c>
      <c r="AB1269" s="105">
        <v>46067.893055555556</v>
      </c>
      <c r="AC1269" s="105">
        <v>46068.54375</v>
      </c>
    </row>
    <row r="1270" s="70" customFormat="1" ht="11.25" customHeight="1">
      <c r="A1270" s="87"/>
      <c r="C1270" s="43" t="s">
        <v>2419</v>
      </c>
      <c r="D1270" s="71" t="s">
        <v>382</v>
      </c>
      <c r="E1270" s="71" t="str">
        <f>MID(D1270,1,2)</f>
        <v>IL</v>
      </c>
      <c r="F1270" s="71" t="s">
        <v>1117</v>
      </c>
      <c r="G1270" s="71" t="str">
        <f>MID(F1270,1,2)</f>
        <v>BE</v>
      </c>
      <c r="H1270" s="43" t="s">
        <v>2420</v>
      </c>
      <c r="I1270" s="71" t="s">
        <v>2421</v>
      </c>
      <c r="J1270" s="71" t="s">
        <v>811</v>
      </c>
      <c r="K1270" s="43"/>
      <c r="L1270" s="71" t="s">
        <v>105</v>
      </c>
      <c r="M1270" s="73">
        <v>136</v>
      </c>
      <c r="N1270" s="71" t="s">
        <v>388</v>
      </c>
      <c r="O1270" s="73">
        <v>1.008</v>
      </c>
      <c r="P1270" s="71" t="s">
        <v>389</v>
      </c>
      <c r="Q1270" s="73">
        <v>168</v>
      </c>
      <c r="R1270" s="71" t="s">
        <v>388</v>
      </c>
      <c r="S1270" s="73">
        <v>0</v>
      </c>
      <c r="T1270" s="71" t="s">
        <v>390</v>
      </c>
      <c r="U1270" s="74">
        <v>1</v>
      </c>
      <c r="V1270" s="71" t="s">
        <v>391</v>
      </c>
      <c r="W1270" s="130">
        <v>46069.917245370372</v>
      </c>
      <c r="X1270" s="72">
        <v>46070.620833333334</v>
      </c>
      <c r="Y1270" s="72">
        <v>46071.531944444447</v>
      </c>
      <c r="Z1270" s="104" t="s">
        <v>382</v>
      </c>
      <c r="AA1270" s="104" t="s">
        <v>684</v>
      </c>
      <c r="AB1270" s="105">
        <v>46070.625</v>
      </c>
      <c r="AC1270" s="105">
        <v>46070.694444444445</v>
      </c>
    </row>
    <row r="1271" s="70" customFormat="1" ht="11.25" customHeight="1">
      <c r="A1271" s="87"/>
      <c r="C1271" s="43" t="s">
        <v>2419</v>
      </c>
      <c r="D1271" s="71" t="s">
        <v>382</v>
      </c>
      <c r="E1271" s="71" t="str">
        <f>MID(D1271,1,2)</f>
        <v>IL</v>
      </c>
      <c r="F1271" s="71" t="s">
        <v>1117</v>
      </c>
      <c r="G1271" s="71" t="str">
        <f>MID(F1271,1,2)</f>
        <v>BE</v>
      </c>
      <c r="H1271" s="43" t="s">
        <v>2420</v>
      </c>
      <c r="I1271" s="71" t="s">
        <v>2421</v>
      </c>
      <c r="J1271" s="71" t="s">
        <v>811</v>
      </c>
      <c r="K1271" s="43"/>
      <c r="L1271" s="71" t="s">
        <v>105</v>
      </c>
      <c r="M1271" s="73">
        <v>136</v>
      </c>
      <c r="N1271" s="71" t="s">
        <v>388</v>
      </c>
      <c r="O1271" s="73">
        <v>1.008</v>
      </c>
      <c r="P1271" s="71" t="s">
        <v>389</v>
      </c>
      <c r="Q1271" s="73">
        <v>168</v>
      </c>
      <c r="R1271" s="71" t="s">
        <v>388</v>
      </c>
      <c r="S1271" s="73">
        <v>0</v>
      </c>
      <c r="T1271" s="71" t="s">
        <v>390</v>
      </c>
      <c r="U1271" s="74">
        <v>1</v>
      </c>
      <c r="V1271" s="71" t="s">
        <v>391</v>
      </c>
      <c r="W1271" s="130">
        <v>46069.917245370372</v>
      </c>
      <c r="X1271" s="72">
        <v>46070.620833333334</v>
      </c>
      <c r="Y1271" s="72">
        <v>46071.531944444447</v>
      </c>
      <c r="Z1271" s="104" t="s">
        <v>684</v>
      </c>
      <c r="AA1271" s="104" t="s">
        <v>1117</v>
      </c>
      <c r="AB1271" s="105">
        <v>46071.013888888891</v>
      </c>
      <c r="AC1271" s="105">
        <v>46071.8</v>
      </c>
    </row>
    <row r="1272" s="70" customFormat="1" ht="11.25" customHeight="1">
      <c r="A1272" s="87"/>
      <c r="C1272" s="43" t="s">
        <v>2422</v>
      </c>
      <c r="D1272" s="71" t="s">
        <v>382</v>
      </c>
      <c r="E1272" s="71" t="str">
        <f>MID(D1272,1,2)</f>
        <v>IL</v>
      </c>
      <c r="F1272" s="71" t="s">
        <v>468</v>
      </c>
      <c r="G1272" s="71" t="str">
        <f>MID(F1272,1,2)</f>
        <v>US</v>
      </c>
      <c r="H1272" s="43" t="s">
        <v>1631</v>
      </c>
      <c r="I1272" s="71" t="s">
        <v>2423</v>
      </c>
      <c r="J1272" s="71" t="s">
        <v>386</v>
      </c>
      <c r="K1272" s="43"/>
      <c r="L1272" s="71" t="s">
        <v>107</v>
      </c>
      <c r="M1272" s="73">
        <v>60</v>
      </c>
      <c r="N1272" s="71" t="s">
        <v>388</v>
      </c>
      <c r="O1272" s="73">
        <v>1.449</v>
      </c>
      <c r="P1272" s="71" t="s">
        <v>389</v>
      </c>
      <c r="Q1272" s="73">
        <v>241.5</v>
      </c>
      <c r="R1272" s="71" t="s">
        <v>388</v>
      </c>
      <c r="S1272" s="73">
        <v>0</v>
      </c>
      <c r="T1272" s="71" t="s">
        <v>390</v>
      </c>
      <c r="U1272" s="74">
        <v>1</v>
      </c>
      <c r="V1272" s="71" t="s">
        <v>391</v>
      </c>
      <c r="W1272" s="130">
        <v>46065.472916666666</v>
      </c>
      <c r="X1272" s="72">
        <v>46066.965277777781</v>
      </c>
      <c r="Y1272" s="72">
        <v>46071.416666666664</v>
      </c>
      <c r="Z1272" s="104" t="s">
        <v>382</v>
      </c>
      <c r="AA1272" s="104" t="s">
        <v>422</v>
      </c>
      <c r="AB1272" s="105">
        <v>46066.967361111114</v>
      </c>
      <c r="AC1272" s="105">
        <v>46067.170138888891</v>
      </c>
    </row>
    <row r="1273" s="70" customFormat="1" ht="11.25" customHeight="1">
      <c r="A1273" s="87"/>
      <c r="C1273" s="43" t="s">
        <v>2422</v>
      </c>
      <c r="D1273" s="71" t="s">
        <v>382</v>
      </c>
      <c r="E1273" s="71" t="str">
        <f>MID(D1273,1,2)</f>
        <v>IL</v>
      </c>
      <c r="F1273" s="71" t="s">
        <v>468</v>
      </c>
      <c r="G1273" s="71" t="str">
        <f>MID(F1273,1,2)</f>
        <v>US</v>
      </c>
      <c r="H1273" s="43" t="s">
        <v>1631</v>
      </c>
      <c r="I1273" s="71" t="s">
        <v>2423</v>
      </c>
      <c r="J1273" s="71" t="s">
        <v>386</v>
      </c>
      <c r="K1273" s="43"/>
      <c r="L1273" s="71" t="s">
        <v>107</v>
      </c>
      <c r="M1273" s="73">
        <v>60</v>
      </c>
      <c r="N1273" s="71" t="s">
        <v>388</v>
      </c>
      <c r="O1273" s="73">
        <v>1.449</v>
      </c>
      <c r="P1273" s="71" t="s">
        <v>389</v>
      </c>
      <c r="Q1273" s="73">
        <v>241.5</v>
      </c>
      <c r="R1273" s="71" t="s">
        <v>388</v>
      </c>
      <c r="S1273" s="73">
        <v>0</v>
      </c>
      <c r="T1273" s="71" t="s">
        <v>390</v>
      </c>
      <c r="U1273" s="74">
        <v>1</v>
      </c>
      <c r="V1273" s="71" t="s">
        <v>391</v>
      </c>
      <c r="W1273" s="130">
        <v>46065.472916666666</v>
      </c>
      <c r="X1273" s="72">
        <v>46066.965277777781</v>
      </c>
      <c r="Y1273" s="72">
        <v>46071.416666666664</v>
      </c>
      <c r="Z1273" s="104" t="s">
        <v>422</v>
      </c>
      <c r="AA1273" s="104" t="s">
        <v>468</v>
      </c>
      <c r="AB1273" s="105">
        <v>46069.363888888889</v>
      </c>
      <c r="AC1273" s="105">
        <v>46071.509027777778</v>
      </c>
    </row>
    <row r="1274" s="70" customFormat="1" ht="11.25" customHeight="1">
      <c r="A1274" s="87"/>
      <c r="C1274" s="43" t="s">
        <v>2424</v>
      </c>
      <c r="D1274" s="71" t="s">
        <v>382</v>
      </c>
      <c r="E1274" s="71" t="str">
        <f>MID(D1274,1,2)</f>
        <v>IL</v>
      </c>
      <c r="F1274" s="71" t="s">
        <v>963</v>
      </c>
      <c r="G1274" s="71" t="str">
        <f>MID(F1274,1,2)</f>
        <v>IN</v>
      </c>
      <c r="H1274" s="43" t="s">
        <v>2425</v>
      </c>
      <c r="I1274" s="71" t="s">
        <v>2426</v>
      </c>
      <c r="J1274" s="71" t="s">
        <v>426</v>
      </c>
      <c r="K1274" s="43"/>
      <c r="L1274" s="71" t="s">
        <v>105</v>
      </c>
      <c r="M1274" s="73">
        <v>10</v>
      </c>
      <c r="N1274" s="71" t="s">
        <v>388</v>
      </c>
      <c r="O1274" s="73">
        <v>0.05</v>
      </c>
      <c r="P1274" s="71" t="s">
        <v>389</v>
      </c>
      <c r="Q1274" s="73">
        <v>10</v>
      </c>
      <c r="R1274" s="71" t="s">
        <v>388</v>
      </c>
      <c r="S1274" s="73">
        <v>0</v>
      </c>
      <c r="T1274" s="71" t="s">
        <v>390</v>
      </c>
      <c r="U1274" s="74">
        <v>1</v>
      </c>
      <c r="V1274" s="71" t="s">
        <v>391</v>
      </c>
      <c r="W1274" s="130"/>
      <c r="X1274" s="72">
        <v>46067.690972222219</v>
      </c>
      <c r="Y1274" s="72">
        <v>46069.45</v>
      </c>
      <c r="Z1274" s="104" t="s">
        <v>382</v>
      </c>
      <c r="AA1274" s="104" t="s">
        <v>383</v>
      </c>
      <c r="AB1274" s="105">
        <v>46067.7</v>
      </c>
      <c r="AC1274" s="105">
        <v>46067.85</v>
      </c>
    </row>
    <row r="1275" s="70" customFormat="1" ht="11.25" customHeight="1">
      <c r="A1275" s="87"/>
      <c r="C1275" s="43" t="s">
        <v>2424</v>
      </c>
      <c r="D1275" s="71" t="s">
        <v>382</v>
      </c>
      <c r="E1275" s="71" t="str">
        <f>MID(D1275,1,2)</f>
        <v>IL</v>
      </c>
      <c r="F1275" s="71" t="s">
        <v>963</v>
      </c>
      <c r="G1275" s="71" t="str">
        <f>MID(F1275,1,2)</f>
        <v>IN</v>
      </c>
      <c r="H1275" s="43" t="s">
        <v>2425</v>
      </c>
      <c r="I1275" s="71" t="s">
        <v>2426</v>
      </c>
      <c r="J1275" s="71" t="s">
        <v>426</v>
      </c>
      <c r="K1275" s="43"/>
      <c r="L1275" s="71" t="s">
        <v>105</v>
      </c>
      <c r="M1275" s="73">
        <v>10</v>
      </c>
      <c r="N1275" s="71" t="s">
        <v>388</v>
      </c>
      <c r="O1275" s="73">
        <v>0.05</v>
      </c>
      <c r="P1275" s="71" t="s">
        <v>389</v>
      </c>
      <c r="Q1275" s="73">
        <v>10</v>
      </c>
      <c r="R1275" s="71" t="s">
        <v>388</v>
      </c>
      <c r="S1275" s="73">
        <v>0</v>
      </c>
      <c r="T1275" s="71" t="s">
        <v>390</v>
      </c>
      <c r="U1275" s="74">
        <v>1</v>
      </c>
      <c r="V1275" s="71" t="s">
        <v>391</v>
      </c>
      <c r="W1275" s="130"/>
      <c r="X1275" s="72">
        <v>46067.690972222219</v>
      </c>
      <c r="Y1275" s="72">
        <v>46069.45</v>
      </c>
      <c r="Z1275" s="104" t="s">
        <v>383</v>
      </c>
      <c r="AA1275" s="104" t="s">
        <v>963</v>
      </c>
      <c r="AB1275" s="105">
        <v>46068.522222222222</v>
      </c>
      <c r="AC1275" s="105">
        <v>46069.071527777778</v>
      </c>
    </row>
    <row r="1276" s="70" customFormat="1" ht="11.25" customHeight="1">
      <c r="A1276" s="87"/>
      <c r="C1276" s="43" t="s">
        <v>2427</v>
      </c>
      <c r="D1276" s="71" t="s">
        <v>382</v>
      </c>
      <c r="E1276" s="71" t="str">
        <f>MID(D1276,1,2)</f>
        <v>IL</v>
      </c>
      <c r="F1276" s="71" t="s">
        <v>573</v>
      </c>
      <c r="G1276" s="71" t="str">
        <f>MID(F1276,1,2)</f>
        <v>CH</v>
      </c>
      <c r="H1276" s="43" t="s">
        <v>2279</v>
      </c>
      <c r="I1276" s="71" t="s">
        <v>2428</v>
      </c>
      <c r="J1276" s="71" t="s">
        <v>811</v>
      </c>
      <c r="K1276" s="43"/>
      <c r="L1276" s="71" t="s">
        <v>105</v>
      </c>
      <c r="M1276" s="73">
        <v>606</v>
      </c>
      <c r="N1276" s="71" t="s">
        <v>388</v>
      </c>
      <c r="O1276" s="73">
        <v>2.307</v>
      </c>
      <c r="P1276" s="71" t="s">
        <v>389</v>
      </c>
      <c r="Q1276" s="73">
        <v>606</v>
      </c>
      <c r="R1276" s="71" t="s">
        <v>388</v>
      </c>
      <c r="S1276" s="73">
        <v>0</v>
      </c>
      <c r="T1276" s="71" t="s">
        <v>390</v>
      </c>
      <c r="U1276" s="74">
        <v>2</v>
      </c>
      <c r="V1276" s="71" t="s">
        <v>391</v>
      </c>
      <c r="W1276" s="130">
        <v>46069.514363425929</v>
      </c>
      <c r="X1276" s="72">
        <v>46070.663194444445</v>
      </c>
      <c r="Y1276" s="72">
        <v>46073.75</v>
      </c>
      <c r="Z1276" s="104" t="s">
        <v>382</v>
      </c>
      <c r="AA1276" s="104" t="s">
        <v>577</v>
      </c>
      <c r="AB1276" s="105">
        <v>46070.65902777778</v>
      </c>
      <c r="AC1276" s="105">
        <v>46070.8125</v>
      </c>
    </row>
    <row r="1277" s="70" customFormat="1" ht="11.25" customHeight="1">
      <c r="A1277" s="87"/>
      <c r="C1277" s="43" t="s">
        <v>2427</v>
      </c>
      <c r="D1277" s="71" t="s">
        <v>382</v>
      </c>
      <c r="E1277" s="71" t="str">
        <f>MID(D1277,1,2)</f>
        <v>IL</v>
      </c>
      <c r="F1277" s="71" t="s">
        <v>573</v>
      </c>
      <c r="G1277" s="71" t="str">
        <f>MID(F1277,1,2)</f>
        <v>CH</v>
      </c>
      <c r="H1277" s="43" t="s">
        <v>2279</v>
      </c>
      <c r="I1277" s="71" t="s">
        <v>2428</v>
      </c>
      <c r="J1277" s="71" t="s">
        <v>811</v>
      </c>
      <c r="K1277" s="43"/>
      <c r="L1277" s="71" t="s">
        <v>105</v>
      </c>
      <c r="M1277" s="73">
        <v>606</v>
      </c>
      <c r="N1277" s="71" t="s">
        <v>388</v>
      </c>
      <c r="O1277" s="73">
        <v>2.307</v>
      </c>
      <c r="P1277" s="71" t="s">
        <v>389</v>
      </c>
      <c r="Q1277" s="73">
        <v>606</v>
      </c>
      <c r="R1277" s="71" t="s">
        <v>388</v>
      </c>
      <c r="S1277" s="73">
        <v>0</v>
      </c>
      <c r="T1277" s="71" t="s">
        <v>390</v>
      </c>
      <c r="U1277" s="74">
        <v>2</v>
      </c>
      <c r="V1277" s="71" t="s">
        <v>391</v>
      </c>
      <c r="W1277" s="130">
        <v>46069.514363425929</v>
      </c>
      <c r="X1277" s="72">
        <v>46070.663194444445</v>
      </c>
      <c r="Y1277" s="72">
        <v>46073.75</v>
      </c>
      <c r="Z1277" s="104" t="s">
        <v>577</v>
      </c>
      <c r="AA1277" s="104" t="s">
        <v>573</v>
      </c>
      <c r="AB1277" s="105">
        <v>46072.833333333336</v>
      </c>
      <c r="AC1277" s="105">
        <v>46076.314583333333</v>
      </c>
    </row>
    <row r="1278" s="70" customFormat="1" ht="11.25" customHeight="1">
      <c r="A1278" s="87"/>
      <c r="C1278" s="43" t="s">
        <v>2429</v>
      </c>
      <c r="D1278" s="71" t="s">
        <v>382</v>
      </c>
      <c r="E1278" s="71" t="str">
        <f>MID(D1278,1,2)</f>
        <v>IL</v>
      </c>
      <c r="F1278" s="71" t="s">
        <v>422</v>
      </c>
      <c r="G1278" s="71" t="str">
        <f>MID(F1278,1,2)</f>
        <v>US</v>
      </c>
      <c r="H1278" s="43" t="s">
        <v>1920</v>
      </c>
      <c r="I1278" s="71" t="s">
        <v>2430</v>
      </c>
      <c r="J1278" s="71" t="s">
        <v>386</v>
      </c>
      <c r="K1278" s="43" t="s">
        <v>431</v>
      </c>
      <c r="L1278" s="71" t="s">
        <v>107</v>
      </c>
      <c r="M1278" s="73">
        <v>174</v>
      </c>
      <c r="N1278" s="71" t="s">
        <v>388</v>
      </c>
      <c r="O1278" s="73">
        <v>3.036</v>
      </c>
      <c r="P1278" s="71" t="s">
        <v>389</v>
      </c>
      <c r="Q1278" s="73">
        <v>506</v>
      </c>
      <c r="R1278" s="71" t="s">
        <v>388</v>
      </c>
      <c r="S1278" s="73">
        <v>0</v>
      </c>
      <c r="T1278" s="71" t="s">
        <v>390</v>
      </c>
      <c r="U1278" s="74">
        <v>2</v>
      </c>
      <c r="V1278" s="71" t="s">
        <v>391</v>
      </c>
      <c r="W1278" s="130">
        <v>46065.479861111111</v>
      </c>
      <c r="X1278" s="72">
        <v>46067.479166666664</v>
      </c>
      <c r="Y1278" s="72">
        <v>46068.67291666667</v>
      </c>
      <c r="Z1278" s="104" t="s">
        <v>382</v>
      </c>
      <c r="AA1278" s="104" t="s">
        <v>422</v>
      </c>
      <c r="AB1278" s="105">
        <v>46067.470138888886</v>
      </c>
      <c r="AC1278" s="105">
        <v>46067.691666666666</v>
      </c>
    </row>
    <row r="1279" s="70" customFormat="1" ht="11.25" customHeight="1">
      <c r="A1279" s="87"/>
      <c r="C1279" s="43" t="s">
        <v>2431</v>
      </c>
      <c r="D1279" s="71" t="s">
        <v>382</v>
      </c>
      <c r="E1279" s="71" t="str">
        <f>MID(D1279,1,2)</f>
        <v>IL</v>
      </c>
      <c r="F1279" s="71" t="s">
        <v>422</v>
      </c>
      <c r="G1279" s="71" t="str">
        <f>MID(F1279,1,2)</f>
        <v>US</v>
      </c>
      <c r="H1279" s="43" t="s">
        <v>1920</v>
      </c>
      <c r="I1279" s="71" t="s">
        <v>2432</v>
      </c>
      <c r="J1279" s="71" t="s">
        <v>386</v>
      </c>
      <c r="K1279" s="43" t="s">
        <v>431</v>
      </c>
      <c r="L1279" s="71" t="s">
        <v>107</v>
      </c>
      <c r="M1279" s="73">
        <v>39</v>
      </c>
      <c r="N1279" s="71" t="s">
        <v>388</v>
      </c>
      <c r="O1279" s="73">
        <v>0.434</v>
      </c>
      <c r="P1279" s="71" t="s">
        <v>389</v>
      </c>
      <c r="Q1279" s="73">
        <v>72.5</v>
      </c>
      <c r="R1279" s="71" t="s">
        <v>388</v>
      </c>
      <c r="S1279" s="73">
        <v>0</v>
      </c>
      <c r="T1279" s="71" t="s">
        <v>390</v>
      </c>
      <c r="U1279" s="74">
        <v>1</v>
      </c>
      <c r="V1279" s="71" t="s">
        <v>391</v>
      </c>
      <c r="W1279" s="130">
        <v>46065.486805555556</v>
      </c>
      <c r="X1279" s="72">
        <v>46067.479166666664</v>
      </c>
      <c r="Y1279" s="72">
        <v>46068.67291666667</v>
      </c>
      <c r="Z1279" s="104" t="s">
        <v>382</v>
      </c>
      <c r="AA1279" s="104" t="s">
        <v>422</v>
      </c>
      <c r="AB1279" s="105">
        <v>46067.470138888886</v>
      </c>
      <c r="AC1279" s="105">
        <v>46067.691666666666</v>
      </c>
    </row>
    <row r="1280" s="70" customFormat="1" ht="11.25" customHeight="1">
      <c r="A1280" s="87"/>
      <c r="C1280" s="43" t="s">
        <v>2433</v>
      </c>
      <c r="D1280" s="71" t="s">
        <v>382</v>
      </c>
      <c r="E1280" s="71" t="str">
        <f>MID(D1280,1,2)</f>
        <v>IL</v>
      </c>
      <c r="F1280" s="71" t="s">
        <v>422</v>
      </c>
      <c r="G1280" s="71" t="str">
        <f>MID(F1280,1,2)</f>
        <v>US</v>
      </c>
      <c r="H1280" s="43" t="s">
        <v>1920</v>
      </c>
      <c r="I1280" s="71" t="s">
        <v>2434</v>
      </c>
      <c r="J1280" s="71" t="s">
        <v>386</v>
      </c>
      <c r="K1280" s="43" t="s">
        <v>431</v>
      </c>
      <c r="L1280" s="71" t="s">
        <v>107</v>
      </c>
      <c r="M1280" s="73">
        <v>93</v>
      </c>
      <c r="N1280" s="71" t="s">
        <v>388</v>
      </c>
      <c r="O1280" s="73">
        <v>1.953</v>
      </c>
      <c r="P1280" s="71" t="s">
        <v>389</v>
      </c>
      <c r="Q1280" s="73">
        <v>325.5</v>
      </c>
      <c r="R1280" s="71" t="s">
        <v>388</v>
      </c>
      <c r="S1280" s="73">
        <v>0</v>
      </c>
      <c r="T1280" s="71" t="s">
        <v>390</v>
      </c>
      <c r="U1280" s="74">
        <v>1</v>
      </c>
      <c r="V1280" s="71" t="s">
        <v>391</v>
      </c>
      <c r="W1280" s="130">
        <v>46065.848611111112</v>
      </c>
      <c r="X1280" s="72">
        <v>46067.479166666664</v>
      </c>
      <c r="Y1280" s="72">
        <v>46068.67291666667</v>
      </c>
      <c r="Z1280" s="104" t="s">
        <v>382</v>
      </c>
      <c r="AA1280" s="104" t="s">
        <v>422</v>
      </c>
      <c r="AB1280" s="105">
        <v>46067.470138888886</v>
      </c>
      <c r="AC1280" s="105">
        <v>46067.691666666666</v>
      </c>
    </row>
    <row r="1281" s="70" customFormat="1" ht="11.25" customHeight="1">
      <c r="A1281" s="87"/>
      <c r="C1281" s="43" t="s">
        <v>2435</v>
      </c>
      <c r="D1281" s="71" t="s">
        <v>382</v>
      </c>
      <c r="E1281" s="71" t="str">
        <f>MID(D1281,1,2)</f>
        <v>IL</v>
      </c>
      <c r="F1281" s="71" t="s">
        <v>476</v>
      </c>
      <c r="G1281" s="71" t="str">
        <f>MID(F1281,1,2)</f>
        <v>SG</v>
      </c>
      <c r="H1281" s="43" t="s">
        <v>2436</v>
      </c>
      <c r="I1281" s="71" t="s">
        <v>2437</v>
      </c>
      <c r="J1281" s="71" t="s">
        <v>454</v>
      </c>
      <c r="K1281" s="43"/>
      <c r="L1281" s="71" t="s">
        <v>107</v>
      </c>
      <c r="M1281" s="73">
        <v>746</v>
      </c>
      <c r="N1281" s="71" t="s">
        <v>388</v>
      </c>
      <c r="O1281" s="73">
        <v>7.02</v>
      </c>
      <c r="P1281" s="71" t="s">
        <v>389</v>
      </c>
      <c r="Q1281" s="73">
        <v>1170</v>
      </c>
      <c r="R1281" s="71" t="s">
        <v>388</v>
      </c>
      <c r="S1281" s="73">
        <v>0</v>
      </c>
      <c r="T1281" s="71" t="s">
        <v>390</v>
      </c>
      <c r="U1281" s="74">
        <v>6</v>
      </c>
      <c r="V1281" s="71" t="s">
        <v>391</v>
      </c>
      <c r="W1281" s="130">
        <v>46065.613182870373</v>
      </c>
      <c r="X1281" s="72">
        <v>46066.916666666664</v>
      </c>
      <c r="Y1281" s="72">
        <v>46070.510416666664</v>
      </c>
      <c r="Z1281" s="104" t="s">
        <v>382</v>
      </c>
      <c r="AA1281" s="104" t="s">
        <v>465</v>
      </c>
      <c r="AB1281" s="105">
        <v>46068.447916666664</v>
      </c>
      <c r="AC1281" s="105">
        <v>46068.631944444445</v>
      </c>
    </row>
    <row r="1282" s="70" customFormat="1" ht="11.25" customHeight="1">
      <c r="A1282" s="87"/>
      <c r="C1282" s="43" t="s">
        <v>2435</v>
      </c>
      <c r="D1282" s="71" t="s">
        <v>382</v>
      </c>
      <c r="E1282" s="71" t="str">
        <f>MID(D1282,1,2)</f>
        <v>IL</v>
      </c>
      <c r="F1282" s="71" t="s">
        <v>476</v>
      </c>
      <c r="G1282" s="71" t="str">
        <f>MID(F1282,1,2)</f>
        <v>SG</v>
      </c>
      <c r="H1282" s="43" t="s">
        <v>2436</v>
      </c>
      <c r="I1282" s="71" t="s">
        <v>2437</v>
      </c>
      <c r="J1282" s="71" t="s">
        <v>454</v>
      </c>
      <c r="K1282" s="43"/>
      <c r="L1282" s="71" t="s">
        <v>107</v>
      </c>
      <c r="M1282" s="73">
        <v>746</v>
      </c>
      <c r="N1282" s="71" t="s">
        <v>388</v>
      </c>
      <c r="O1282" s="73">
        <v>7.02</v>
      </c>
      <c r="P1282" s="71" t="s">
        <v>389</v>
      </c>
      <c r="Q1282" s="73">
        <v>1170</v>
      </c>
      <c r="R1282" s="71" t="s">
        <v>388</v>
      </c>
      <c r="S1282" s="73">
        <v>0</v>
      </c>
      <c r="T1282" s="71" t="s">
        <v>390</v>
      </c>
      <c r="U1282" s="74">
        <v>6</v>
      </c>
      <c r="V1282" s="71" t="s">
        <v>391</v>
      </c>
      <c r="W1282" s="130">
        <v>46065.613182870373</v>
      </c>
      <c r="X1282" s="72">
        <v>46066.916666666664</v>
      </c>
      <c r="Y1282" s="72">
        <v>46070.510416666664</v>
      </c>
      <c r="Z1282" s="104" t="s">
        <v>465</v>
      </c>
      <c r="AA1282" s="104" t="s">
        <v>476</v>
      </c>
      <c r="AB1282" s="105">
        <v>46069.9625</v>
      </c>
      <c r="AC1282" s="105">
        <v>46070.475694444445</v>
      </c>
    </row>
    <row r="1283" s="70" customFormat="1" ht="11.25" customHeight="1">
      <c r="A1283" s="87"/>
      <c r="C1283" s="43" t="s">
        <v>2438</v>
      </c>
      <c r="D1283" s="71" t="s">
        <v>382</v>
      </c>
      <c r="E1283" s="71" t="str">
        <f>MID(D1283,1,2)</f>
        <v>IL</v>
      </c>
      <c r="F1283" s="71" t="s">
        <v>422</v>
      </c>
      <c r="G1283" s="71" t="str">
        <f>MID(F1283,1,2)</f>
        <v>US</v>
      </c>
      <c r="H1283" s="43" t="s">
        <v>1920</v>
      </c>
      <c r="I1283" s="71" t="s">
        <v>2439</v>
      </c>
      <c r="J1283" s="71" t="s">
        <v>386</v>
      </c>
      <c r="K1283" s="43" t="s">
        <v>431</v>
      </c>
      <c r="L1283" s="71" t="s">
        <v>107</v>
      </c>
      <c r="M1283" s="73">
        <v>2</v>
      </c>
      <c r="N1283" s="71" t="s">
        <v>388</v>
      </c>
      <c r="O1283" s="73">
        <v>0.034</v>
      </c>
      <c r="P1283" s="71" t="s">
        <v>389</v>
      </c>
      <c r="Q1283" s="73">
        <v>6</v>
      </c>
      <c r="R1283" s="71" t="s">
        <v>388</v>
      </c>
      <c r="S1283" s="73">
        <v>0</v>
      </c>
      <c r="T1283" s="71" t="s">
        <v>390</v>
      </c>
      <c r="U1283" s="74">
        <v>2</v>
      </c>
      <c r="V1283" s="71" t="s">
        <v>427</v>
      </c>
      <c r="W1283" s="130">
        <v>46065.5</v>
      </c>
      <c r="X1283" s="72">
        <v>46067.479166666664</v>
      </c>
      <c r="Y1283" s="72">
        <v>46068.67291666667</v>
      </c>
      <c r="Z1283" s="104" t="s">
        <v>382</v>
      </c>
      <c r="AA1283" s="104" t="s">
        <v>422</v>
      </c>
      <c r="AB1283" s="105">
        <v>46067.470138888886</v>
      </c>
      <c r="AC1283" s="105">
        <v>46067.691666666666</v>
      </c>
    </row>
    <row r="1284" s="70" customFormat="1" ht="11.25" customHeight="1">
      <c r="A1284" s="87"/>
      <c r="C1284" s="43" t="s">
        <v>2440</v>
      </c>
      <c r="D1284" s="71" t="s">
        <v>382</v>
      </c>
      <c r="E1284" s="71" t="str">
        <f>MID(D1284,1,2)</f>
        <v>IL</v>
      </c>
      <c r="F1284" s="71" t="s">
        <v>480</v>
      </c>
      <c r="G1284" s="71" t="str">
        <f>MID(F1284,1,2)</f>
        <v>CA</v>
      </c>
      <c r="H1284" s="43" t="s">
        <v>2441</v>
      </c>
      <c r="I1284" s="71" t="s">
        <v>2442</v>
      </c>
      <c r="J1284" s="71" t="s">
        <v>386</v>
      </c>
      <c r="K1284" s="43"/>
      <c r="L1284" s="71" t="s">
        <v>107</v>
      </c>
      <c r="M1284" s="73">
        <v>166</v>
      </c>
      <c r="N1284" s="71" t="s">
        <v>388</v>
      </c>
      <c r="O1284" s="73">
        <v>1.88</v>
      </c>
      <c r="P1284" s="71" t="s">
        <v>389</v>
      </c>
      <c r="Q1284" s="73">
        <v>313.5</v>
      </c>
      <c r="R1284" s="71" t="s">
        <v>388</v>
      </c>
      <c r="S1284" s="73">
        <v>0</v>
      </c>
      <c r="T1284" s="71" t="s">
        <v>390</v>
      </c>
      <c r="U1284" s="74">
        <v>2</v>
      </c>
      <c r="V1284" s="71" t="s">
        <v>417</v>
      </c>
      <c r="W1284" s="130">
        <v>46065.555555555555</v>
      </c>
      <c r="X1284" s="72">
        <v>46069.416666666664</v>
      </c>
      <c r="Y1284" s="72">
        <v>46071.5</v>
      </c>
      <c r="Z1284" s="104" t="s">
        <v>382</v>
      </c>
      <c r="AA1284" s="104" t="s">
        <v>405</v>
      </c>
      <c r="AB1284" s="105">
        <v>46069.538194444445</v>
      </c>
      <c r="AC1284" s="105">
        <v>46069.72152777778</v>
      </c>
    </row>
    <row r="1285" s="70" customFormat="1" ht="11.25" customHeight="1">
      <c r="A1285" s="87"/>
      <c r="C1285" s="43" t="s">
        <v>2440</v>
      </c>
      <c r="D1285" s="71" t="s">
        <v>382</v>
      </c>
      <c r="E1285" s="71" t="str">
        <f>MID(D1285,1,2)</f>
        <v>IL</v>
      </c>
      <c r="F1285" s="71" t="s">
        <v>480</v>
      </c>
      <c r="G1285" s="71" t="str">
        <f>MID(F1285,1,2)</f>
        <v>CA</v>
      </c>
      <c r="H1285" s="43" t="s">
        <v>2441</v>
      </c>
      <c r="I1285" s="71" t="s">
        <v>2442</v>
      </c>
      <c r="J1285" s="71" t="s">
        <v>386</v>
      </c>
      <c r="K1285" s="43"/>
      <c r="L1285" s="71" t="s">
        <v>107</v>
      </c>
      <c r="M1285" s="73">
        <v>166</v>
      </c>
      <c r="N1285" s="71" t="s">
        <v>388</v>
      </c>
      <c r="O1285" s="73">
        <v>1.88</v>
      </c>
      <c r="P1285" s="71" t="s">
        <v>389</v>
      </c>
      <c r="Q1285" s="73">
        <v>313.5</v>
      </c>
      <c r="R1285" s="71" t="s">
        <v>388</v>
      </c>
      <c r="S1285" s="73">
        <v>0</v>
      </c>
      <c r="T1285" s="71" t="s">
        <v>390</v>
      </c>
      <c r="U1285" s="74">
        <v>2</v>
      </c>
      <c r="V1285" s="71" t="s">
        <v>417</v>
      </c>
      <c r="W1285" s="130">
        <v>46065.555555555555</v>
      </c>
      <c r="X1285" s="72">
        <v>46069.416666666664</v>
      </c>
      <c r="Y1285" s="72">
        <v>46071.5</v>
      </c>
      <c r="Z1285" s="104" t="s">
        <v>405</v>
      </c>
      <c r="AA1285" s="104" t="s">
        <v>480</v>
      </c>
      <c r="AB1285" s="105">
        <v>46071.081944444442</v>
      </c>
      <c r="AC1285" s="105">
        <v>46071.541666666664</v>
      </c>
    </row>
    <row r="1286" s="70" customFormat="1" ht="11.25" customHeight="1">
      <c r="A1286" s="87"/>
      <c r="C1286" s="43" t="s">
        <v>2443</v>
      </c>
      <c r="D1286" s="71" t="s">
        <v>382</v>
      </c>
      <c r="E1286" s="71" t="str">
        <f>MID(D1286,1,2)</f>
        <v>IL</v>
      </c>
      <c r="F1286" s="71" t="s">
        <v>405</v>
      </c>
      <c r="G1286" s="71" t="str">
        <f>MID(F1286,1,2)</f>
        <v>CA</v>
      </c>
      <c r="H1286" s="43" t="s">
        <v>2218</v>
      </c>
      <c r="I1286" s="71" t="s">
        <v>2444</v>
      </c>
      <c r="J1286" s="71" t="s">
        <v>386</v>
      </c>
      <c r="K1286" s="43"/>
      <c r="L1286" s="71" t="s">
        <v>107</v>
      </c>
      <c r="M1286" s="73">
        <v>157</v>
      </c>
      <c r="N1286" s="71" t="s">
        <v>388</v>
      </c>
      <c r="O1286" s="73">
        <v>0.355</v>
      </c>
      <c r="P1286" s="71" t="s">
        <v>389</v>
      </c>
      <c r="Q1286" s="73">
        <v>157</v>
      </c>
      <c r="R1286" s="71" t="s">
        <v>388</v>
      </c>
      <c r="S1286" s="73">
        <v>0</v>
      </c>
      <c r="T1286" s="71" t="s">
        <v>390</v>
      </c>
      <c r="U1286" s="74">
        <v>1</v>
      </c>
      <c r="V1286" s="71" t="s">
        <v>417</v>
      </c>
      <c r="W1286" s="130">
        <v>46065.51458333333</v>
      </c>
      <c r="X1286" s="72">
        <v>46066.458333333336</v>
      </c>
      <c r="Y1286" s="72">
        <v>46069.679861111108</v>
      </c>
      <c r="Z1286" s="104" t="s">
        <v>382</v>
      </c>
      <c r="AA1286" s="104" t="s">
        <v>405</v>
      </c>
      <c r="AB1286" s="105">
        <v>46066.55</v>
      </c>
      <c r="AC1286" s="105">
        <v>46066.68125</v>
      </c>
    </row>
    <row r="1287" s="70" customFormat="1" ht="11.25" customHeight="1">
      <c r="A1287" s="87"/>
      <c r="C1287" s="43" t="s">
        <v>2445</v>
      </c>
      <c r="D1287" s="71" t="s">
        <v>382</v>
      </c>
      <c r="E1287" s="71" t="str">
        <f>MID(D1287,1,2)</f>
        <v>IL</v>
      </c>
      <c r="F1287" s="71" t="s">
        <v>1583</v>
      </c>
      <c r="G1287" s="71" t="str">
        <f>MID(F1287,1,2)</f>
        <v>BR</v>
      </c>
      <c r="H1287" s="43" t="s">
        <v>2446</v>
      </c>
      <c r="I1287" s="71" t="s">
        <v>2447</v>
      </c>
      <c r="J1287" s="71" t="s">
        <v>411</v>
      </c>
      <c r="K1287" s="43"/>
      <c r="L1287" s="71" t="s">
        <v>105</v>
      </c>
      <c r="M1287" s="73">
        <v>19</v>
      </c>
      <c r="N1287" s="71" t="s">
        <v>388</v>
      </c>
      <c r="O1287" s="73">
        <v>0.252</v>
      </c>
      <c r="P1287" s="71" t="s">
        <v>389</v>
      </c>
      <c r="Q1287" s="73">
        <v>42</v>
      </c>
      <c r="R1287" s="71" t="s">
        <v>388</v>
      </c>
      <c r="S1287" s="73">
        <v>0</v>
      </c>
      <c r="T1287" s="71" t="s">
        <v>390</v>
      </c>
      <c r="U1287" s="74">
        <v>1</v>
      </c>
      <c r="V1287" s="71" t="s">
        <v>391</v>
      </c>
      <c r="W1287" s="130">
        <v>46065.710543981484</v>
      </c>
      <c r="X1287" s="72">
        <v>46067.03125</v>
      </c>
      <c r="Y1287" s="72">
        <v>46076.645833333336</v>
      </c>
      <c r="Z1287" s="104" t="s">
        <v>382</v>
      </c>
      <c r="AA1287" s="104" t="s">
        <v>667</v>
      </c>
      <c r="AB1287" s="105">
        <v>46067.021527777775</v>
      </c>
      <c r="AC1287" s="105">
        <v>46067.210416666669</v>
      </c>
    </row>
    <row r="1288" s="70" customFormat="1" ht="11.25" customHeight="1">
      <c r="A1288" s="87"/>
      <c r="C1288" s="43" t="s">
        <v>2445</v>
      </c>
      <c r="D1288" s="71" t="s">
        <v>382</v>
      </c>
      <c r="E1288" s="71" t="str">
        <f>MID(D1288,1,2)</f>
        <v>IL</v>
      </c>
      <c r="F1288" s="71" t="s">
        <v>1583</v>
      </c>
      <c r="G1288" s="71" t="str">
        <f>MID(F1288,1,2)</f>
        <v>BR</v>
      </c>
      <c r="H1288" s="43" t="s">
        <v>2446</v>
      </c>
      <c r="I1288" s="71" t="s">
        <v>2447</v>
      </c>
      <c r="J1288" s="71" t="s">
        <v>411</v>
      </c>
      <c r="K1288" s="43"/>
      <c r="L1288" s="71" t="s">
        <v>105</v>
      </c>
      <c r="M1288" s="73">
        <v>19</v>
      </c>
      <c r="N1288" s="71" t="s">
        <v>388</v>
      </c>
      <c r="O1288" s="73">
        <v>0.252</v>
      </c>
      <c r="P1288" s="71" t="s">
        <v>389</v>
      </c>
      <c r="Q1288" s="73">
        <v>42</v>
      </c>
      <c r="R1288" s="71" t="s">
        <v>388</v>
      </c>
      <c r="S1288" s="73">
        <v>0</v>
      </c>
      <c r="T1288" s="71" t="s">
        <v>390</v>
      </c>
      <c r="U1288" s="74">
        <v>1</v>
      </c>
      <c r="V1288" s="71" t="s">
        <v>391</v>
      </c>
      <c r="W1288" s="130">
        <v>46065.710543981484</v>
      </c>
      <c r="X1288" s="72">
        <v>46067.03125</v>
      </c>
      <c r="Y1288" s="72">
        <v>46076.645833333336</v>
      </c>
      <c r="Z1288" s="104" t="s">
        <v>667</v>
      </c>
      <c r="AA1288" s="104" t="s">
        <v>383</v>
      </c>
      <c r="AB1288" s="105">
        <v>46070.350694444445</v>
      </c>
      <c r="AC1288" s="105">
        <v>46070.375694444447</v>
      </c>
    </row>
    <row r="1289" s="70" customFormat="1" ht="11.25" customHeight="1">
      <c r="A1289" s="87"/>
      <c r="C1289" s="43" t="s">
        <v>2445</v>
      </c>
      <c r="D1289" s="71" t="s">
        <v>382</v>
      </c>
      <c r="E1289" s="71" t="str">
        <f>MID(D1289,1,2)</f>
        <v>IL</v>
      </c>
      <c r="F1289" s="71" t="s">
        <v>1583</v>
      </c>
      <c r="G1289" s="71" t="str">
        <f>MID(F1289,1,2)</f>
        <v>BR</v>
      </c>
      <c r="H1289" s="43" t="s">
        <v>2446</v>
      </c>
      <c r="I1289" s="71" t="s">
        <v>2447</v>
      </c>
      <c r="J1289" s="71" t="s">
        <v>411</v>
      </c>
      <c r="K1289" s="43"/>
      <c r="L1289" s="71" t="s">
        <v>105</v>
      </c>
      <c r="M1289" s="73">
        <v>19</v>
      </c>
      <c r="N1289" s="71" t="s">
        <v>388</v>
      </c>
      <c r="O1289" s="73">
        <v>0.252</v>
      </c>
      <c r="P1289" s="71" t="s">
        <v>389</v>
      </c>
      <c r="Q1289" s="73">
        <v>42</v>
      </c>
      <c r="R1289" s="71" t="s">
        <v>388</v>
      </c>
      <c r="S1289" s="73">
        <v>0</v>
      </c>
      <c r="T1289" s="71" t="s">
        <v>390</v>
      </c>
      <c r="U1289" s="74">
        <v>1</v>
      </c>
      <c r="V1289" s="71" t="s">
        <v>391</v>
      </c>
      <c r="W1289" s="130">
        <v>46065.710543981484</v>
      </c>
      <c r="X1289" s="72">
        <v>46067.03125</v>
      </c>
      <c r="Y1289" s="72">
        <v>46076.645833333336</v>
      </c>
      <c r="Z1289" s="104" t="s">
        <v>383</v>
      </c>
      <c r="AA1289" s="104" t="s">
        <v>1349</v>
      </c>
      <c r="AB1289" s="105">
        <v>46071.861805555556</v>
      </c>
      <c r="AC1289" s="105">
        <v>46072.20208333333</v>
      </c>
    </row>
    <row r="1290" s="70" customFormat="1" ht="11.25" customHeight="1">
      <c r="A1290" s="87"/>
      <c r="C1290" s="43" t="s">
        <v>2445</v>
      </c>
      <c r="D1290" s="71" t="s">
        <v>382</v>
      </c>
      <c r="E1290" s="71" t="str">
        <f>MID(D1290,1,2)</f>
        <v>IL</v>
      </c>
      <c r="F1290" s="71" t="s">
        <v>1583</v>
      </c>
      <c r="G1290" s="71" t="str">
        <f>MID(F1290,1,2)</f>
        <v>BR</v>
      </c>
      <c r="H1290" s="43" t="s">
        <v>2446</v>
      </c>
      <c r="I1290" s="71" t="s">
        <v>2447</v>
      </c>
      <c r="J1290" s="71" t="s">
        <v>411</v>
      </c>
      <c r="K1290" s="43"/>
      <c r="L1290" s="71" t="s">
        <v>105</v>
      </c>
      <c r="M1290" s="73">
        <v>19</v>
      </c>
      <c r="N1290" s="71" t="s">
        <v>388</v>
      </c>
      <c r="O1290" s="73">
        <v>0.252</v>
      </c>
      <c r="P1290" s="71" t="s">
        <v>389</v>
      </c>
      <c r="Q1290" s="73">
        <v>42</v>
      </c>
      <c r="R1290" s="71" t="s">
        <v>388</v>
      </c>
      <c r="S1290" s="73">
        <v>0</v>
      </c>
      <c r="T1290" s="71" t="s">
        <v>390</v>
      </c>
      <c r="U1290" s="74">
        <v>1</v>
      </c>
      <c r="V1290" s="71" t="s">
        <v>391</v>
      </c>
      <c r="W1290" s="130">
        <v>46065.710543981484</v>
      </c>
      <c r="X1290" s="72">
        <v>46067.03125</v>
      </c>
      <c r="Y1290" s="72">
        <v>46076.645833333336</v>
      </c>
      <c r="Z1290" s="104" t="s">
        <v>2448</v>
      </c>
      <c r="AA1290" s="104" t="s">
        <v>1583</v>
      </c>
      <c r="AB1290" s="105">
        <v>46076.520833333336</v>
      </c>
      <c r="AC1290" s="105">
        <v>46076.649305555555</v>
      </c>
    </row>
    <row r="1291" s="70" customFormat="1" ht="11.25" customHeight="1">
      <c r="A1291" s="87"/>
      <c r="C1291" s="43" t="s">
        <v>2449</v>
      </c>
      <c r="D1291" s="71" t="s">
        <v>382</v>
      </c>
      <c r="E1291" s="71" t="str">
        <f>MID(D1291,1,2)</f>
        <v>IL</v>
      </c>
      <c r="F1291" s="71" t="s">
        <v>1538</v>
      </c>
      <c r="G1291" s="71" t="str">
        <f>MID(F1291,1,2)</f>
        <v>KR</v>
      </c>
      <c r="H1291" s="43" t="s">
        <v>2450</v>
      </c>
      <c r="I1291" s="71" t="s">
        <v>2451</v>
      </c>
      <c r="J1291" s="71" t="s">
        <v>411</v>
      </c>
      <c r="K1291" s="43"/>
      <c r="L1291" s="71" t="s">
        <v>105</v>
      </c>
      <c r="M1291" s="73">
        <v>62</v>
      </c>
      <c r="N1291" s="71" t="s">
        <v>388</v>
      </c>
      <c r="O1291" s="73">
        <v>0.192</v>
      </c>
      <c r="P1291" s="71" t="s">
        <v>389</v>
      </c>
      <c r="Q1291" s="73">
        <v>100</v>
      </c>
      <c r="R1291" s="71" t="s">
        <v>388</v>
      </c>
      <c r="S1291" s="73">
        <v>0</v>
      </c>
      <c r="T1291" s="71" t="s">
        <v>390</v>
      </c>
      <c r="U1291" s="74">
        <v>1</v>
      </c>
      <c r="V1291" s="71" t="s">
        <v>391</v>
      </c>
      <c r="W1291" s="130">
        <v>46065.527777777781</v>
      </c>
      <c r="X1291" s="72">
        <v>46067.9375</v>
      </c>
      <c r="Y1291" s="72">
        <v>46071.125</v>
      </c>
      <c r="Z1291" s="104" t="s">
        <v>382</v>
      </c>
      <c r="AA1291" s="104" t="s">
        <v>833</v>
      </c>
      <c r="AB1291" s="105">
        <v>46067.936805555553</v>
      </c>
      <c r="AC1291" s="105"/>
    </row>
    <row r="1292" s="70" customFormat="1" ht="11.25" customHeight="1">
      <c r="A1292" s="87"/>
      <c r="C1292" s="43" t="s">
        <v>2449</v>
      </c>
      <c r="D1292" s="71" t="s">
        <v>382</v>
      </c>
      <c r="E1292" s="71" t="str">
        <f>MID(D1292,1,2)</f>
        <v>IL</v>
      </c>
      <c r="F1292" s="71" t="s">
        <v>1538</v>
      </c>
      <c r="G1292" s="71" t="str">
        <f>MID(F1292,1,2)</f>
        <v>KR</v>
      </c>
      <c r="H1292" s="43" t="s">
        <v>2450</v>
      </c>
      <c r="I1292" s="71" t="s">
        <v>2451</v>
      </c>
      <c r="J1292" s="71" t="s">
        <v>411</v>
      </c>
      <c r="K1292" s="43"/>
      <c r="L1292" s="71" t="s">
        <v>105</v>
      </c>
      <c r="M1292" s="73">
        <v>62</v>
      </c>
      <c r="N1292" s="71" t="s">
        <v>388</v>
      </c>
      <c r="O1292" s="73">
        <v>0.192</v>
      </c>
      <c r="P1292" s="71" t="s">
        <v>389</v>
      </c>
      <c r="Q1292" s="73">
        <v>100</v>
      </c>
      <c r="R1292" s="71" t="s">
        <v>388</v>
      </c>
      <c r="S1292" s="73">
        <v>0</v>
      </c>
      <c r="T1292" s="71" t="s">
        <v>390</v>
      </c>
      <c r="U1292" s="74">
        <v>1</v>
      </c>
      <c r="V1292" s="71" t="s">
        <v>391</v>
      </c>
      <c r="W1292" s="130">
        <v>46065.527777777781</v>
      </c>
      <c r="X1292" s="72">
        <v>46067.9375</v>
      </c>
      <c r="Y1292" s="72">
        <v>46071.125</v>
      </c>
      <c r="Z1292" s="104" t="s">
        <v>833</v>
      </c>
      <c r="AA1292" s="104" t="s">
        <v>1108</v>
      </c>
      <c r="AB1292" s="105">
        <v>46069.609027777777</v>
      </c>
      <c r="AC1292" s="105">
        <v>46069.786805555559</v>
      </c>
    </row>
    <row r="1293" s="70" customFormat="1" ht="11.25" customHeight="1">
      <c r="A1293" s="87"/>
      <c r="C1293" s="43" t="s">
        <v>2449</v>
      </c>
      <c r="D1293" s="71" t="s">
        <v>382</v>
      </c>
      <c r="E1293" s="71" t="str">
        <f>MID(D1293,1,2)</f>
        <v>IL</v>
      </c>
      <c r="F1293" s="71" t="s">
        <v>1538</v>
      </c>
      <c r="G1293" s="71" t="str">
        <f>MID(F1293,1,2)</f>
        <v>KR</v>
      </c>
      <c r="H1293" s="43" t="s">
        <v>2450</v>
      </c>
      <c r="I1293" s="71" t="s">
        <v>2451</v>
      </c>
      <c r="J1293" s="71" t="s">
        <v>411</v>
      </c>
      <c r="K1293" s="43"/>
      <c r="L1293" s="71" t="s">
        <v>105</v>
      </c>
      <c r="M1293" s="73">
        <v>62</v>
      </c>
      <c r="N1293" s="71" t="s">
        <v>388</v>
      </c>
      <c r="O1293" s="73">
        <v>0.192</v>
      </c>
      <c r="P1293" s="71" t="s">
        <v>389</v>
      </c>
      <c r="Q1293" s="73">
        <v>100</v>
      </c>
      <c r="R1293" s="71" t="s">
        <v>388</v>
      </c>
      <c r="S1293" s="73">
        <v>0</v>
      </c>
      <c r="T1293" s="71" t="s">
        <v>390</v>
      </c>
      <c r="U1293" s="74">
        <v>1</v>
      </c>
      <c r="V1293" s="71" t="s">
        <v>391</v>
      </c>
      <c r="W1293" s="130">
        <v>46065.527777777781</v>
      </c>
      <c r="X1293" s="72">
        <v>46067.9375</v>
      </c>
      <c r="Y1293" s="72">
        <v>46071.125</v>
      </c>
      <c r="Z1293" s="104" t="s">
        <v>1108</v>
      </c>
      <c r="AA1293" s="104" t="s">
        <v>1538</v>
      </c>
      <c r="AB1293" s="105">
        <v>46070.638888888891</v>
      </c>
      <c r="AC1293" s="105">
        <v>46070.775</v>
      </c>
    </row>
    <row r="1294" s="70" customFormat="1" ht="11.25" customHeight="1">
      <c r="A1294" s="87"/>
      <c r="C1294" s="43" t="s">
        <v>2452</v>
      </c>
      <c r="D1294" s="71" t="s">
        <v>382</v>
      </c>
      <c r="E1294" s="71" t="str">
        <f>MID(D1294,1,2)</f>
        <v>IL</v>
      </c>
      <c r="F1294" s="71" t="s">
        <v>2453</v>
      </c>
      <c r="G1294" s="71" t="str">
        <f>MID(F1294,1,2)</f>
        <v>GE</v>
      </c>
      <c r="H1294" s="43" t="s">
        <v>2454</v>
      </c>
      <c r="I1294" s="71" t="s">
        <v>2455</v>
      </c>
      <c r="J1294" s="71" t="s">
        <v>400</v>
      </c>
      <c r="K1294" s="43" t="s">
        <v>2456</v>
      </c>
      <c r="L1294" s="71" t="s">
        <v>105</v>
      </c>
      <c r="M1294" s="73">
        <v>620</v>
      </c>
      <c r="N1294" s="71" t="s">
        <v>388</v>
      </c>
      <c r="O1294" s="73">
        <v>4.144</v>
      </c>
      <c r="P1294" s="71" t="s">
        <v>389</v>
      </c>
      <c r="Q1294" s="73">
        <v>2000</v>
      </c>
      <c r="R1294" s="71" t="s">
        <v>388</v>
      </c>
      <c r="S1294" s="73">
        <v>0</v>
      </c>
      <c r="T1294" s="71" t="s">
        <v>390</v>
      </c>
      <c r="U1294" s="74">
        <v>1</v>
      </c>
      <c r="V1294" s="71" t="s">
        <v>391</v>
      </c>
      <c r="W1294" s="130"/>
      <c r="X1294" s="72">
        <v>46066.916666666664</v>
      </c>
      <c r="Y1294" s="72">
        <v>46070.375</v>
      </c>
      <c r="Z1294" s="104" t="s">
        <v>382</v>
      </c>
      <c r="AA1294" s="104" t="s">
        <v>465</v>
      </c>
      <c r="AB1294" s="105">
        <v>46068.447916666664</v>
      </c>
      <c r="AC1294" s="105">
        <v>46068.631944444445</v>
      </c>
    </row>
    <row r="1295" s="70" customFormat="1" ht="11.25" customHeight="1">
      <c r="A1295" s="87"/>
      <c r="C1295" s="43" t="s">
        <v>2452</v>
      </c>
      <c r="D1295" s="71" t="s">
        <v>382</v>
      </c>
      <c r="E1295" s="71" t="str">
        <f>MID(D1295,1,2)</f>
        <v>IL</v>
      </c>
      <c r="F1295" s="71" t="s">
        <v>2453</v>
      </c>
      <c r="G1295" s="71" t="str">
        <f>MID(F1295,1,2)</f>
        <v>GE</v>
      </c>
      <c r="H1295" s="43" t="s">
        <v>2454</v>
      </c>
      <c r="I1295" s="71" t="s">
        <v>2455</v>
      </c>
      <c r="J1295" s="71" t="s">
        <v>400</v>
      </c>
      <c r="K1295" s="43" t="s">
        <v>2456</v>
      </c>
      <c r="L1295" s="71" t="s">
        <v>105</v>
      </c>
      <c r="M1295" s="73">
        <v>620</v>
      </c>
      <c r="N1295" s="71" t="s">
        <v>388</v>
      </c>
      <c r="O1295" s="73">
        <v>4.144</v>
      </c>
      <c r="P1295" s="71" t="s">
        <v>389</v>
      </c>
      <c r="Q1295" s="73">
        <v>2000</v>
      </c>
      <c r="R1295" s="71" t="s">
        <v>388</v>
      </c>
      <c r="S1295" s="73">
        <v>0</v>
      </c>
      <c r="T1295" s="71" t="s">
        <v>390</v>
      </c>
      <c r="U1295" s="74">
        <v>1</v>
      </c>
      <c r="V1295" s="71" t="s">
        <v>391</v>
      </c>
      <c r="W1295" s="130"/>
      <c r="X1295" s="72">
        <v>46066.916666666664</v>
      </c>
      <c r="Y1295" s="72">
        <v>46070.375</v>
      </c>
      <c r="Z1295" s="104" t="s">
        <v>465</v>
      </c>
      <c r="AA1295" s="104" t="s">
        <v>2453</v>
      </c>
      <c r="AB1295" s="105">
        <v>46069.959027777775</v>
      </c>
      <c r="AC1295" s="105">
        <v>46070.042361111111</v>
      </c>
    </row>
    <row r="1296" s="70" customFormat="1" ht="11.25" customHeight="1">
      <c r="A1296" s="87"/>
      <c r="C1296" s="43" t="s">
        <v>2457</v>
      </c>
      <c r="D1296" s="71" t="s">
        <v>382</v>
      </c>
      <c r="E1296" s="71" t="str">
        <f>MID(D1296,1,2)</f>
        <v>IL</v>
      </c>
      <c r="F1296" s="71" t="s">
        <v>2383</v>
      </c>
      <c r="G1296" s="71" t="str">
        <f>MID(F1296,1,2)</f>
        <v>SE</v>
      </c>
      <c r="H1296" s="43" t="s">
        <v>2458</v>
      </c>
      <c r="I1296" s="71" t="s">
        <v>2459</v>
      </c>
      <c r="J1296" s="71" t="s">
        <v>400</v>
      </c>
      <c r="K1296" s="43"/>
      <c r="L1296" s="71" t="s">
        <v>105</v>
      </c>
      <c r="M1296" s="73">
        <v>44</v>
      </c>
      <c r="N1296" s="71" t="s">
        <v>388</v>
      </c>
      <c r="O1296" s="73">
        <v>0.36</v>
      </c>
      <c r="P1296" s="71" t="s">
        <v>389</v>
      </c>
      <c r="Q1296" s="73">
        <v>60</v>
      </c>
      <c r="R1296" s="71" t="s">
        <v>388</v>
      </c>
      <c r="S1296" s="73">
        <v>0</v>
      </c>
      <c r="T1296" s="71" t="s">
        <v>390</v>
      </c>
      <c r="U1296" s="74">
        <v>1</v>
      </c>
      <c r="V1296" s="71" t="s">
        <v>391</v>
      </c>
      <c r="W1296" s="130"/>
      <c r="X1296" s="72">
        <v>46067.715277777781</v>
      </c>
      <c r="Y1296" s="72">
        <v>46068.739583333336</v>
      </c>
      <c r="Z1296" s="104" t="s">
        <v>382</v>
      </c>
      <c r="AA1296" s="104" t="s">
        <v>667</v>
      </c>
      <c r="AB1296" s="105">
        <v>46067.714583333334</v>
      </c>
      <c r="AC1296" s="105">
        <v>46067.844444444447</v>
      </c>
    </row>
    <row r="1297" s="70" customFormat="1" ht="11.25" customHeight="1">
      <c r="A1297" s="87"/>
      <c r="C1297" s="43" t="s">
        <v>2457</v>
      </c>
      <c r="D1297" s="71" t="s">
        <v>382</v>
      </c>
      <c r="E1297" s="71" t="str">
        <f>MID(D1297,1,2)</f>
        <v>IL</v>
      </c>
      <c r="F1297" s="71" t="s">
        <v>2383</v>
      </c>
      <c r="G1297" s="71" t="str">
        <f>MID(F1297,1,2)</f>
        <v>SE</v>
      </c>
      <c r="H1297" s="43" t="s">
        <v>2458</v>
      </c>
      <c r="I1297" s="71" t="s">
        <v>2459</v>
      </c>
      <c r="J1297" s="71" t="s">
        <v>400</v>
      </c>
      <c r="K1297" s="43"/>
      <c r="L1297" s="71" t="s">
        <v>105</v>
      </c>
      <c r="M1297" s="73">
        <v>44</v>
      </c>
      <c r="N1297" s="71" t="s">
        <v>388</v>
      </c>
      <c r="O1297" s="73">
        <v>0.36</v>
      </c>
      <c r="P1297" s="71" t="s">
        <v>389</v>
      </c>
      <c r="Q1297" s="73">
        <v>60</v>
      </c>
      <c r="R1297" s="71" t="s">
        <v>388</v>
      </c>
      <c r="S1297" s="73">
        <v>0</v>
      </c>
      <c r="T1297" s="71" t="s">
        <v>390</v>
      </c>
      <c r="U1297" s="74">
        <v>1</v>
      </c>
      <c r="V1297" s="71" t="s">
        <v>391</v>
      </c>
      <c r="W1297" s="130"/>
      <c r="X1297" s="72">
        <v>46067.715277777781</v>
      </c>
      <c r="Y1297" s="72">
        <v>46068.739583333336</v>
      </c>
      <c r="Z1297" s="104" t="s">
        <v>667</v>
      </c>
      <c r="AA1297" s="104" t="s">
        <v>2383</v>
      </c>
      <c r="AB1297" s="105">
        <v>46068.658333333333</v>
      </c>
      <c r="AC1297" s="105">
        <v>46068.736111111109</v>
      </c>
    </row>
    <row r="1298" s="70" customFormat="1" ht="11.25" customHeight="1">
      <c r="A1298" s="87"/>
      <c r="C1298" s="43" t="s">
        <v>2460</v>
      </c>
      <c r="D1298" s="71" t="s">
        <v>382</v>
      </c>
      <c r="E1298" s="71" t="str">
        <f>MID(D1298,1,2)</f>
        <v>IL</v>
      </c>
      <c r="F1298" s="71" t="s">
        <v>408</v>
      </c>
      <c r="G1298" s="71" t="str">
        <f>MID(F1298,1,2)</f>
        <v>GR</v>
      </c>
      <c r="H1298" s="43" t="s">
        <v>2461</v>
      </c>
      <c r="I1298" s="71" t="s">
        <v>2462</v>
      </c>
      <c r="J1298" s="71" t="s">
        <v>483</v>
      </c>
      <c r="K1298" s="43"/>
      <c r="L1298" s="71" t="s">
        <v>105</v>
      </c>
      <c r="M1298" s="73">
        <v>11</v>
      </c>
      <c r="N1298" s="71" t="s">
        <v>388</v>
      </c>
      <c r="O1298" s="73">
        <v>0.148</v>
      </c>
      <c r="P1298" s="71" t="s">
        <v>389</v>
      </c>
      <c r="Q1298" s="73">
        <v>25</v>
      </c>
      <c r="R1298" s="71" t="s">
        <v>388</v>
      </c>
      <c r="S1298" s="73">
        <v>0</v>
      </c>
      <c r="T1298" s="71" t="s">
        <v>390</v>
      </c>
      <c r="U1298" s="74">
        <v>1</v>
      </c>
      <c r="V1298" s="71" t="s">
        <v>391</v>
      </c>
      <c r="W1298" s="130">
        <v>46065.51458333333</v>
      </c>
      <c r="X1298" s="72">
        <v>46070.458333333336</v>
      </c>
      <c r="Y1298" s="72">
        <v>46071.571527777778</v>
      </c>
      <c r="Z1298" s="104" t="s">
        <v>382</v>
      </c>
      <c r="AA1298" s="104" t="s">
        <v>408</v>
      </c>
      <c r="AB1298" s="105">
        <v>46069.458333333336</v>
      </c>
      <c r="AC1298" s="105">
        <v>46070.291666666664</v>
      </c>
    </row>
    <row r="1299" s="70" customFormat="1" ht="11.25" customHeight="1">
      <c r="A1299" s="87"/>
      <c r="C1299" s="43" t="s">
        <v>2463</v>
      </c>
      <c r="D1299" s="71" t="s">
        <v>382</v>
      </c>
      <c r="E1299" s="71" t="str">
        <f>MID(D1299,1,2)</f>
        <v>IL</v>
      </c>
      <c r="F1299" s="71" t="s">
        <v>774</v>
      </c>
      <c r="G1299" s="71" t="str">
        <f>MID(F1299,1,2)</f>
        <v>CN</v>
      </c>
      <c r="H1299" s="43" t="s">
        <v>2464</v>
      </c>
      <c r="I1299" s="71" t="s">
        <v>2465</v>
      </c>
      <c r="J1299" s="71" t="s">
        <v>454</v>
      </c>
      <c r="K1299" s="43"/>
      <c r="L1299" s="71" t="s">
        <v>107</v>
      </c>
      <c r="M1299" s="73">
        <v>454</v>
      </c>
      <c r="N1299" s="71" t="s">
        <v>388</v>
      </c>
      <c r="O1299" s="73">
        <v>3.086</v>
      </c>
      <c r="P1299" s="71" t="s">
        <v>389</v>
      </c>
      <c r="Q1299" s="73">
        <v>514.5</v>
      </c>
      <c r="R1299" s="71" t="s">
        <v>388</v>
      </c>
      <c r="S1299" s="73">
        <v>0</v>
      </c>
      <c r="T1299" s="71" t="s">
        <v>390</v>
      </c>
      <c r="U1299" s="74">
        <v>3</v>
      </c>
      <c r="V1299" s="71" t="s">
        <v>391</v>
      </c>
      <c r="W1299" s="130">
        <v>46065.613182870373</v>
      </c>
      <c r="X1299" s="72">
        <v>46068.472222222219</v>
      </c>
      <c r="Y1299" s="72">
        <v>46070.833333333336</v>
      </c>
      <c r="Z1299" s="104" t="s">
        <v>382</v>
      </c>
      <c r="AA1299" s="104" t="s">
        <v>1363</v>
      </c>
      <c r="AB1299" s="105">
        <v>46068.430555555555</v>
      </c>
      <c r="AC1299" s="105"/>
    </row>
    <row r="1300" s="70" customFormat="1" ht="11.25" customHeight="1">
      <c r="A1300" s="87"/>
      <c r="C1300" s="43" t="s">
        <v>2463</v>
      </c>
      <c r="D1300" s="71" t="s">
        <v>382</v>
      </c>
      <c r="E1300" s="71" t="str">
        <f>MID(D1300,1,2)</f>
        <v>IL</v>
      </c>
      <c r="F1300" s="71" t="s">
        <v>774</v>
      </c>
      <c r="G1300" s="71" t="str">
        <f>MID(F1300,1,2)</f>
        <v>CN</v>
      </c>
      <c r="H1300" s="43" t="s">
        <v>2464</v>
      </c>
      <c r="I1300" s="71" t="s">
        <v>2465</v>
      </c>
      <c r="J1300" s="71" t="s">
        <v>454</v>
      </c>
      <c r="K1300" s="43"/>
      <c r="L1300" s="71" t="s">
        <v>107</v>
      </c>
      <c r="M1300" s="73">
        <v>454</v>
      </c>
      <c r="N1300" s="71" t="s">
        <v>388</v>
      </c>
      <c r="O1300" s="73">
        <v>3.086</v>
      </c>
      <c r="P1300" s="71" t="s">
        <v>389</v>
      </c>
      <c r="Q1300" s="73">
        <v>514.5</v>
      </c>
      <c r="R1300" s="71" t="s">
        <v>388</v>
      </c>
      <c r="S1300" s="73">
        <v>0</v>
      </c>
      <c r="T1300" s="71" t="s">
        <v>390</v>
      </c>
      <c r="U1300" s="74">
        <v>3</v>
      </c>
      <c r="V1300" s="71" t="s">
        <v>391</v>
      </c>
      <c r="W1300" s="130">
        <v>46065.613182870373</v>
      </c>
      <c r="X1300" s="72">
        <v>46068.472222222219</v>
      </c>
      <c r="Y1300" s="72">
        <v>46070.833333333336</v>
      </c>
      <c r="Z1300" s="104" t="s">
        <v>1363</v>
      </c>
      <c r="AA1300" s="104" t="s">
        <v>774</v>
      </c>
      <c r="AB1300" s="105">
        <v>46070.823611111111</v>
      </c>
      <c r="AC1300" s="105">
        <v>46070.841666666667</v>
      </c>
    </row>
    <row r="1301" s="70" customFormat="1" ht="11.25" customHeight="1">
      <c r="A1301" s="87"/>
      <c r="C1301" s="43" t="s">
        <v>2466</v>
      </c>
      <c r="D1301" s="71" t="s">
        <v>382</v>
      </c>
      <c r="E1301" s="71" t="str">
        <f>MID(D1301,1,2)</f>
        <v>IL</v>
      </c>
      <c r="F1301" s="71" t="s">
        <v>2133</v>
      </c>
      <c r="G1301" s="71" t="str">
        <f>MID(F1301,1,2)</f>
        <v>FI</v>
      </c>
      <c r="H1301" s="43" t="s">
        <v>2467</v>
      </c>
      <c r="I1301" s="71" t="s">
        <v>2468</v>
      </c>
      <c r="J1301" s="71" t="s">
        <v>400</v>
      </c>
      <c r="K1301" s="43" t="s">
        <v>2469</v>
      </c>
      <c r="L1301" s="71" t="s">
        <v>105</v>
      </c>
      <c r="M1301" s="73">
        <v>1734</v>
      </c>
      <c r="N1301" s="71" t="s">
        <v>388</v>
      </c>
      <c r="O1301" s="73">
        <v>10.214</v>
      </c>
      <c r="P1301" s="71" t="s">
        <v>389</v>
      </c>
      <c r="Q1301" s="73">
        <v>1734</v>
      </c>
      <c r="R1301" s="71" t="s">
        <v>388</v>
      </c>
      <c r="S1301" s="73">
        <v>0</v>
      </c>
      <c r="T1301" s="71" t="s">
        <v>390</v>
      </c>
      <c r="U1301" s="74">
        <v>11</v>
      </c>
      <c r="V1301" s="71" t="s">
        <v>391</v>
      </c>
      <c r="W1301" s="130"/>
      <c r="X1301" s="72">
        <v>46066.572916666664</v>
      </c>
      <c r="Y1301" s="72">
        <v>46067.079861111109</v>
      </c>
      <c r="Z1301" s="104" t="s">
        <v>382</v>
      </c>
      <c r="AA1301" s="104" t="s">
        <v>383</v>
      </c>
      <c r="AB1301" s="105">
        <v>46066.5625</v>
      </c>
      <c r="AC1301" s="105">
        <v>46066.709722222222</v>
      </c>
    </row>
    <row r="1302" s="70" customFormat="1" ht="11.25" customHeight="1">
      <c r="A1302" s="87"/>
      <c r="C1302" s="43" t="s">
        <v>2466</v>
      </c>
      <c r="D1302" s="71" t="s">
        <v>382</v>
      </c>
      <c r="E1302" s="71" t="str">
        <f>MID(D1302,1,2)</f>
        <v>IL</v>
      </c>
      <c r="F1302" s="71" t="s">
        <v>2133</v>
      </c>
      <c r="G1302" s="71" t="str">
        <f>MID(F1302,1,2)</f>
        <v>FI</v>
      </c>
      <c r="H1302" s="43" t="s">
        <v>2467</v>
      </c>
      <c r="I1302" s="71" t="s">
        <v>2468</v>
      </c>
      <c r="J1302" s="71" t="s">
        <v>400</v>
      </c>
      <c r="K1302" s="43" t="s">
        <v>2469</v>
      </c>
      <c r="L1302" s="71" t="s">
        <v>105</v>
      </c>
      <c r="M1302" s="73">
        <v>1734</v>
      </c>
      <c r="N1302" s="71" t="s">
        <v>388</v>
      </c>
      <c r="O1302" s="73">
        <v>10.214</v>
      </c>
      <c r="P1302" s="71" t="s">
        <v>389</v>
      </c>
      <c r="Q1302" s="73">
        <v>1734</v>
      </c>
      <c r="R1302" s="71" t="s">
        <v>388</v>
      </c>
      <c r="S1302" s="73">
        <v>0</v>
      </c>
      <c r="T1302" s="71" t="s">
        <v>390</v>
      </c>
      <c r="U1302" s="74">
        <v>11</v>
      </c>
      <c r="V1302" s="71" t="s">
        <v>391</v>
      </c>
      <c r="W1302" s="130"/>
      <c r="X1302" s="72">
        <v>46066.572916666664</v>
      </c>
      <c r="Y1302" s="72">
        <v>46067.079861111109</v>
      </c>
      <c r="Z1302" s="104" t="s">
        <v>383</v>
      </c>
      <c r="AA1302" s="104" t="s">
        <v>2133</v>
      </c>
      <c r="AB1302" s="105">
        <v>46066.84652777778</v>
      </c>
      <c r="AC1302" s="105">
        <v>46067.072916666664</v>
      </c>
    </row>
    <row r="1303" s="70" customFormat="1" ht="11.25" customHeight="1">
      <c r="A1303" s="87"/>
      <c r="C1303" s="43" t="s">
        <v>2470</v>
      </c>
      <c r="D1303" s="71" t="s">
        <v>382</v>
      </c>
      <c r="E1303" s="71" t="str">
        <f>MID(D1303,1,2)</f>
        <v>IL</v>
      </c>
      <c r="F1303" s="71" t="s">
        <v>597</v>
      </c>
      <c r="G1303" s="71" t="str">
        <f>MID(F1303,1,2)</f>
        <v>NL</v>
      </c>
      <c r="H1303" s="43" t="s">
        <v>2105</v>
      </c>
      <c r="I1303" s="71" t="s">
        <v>2471</v>
      </c>
      <c r="J1303" s="71" t="s">
        <v>426</v>
      </c>
      <c r="K1303" s="43"/>
      <c r="L1303" s="71" t="s">
        <v>105</v>
      </c>
      <c r="M1303" s="73">
        <v>29</v>
      </c>
      <c r="N1303" s="71" t="s">
        <v>388</v>
      </c>
      <c r="O1303" s="73">
        <v>0.2</v>
      </c>
      <c r="P1303" s="71" t="s">
        <v>389</v>
      </c>
      <c r="Q1303" s="73">
        <v>33.5</v>
      </c>
      <c r="R1303" s="71" t="s">
        <v>388</v>
      </c>
      <c r="S1303" s="73">
        <v>0</v>
      </c>
      <c r="T1303" s="71" t="s">
        <v>390</v>
      </c>
      <c r="U1303" s="74">
        <v>1</v>
      </c>
      <c r="V1303" s="71" t="s">
        <v>391</v>
      </c>
      <c r="W1303" s="130">
        <v>46065.51458333333</v>
      </c>
      <c r="X1303" s="72">
        <v>46066.586805555555</v>
      </c>
      <c r="Y1303" s="72">
        <v>46068.402777777781</v>
      </c>
      <c r="Z1303" s="104" t="s">
        <v>382</v>
      </c>
      <c r="AA1303" s="104" t="s">
        <v>590</v>
      </c>
      <c r="AB1303" s="105">
        <v>46066.480555555558</v>
      </c>
      <c r="AC1303" s="105">
        <v>46066.997916666667</v>
      </c>
    </row>
    <row r="1304" s="70" customFormat="1" ht="11.25" customHeight="1">
      <c r="A1304" s="87"/>
      <c r="C1304" s="43" t="s">
        <v>2470</v>
      </c>
      <c r="D1304" s="71" t="s">
        <v>382</v>
      </c>
      <c r="E1304" s="71" t="str">
        <f>MID(D1304,1,2)</f>
        <v>IL</v>
      </c>
      <c r="F1304" s="71" t="s">
        <v>597</v>
      </c>
      <c r="G1304" s="71" t="str">
        <f>MID(F1304,1,2)</f>
        <v>NL</v>
      </c>
      <c r="H1304" s="43" t="s">
        <v>2105</v>
      </c>
      <c r="I1304" s="71" t="s">
        <v>2471</v>
      </c>
      <c r="J1304" s="71" t="s">
        <v>426</v>
      </c>
      <c r="K1304" s="43"/>
      <c r="L1304" s="71" t="s">
        <v>105</v>
      </c>
      <c r="M1304" s="73">
        <v>29</v>
      </c>
      <c r="N1304" s="71" t="s">
        <v>388</v>
      </c>
      <c r="O1304" s="73">
        <v>0.2</v>
      </c>
      <c r="P1304" s="71" t="s">
        <v>389</v>
      </c>
      <c r="Q1304" s="73">
        <v>33.5</v>
      </c>
      <c r="R1304" s="71" t="s">
        <v>388</v>
      </c>
      <c r="S1304" s="73">
        <v>0</v>
      </c>
      <c r="T1304" s="71" t="s">
        <v>390</v>
      </c>
      <c r="U1304" s="74">
        <v>1</v>
      </c>
      <c r="V1304" s="71" t="s">
        <v>391</v>
      </c>
      <c r="W1304" s="130">
        <v>46065.51458333333</v>
      </c>
      <c r="X1304" s="72">
        <v>46066.586805555555</v>
      </c>
      <c r="Y1304" s="72">
        <v>46068.402777777781</v>
      </c>
      <c r="Z1304" s="104" t="s">
        <v>590</v>
      </c>
      <c r="AA1304" s="104" t="s">
        <v>597</v>
      </c>
      <c r="AB1304" s="105">
        <v>46068.307638888888</v>
      </c>
      <c r="AC1304" s="105">
        <v>46068.414583333331</v>
      </c>
    </row>
    <row r="1305" s="70" customFormat="1" ht="11.25" customHeight="1">
      <c r="A1305" s="87"/>
      <c r="C1305" s="43" t="s">
        <v>2472</v>
      </c>
      <c r="D1305" s="71" t="s">
        <v>382</v>
      </c>
      <c r="E1305" s="71" t="str">
        <f>MID(D1305,1,2)</f>
        <v>IL</v>
      </c>
      <c r="F1305" s="71" t="s">
        <v>919</v>
      </c>
      <c r="G1305" s="71" t="str">
        <f>MID(F1305,1,2)</f>
        <v>CN</v>
      </c>
      <c r="H1305" s="43" t="s">
        <v>2357</v>
      </c>
      <c r="I1305" s="71" t="s">
        <v>2473</v>
      </c>
      <c r="J1305" s="71" t="s">
        <v>755</v>
      </c>
      <c r="K1305" s="43"/>
      <c r="L1305" s="71" t="s">
        <v>105</v>
      </c>
      <c r="M1305" s="73">
        <v>4.6</v>
      </c>
      <c r="N1305" s="71" t="s">
        <v>388</v>
      </c>
      <c r="O1305" s="73">
        <v>0.108</v>
      </c>
      <c r="P1305" s="71" t="s">
        <v>389</v>
      </c>
      <c r="Q1305" s="73">
        <v>18</v>
      </c>
      <c r="R1305" s="71" t="s">
        <v>388</v>
      </c>
      <c r="S1305" s="73">
        <v>0</v>
      </c>
      <c r="T1305" s="71" t="s">
        <v>390</v>
      </c>
      <c r="U1305" s="74">
        <v>1</v>
      </c>
      <c r="V1305" s="71" t="s">
        <v>391</v>
      </c>
      <c r="W1305" s="130">
        <v>46065.627152777779</v>
      </c>
      <c r="X1305" s="72">
        <v>46067.03125</v>
      </c>
      <c r="Y1305" s="72">
        <v>46068.531944444447</v>
      </c>
      <c r="Z1305" s="104" t="s">
        <v>382</v>
      </c>
      <c r="AA1305" s="104" t="s">
        <v>667</v>
      </c>
      <c r="AB1305" s="105">
        <v>46067.021527777775</v>
      </c>
      <c r="AC1305" s="105">
        <v>46067.210416666669</v>
      </c>
    </row>
    <row r="1306" s="70" customFormat="1" ht="11.25" customHeight="1">
      <c r="A1306" s="87"/>
      <c r="C1306" s="43" t="s">
        <v>2472</v>
      </c>
      <c r="D1306" s="71" t="s">
        <v>382</v>
      </c>
      <c r="E1306" s="71" t="str">
        <f>MID(D1306,1,2)</f>
        <v>IL</v>
      </c>
      <c r="F1306" s="71" t="s">
        <v>919</v>
      </c>
      <c r="G1306" s="71" t="str">
        <f>MID(F1306,1,2)</f>
        <v>CN</v>
      </c>
      <c r="H1306" s="43" t="s">
        <v>2357</v>
      </c>
      <c r="I1306" s="71" t="s">
        <v>2473</v>
      </c>
      <c r="J1306" s="71" t="s">
        <v>755</v>
      </c>
      <c r="K1306" s="43"/>
      <c r="L1306" s="71" t="s">
        <v>105</v>
      </c>
      <c r="M1306" s="73">
        <v>4.6</v>
      </c>
      <c r="N1306" s="71" t="s">
        <v>388</v>
      </c>
      <c r="O1306" s="73">
        <v>0.108</v>
      </c>
      <c r="P1306" s="71" t="s">
        <v>389</v>
      </c>
      <c r="Q1306" s="73">
        <v>18</v>
      </c>
      <c r="R1306" s="71" t="s">
        <v>388</v>
      </c>
      <c r="S1306" s="73">
        <v>0</v>
      </c>
      <c r="T1306" s="71" t="s">
        <v>390</v>
      </c>
      <c r="U1306" s="74">
        <v>1</v>
      </c>
      <c r="V1306" s="71" t="s">
        <v>391</v>
      </c>
      <c r="W1306" s="130">
        <v>46065.627152777779</v>
      </c>
      <c r="X1306" s="72">
        <v>46067.03125</v>
      </c>
      <c r="Y1306" s="72">
        <v>46068.531944444447</v>
      </c>
      <c r="Z1306" s="104" t="s">
        <v>667</v>
      </c>
      <c r="AA1306" s="104" t="s">
        <v>919</v>
      </c>
      <c r="AB1306" s="105">
        <v>46067.805555555555</v>
      </c>
      <c r="AC1306" s="105">
        <v>46068.497916666667</v>
      </c>
    </row>
    <row r="1307" s="70" customFormat="1" ht="11.25" customHeight="1">
      <c r="A1307" s="87"/>
      <c r="C1307" s="43" t="s">
        <v>2474</v>
      </c>
      <c r="D1307" s="71" t="s">
        <v>382</v>
      </c>
      <c r="E1307" s="71" t="str">
        <f>MID(D1307,1,2)</f>
        <v>IL</v>
      </c>
      <c r="F1307" s="71" t="s">
        <v>963</v>
      </c>
      <c r="G1307" s="71" t="str">
        <f>MID(F1307,1,2)</f>
        <v>IN</v>
      </c>
      <c r="H1307" s="43" t="s">
        <v>2425</v>
      </c>
      <c r="I1307" s="71" t="s">
        <v>2475</v>
      </c>
      <c r="J1307" s="71" t="s">
        <v>483</v>
      </c>
      <c r="K1307" s="43"/>
      <c r="L1307" s="71" t="s">
        <v>105</v>
      </c>
      <c r="M1307" s="73">
        <v>11</v>
      </c>
      <c r="N1307" s="71" t="s">
        <v>388</v>
      </c>
      <c r="O1307" s="73">
        <v>0.063</v>
      </c>
      <c r="P1307" s="71" t="s">
        <v>389</v>
      </c>
      <c r="Q1307" s="73">
        <v>11</v>
      </c>
      <c r="R1307" s="71" t="s">
        <v>388</v>
      </c>
      <c r="S1307" s="73">
        <v>0</v>
      </c>
      <c r="T1307" s="71" t="s">
        <v>390</v>
      </c>
      <c r="U1307" s="74">
        <v>1</v>
      </c>
      <c r="V1307" s="71" t="s">
        <v>391</v>
      </c>
      <c r="W1307" s="130"/>
      <c r="X1307" s="72">
        <v>46067.690972222219</v>
      </c>
      <c r="Y1307" s="72">
        <v>46069.45</v>
      </c>
      <c r="Z1307" s="104" t="s">
        <v>382</v>
      </c>
      <c r="AA1307" s="104" t="s">
        <v>383</v>
      </c>
      <c r="AB1307" s="105">
        <v>46067.7</v>
      </c>
      <c r="AC1307" s="105">
        <v>46067.85</v>
      </c>
    </row>
    <row r="1308" s="70" customFormat="1" ht="11.25" customHeight="1">
      <c r="A1308" s="87"/>
      <c r="C1308" s="43" t="s">
        <v>2474</v>
      </c>
      <c r="D1308" s="71" t="s">
        <v>382</v>
      </c>
      <c r="E1308" s="71" t="str">
        <f>MID(D1308,1,2)</f>
        <v>IL</v>
      </c>
      <c r="F1308" s="71" t="s">
        <v>963</v>
      </c>
      <c r="G1308" s="71" t="str">
        <f>MID(F1308,1,2)</f>
        <v>IN</v>
      </c>
      <c r="H1308" s="43" t="s">
        <v>2425</v>
      </c>
      <c r="I1308" s="71" t="s">
        <v>2475</v>
      </c>
      <c r="J1308" s="71" t="s">
        <v>483</v>
      </c>
      <c r="K1308" s="43"/>
      <c r="L1308" s="71" t="s">
        <v>105</v>
      </c>
      <c r="M1308" s="73">
        <v>11</v>
      </c>
      <c r="N1308" s="71" t="s">
        <v>388</v>
      </c>
      <c r="O1308" s="73">
        <v>0.063</v>
      </c>
      <c r="P1308" s="71" t="s">
        <v>389</v>
      </c>
      <c r="Q1308" s="73">
        <v>11</v>
      </c>
      <c r="R1308" s="71" t="s">
        <v>388</v>
      </c>
      <c r="S1308" s="73">
        <v>0</v>
      </c>
      <c r="T1308" s="71" t="s">
        <v>390</v>
      </c>
      <c r="U1308" s="74">
        <v>1</v>
      </c>
      <c r="V1308" s="71" t="s">
        <v>391</v>
      </c>
      <c r="W1308" s="130"/>
      <c r="X1308" s="72">
        <v>46067.690972222219</v>
      </c>
      <c r="Y1308" s="72">
        <v>46069.45</v>
      </c>
      <c r="Z1308" s="104" t="s">
        <v>383</v>
      </c>
      <c r="AA1308" s="104" t="s">
        <v>963</v>
      </c>
      <c r="AB1308" s="105">
        <v>46068.522222222222</v>
      </c>
      <c r="AC1308" s="105">
        <v>46069.071527777778</v>
      </c>
    </row>
    <row r="1309" s="70" customFormat="1" ht="11.25" customHeight="1">
      <c r="A1309" s="87"/>
      <c r="C1309" s="43" t="s">
        <v>2476</v>
      </c>
      <c r="D1309" s="71" t="s">
        <v>382</v>
      </c>
      <c r="E1309" s="71" t="str">
        <f>MID(D1309,1,2)</f>
        <v>IL</v>
      </c>
      <c r="F1309" s="71" t="s">
        <v>422</v>
      </c>
      <c r="G1309" s="71" t="str">
        <f>MID(F1309,1,2)</f>
        <v>US</v>
      </c>
      <c r="H1309" s="43" t="s">
        <v>1920</v>
      </c>
      <c r="I1309" s="71" t="s">
        <v>2477</v>
      </c>
      <c r="J1309" s="71" t="s">
        <v>426</v>
      </c>
      <c r="K1309" s="43" t="s">
        <v>768</v>
      </c>
      <c r="L1309" s="71" t="s">
        <v>105</v>
      </c>
      <c r="M1309" s="73">
        <v>325</v>
      </c>
      <c r="N1309" s="71" t="s">
        <v>388</v>
      </c>
      <c r="O1309" s="73">
        <v>1.597</v>
      </c>
      <c r="P1309" s="71" t="s">
        <v>389</v>
      </c>
      <c r="Q1309" s="73">
        <v>325</v>
      </c>
      <c r="R1309" s="71" t="s">
        <v>388</v>
      </c>
      <c r="S1309" s="73">
        <v>0</v>
      </c>
      <c r="T1309" s="71" t="s">
        <v>390</v>
      </c>
      <c r="U1309" s="74">
        <v>2</v>
      </c>
      <c r="V1309" s="71" t="s">
        <v>391</v>
      </c>
      <c r="W1309" s="130">
        <v>46065.835578703707</v>
      </c>
      <c r="X1309" s="72">
        <v>46067.479166666664</v>
      </c>
      <c r="Y1309" s="72">
        <v>46068.67291666667</v>
      </c>
      <c r="Z1309" s="104" t="s">
        <v>382</v>
      </c>
      <c r="AA1309" s="104" t="s">
        <v>422</v>
      </c>
      <c r="AB1309" s="105">
        <v>46067.470138888886</v>
      </c>
      <c r="AC1309" s="105">
        <v>46067.691666666666</v>
      </c>
    </row>
    <row r="1310" s="70" customFormat="1" ht="11.25" customHeight="1">
      <c r="A1310" s="87"/>
      <c r="C1310" s="43" t="s">
        <v>2478</v>
      </c>
      <c r="D1310" s="71" t="s">
        <v>382</v>
      </c>
      <c r="E1310" s="71" t="str">
        <f>MID(D1310,1,2)</f>
        <v>IL</v>
      </c>
      <c r="F1310" s="71" t="s">
        <v>443</v>
      </c>
      <c r="G1310" s="71" t="str">
        <f>MID(F1310,1,2)</f>
        <v>US</v>
      </c>
      <c r="H1310" s="43" t="s">
        <v>2072</v>
      </c>
      <c r="I1310" s="71" t="s">
        <v>2479</v>
      </c>
      <c r="J1310" s="71" t="s">
        <v>386</v>
      </c>
      <c r="K1310" s="43"/>
      <c r="L1310" s="71" t="s">
        <v>107</v>
      </c>
      <c r="M1310" s="73">
        <v>71</v>
      </c>
      <c r="N1310" s="71" t="s">
        <v>388</v>
      </c>
      <c r="O1310" s="73">
        <v>0.9</v>
      </c>
      <c r="P1310" s="71" t="s">
        <v>389</v>
      </c>
      <c r="Q1310" s="73">
        <v>150</v>
      </c>
      <c r="R1310" s="71" t="s">
        <v>388</v>
      </c>
      <c r="S1310" s="73">
        <v>0</v>
      </c>
      <c r="T1310" s="71" t="s">
        <v>390</v>
      </c>
      <c r="U1310" s="74">
        <v>1</v>
      </c>
      <c r="V1310" s="71" t="s">
        <v>536</v>
      </c>
      <c r="W1310" s="130">
        <v>46065.597916666666</v>
      </c>
      <c r="X1310" s="72">
        <v>46067.458333333336</v>
      </c>
      <c r="Y1310" s="72">
        <v>46069.461111111108</v>
      </c>
      <c r="Z1310" s="104" t="s">
        <v>382</v>
      </c>
      <c r="AA1310" s="104" t="s">
        <v>422</v>
      </c>
      <c r="AB1310" s="105">
        <v>46068.484722222223</v>
      </c>
      <c r="AC1310" s="105">
        <v>46068.679166666669</v>
      </c>
    </row>
    <row r="1311" s="70" customFormat="1" ht="11.25" customHeight="1">
      <c r="A1311" s="87"/>
      <c r="C1311" s="43" t="s">
        <v>2478</v>
      </c>
      <c r="D1311" s="71" t="s">
        <v>382</v>
      </c>
      <c r="E1311" s="71" t="str">
        <f>MID(D1311,1,2)</f>
        <v>IL</v>
      </c>
      <c r="F1311" s="71" t="s">
        <v>443</v>
      </c>
      <c r="G1311" s="71" t="str">
        <f>MID(F1311,1,2)</f>
        <v>US</v>
      </c>
      <c r="H1311" s="43" t="s">
        <v>2072</v>
      </c>
      <c r="I1311" s="71" t="s">
        <v>2479</v>
      </c>
      <c r="J1311" s="71" t="s">
        <v>386</v>
      </c>
      <c r="K1311" s="43"/>
      <c r="L1311" s="71" t="s">
        <v>107</v>
      </c>
      <c r="M1311" s="73">
        <v>71</v>
      </c>
      <c r="N1311" s="71" t="s">
        <v>388</v>
      </c>
      <c r="O1311" s="73">
        <v>0.9</v>
      </c>
      <c r="P1311" s="71" t="s">
        <v>389</v>
      </c>
      <c r="Q1311" s="73">
        <v>150</v>
      </c>
      <c r="R1311" s="71" t="s">
        <v>388</v>
      </c>
      <c r="S1311" s="73">
        <v>0</v>
      </c>
      <c r="T1311" s="71" t="s">
        <v>390</v>
      </c>
      <c r="U1311" s="74">
        <v>1</v>
      </c>
      <c r="V1311" s="71" t="s">
        <v>536</v>
      </c>
      <c r="W1311" s="130">
        <v>46065.597916666666</v>
      </c>
      <c r="X1311" s="72">
        <v>46067.458333333336</v>
      </c>
      <c r="Y1311" s="72">
        <v>46069.461111111108</v>
      </c>
      <c r="Z1311" s="104" t="s">
        <v>422</v>
      </c>
      <c r="AA1311" s="104" t="s">
        <v>443</v>
      </c>
      <c r="AB1311" s="105">
        <v>46069.30972222222</v>
      </c>
      <c r="AC1311" s="105">
        <v>46069.4625</v>
      </c>
    </row>
    <row r="1312" s="70" customFormat="1" ht="11.25" customHeight="1">
      <c r="A1312" s="87"/>
      <c r="C1312" s="43" t="s">
        <v>2480</v>
      </c>
      <c r="D1312" s="71" t="s">
        <v>382</v>
      </c>
      <c r="E1312" s="71" t="str">
        <f>MID(D1312,1,2)</f>
        <v>IL</v>
      </c>
      <c r="F1312" s="71" t="s">
        <v>2133</v>
      </c>
      <c r="G1312" s="71" t="str">
        <f>MID(F1312,1,2)</f>
        <v>FI</v>
      </c>
      <c r="H1312" s="43" t="s">
        <v>2481</v>
      </c>
      <c r="I1312" s="71" t="s">
        <v>2482</v>
      </c>
      <c r="J1312" s="71" t="s">
        <v>811</v>
      </c>
      <c r="K1312" s="43"/>
      <c r="L1312" s="71" t="s">
        <v>105</v>
      </c>
      <c r="M1312" s="73">
        <v>1225</v>
      </c>
      <c r="N1312" s="71" t="s">
        <v>388</v>
      </c>
      <c r="O1312" s="73">
        <v>6.629</v>
      </c>
      <c r="P1312" s="71" t="s">
        <v>389</v>
      </c>
      <c r="Q1312" s="73">
        <v>1225</v>
      </c>
      <c r="R1312" s="71" t="s">
        <v>388</v>
      </c>
      <c r="S1312" s="73">
        <v>0</v>
      </c>
      <c r="T1312" s="71" t="s">
        <v>390</v>
      </c>
      <c r="U1312" s="74">
        <v>5</v>
      </c>
      <c r="V1312" s="71" t="s">
        <v>391</v>
      </c>
      <c r="W1312" s="130">
        <v>46069.917268518519</v>
      </c>
      <c r="X1312" s="72">
        <v>46070.663194444445</v>
      </c>
      <c r="Y1312" s="72">
        <v>46078.458333333336</v>
      </c>
      <c r="Z1312" s="104" t="s">
        <v>382</v>
      </c>
      <c r="AA1312" s="104" t="s">
        <v>577</v>
      </c>
      <c r="AB1312" s="105">
        <v>46070.65902777778</v>
      </c>
      <c r="AC1312" s="105">
        <v>46070.8125</v>
      </c>
    </row>
    <row r="1313" s="70" customFormat="1" ht="11.25" customHeight="1">
      <c r="A1313" s="87"/>
      <c r="C1313" s="43" t="s">
        <v>2480</v>
      </c>
      <c r="D1313" s="71" t="s">
        <v>382</v>
      </c>
      <c r="E1313" s="71" t="str">
        <f>MID(D1313,1,2)</f>
        <v>IL</v>
      </c>
      <c r="F1313" s="71" t="s">
        <v>2133</v>
      </c>
      <c r="G1313" s="71" t="str">
        <f>MID(F1313,1,2)</f>
        <v>FI</v>
      </c>
      <c r="H1313" s="43" t="s">
        <v>2481</v>
      </c>
      <c r="I1313" s="71" t="s">
        <v>2482</v>
      </c>
      <c r="J1313" s="71" t="s">
        <v>811</v>
      </c>
      <c r="K1313" s="43"/>
      <c r="L1313" s="71" t="s">
        <v>105</v>
      </c>
      <c r="M1313" s="73">
        <v>1225</v>
      </c>
      <c r="N1313" s="71" t="s">
        <v>388</v>
      </c>
      <c r="O1313" s="73">
        <v>6.629</v>
      </c>
      <c r="P1313" s="71" t="s">
        <v>389</v>
      </c>
      <c r="Q1313" s="73">
        <v>1225</v>
      </c>
      <c r="R1313" s="71" t="s">
        <v>388</v>
      </c>
      <c r="S1313" s="73">
        <v>0</v>
      </c>
      <c r="T1313" s="71" t="s">
        <v>390</v>
      </c>
      <c r="U1313" s="74">
        <v>5</v>
      </c>
      <c r="V1313" s="71" t="s">
        <v>391</v>
      </c>
      <c r="W1313" s="130">
        <v>46069.917268518519</v>
      </c>
      <c r="X1313" s="72">
        <v>46070.663194444445</v>
      </c>
      <c r="Y1313" s="72">
        <v>46078.458333333336</v>
      </c>
      <c r="Z1313" s="104" t="s">
        <v>577</v>
      </c>
      <c r="AA1313" s="104" t="s">
        <v>1976</v>
      </c>
      <c r="AB1313" s="105">
        <v>46071.473611111112</v>
      </c>
      <c r="AC1313" s="105"/>
    </row>
    <row r="1314" s="70" customFormat="1" ht="11.25" customHeight="1">
      <c r="A1314" s="87"/>
      <c r="C1314" s="43" t="s">
        <v>2480</v>
      </c>
      <c r="D1314" s="71" t="s">
        <v>382</v>
      </c>
      <c r="E1314" s="71" t="str">
        <f>MID(D1314,1,2)</f>
        <v>IL</v>
      </c>
      <c r="F1314" s="71" t="s">
        <v>2133</v>
      </c>
      <c r="G1314" s="71" t="str">
        <f>MID(F1314,1,2)</f>
        <v>FI</v>
      </c>
      <c r="H1314" s="43" t="s">
        <v>2481</v>
      </c>
      <c r="I1314" s="71" t="s">
        <v>2482</v>
      </c>
      <c r="J1314" s="71" t="s">
        <v>811</v>
      </c>
      <c r="K1314" s="43"/>
      <c r="L1314" s="71" t="s">
        <v>105</v>
      </c>
      <c r="M1314" s="73">
        <v>1225</v>
      </c>
      <c r="N1314" s="71" t="s">
        <v>388</v>
      </c>
      <c r="O1314" s="73">
        <v>6.629</v>
      </c>
      <c r="P1314" s="71" t="s">
        <v>389</v>
      </c>
      <c r="Q1314" s="73">
        <v>1225</v>
      </c>
      <c r="R1314" s="71" t="s">
        <v>388</v>
      </c>
      <c r="S1314" s="73">
        <v>0</v>
      </c>
      <c r="T1314" s="71" t="s">
        <v>390</v>
      </c>
      <c r="U1314" s="74">
        <v>5</v>
      </c>
      <c r="V1314" s="71" t="s">
        <v>391</v>
      </c>
      <c r="W1314" s="130">
        <v>46069.917268518519</v>
      </c>
      <c r="X1314" s="72">
        <v>46070.663194444445</v>
      </c>
      <c r="Y1314" s="72">
        <v>46078.458333333336</v>
      </c>
      <c r="Z1314" s="104" t="s">
        <v>1976</v>
      </c>
      <c r="AA1314" s="104" t="s">
        <v>2133</v>
      </c>
      <c r="AB1314" s="105">
        <v>46072.916666666664</v>
      </c>
      <c r="AC1314" s="105">
        <v>46078.4375</v>
      </c>
    </row>
    <row r="1315" s="70" customFormat="1" ht="11.25" customHeight="1">
      <c r="A1315" s="87"/>
      <c r="C1315" s="43" t="s">
        <v>2483</v>
      </c>
      <c r="D1315" s="71" t="s">
        <v>382</v>
      </c>
      <c r="E1315" s="71" t="str">
        <f>MID(D1315,1,2)</f>
        <v>IL</v>
      </c>
      <c r="F1315" s="71" t="s">
        <v>1823</v>
      </c>
      <c r="G1315" s="71" t="str">
        <f>MID(F1315,1,2)</f>
        <v>DK</v>
      </c>
      <c r="H1315" s="43" t="s">
        <v>2484</v>
      </c>
      <c r="I1315" s="71" t="s">
        <v>2485</v>
      </c>
      <c r="J1315" s="71" t="s">
        <v>400</v>
      </c>
      <c r="K1315" s="43"/>
      <c r="L1315" s="71" t="s">
        <v>105</v>
      </c>
      <c r="M1315" s="73">
        <v>150</v>
      </c>
      <c r="N1315" s="71" t="s">
        <v>388</v>
      </c>
      <c r="O1315" s="73">
        <v>0.589</v>
      </c>
      <c r="P1315" s="71" t="s">
        <v>389</v>
      </c>
      <c r="Q1315" s="73">
        <v>150</v>
      </c>
      <c r="R1315" s="71" t="s">
        <v>388</v>
      </c>
      <c r="S1315" s="73">
        <v>0</v>
      </c>
      <c r="T1315" s="71" t="s">
        <v>390</v>
      </c>
      <c r="U1315" s="74">
        <v>4</v>
      </c>
      <c r="V1315" s="71" t="s">
        <v>391</v>
      </c>
      <c r="W1315" s="130"/>
      <c r="X1315" s="72">
        <v>46066.572916666664</v>
      </c>
      <c r="Y1315" s="72">
        <v>46067.581944444442</v>
      </c>
      <c r="Z1315" s="104" t="s">
        <v>382</v>
      </c>
      <c r="AA1315" s="104" t="s">
        <v>383</v>
      </c>
      <c r="AB1315" s="105">
        <v>46066.5625</v>
      </c>
      <c r="AC1315" s="105">
        <v>46066.709722222222</v>
      </c>
    </row>
    <row r="1316" s="70" customFormat="1" ht="11.25" customHeight="1">
      <c r="A1316" s="87"/>
      <c r="C1316" s="43" t="s">
        <v>2483</v>
      </c>
      <c r="D1316" s="71" t="s">
        <v>382</v>
      </c>
      <c r="E1316" s="71" t="str">
        <f>MID(D1316,1,2)</f>
        <v>IL</v>
      </c>
      <c r="F1316" s="71" t="s">
        <v>1823</v>
      </c>
      <c r="G1316" s="71" t="str">
        <f>MID(F1316,1,2)</f>
        <v>DK</v>
      </c>
      <c r="H1316" s="43" t="s">
        <v>2484</v>
      </c>
      <c r="I1316" s="71" t="s">
        <v>2485</v>
      </c>
      <c r="J1316" s="71" t="s">
        <v>400</v>
      </c>
      <c r="K1316" s="43"/>
      <c r="L1316" s="71" t="s">
        <v>105</v>
      </c>
      <c r="M1316" s="73">
        <v>150</v>
      </c>
      <c r="N1316" s="71" t="s">
        <v>388</v>
      </c>
      <c r="O1316" s="73">
        <v>0.589</v>
      </c>
      <c r="P1316" s="71" t="s">
        <v>389</v>
      </c>
      <c r="Q1316" s="73">
        <v>150</v>
      </c>
      <c r="R1316" s="71" t="s">
        <v>388</v>
      </c>
      <c r="S1316" s="73">
        <v>0</v>
      </c>
      <c r="T1316" s="71" t="s">
        <v>390</v>
      </c>
      <c r="U1316" s="74">
        <v>4</v>
      </c>
      <c r="V1316" s="71" t="s">
        <v>391</v>
      </c>
      <c r="W1316" s="130"/>
      <c r="X1316" s="72">
        <v>46066.572916666664</v>
      </c>
      <c r="Y1316" s="72">
        <v>46067.581944444442</v>
      </c>
      <c r="Z1316" s="104" t="s">
        <v>383</v>
      </c>
      <c r="AA1316" s="104" t="s">
        <v>1823</v>
      </c>
      <c r="AB1316" s="105">
        <v>46067.52847222222</v>
      </c>
      <c r="AC1316" s="105">
        <v>46067.578472222223</v>
      </c>
    </row>
    <row r="1317" s="70" customFormat="1" ht="11.25" customHeight="1">
      <c r="A1317" s="87"/>
      <c r="C1317" s="43" t="s">
        <v>2486</v>
      </c>
      <c r="D1317" s="71" t="s">
        <v>382</v>
      </c>
      <c r="E1317" s="71" t="str">
        <f>MID(D1317,1,2)</f>
        <v>IL</v>
      </c>
      <c r="F1317" s="71" t="s">
        <v>443</v>
      </c>
      <c r="G1317" s="71" t="str">
        <f>MID(F1317,1,2)</f>
        <v>US</v>
      </c>
      <c r="H1317" s="43" t="s">
        <v>2072</v>
      </c>
      <c r="I1317" s="71" t="s">
        <v>2487</v>
      </c>
      <c r="J1317" s="71" t="s">
        <v>386</v>
      </c>
      <c r="K1317" s="43"/>
      <c r="L1317" s="71" t="s">
        <v>107</v>
      </c>
      <c r="M1317" s="73">
        <v>73</v>
      </c>
      <c r="N1317" s="71" t="s">
        <v>388</v>
      </c>
      <c r="O1317" s="73">
        <v>0.9</v>
      </c>
      <c r="P1317" s="71" t="s">
        <v>389</v>
      </c>
      <c r="Q1317" s="73">
        <v>150</v>
      </c>
      <c r="R1317" s="71" t="s">
        <v>388</v>
      </c>
      <c r="S1317" s="73">
        <v>0</v>
      </c>
      <c r="T1317" s="71" t="s">
        <v>390</v>
      </c>
      <c r="U1317" s="74">
        <v>1</v>
      </c>
      <c r="V1317" s="71" t="s">
        <v>536</v>
      </c>
      <c r="W1317" s="130">
        <v>46065.597916666666</v>
      </c>
      <c r="X1317" s="72">
        <v>46067.458333333336</v>
      </c>
      <c r="Y1317" s="72">
        <v>46069.461111111108</v>
      </c>
      <c r="Z1317" s="104" t="s">
        <v>382</v>
      </c>
      <c r="AA1317" s="104" t="s">
        <v>422</v>
      </c>
      <c r="AB1317" s="105">
        <v>46068.484722222223</v>
      </c>
      <c r="AC1317" s="105">
        <v>46068.679166666669</v>
      </c>
    </row>
    <row r="1318" s="70" customFormat="1" ht="11.25" customHeight="1">
      <c r="A1318" s="87"/>
      <c r="C1318" s="43" t="s">
        <v>2486</v>
      </c>
      <c r="D1318" s="71" t="s">
        <v>382</v>
      </c>
      <c r="E1318" s="71" t="str">
        <f>MID(D1318,1,2)</f>
        <v>IL</v>
      </c>
      <c r="F1318" s="71" t="s">
        <v>443</v>
      </c>
      <c r="G1318" s="71" t="str">
        <f>MID(F1318,1,2)</f>
        <v>US</v>
      </c>
      <c r="H1318" s="43" t="s">
        <v>2072</v>
      </c>
      <c r="I1318" s="71" t="s">
        <v>2487</v>
      </c>
      <c r="J1318" s="71" t="s">
        <v>386</v>
      </c>
      <c r="K1318" s="43"/>
      <c r="L1318" s="71" t="s">
        <v>107</v>
      </c>
      <c r="M1318" s="73">
        <v>73</v>
      </c>
      <c r="N1318" s="71" t="s">
        <v>388</v>
      </c>
      <c r="O1318" s="73">
        <v>0.9</v>
      </c>
      <c r="P1318" s="71" t="s">
        <v>389</v>
      </c>
      <c r="Q1318" s="73">
        <v>150</v>
      </c>
      <c r="R1318" s="71" t="s">
        <v>388</v>
      </c>
      <c r="S1318" s="73">
        <v>0</v>
      </c>
      <c r="T1318" s="71" t="s">
        <v>390</v>
      </c>
      <c r="U1318" s="74">
        <v>1</v>
      </c>
      <c r="V1318" s="71" t="s">
        <v>536</v>
      </c>
      <c r="W1318" s="130">
        <v>46065.597916666666</v>
      </c>
      <c r="X1318" s="72">
        <v>46067.458333333336</v>
      </c>
      <c r="Y1318" s="72">
        <v>46069.461111111108</v>
      </c>
      <c r="Z1318" s="104" t="s">
        <v>422</v>
      </c>
      <c r="AA1318" s="104" t="s">
        <v>443</v>
      </c>
      <c r="AB1318" s="105">
        <v>46069.30972222222</v>
      </c>
      <c r="AC1318" s="105">
        <v>46069.4625</v>
      </c>
    </row>
    <row r="1319" s="70" customFormat="1" ht="11.25" customHeight="1">
      <c r="A1319" s="87"/>
      <c r="C1319" s="43" t="s">
        <v>2488</v>
      </c>
      <c r="D1319" s="71" t="s">
        <v>382</v>
      </c>
      <c r="E1319" s="71" t="str">
        <f>MID(D1319,1,2)</f>
        <v>IL</v>
      </c>
      <c r="F1319" s="71" t="s">
        <v>471</v>
      </c>
      <c r="G1319" s="71" t="str">
        <f>MID(F1319,1,2)</f>
        <v>US</v>
      </c>
      <c r="H1319" s="43" t="s">
        <v>2489</v>
      </c>
      <c r="I1319" s="71" t="s">
        <v>2490</v>
      </c>
      <c r="J1319" s="71" t="s">
        <v>386</v>
      </c>
      <c r="K1319" s="43"/>
      <c r="L1319" s="71" t="s">
        <v>107</v>
      </c>
      <c r="M1319" s="73">
        <v>218</v>
      </c>
      <c r="N1319" s="71" t="s">
        <v>388</v>
      </c>
      <c r="O1319" s="73">
        <v>0.661</v>
      </c>
      <c r="P1319" s="71" t="s">
        <v>389</v>
      </c>
      <c r="Q1319" s="73">
        <v>300</v>
      </c>
      <c r="R1319" s="71" t="s">
        <v>388</v>
      </c>
      <c r="S1319" s="73">
        <v>0</v>
      </c>
      <c r="T1319" s="71" t="s">
        <v>390</v>
      </c>
      <c r="U1319" s="74">
        <v>3</v>
      </c>
      <c r="V1319" s="71" t="s">
        <v>391</v>
      </c>
      <c r="W1319" s="130">
        <v>46065.825127314813</v>
      </c>
      <c r="X1319" s="72">
        <v>46068.482638888891</v>
      </c>
      <c r="Y1319" s="72">
        <v>46072.458333333336</v>
      </c>
      <c r="Z1319" s="104" t="s">
        <v>382</v>
      </c>
      <c r="AA1319" s="104" t="s">
        <v>414</v>
      </c>
      <c r="AB1319" s="105">
        <v>46069.488194444442</v>
      </c>
      <c r="AC1319" s="105">
        <v>46069.702777777777</v>
      </c>
    </row>
    <row r="1320" s="70" customFormat="1" ht="11.25" customHeight="1">
      <c r="A1320" s="87"/>
      <c r="C1320" s="43" t="s">
        <v>2488</v>
      </c>
      <c r="D1320" s="71" t="s">
        <v>382</v>
      </c>
      <c r="E1320" s="71" t="str">
        <f>MID(D1320,1,2)</f>
        <v>IL</v>
      </c>
      <c r="F1320" s="71" t="s">
        <v>471</v>
      </c>
      <c r="G1320" s="71" t="str">
        <f>MID(F1320,1,2)</f>
        <v>US</v>
      </c>
      <c r="H1320" s="43" t="s">
        <v>2489</v>
      </c>
      <c r="I1320" s="71" t="s">
        <v>2490</v>
      </c>
      <c r="J1320" s="71" t="s">
        <v>386</v>
      </c>
      <c r="K1320" s="43"/>
      <c r="L1320" s="71" t="s">
        <v>107</v>
      </c>
      <c r="M1320" s="73">
        <v>218</v>
      </c>
      <c r="N1320" s="71" t="s">
        <v>388</v>
      </c>
      <c r="O1320" s="73">
        <v>0.661</v>
      </c>
      <c r="P1320" s="71" t="s">
        <v>389</v>
      </c>
      <c r="Q1320" s="73">
        <v>300</v>
      </c>
      <c r="R1320" s="71" t="s">
        <v>388</v>
      </c>
      <c r="S1320" s="73">
        <v>0</v>
      </c>
      <c r="T1320" s="71" t="s">
        <v>390</v>
      </c>
      <c r="U1320" s="74">
        <v>3</v>
      </c>
      <c r="V1320" s="71" t="s">
        <v>391</v>
      </c>
      <c r="W1320" s="130">
        <v>46065.825127314813</v>
      </c>
      <c r="X1320" s="72">
        <v>46068.482638888891</v>
      </c>
      <c r="Y1320" s="72">
        <v>46072.458333333336</v>
      </c>
      <c r="Z1320" s="104" t="s">
        <v>414</v>
      </c>
      <c r="AA1320" s="104" t="s">
        <v>471</v>
      </c>
      <c r="AB1320" s="105">
        <v>46074.007638888892</v>
      </c>
      <c r="AC1320" s="105">
        <v>46072.083333333336</v>
      </c>
    </row>
    <row r="1321" s="70" customFormat="1" ht="11.25" customHeight="1">
      <c r="A1321" s="87"/>
      <c r="C1321" s="43" t="s">
        <v>2491</v>
      </c>
      <c r="D1321" s="71" t="s">
        <v>382</v>
      </c>
      <c r="E1321" s="71" t="str">
        <f>MID(D1321,1,2)</f>
        <v>IL</v>
      </c>
      <c r="F1321" s="71" t="s">
        <v>443</v>
      </c>
      <c r="G1321" s="71" t="str">
        <f>MID(F1321,1,2)</f>
        <v>US</v>
      </c>
      <c r="H1321" s="43" t="s">
        <v>2072</v>
      </c>
      <c r="I1321" s="71" t="s">
        <v>2492</v>
      </c>
      <c r="J1321" s="71" t="s">
        <v>386</v>
      </c>
      <c r="K1321" s="43"/>
      <c r="L1321" s="71" t="s">
        <v>107</v>
      </c>
      <c r="M1321" s="73">
        <v>68</v>
      </c>
      <c r="N1321" s="71" t="s">
        <v>388</v>
      </c>
      <c r="O1321" s="73">
        <v>0.9</v>
      </c>
      <c r="P1321" s="71" t="s">
        <v>389</v>
      </c>
      <c r="Q1321" s="73">
        <v>150</v>
      </c>
      <c r="R1321" s="71" t="s">
        <v>388</v>
      </c>
      <c r="S1321" s="73">
        <v>0</v>
      </c>
      <c r="T1321" s="71" t="s">
        <v>390</v>
      </c>
      <c r="U1321" s="74">
        <v>1</v>
      </c>
      <c r="V1321" s="71" t="s">
        <v>536</v>
      </c>
      <c r="W1321" s="130">
        <v>46065.925868055558</v>
      </c>
      <c r="X1321" s="72">
        <v>46067.458333333336</v>
      </c>
      <c r="Y1321" s="72">
        <v>46069.461111111108</v>
      </c>
      <c r="Z1321" s="104" t="s">
        <v>382</v>
      </c>
      <c r="AA1321" s="104" t="s">
        <v>422</v>
      </c>
      <c r="AB1321" s="105">
        <v>46068.484722222223</v>
      </c>
      <c r="AC1321" s="105">
        <v>46068.679166666669</v>
      </c>
    </row>
    <row r="1322" s="70" customFormat="1" ht="11.25" customHeight="1">
      <c r="A1322" s="87"/>
      <c r="C1322" s="43" t="s">
        <v>2491</v>
      </c>
      <c r="D1322" s="71" t="s">
        <v>382</v>
      </c>
      <c r="E1322" s="71" t="str">
        <f>MID(D1322,1,2)</f>
        <v>IL</v>
      </c>
      <c r="F1322" s="71" t="s">
        <v>443</v>
      </c>
      <c r="G1322" s="71" t="str">
        <f>MID(F1322,1,2)</f>
        <v>US</v>
      </c>
      <c r="H1322" s="43" t="s">
        <v>2072</v>
      </c>
      <c r="I1322" s="71" t="s">
        <v>2492</v>
      </c>
      <c r="J1322" s="71" t="s">
        <v>386</v>
      </c>
      <c r="K1322" s="43"/>
      <c r="L1322" s="71" t="s">
        <v>107</v>
      </c>
      <c r="M1322" s="73">
        <v>68</v>
      </c>
      <c r="N1322" s="71" t="s">
        <v>388</v>
      </c>
      <c r="O1322" s="73">
        <v>0.9</v>
      </c>
      <c r="P1322" s="71" t="s">
        <v>389</v>
      </c>
      <c r="Q1322" s="73">
        <v>150</v>
      </c>
      <c r="R1322" s="71" t="s">
        <v>388</v>
      </c>
      <c r="S1322" s="73">
        <v>0</v>
      </c>
      <c r="T1322" s="71" t="s">
        <v>390</v>
      </c>
      <c r="U1322" s="74">
        <v>1</v>
      </c>
      <c r="V1322" s="71" t="s">
        <v>536</v>
      </c>
      <c r="W1322" s="130">
        <v>46065.925868055558</v>
      </c>
      <c r="X1322" s="72">
        <v>46067.458333333336</v>
      </c>
      <c r="Y1322" s="72">
        <v>46069.461111111108</v>
      </c>
      <c r="Z1322" s="104" t="s">
        <v>422</v>
      </c>
      <c r="AA1322" s="104" t="s">
        <v>443</v>
      </c>
      <c r="AB1322" s="105">
        <v>46069.30972222222</v>
      </c>
      <c r="AC1322" s="105">
        <v>46069.4625</v>
      </c>
    </row>
    <row r="1323" s="70" customFormat="1" ht="11.25" customHeight="1">
      <c r="A1323" s="87"/>
      <c r="C1323" s="43" t="s">
        <v>2493</v>
      </c>
      <c r="D1323" s="71" t="s">
        <v>382</v>
      </c>
      <c r="E1323" s="71" t="str">
        <f>MID(D1323,1,2)</f>
        <v>IL</v>
      </c>
      <c r="F1323" s="71" t="s">
        <v>443</v>
      </c>
      <c r="G1323" s="71" t="str">
        <f>MID(F1323,1,2)</f>
        <v>US</v>
      </c>
      <c r="H1323" s="43" t="s">
        <v>2072</v>
      </c>
      <c r="I1323" s="71" t="s">
        <v>2494</v>
      </c>
      <c r="J1323" s="71" t="s">
        <v>386</v>
      </c>
      <c r="K1323" s="43"/>
      <c r="L1323" s="71" t="s">
        <v>107</v>
      </c>
      <c r="M1323" s="73">
        <v>141</v>
      </c>
      <c r="N1323" s="71" t="s">
        <v>388</v>
      </c>
      <c r="O1323" s="73">
        <v>1.8</v>
      </c>
      <c r="P1323" s="71" t="s">
        <v>389</v>
      </c>
      <c r="Q1323" s="73">
        <v>300</v>
      </c>
      <c r="R1323" s="71" t="s">
        <v>388</v>
      </c>
      <c r="S1323" s="73">
        <v>0</v>
      </c>
      <c r="T1323" s="71" t="s">
        <v>390</v>
      </c>
      <c r="U1323" s="74">
        <v>2</v>
      </c>
      <c r="V1323" s="71" t="s">
        <v>536</v>
      </c>
      <c r="W1323" s="130">
        <v>46065.925787037035</v>
      </c>
      <c r="X1323" s="72">
        <v>46067.458333333336</v>
      </c>
      <c r="Y1323" s="72">
        <v>46069.461111111108</v>
      </c>
      <c r="Z1323" s="104" t="s">
        <v>382</v>
      </c>
      <c r="AA1323" s="104" t="s">
        <v>422</v>
      </c>
      <c r="AB1323" s="105">
        <v>46068.484722222223</v>
      </c>
      <c r="AC1323" s="105">
        <v>46068.679166666669</v>
      </c>
    </row>
    <row r="1324" s="70" customFormat="1" ht="11.25" customHeight="1">
      <c r="A1324" s="87"/>
      <c r="C1324" s="43" t="s">
        <v>2493</v>
      </c>
      <c r="D1324" s="71" t="s">
        <v>382</v>
      </c>
      <c r="E1324" s="71" t="str">
        <f>MID(D1324,1,2)</f>
        <v>IL</v>
      </c>
      <c r="F1324" s="71" t="s">
        <v>443</v>
      </c>
      <c r="G1324" s="71" t="str">
        <f>MID(F1324,1,2)</f>
        <v>US</v>
      </c>
      <c r="H1324" s="43" t="s">
        <v>2072</v>
      </c>
      <c r="I1324" s="71" t="s">
        <v>2494</v>
      </c>
      <c r="J1324" s="71" t="s">
        <v>386</v>
      </c>
      <c r="K1324" s="43"/>
      <c r="L1324" s="71" t="s">
        <v>107</v>
      </c>
      <c r="M1324" s="73">
        <v>141</v>
      </c>
      <c r="N1324" s="71" t="s">
        <v>388</v>
      </c>
      <c r="O1324" s="73">
        <v>1.8</v>
      </c>
      <c r="P1324" s="71" t="s">
        <v>389</v>
      </c>
      <c r="Q1324" s="73">
        <v>300</v>
      </c>
      <c r="R1324" s="71" t="s">
        <v>388</v>
      </c>
      <c r="S1324" s="73">
        <v>0</v>
      </c>
      <c r="T1324" s="71" t="s">
        <v>390</v>
      </c>
      <c r="U1324" s="74">
        <v>2</v>
      </c>
      <c r="V1324" s="71" t="s">
        <v>536</v>
      </c>
      <c r="W1324" s="130">
        <v>46065.925787037035</v>
      </c>
      <c r="X1324" s="72">
        <v>46067.458333333336</v>
      </c>
      <c r="Y1324" s="72">
        <v>46069.461111111108</v>
      </c>
      <c r="Z1324" s="104" t="s">
        <v>422</v>
      </c>
      <c r="AA1324" s="104" t="s">
        <v>443</v>
      </c>
      <c r="AB1324" s="105">
        <v>46069.30972222222</v>
      </c>
      <c r="AC1324" s="105">
        <v>46069.4625</v>
      </c>
    </row>
    <row r="1325" s="70" customFormat="1" ht="11.25" customHeight="1">
      <c r="A1325" s="87"/>
      <c r="C1325" s="43" t="s">
        <v>2495</v>
      </c>
      <c r="D1325" s="71" t="s">
        <v>382</v>
      </c>
      <c r="E1325" s="71" t="str">
        <f>MID(D1325,1,2)</f>
        <v>IL</v>
      </c>
      <c r="F1325" s="71" t="s">
        <v>2223</v>
      </c>
      <c r="G1325" s="71" t="str">
        <f>MID(F1325,1,2)</f>
        <v>GB</v>
      </c>
      <c r="H1325" s="43" t="s">
        <v>2496</v>
      </c>
      <c r="I1325" s="71" t="s">
        <v>2497</v>
      </c>
      <c r="J1325" s="71" t="s">
        <v>400</v>
      </c>
      <c r="K1325" s="43"/>
      <c r="L1325" s="71" t="s">
        <v>105</v>
      </c>
      <c r="M1325" s="73">
        <v>83</v>
      </c>
      <c r="N1325" s="71" t="s">
        <v>388</v>
      </c>
      <c r="O1325" s="73">
        <v>1.828</v>
      </c>
      <c r="P1325" s="71" t="s">
        <v>389</v>
      </c>
      <c r="Q1325" s="73">
        <v>305</v>
      </c>
      <c r="R1325" s="71" t="s">
        <v>388</v>
      </c>
      <c r="S1325" s="73">
        <v>0</v>
      </c>
      <c r="T1325" s="71" t="s">
        <v>390</v>
      </c>
      <c r="U1325" s="74">
        <v>1</v>
      </c>
      <c r="V1325" s="71" t="s">
        <v>391</v>
      </c>
      <c r="W1325" s="130">
        <v>46065.988321759258</v>
      </c>
      <c r="X1325" s="72">
        <v>46066.381944444445</v>
      </c>
      <c r="Y1325" s="72">
        <v>46068.524305555555</v>
      </c>
      <c r="Z1325" s="104" t="s">
        <v>382</v>
      </c>
      <c r="AA1325" s="104" t="s">
        <v>546</v>
      </c>
      <c r="AB1325" s="105">
        <v>46068.376388888886</v>
      </c>
      <c r="AC1325" s="105">
        <v>46068.359027777777</v>
      </c>
    </row>
    <row r="1326" s="70" customFormat="1" ht="11.25" customHeight="1">
      <c r="A1326" s="87"/>
      <c r="C1326" s="43" t="s">
        <v>2498</v>
      </c>
      <c r="D1326" s="71" t="s">
        <v>382</v>
      </c>
      <c r="E1326" s="71" t="str">
        <f>MID(D1326,1,2)</f>
        <v>IL</v>
      </c>
      <c r="F1326" s="71" t="s">
        <v>422</v>
      </c>
      <c r="G1326" s="71" t="str">
        <f>MID(F1326,1,2)</f>
        <v>US</v>
      </c>
      <c r="H1326" s="43" t="s">
        <v>1920</v>
      </c>
      <c r="I1326" s="71" t="s">
        <v>2499</v>
      </c>
      <c r="J1326" s="71" t="s">
        <v>386</v>
      </c>
      <c r="K1326" s="43" t="s">
        <v>431</v>
      </c>
      <c r="L1326" s="71" t="s">
        <v>107</v>
      </c>
      <c r="M1326" s="73">
        <v>4</v>
      </c>
      <c r="N1326" s="71" t="s">
        <v>388</v>
      </c>
      <c r="O1326" s="73">
        <v>0.058</v>
      </c>
      <c r="P1326" s="71" t="s">
        <v>389</v>
      </c>
      <c r="Q1326" s="73">
        <v>10</v>
      </c>
      <c r="R1326" s="71" t="s">
        <v>388</v>
      </c>
      <c r="S1326" s="73">
        <v>0</v>
      </c>
      <c r="T1326" s="71" t="s">
        <v>390</v>
      </c>
      <c r="U1326" s="74">
        <v>2</v>
      </c>
      <c r="V1326" s="71" t="s">
        <v>427</v>
      </c>
      <c r="W1326" s="130">
        <v>46065.5625</v>
      </c>
      <c r="X1326" s="72">
        <v>46067.479166666664</v>
      </c>
      <c r="Y1326" s="72">
        <v>46068.67291666667</v>
      </c>
      <c r="Z1326" s="104" t="s">
        <v>382</v>
      </c>
      <c r="AA1326" s="104" t="s">
        <v>422</v>
      </c>
      <c r="AB1326" s="105">
        <v>46067.470138888886</v>
      </c>
      <c r="AC1326" s="105">
        <v>46067.691666666666</v>
      </c>
    </row>
    <row r="1327" s="70" customFormat="1" ht="11.25" customHeight="1">
      <c r="A1327" s="87"/>
      <c r="C1327" s="43" t="s">
        <v>2500</v>
      </c>
      <c r="D1327" s="71" t="s">
        <v>382</v>
      </c>
      <c r="E1327" s="71" t="str">
        <f>MID(D1327,1,2)</f>
        <v>IL</v>
      </c>
      <c r="F1327" s="71" t="s">
        <v>774</v>
      </c>
      <c r="G1327" s="71" t="str">
        <f>MID(F1327,1,2)</f>
        <v>CN</v>
      </c>
      <c r="H1327" s="43" t="s">
        <v>2501</v>
      </c>
      <c r="I1327" s="71" t="s">
        <v>2502</v>
      </c>
      <c r="J1327" s="71" t="s">
        <v>755</v>
      </c>
      <c r="K1327" s="43"/>
      <c r="L1327" s="71" t="s">
        <v>105</v>
      </c>
      <c r="M1327" s="73">
        <v>36</v>
      </c>
      <c r="N1327" s="71" t="s">
        <v>388</v>
      </c>
      <c r="O1327" s="73">
        <v>0.543</v>
      </c>
      <c r="P1327" s="71" t="s">
        <v>389</v>
      </c>
      <c r="Q1327" s="73">
        <v>90.5</v>
      </c>
      <c r="R1327" s="71" t="s">
        <v>388</v>
      </c>
      <c r="S1327" s="73">
        <v>0</v>
      </c>
      <c r="T1327" s="71" t="s">
        <v>390</v>
      </c>
      <c r="U1327" s="74">
        <v>1</v>
      </c>
      <c r="V1327" s="71" t="s">
        <v>391</v>
      </c>
      <c r="W1327" s="130">
        <v>46065.630648148152</v>
      </c>
      <c r="X1327" s="72">
        <v>46067.690972222219</v>
      </c>
      <c r="Y1327" s="72">
        <v>46069.305555555555</v>
      </c>
      <c r="Z1327" s="104" t="s">
        <v>382</v>
      </c>
      <c r="AA1327" s="104" t="s">
        <v>383</v>
      </c>
      <c r="AB1327" s="105">
        <v>46067.7</v>
      </c>
      <c r="AC1327" s="105">
        <v>46067.85</v>
      </c>
    </row>
    <row r="1328" s="70" customFormat="1" ht="11.25" customHeight="1">
      <c r="A1328" s="87"/>
      <c r="C1328" s="43" t="s">
        <v>2500</v>
      </c>
      <c r="D1328" s="71" t="s">
        <v>382</v>
      </c>
      <c r="E1328" s="71" t="str">
        <f>MID(D1328,1,2)</f>
        <v>IL</v>
      </c>
      <c r="F1328" s="71" t="s">
        <v>774</v>
      </c>
      <c r="G1328" s="71" t="str">
        <f>MID(F1328,1,2)</f>
        <v>CN</v>
      </c>
      <c r="H1328" s="43" t="s">
        <v>2501</v>
      </c>
      <c r="I1328" s="71" t="s">
        <v>2502</v>
      </c>
      <c r="J1328" s="71" t="s">
        <v>755</v>
      </c>
      <c r="K1328" s="43"/>
      <c r="L1328" s="71" t="s">
        <v>105</v>
      </c>
      <c r="M1328" s="73">
        <v>36</v>
      </c>
      <c r="N1328" s="71" t="s">
        <v>388</v>
      </c>
      <c r="O1328" s="73">
        <v>0.543</v>
      </c>
      <c r="P1328" s="71" t="s">
        <v>389</v>
      </c>
      <c r="Q1328" s="73">
        <v>90.5</v>
      </c>
      <c r="R1328" s="71" t="s">
        <v>388</v>
      </c>
      <c r="S1328" s="73">
        <v>0</v>
      </c>
      <c r="T1328" s="71" t="s">
        <v>390</v>
      </c>
      <c r="U1328" s="74">
        <v>1</v>
      </c>
      <c r="V1328" s="71" t="s">
        <v>391</v>
      </c>
      <c r="W1328" s="130">
        <v>46065.630648148152</v>
      </c>
      <c r="X1328" s="72">
        <v>46067.690972222219</v>
      </c>
      <c r="Y1328" s="72">
        <v>46069.305555555555</v>
      </c>
      <c r="Z1328" s="104" t="s">
        <v>383</v>
      </c>
      <c r="AA1328" s="104" t="s">
        <v>774</v>
      </c>
      <c r="AB1328" s="105">
        <v>46068.913194444445</v>
      </c>
      <c r="AC1328" s="105">
        <v>46069.71597222222</v>
      </c>
    </row>
    <row r="1329" s="70" customFormat="1" ht="11.25" customHeight="1">
      <c r="A1329" s="87"/>
      <c r="C1329" s="43" t="s">
        <v>2503</v>
      </c>
      <c r="D1329" s="71" t="s">
        <v>382</v>
      </c>
      <c r="E1329" s="71" t="str">
        <f>MID(D1329,1,2)</f>
        <v>IL</v>
      </c>
      <c r="F1329" s="71" t="s">
        <v>422</v>
      </c>
      <c r="G1329" s="71" t="str">
        <f>MID(F1329,1,2)</f>
        <v>US</v>
      </c>
      <c r="H1329" s="43" t="s">
        <v>1920</v>
      </c>
      <c r="I1329" s="71" t="s">
        <v>2504</v>
      </c>
      <c r="J1329" s="71" t="s">
        <v>400</v>
      </c>
      <c r="K1329" s="43"/>
      <c r="L1329" s="71" t="s">
        <v>105</v>
      </c>
      <c r="M1329" s="73">
        <v>7</v>
      </c>
      <c r="N1329" s="71" t="s">
        <v>388</v>
      </c>
      <c r="O1329" s="73">
        <v>0.064</v>
      </c>
      <c r="P1329" s="71" t="s">
        <v>389</v>
      </c>
      <c r="Q1329" s="73">
        <v>11</v>
      </c>
      <c r="R1329" s="71" t="s">
        <v>388</v>
      </c>
      <c r="S1329" s="73">
        <v>0</v>
      </c>
      <c r="T1329" s="71" t="s">
        <v>390</v>
      </c>
      <c r="U1329" s="74">
        <v>1</v>
      </c>
      <c r="V1329" s="71" t="s">
        <v>427</v>
      </c>
      <c r="W1329" s="130">
        <v>46065.570138888892</v>
      </c>
      <c r="X1329" s="72">
        <v>46067.479166666664</v>
      </c>
      <c r="Y1329" s="72">
        <v>46068.67291666667</v>
      </c>
      <c r="Z1329" s="104" t="s">
        <v>382</v>
      </c>
      <c r="AA1329" s="104" t="s">
        <v>422</v>
      </c>
      <c r="AB1329" s="105">
        <v>46067.470138888886</v>
      </c>
      <c r="AC1329" s="105">
        <v>46067.691666666666</v>
      </c>
    </row>
    <row r="1330" s="70" customFormat="1" ht="11.25" customHeight="1">
      <c r="A1330" s="87"/>
      <c r="C1330" s="43" t="s">
        <v>2505</v>
      </c>
      <c r="D1330" s="71" t="s">
        <v>382</v>
      </c>
      <c r="E1330" s="71" t="str">
        <f>MID(D1330,1,2)</f>
        <v>IL</v>
      </c>
      <c r="F1330" s="71" t="s">
        <v>684</v>
      </c>
      <c r="G1330" s="71" t="str">
        <f>MID(F1330,1,2)</f>
        <v>IT</v>
      </c>
      <c r="H1330" s="43" t="s">
        <v>2506</v>
      </c>
      <c r="I1330" s="71" t="s">
        <v>2507</v>
      </c>
      <c r="J1330" s="71" t="s">
        <v>426</v>
      </c>
      <c r="K1330" s="43"/>
      <c r="L1330" s="71" t="s">
        <v>105</v>
      </c>
      <c r="M1330" s="73">
        <v>2</v>
      </c>
      <c r="N1330" s="71" t="s">
        <v>388</v>
      </c>
      <c r="O1330" s="73">
        <v>0.012</v>
      </c>
      <c r="P1330" s="71" t="s">
        <v>389</v>
      </c>
      <c r="Q1330" s="73">
        <v>2</v>
      </c>
      <c r="R1330" s="71" t="s">
        <v>388</v>
      </c>
      <c r="S1330" s="73">
        <v>0</v>
      </c>
      <c r="T1330" s="71" t="s">
        <v>390</v>
      </c>
      <c r="U1330" s="74">
        <v>1</v>
      </c>
      <c r="V1330" s="71" t="s">
        <v>391</v>
      </c>
      <c r="W1330" s="130"/>
      <c r="X1330" s="72">
        <v>46068.567361111112</v>
      </c>
      <c r="Y1330" s="72">
        <v>46068.567361111112</v>
      </c>
      <c r="Z1330" s="104" t="s">
        <v>382</v>
      </c>
      <c r="AA1330" s="104" t="s">
        <v>684</v>
      </c>
      <c r="AB1330" s="105">
        <v>46068.71875</v>
      </c>
      <c r="AC1330" s="105">
        <v>46068.885416666664</v>
      </c>
    </row>
    <row r="1331" s="70" customFormat="1" ht="11.25" customHeight="1">
      <c r="A1331" s="87"/>
      <c r="C1331" s="43" t="s">
        <v>2508</v>
      </c>
      <c r="D1331" s="71" t="s">
        <v>382</v>
      </c>
      <c r="E1331" s="71" t="str">
        <f>MID(D1331,1,2)</f>
        <v>IL</v>
      </c>
      <c r="F1331" s="71" t="s">
        <v>680</v>
      </c>
      <c r="G1331" s="71" t="str">
        <f>MID(F1331,1,2)</f>
        <v>DE</v>
      </c>
      <c r="H1331" s="43" t="s">
        <v>2509</v>
      </c>
      <c r="I1331" s="71"/>
      <c r="J1331" s="71" t="s">
        <v>811</v>
      </c>
      <c r="K1331" s="43"/>
      <c r="L1331" s="71" t="s">
        <v>105</v>
      </c>
      <c r="M1331" s="73">
        <v>130</v>
      </c>
      <c r="N1331" s="71" t="s">
        <v>388</v>
      </c>
      <c r="O1331" s="73">
        <v>0.624</v>
      </c>
      <c r="P1331" s="71" t="s">
        <v>389</v>
      </c>
      <c r="Q1331" s="73">
        <v>130</v>
      </c>
      <c r="R1331" s="71" t="s">
        <v>388</v>
      </c>
      <c r="S1331" s="73">
        <v>0</v>
      </c>
      <c r="T1331" s="71" t="s">
        <v>390</v>
      </c>
      <c r="U1331" s="74">
        <v>1</v>
      </c>
      <c r="V1331" s="71" t="s">
        <v>391</v>
      </c>
      <c r="W1331" s="130"/>
      <c r="X1331" s="72">
        <v>46067.957638888889</v>
      </c>
      <c r="Y1331" s="72">
        <v>46068.934027777781</v>
      </c>
      <c r="Z1331" s="104" t="s">
        <v>382</v>
      </c>
      <c r="AA1331" s="104" t="s">
        <v>748</v>
      </c>
      <c r="AB1331" s="105">
        <v>46067.957638888889</v>
      </c>
      <c r="AC1331" s="105"/>
    </row>
    <row r="1332" s="70" customFormat="1" ht="11.25" customHeight="1">
      <c r="A1332" s="87"/>
      <c r="C1332" s="43" t="s">
        <v>2508</v>
      </c>
      <c r="D1332" s="71" t="s">
        <v>382</v>
      </c>
      <c r="E1332" s="71" t="str">
        <f>MID(D1332,1,2)</f>
        <v>IL</v>
      </c>
      <c r="F1332" s="71" t="s">
        <v>680</v>
      </c>
      <c r="G1332" s="71" t="str">
        <f>MID(F1332,1,2)</f>
        <v>DE</v>
      </c>
      <c r="H1332" s="43" t="s">
        <v>2509</v>
      </c>
      <c r="I1332" s="71"/>
      <c r="J1332" s="71" t="s">
        <v>811</v>
      </c>
      <c r="K1332" s="43"/>
      <c r="L1332" s="71" t="s">
        <v>105</v>
      </c>
      <c r="M1332" s="73">
        <v>130</v>
      </c>
      <c r="N1332" s="71" t="s">
        <v>388</v>
      </c>
      <c r="O1332" s="73">
        <v>0.624</v>
      </c>
      <c r="P1332" s="71" t="s">
        <v>389</v>
      </c>
      <c r="Q1332" s="73">
        <v>130</v>
      </c>
      <c r="R1332" s="71" t="s">
        <v>388</v>
      </c>
      <c r="S1332" s="73">
        <v>0</v>
      </c>
      <c r="T1332" s="71" t="s">
        <v>390</v>
      </c>
      <c r="U1332" s="74">
        <v>1</v>
      </c>
      <c r="V1332" s="71" t="s">
        <v>391</v>
      </c>
      <c r="W1332" s="130"/>
      <c r="X1332" s="72">
        <v>46067.957638888889</v>
      </c>
      <c r="Y1332" s="72">
        <v>46068.934027777781</v>
      </c>
      <c r="Z1332" s="104" t="s">
        <v>748</v>
      </c>
      <c r="AA1332" s="104" t="s">
        <v>680</v>
      </c>
      <c r="AB1332" s="105">
        <v>46068.918055555558</v>
      </c>
      <c r="AC1332" s="105">
        <v>46068.9625</v>
      </c>
    </row>
    <row r="1333" s="70" customFormat="1" ht="11.25" customHeight="1">
      <c r="A1333" s="87"/>
      <c r="C1333" s="43" t="s">
        <v>2510</v>
      </c>
      <c r="D1333" s="71" t="s">
        <v>382</v>
      </c>
      <c r="E1333" s="71" t="str">
        <f>MID(D1333,1,2)</f>
        <v>IL</v>
      </c>
      <c r="F1333" s="71" t="s">
        <v>774</v>
      </c>
      <c r="G1333" s="71" t="str">
        <f>MID(F1333,1,2)</f>
        <v>CN</v>
      </c>
      <c r="H1333" s="43" t="s">
        <v>2501</v>
      </c>
      <c r="I1333" s="71" t="s">
        <v>2511</v>
      </c>
      <c r="J1333" s="71" t="s">
        <v>755</v>
      </c>
      <c r="K1333" s="43"/>
      <c r="L1333" s="71" t="s">
        <v>105</v>
      </c>
      <c r="M1333" s="73">
        <v>70</v>
      </c>
      <c r="N1333" s="71" t="s">
        <v>388</v>
      </c>
      <c r="O1333" s="73">
        <v>0.8</v>
      </c>
      <c r="P1333" s="71" t="s">
        <v>389</v>
      </c>
      <c r="Q1333" s="73">
        <v>133.5</v>
      </c>
      <c r="R1333" s="71" t="s">
        <v>388</v>
      </c>
      <c r="S1333" s="73">
        <v>0</v>
      </c>
      <c r="T1333" s="71" t="s">
        <v>390</v>
      </c>
      <c r="U1333" s="74">
        <v>1</v>
      </c>
      <c r="V1333" s="71" t="s">
        <v>391</v>
      </c>
      <c r="W1333" s="130">
        <v>46065.630648148152</v>
      </c>
      <c r="X1333" s="72">
        <v>46067.690972222219</v>
      </c>
      <c r="Y1333" s="72">
        <v>46069.305555555555</v>
      </c>
      <c r="Z1333" s="104" t="s">
        <v>382</v>
      </c>
      <c r="AA1333" s="104" t="s">
        <v>383</v>
      </c>
      <c r="AB1333" s="105">
        <v>46067.7</v>
      </c>
      <c r="AC1333" s="105">
        <v>46067.85</v>
      </c>
    </row>
    <row r="1334" s="70" customFormat="1" ht="11.25" customHeight="1">
      <c r="A1334" s="87"/>
      <c r="C1334" s="43" t="s">
        <v>2510</v>
      </c>
      <c r="D1334" s="71" t="s">
        <v>382</v>
      </c>
      <c r="E1334" s="71" t="str">
        <f>MID(D1334,1,2)</f>
        <v>IL</v>
      </c>
      <c r="F1334" s="71" t="s">
        <v>774</v>
      </c>
      <c r="G1334" s="71" t="str">
        <f>MID(F1334,1,2)</f>
        <v>CN</v>
      </c>
      <c r="H1334" s="43" t="s">
        <v>2501</v>
      </c>
      <c r="I1334" s="71" t="s">
        <v>2511</v>
      </c>
      <c r="J1334" s="71" t="s">
        <v>755</v>
      </c>
      <c r="K1334" s="43"/>
      <c r="L1334" s="71" t="s">
        <v>105</v>
      </c>
      <c r="M1334" s="73">
        <v>70</v>
      </c>
      <c r="N1334" s="71" t="s">
        <v>388</v>
      </c>
      <c r="O1334" s="73">
        <v>0.8</v>
      </c>
      <c r="P1334" s="71" t="s">
        <v>389</v>
      </c>
      <c r="Q1334" s="73">
        <v>133.5</v>
      </c>
      <c r="R1334" s="71" t="s">
        <v>388</v>
      </c>
      <c r="S1334" s="73">
        <v>0</v>
      </c>
      <c r="T1334" s="71" t="s">
        <v>390</v>
      </c>
      <c r="U1334" s="74">
        <v>1</v>
      </c>
      <c r="V1334" s="71" t="s">
        <v>391</v>
      </c>
      <c r="W1334" s="130">
        <v>46065.630648148152</v>
      </c>
      <c r="X1334" s="72">
        <v>46067.690972222219</v>
      </c>
      <c r="Y1334" s="72">
        <v>46069.305555555555</v>
      </c>
      <c r="Z1334" s="104" t="s">
        <v>383</v>
      </c>
      <c r="AA1334" s="104" t="s">
        <v>774</v>
      </c>
      <c r="AB1334" s="105">
        <v>46068.913194444445</v>
      </c>
      <c r="AC1334" s="105">
        <v>46069.71597222222</v>
      </c>
    </row>
    <row r="1335" s="70" customFormat="1" ht="11.25" customHeight="1">
      <c r="A1335" s="87"/>
      <c r="C1335" s="43" t="s">
        <v>2512</v>
      </c>
      <c r="D1335" s="71" t="s">
        <v>382</v>
      </c>
      <c r="E1335" s="71" t="str">
        <f>MID(D1335,1,2)</f>
        <v>IL</v>
      </c>
      <c r="F1335" s="71" t="s">
        <v>546</v>
      </c>
      <c r="G1335" s="71" t="str">
        <f>MID(F1335,1,2)</f>
        <v>GB</v>
      </c>
      <c r="H1335" s="43" t="s">
        <v>2513</v>
      </c>
      <c r="I1335" s="71"/>
      <c r="J1335" s="71" t="s">
        <v>426</v>
      </c>
      <c r="K1335" s="43"/>
      <c r="L1335" s="71" t="s">
        <v>105</v>
      </c>
      <c r="M1335" s="73">
        <v>20</v>
      </c>
      <c r="N1335" s="71" t="s">
        <v>388</v>
      </c>
      <c r="O1335" s="73">
        <v>0.107</v>
      </c>
      <c r="P1335" s="71" t="s">
        <v>389</v>
      </c>
      <c r="Q1335" s="73">
        <v>100</v>
      </c>
      <c r="R1335" s="71" t="s">
        <v>388</v>
      </c>
      <c r="S1335" s="73">
        <v>0</v>
      </c>
      <c r="T1335" s="71" t="s">
        <v>390</v>
      </c>
      <c r="U1335" s="74">
        <v>1</v>
      </c>
      <c r="V1335" s="71" t="s">
        <v>391</v>
      </c>
      <c r="W1335" s="130">
        <v>46065.583333333336</v>
      </c>
      <c r="X1335" s="72">
        <v>46068.381944444445</v>
      </c>
      <c r="Y1335" s="72">
        <v>46068.524305555555</v>
      </c>
      <c r="Z1335" s="104" t="s">
        <v>382</v>
      </c>
      <c r="AA1335" s="104" t="s">
        <v>546</v>
      </c>
      <c r="AB1335" s="105">
        <v>46068.376388888886</v>
      </c>
      <c r="AC1335" s="105">
        <v>46068.507638888892</v>
      </c>
    </row>
    <row r="1336" s="70" customFormat="1" ht="11.25" customHeight="1">
      <c r="A1336" s="87"/>
      <c r="C1336" s="43" t="s">
        <v>2514</v>
      </c>
      <c r="D1336" s="71" t="s">
        <v>382</v>
      </c>
      <c r="E1336" s="71" t="str">
        <f>MID(D1336,1,2)</f>
        <v>IL</v>
      </c>
      <c r="F1336" s="71" t="s">
        <v>465</v>
      </c>
      <c r="G1336" s="71" t="str">
        <f>MID(F1336,1,2)</f>
        <v>AZ</v>
      </c>
      <c r="H1336" s="43" t="s">
        <v>2515</v>
      </c>
      <c r="I1336" s="71" t="s">
        <v>2516</v>
      </c>
      <c r="J1336" s="71" t="s">
        <v>426</v>
      </c>
      <c r="K1336" s="43"/>
      <c r="L1336" s="71" t="s">
        <v>105</v>
      </c>
      <c r="M1336" s="73">
        <v>72</v>
      </c>
      <c r="N1336" s="71" t="s">
        <v>388</v>
      </c>
      <c r="O1336" s="73">
        <v>0.703</v>
      </c>
      <c r="P1336" s="71" t="s">
        <v>389</v>
      </c>
      <c r="Q1336" s="73">
        <v>117.5</v>
      </c>
      <c r="R1336" s="71" t="s">
        <v>388</v>
      </c>
      <c r="S1336" s="73">
        <v>0</v>
      </c>
      <c r="T1336" s="71" t="s">
        <v>390</v>
      </c>
      <c r="U1336" s="74">
        <v>1</v>
      </c>
      <c r="V1336" s="71" t="s">
        <v>391</v>
      </c>
      <c r="W1336" s="130"/>
      <c r="X1336" s="72">
        <v>46066.916666666664</v>
      </c>
      <c r="Y1336" s="72">
        <v>46066.097222222219</v>
      </c>
      <c r="Z1336" s="104" t="s">
        <v>382</v>
      </c>
      <c r="AA1336" s="104" t="s">
        <v>465</v>
      </c>
      <c r="AB1336" s="105">
        <v>46068.447916666664</v>
      </c>
      <c r="AC1336" s="105">
        <v>46068.631944444445</v>
      </c>
    </row>
    <row r="1337" s="70" customFormat="1" ht="11.25" customHeight="1">
      <c r="A1337" s="87"/>
      <c r="C1337" s="43" t="s">
        <v>2517</v>
      </c>
      <c r="D1337" s="71" t="s">
        <v>382</v>
      </c>
      <c r="E1337" s="71" t="str">
        <f>MID(D1337,1,2)</f>
        <v>IL</v>
      </c>
      <c r="F1337" s="71" t="s">
        <v>774</v>
      </c>
      <c r="G1337" s="71" t="str">
        <f>MID(F1337,1,2)</f>
        <v>CN</v>
      </c>
      <c r="H1337" s="43" t="s">
        <v>2518</v>
      </c>
      <c r="I1337" s="71" t="s">
        <v>2519</v>
      </c>
      <c r="J1337" s="71" t="s">
        <v>755</v>
      </c>
      <c r="K1337" s="43"/>
      <c r="L1337" s="71" t="s">
        <v>105</v>
      </c>
      <c r="M1337" s="73">
        <v>21</v>
      </c>
      <c r="N1337" s="71" t="s">
        <v>388</v>
      </c>
      <c r="O1337" s="73">
        <v>0.451</v>
      </c>
      <c r="P1337" s="71" t="s">
        <v>389</v>
      </c>
      <c r="Q1337" s="73">
        <v>75.5</v>
      </c>
      <c r="R1337" s="71" t="s">
        <v>388</v>
      </c>
      <c r="S1337" s="73">
        <v>0</v>
      </c>
      <c r="T1337" s="71" t="s">
        <v>390</v>
      </c>
      <c r="U1337" s="74">
        <v>1</v>
      </c>
      <c r="V1337" s="71" t="s">
        <v>391</v>
      </c>
      <c r="W1337" s="130">
        <v>46065.627152777779</v>
      </c>
      <c r="X1337" s="72">
        <v>46067.690972222219</v>
      </c>
      <c r="Y1337" s="72">
        <v>46069.701388888891</v>
      </c>
      <c r="Z1337" s="104" t="s">
        <v>382</v>
      </c>
      <c r="AA1337" s="104" t="s">
        <v>667</v>
      </c>
      <c r="AB1337" s="105">
        <v>46067.714583333334</v>
      </c>
      <c r="AC1337" s="105">
        <v>46067.844444444447</v>
      </c>
    </row>
    <row r="1338" s="70" customFormat="1" ht="11.25" customHeight="1">
      <c r="A1338" s="87"/>
      <c r="C1338" s="43" t="s">
        <v>2517</v>
      </c>
      <c r="D1338" s="71" t="s">
        <v>382</v>
      </c>
      <c r="E1338" s="71" t="str">
        <f>MID(D1338,1,2)</f>
        <v>IL</v>
      </c>
      <c r="F1338" s="71" t="s">
        <v>774</v>
      </c>
      <c r="G1338" s="71" t="str">
        <f>MID(F1338,1,2)</f>
        <v>CN</v>
      </c>
      <c r="H1338" s="43" t="s">
        <v>2518</v>
      </c>
      <c r="I1338" s="71" t="s">
        <v>2519</v>
      </c>
      <c r="J1338" s="71" t="s">
        <v>755</v>
      </c>
      <c r="K1338" s="43"/>
      <c r="L1338" s="71" t="s">
        <v>105</v>
      </c>
      <c r="M1338" s="73">
        <v>21</v>
      </c>
      <c r="N1338" s="71" t="s">
        <v>388</v>
      </c>
      <c r="O1338" s="73">
        <v>0.451</v>
      </c>
      <c r="P1338" s="71" t="s">
        <v>389</v>
      </c>
      <c r="Q1338" s="73">
        <v>75.5</v>
      </c>
      <c r="R1338" s="71" t="s">
        <v>388</v>
      </c>
      <c r="S1338" s="73">
        <v>0</v>
      </c>
      <c r="T1338" s="71" t="s">
        <v>390</v>
      </c>
      <c r="U1338" s="74">
        <v>1</v>
      </c>
      <c r="V1338" s="71" t="s">
        <v>391</v>
      </c>
      <c r="W1338" s="130">
        <v>46065.627152777779</v>
      </c>
      <c r="X1338" s="72">
        <v>46067.690972222219</v>
      </c>
      <c r="Y1338" s="72">
        <v>46069.701388888891</v>
      </c>
      <c r="Z1338" s="104" t="s">
        <v>667</v>
      </c>
      <c r="AA1338" s="104" t="s">
        <v>774</v>
      </c>
      <c r="AB1338" s="105">
        <v>46068.941666666666</v>
      </c>
      <c r="AC1338" s="105">
        <v>46069.700694444444</v>
      </c>
    </row>
    <row r="1339" s="70" customFormat="1" ht="11.25" customHeight="1">
      <c r="A1339" s="87"/>
      <c r="C1339" s="43" t="s">
        <v>2520</v>
      </c>
      <c r="D1339" s="71" t="s">
        <v>382</v>
      </c>
      <c r="E1339" s="71" t="str">
        <f>MID(D1339,1,2)</f>
        <v>IL</v>
      </c>
      <c r="F1339" s="71" t="s">
        <v>476</v>
      </c>
      <c r="G1339" s="71" t="str">
        <f>MID(F1339,1,2)</f>
        <v>SG</v>
      </c>
      <c r="H1339" s="43" t="s">
        <v>2436</v>
      </c>
      <c r="I1339" s="71" t="s">
        <v>2521</v>
      </c>
      <c r="J1339" s="71" t="s">
        <v>454</v>
      </c>
      <c r="K1339" s="43"/>
      <c r="L1339" s="71" t="s">
        <v>107</v>
      </c>
      <c r="M1339" s="73">
        <v>702</v>
      </c>
      <c r="N1339" s="71" t="s">
        <v>388</v>
      </c>
      <c r="O1339" s="73">
        <v>4.359</v>
      </c>
      <c r="P1339" s="71" t="s">
        <v>389</v>
      </c>
      <c r="Q1339" s="73">
        <v>726.5</v>
      </c>
      <c r="R1339" s="71" t="s">
        <v>388</v>
      </c>
      <c r="S1339" s="73">
        <v>0</v>
      </c>
      <c r="T1339" s="71" t="s">
        <v>390</v>
      </c>
      <c r="U1339" s="74">
        <v>4</v>
      </c>
      <c r="V1339" s="71" t="s">
        <v>391</v>
      </c>
      <c r="W1339" s="130">
        <v>46065.63758101852</v>
      </c>
      <c r="X1339" s="72">
        <v>46066.916666666664</v>
      </c>
      <c r="Y1339" s="72">
        <v>46070.510416666664</v>
      </c>
      <c r="Z1339" s="104" t="s">
        <v>382</v>
      </c>
      <c r="AA1339" s="104" t="s">
        <v>465</v>
      </c>
      <c r="AB1339" s="105">
        <v>46068.447916666664</v>
      </c>
      <c r="AC1339" s="105">
        <v>46068.631944444445</v>
      </c>
    </row>
    <row r="1340" s="70" customFormat="1" ht="11.25" customHeight="1">
      <c r="A1340" s="87"/>
      <c r="C1340" s="43" t="s">
        <v>2520</v>
      </c>
      <c r="D1340" s="71" t="s">
        <v>382</v>
      </c>
      <c r="E1340" s="71" t="str">
        <f>MID(D1340,1,2)</f>
        <v>IL</v>
      </c>
      <c r="F1340" s="71" t="s">
        <v>476</v>
      </c>
      <c r="G1340" s="71" t="str">
        <f>MID(F1340,1,2)</f>
        <v>SG</v>
      </c>
      <c r="H1340" s="43" t="s">
        <v>2436</v>
      </c>
      <c r="I1340" s="71" t="s">
        <v>2521</v>
      </c>
      <c r="J1340" s="71" t="s">
        <v>454</v>
      </c>
      <c r="K1340" s="43"/>
      <c r="L1340" s="71" t="s">
        <v>107</v>
      </c>
      <c r="M1340" s="73">
        <v>702</v>
      </c>
      <c r="N1340" s="71" t="s">
        <v>388</v>
      </c>
      <c r="O1340" s="73">
        <v>4.359</v>
      </c>
      <c r="P1340" s="71" t="s">
        <v>389</v>
      </c>
      <c r="Q1340" s="73">
        <v>726.5</v>
      </c>
      <c r="R1340" s="71" t="s">
        <v>388</v>
      </c>
      <c r="S1340" s="73">
        <v>0</v>
      </c>
      <c r="T1340" s="71" t="s">
        <v>390</v>
      </c>
      <c r="U1340" s="74">
        <v>4</v>
      </c>
      <c r="V1340" s="71" t="s">
        <v>391</v>
      </c>
      <c r="W1340" s="130">
        <v>46065.63758101852</v>
      </c>
      <c r="X1340" s="72">
        <v>46066.916666666664</v>
      </c>
      <c r="Y1340" s="72">
        <v>46070.510416666664</v>
      </c>
      <c r="Z1340" s="104" t="s">
        <v>465</v>
      </c>
      <c r="AA1340" s="104" t="s">
        <v>476</v>
      </c>
      <c r="AB1340" s="105">
        <v>46069.9625</v>
      </c>
      <c r="AC1340" s="105">
        <v>46070.475694444445</v>
      </c>
    </row>
    <row r="1341" s="70" customFormat="1" ht="11.25" customHeight="1">
      <c r="A1341" s="87"/>
      <c r="C1341" s="43" t="s">
        <v>2522</v>
      </c>
      <c r="D1341" s="71" t="s">
        <v>382</v>
      </c>
      <c r="E1341" s="71" t="str">
        <f>MID(D1341,1,2)</f>
        <v>IL</v>
      </c>
      <c r="F1341" s="71" t="s">
        <v>496</v>
      </c>
      <c r="G1341" s="71" t="str">
        <f>MID(F1341,1,2)</f>
        <v>RO</v>
      </c>
      <c r="H1341" s="43" t="s">
        <v>2523</v>
      </c>
      <c r="I1341" s="71" t="s">
        <v>2524</v>
      </c>
      <c r="J1341" s="71" t="s">
        <v>400</v>
      </c>
      <c r="K1341" s="43"/>
      <c r="L1341" s="71" t="s">
        <v>105</v>
      </c>
      <c r="M1341" s="73">
        <v>194</v>
      </c>
      <c r="N1341" s="71" t="s">
        <v>388</v>
      </c>
      <c r="O1341" s="73">
        <v>1.693</v>
      </c>
      <c r="P1341" s="71" t="s">
        <v>389</v>
      </c>
      <c r="Q1341" s="73">
        <v>282.5</v>
      </c>
      <c r="R1341" s="71" t="s">
        <v>388</v>
      </c>
      <c r="S1341" s="73">
        <v>0</v>
      </c>
      <c r="T1341" s="71" t="s">
        <v>390</v>
      </c>
      <c r="U1341" s="74">
        <v>2</v>
      </c>
      <c r="V1341" s="71" t="s">
        <v>391</v>
      </c>
      <c r="W1341" s="130"/>
      <c r="X1341" s="72">
        <v>46066.572916666664</v>
      </c>
      <c r="Y1341" s="72">
        <v>46072.395833333336</v>
      </c>
      <c r="Z1341" s="104" t="s">
        <v>382</v>
      </c>
      <c r="AA1341" s="104" t="s">
        <v>383</v>
      </c>
      <c r="AB1341" s="105">
        <v>46066.5625</v>
      </c>
      <c r="AC1341" s="105">
        <v>46066.709722222222</v>
      </c>
    </row>
    <row r="1342" s="70" customFormat="1" ht="11.25" customHeight="1">
      <c r="A1342" s="87"/>
      <c r="C1342" s="43" t="s">
        <v>2522</v>
      </c>
      <c r="D1342" s="71" t="s">
        <v>382</v>
      </c>
      <c r="E1342" s="71" t="str">
        <f>MID(D1342,1,2)</f>
        <v>IL</v>
      </c>
      <c r="F1342" s="71" t="s">
        <v>496</v>
      </c>
      <c r="G1342" s="71" t="str">
        <f>MID(F1342,1,2)</f>
        <v>RO</v>
      </c>
      <c r="H1342" s="43" t="s">
        <v>2523</v>
      </c>
      <c r="I1342" s="71" t="s">
        <v>2524</v>
      </c>
      <c r="J1342" s="71" t="s">
        <v>400</v>
      </c>
      <c r="K1342" s="43"/>
      <c r="L1342" s="71" t="s">
        <v>105</v>
      </c>
      <c r="M1342" s="73">
        <v>194</v>
      </c>
      <c r="N1342" s="71" t="s">
        <v>388</v>
      </c>
      <c r="O1342" s="73">
        <v>1.693</v>
      </c>
      <c r="P1342" s="71" t="s">
        <v>389</v>
      </c>
      <c r="Q1342" s="73">
        <v>282.5</v>
      </c>
      <c r="R1342" s="71" t="s">
        <v>388</v>
      </c>
      <c r="S1342" s="73">
        <v>0</v>
      </c>
      <c r="T1342" s="71" t="s">
        <v>390</v>
      </c>
      <c r="U1342" s="74">
        <v>2</v>
      </c>
      <c r="V1342" s="71" t="s">
        <v>391</v>
      </c>
      <c r="W1342" s="130"/>
      <c r="X1342" s="72">
        <v>46066.572916666664</v>
      </c>
      <c r="Y1342" s="72">
        <v>46072.395833333336</v>
      </c>
      <c r="Z1342" s="104" t="s">
        <v>383</v>
      </c>
      <c r="AA1342" s="104" t="s">
        <v>496</v>
      </c>
      <c r="AB1342" s="105">
        <v>46067.51666666667</v>
      </c>
      <c r="AC1342" s="105">
        <v>46069.53402777778</v>
      </c>
    </row>
    <row r="1343" s="70" customFormat="1" ht="11.25" customHeight="1">
      <c r="A1343" s="87"/>
      <c r="C1343" s="43" t="s">
        <v>2525</v>
      </c>
      <c r="D1343" s="71" t="s">
        <v>382</v>
      </c>
      <c r="E1343" s="71" t="str">
        <f>MID(D1343,1,2)</f>
        <v>IL</v>
      </c>
      <c r="F1343" s="71" t="s">
        <v>468</v>
      </c>
      <c r="G1343" s="71" t="str">
        <f>MID(F1343,1,2)</f>
        <v>US</v>
      </c>
      <c r="H1343" s="43" t="s">
        <v>1631</v>
      </c>
      <c r="I1343" s="71" t="s">
        <v>2526</v>
      </c>
      <c r="J1343" s="71" t="s">
        <v>386</v>
      </c>
      <c r="K1343" s="43"/>
      <c r="L1343" s="71" t="s">
        <v>107</v>
      </c>
      <c r="M1343" s="73">
        <v>12</v>
      </c>
      <c r="N1343" s="71" t="s">
        <v>388</v>
      </c>
      <c r="O1343" s="73">
        <v>0.056</v>
      </c>
      <c r="P1343" s="71" t="s">
        <v>389</v>
      </c>
      <c r="Q1343" s="73">
        <v>12</v>
      </c>
      <c r="R1343" s="71" t="s">
        <v>388</v>
      </c>
      <c r="S1343" s="73">
        <v>0</v>
      </c>
      <c r="T1343" s="71" t="s">
        <v>390</v>
      </c>
      <c r="U1343" s="74">
        <v>1</v>
      </c>
      <c r="V1343" s="71" t="s">
        <v>446</v>
      </c>
      <c r="W1343" s="130">
        <v>46065.631944444445</v>
      </c>
      <c r="X1343" s="72">
        <v>46066.965277777781</v>
      </c>
      <c r="Y1343" s="72">
        <v>46067.416666666664</v>
      </c>
      <c r="Z1343" s="104" t="s">
        <v>382</v>
      </c>
      <c r="AA1343" s="104" t="s">
        <v>422</v>
      </c>
      <c r="AB1343" s="105">
        <v>46066.967361111114</v>
      </c>
      <c r="AC1343" s="105">
        <v>46067.170138888891</v>
      </c>
    </row>
    <row r="1344" s="70" customFormat="1" ht="11.25" customHeight="1">
      <c r="A1344" s="87"/>
      <c r="C1344" s="43" t="s">
        <v>2525</v>
      </c>
      <c r="D1344" s="71" t="s">
        <v>382</v>
      </c>
      <c r="E1344" s="71" t="str">
        <f>MID(D1344,1,2)</f>
        <v>IL</v>
      </c>
      <c r="F1344" s="71" t="s">
        <v>468</v>
      </c>
      <c r="G1344" s="71" t="str">
        <f>MID(F1344,1,2)</f>
        <v>US</v>
      </c>
      <c r="H1344" s="43" t="s">
        <v>1631</v>
      </c>
      <c r="I1344" s="71" t="s">
        <v>2526</v>
      </c>
      <c r="J1344" s="71" t="s">
        <v>386</v>
      </c>
      <c r="K1344" s="43"/>
      <c r="L1344" s="71" t="s">
        <v>107</v>
      </c>
      <c r="M1344" s="73">
        <v>12</v>
      </c>
      <c r="N1344" s="71" t="s">
        <v>388</v>
      </c>
      <c r="O1344" s="73">
        <v>0.056</v>
      </c>
      <c r="P1344" s="71" t="s">
        <v>389</v>
      </c>
      <c r="Q1344" s="73">
        <v>12</v>
      </c>
      <c r="R1344" s="71" t="s">
        <v>388</v>
      </c>
      <c r="S1344" s="73">
        <v>0</v>
      </c>
      <c r="T1344" s="71" t="s">
        <v>390</v>
      </c>
      <c r="U1344" s="74">
        <v>1</v>
      </c>
      <c r="V1344" s="71" t="s">
        <v>446</v>
      </c>
      <c r="W1344" s="130">
        <v>46065.631944444445</v>
      </c>
      <c r="X1344" s="72">
        <v>46066.965277777781</v>
      </c>
      <c r="Y1344" s="72">
        <v>46067.416666666664</v>
      </c>
      <c r="Z1344" s="104" t="s">
        <v>422</v>
      </c>
      <c r="AA1344" s="104" t="s">
        <v>468</v>
      </c>
      <c r="AB1344" s="105">
        <v>46069.363888888889</v>
      </c>
      <c r="AC1344" s="105">
        <v>46071.509027777778</v>
      </c>
    </row>
    <row r="1345" s="70" customFormat="1" ht="11.25" customHeight="1">
      <c r="A1345" s="87"/>
      <c r="C1345" s="43" t="s">
        <v>2527</v>
      </c>
      <c r="D1345" s="71" t="s">
        <v>382</v>
      </c>
      <c r="E1345" s="71" t="str">
        <f>MID(D1345,1,2)</f>
        <v>IL</v>
      </c>
      <c r="F1345" s="71" t="s">
        <v>468</v>
      </c>
      <c r="G1345" s="71" t="str">
        <f>MID(F1345,1,2)</f>
        <v>US</v>
      </c>
      <c r="H1345" s="43" t="s">
        <v>1631</v>
      </c>
      <c r="I1345" s="71" t="s">
        <v>2528</v>
      </c>
      <c r="J1345" s="71" t="s">
        <v>386</v>
      </c>
      <c r="K1345" s="43"/>
      <c r="L1345" s="71" t="s">
        <v>107</v>
      </c>
      <c r="M1345" s="73">
        <v>7</v>
      </c>
      <c r="N1345" s="71" t="s">
        <v>388</v>
      </c>
      <c r="O1345" s="73">
        <v>0.15</v>
      </c>
      <c r="P1345" s="71" t="s">
        <v>389</v>
      </c>
      <c r="Q1345" s="73">
        <v>25</v>
      </c>
      <c r="R1345" s="71" t="s">
        <v>388</v>
      </c>
      <c r="S1345" s="73">
        <v>0</v>
      </c>
      <c r="T1345" s="71" t="s">
        <v>390</v>
      </c>
      <c r="U1345" s="74">
        <v>1</v>
      </c>
      <c r="V1345" s="71" t="s">
        <v>446</v>
      </c>
      <c r="W1345" s="130">
        <v>46065.646527777775</v>
      </c>
      <c r="X1345" s="72">
        <v>46066.965277777781</v>
      </c>
      <c r="Y1345" s="72">
        <v>46071.416666666664</v>
      </c>
      <c r="Z1345" s="104" t="s">
        <v>382</v>
      </c>
      <c r="AA1345" s="104" t="s">
        <v>422</v>
      </c>
      <c r="AB1345" s="105">
        <v>46066.967361111114</v>
      </c>
      <c r="AC1345" s="105">
        <v>46067.170138888891</v>
      </c>
    </row>
    <row r="1346" s="70" customFormat="1" ht="11.25" customHeight="1">
      <c r="A1346" s="87"/>
      <c r="C1346" s="43" t="s">
        <v>2527</v>
      </c>
      <c r="D1346" s="71" t="s">
        <v>382</v>
      </c>
      <c r="E1346" s="71" t="str">
        <f>MID(D1346,1,2)</f>
        <v>IL</v>
      </c>
      <c r="F1346" s="71" t="s">
        <v>468</v>
      </c>
      <c r="G1346" s="71" t="str">
        <f>MID(F1346,1,2)</f>
        <v>US</v>
      </c>
      <c r="H1346" s="43" t="s">
        <v>1631</v>
      </c>
      <c r="I1346" s="71" t="s">
        <v>2528</v>
      </c>
      <c r="J1346" s="71" t="s">
        <v>386</v>
      </c>
      <c r="K1346" s="43"/>
      <c r="L1346" s="71" t="s">
        <v>107</v>
      </c>
      <c r="M1346" s="73">
        <v>7</v>
      </c>
      <c r="N1346" s="71" t="s">
        <v>388</v>
      </c>
      <c r="O1346" s="73">
        <v>0.15</v>
      </c>
      <c r="P1346" s="71" t="s">
        <v>389</v>
      </c>
      <c r="Q1346" s="73">
        <v>25</v>
      </c>
      <c r="R1346" s="71" t="s">
        <v>388</v>
      </c>
      <c r="S1346" s="73">
        <v>0</v>
      </c>
      <c r="T1346" s="71" t="s">
        <v>390</v>
      </c>
      <c r="U1346" s="74">
        <v>1</v>
      </c>
      <c r="V1346" s="71" t="s">
        <v>446</v>
      </c>
      <c r="W1346" s="130">
        <v>46065.646527777775</v>
      </c>
      <c r="X1346" s="72">
        <v>46066.965277777781</v>
      </c>
      <c r="Y1346" s="72">
        <v>46071.416666666664</v>
      </c>
      <c r="Z1346" s="104" t="s">
        <v>422</v>
      </c>
      <c r="AA1346" s="104" t="s">
        <v>468</v>
      </c>
      <c r="AB1346" s="105">
        <v>46069.363888888889</v>
      </c>
      <c r="AC1346" s="105">
        <v>46071.509027777778</v>
      </c>
    </row>
    <row r="1347" s="70" customFormat="1" ht="11.25" customHeight="1">
      <c r="A1347" s="87"/>
      <c r="C1347" s="43" t="s">
        <v>2529</v>
      </c>
      <c r="D1347" s="71" t="s">
        <v>382</v>
      </c>
      <c r="E1347" s="71" t="str">
        <f>MID(D1347,1,2)</f>
        <v>IL</v>
      </c>
      <c r="F1347" s="71" t="s">
        <v>422</v>
      </c>
      <c r="G1347" s="71" t="str">
        <f>MID(F1347,1,2)</f>
        <v>US</v>
      </c>
      <c r="H1347" s="43" t="s">
        <v>1920</v>
      </c>
      <c r="I1347" s="71" t="s">
        <v>2530</v>
      </c>
      <c r="J1347" s="71" t="s">
        <v>386</v>
      </c>
      <c r="K1347" s="43" t="s">
        <v>431</v>
      </c>
      <c r="L1347" s="71" t="s">
        <v>107</v>
      </c>
      <c r="M1347" s="73">
        <v>3</v>
      </c>
      <c r="N1347" s="71" t="s">
        <v>388</v>
      </c>
      <c r="O1347" s="73">
        <v>0.036</v>
      </c>
      <c r="P1347" s="71" t="s">
        <v>389</v>
      </c>
      <c r="Q1347" s="73">
        <v>6</v>
      </c>
      <c r="R1347" s="71" t="s">
        <v>388</v>
      </c>
      <c r="S1347" s="73">
        <v>0</v>
      </c>
      <c r="T1347" s="71" t="s">
        <v>390</v>
      </c>
      <c r="U1347" s="74">
        <v>1</v>
      </c>
      <c r="V1347" s="71" t="s">
        <v>427</v>
      </c>
      <c r="W1347" s="130">
        <v>46065.604166666664</v>
      </c>
      <c r="X1347" s="72">
        <v>46067.479166666664</v>
      </c>
      <c r="Y1347" s="72">
        <v>46068.67291666667</v>
      </c>
      <c r="Z1347" s="104" t="s">
        <v>382</v>
      </c>
      <c r="AA1347" s="104" t="s">
        <v>422</v>
      </c>
      <c r="AB1347" s="105">
        <v>46067.470138888886</v>
      </c>
      <c r="AC1347" s="105">
        <v>46067.691666666666</v>
      </c>
    </row>
    <row r="1348" s="70" customFormat="1" ht="11.25" customHeight="1">
      <c r="A1348" s="87"/>
      <c r="C1348" s="43" t="s">
        <v>2531</v>
      </c>
      <c r="D1348" s="71" t="s">
        <v>382</v>
      </c>
      <c r="E1348" s="71" t="str">
        <f>MID(D1348,1,2)</f>
        <v>IL</v>
      </c>
      <c r="F1348" s="71" t="s">
        <v>809</v>
      </c>
      <c r="G1348" s="71" t="str">
        <f>MID(F1348,1,2)</f>
        <v>IN</v>
      </c>
      <c r="H1348" s="43" t="s">
        <v>2532</v>
      </c>
      <c r="I1348" s="71"/>
      <c r="J1348" s="71" t="s">
        <v>435</v>
      </c>
      <c r="K1348" s="43"/>
      <c r="L1348" s="71" t="s">
        <v>105</v>
      </c>
      <c r="M1348" s="73">
        <v>1581</v>
      </c>
      <c r="N1348" s="71" t="s">
        <v>388</v>
      </c>
      <c r="O1348" s="73">
        <v>7.391</v>
      </c>
      <c r="P1348" s="71" t="s">
        <v>389</v>
      </c>
      <c r="Q1348" s="73">
        <v>1581</v>
      </c>
      <c r="R1348" s="71" t="s">
        <v>388</v>
      </c>
      <c r="S1348" s="73">
        <v>0</v>
      </c>
      <c r="T1348" s="71" t="s">
        <v>390</v>
      </c>
      <c r="U1348" s="74">
        <v>6</v>
      </c>
      <c r="V1348" s="71" t="s">
        <v>391</v>
      </c>
      <c r="W1348" s="130">
        <v>46069.935416666667</v>
      </c>
      <c r="X1348" s="72">
        <v>46071.701388888891</v>
      </c>
      <c r="Y1348" s="72">
        <v>46072.694444444445</v>
      </c>
      <c r="Z1348" s="104" t="s">
        <v>382</v>
      </c>
      <c r="AA1348" s="104" t="s">
        <v>565</v>
      </c>
      <c r="AB1348" s="105">
        <v>46071.716666666667</v>
      </c>
      <c r="AC1348" s="105"/>
    </row>
    <row r="1349" s="70" customFormat="1" ht="11.25" customHeight="1">
      <c r="A1349" s="87"/>
      <c r="C1349" s="43" t="s">
        <v>2531</v>
      </c>
      <c r="D1349" s="71" t="s">
        <v>382</v>
      </c>
      <c r="E1349" s="71" t="str">
        <f>MID(D1349,1,2)</f>
        <v>IL</v>
      </c>
      <c r="F1349" s="71" t="s">
        <v>809</v>
      </c>
      <c r="G1349" s="71" t="str">
        <f>MID(F1349,1,2)</f>
        <v>IN</v>
      </c>
      <c r="H1349" s="43" t="s">
        <v>2532</v>
      </c>
      <c r="I1349" s="71"/>
      <c r="J1349" s="71" t="s">
        <v>435</v>
      </c>
      <c r="K1349" s="43"/>
      <c r="L1349" s="71" t="s">
        <v>105</v>
      </c>
      <c r="M1349" s="73">
        <v>1581</v>
      </c>
      <c r="N1349" s="71" t="s">
        <v>388</v>
      </c>
      <c r="O1349" s="73">
        <v>7.391</v>
      </c>
      <c r="P1349" s="71" t="s">
        <v>389</v>
      </c>
      <c r="Q1349" s="73">
        <v>1581</v>
      </c>
      <c r="R1349" s="71" t="s">
        <v>388</v>
      </c>
      <c r="S1349" s="73">
        <v>0</v>
      </c>
      <c r="T1349" s="71" t="s">
        <v>390</v>
      </c>
      <c r="U1349" s="74">
        <v>6</v>
      </c>
      <c r="V1349" s="71" t="s">
        <v>391</v>
      </c>
      <c r="W1349" s="130">
        <v>46069.935416666667</v>
      </c>
      <c r="X1349" s="72">
        <v>46071.701388888891</v>
      </c>
      <c r="Y1349" s="72">
        <v>46072.694444444445</v>
      </c>
      <c r="Z1349" s="104" t="s">
        <v>565</v>
      </c>
      <c r="AA1349" s="104" t="s">
        <v>809</v>
      </c>
      <c r="AB1349" s="105">
        <v>46071.134027777778</v>
      </c>
      <c r="AC1349" s="105">
        <v>46071.175694444442</v>
      </c>
    </row>
    <row r="1350" s="70" customFormat="1" ht="11.25" customHeight="1">
      <c r="A1350" s="87"/>
      <c r="C1350" s="43" t="s">
        <v>2533</v>
      </c>
      <c r="D1350" s="71" t="s">
        <v>382</v>
      </c>
      <c r="E1350" s="71" t="str">
        <f>MID(D1350,1,2)</f>
        <v>IL</v>
      </c>
      <c r="F1350" s="71" t="s">
        <v>468</v>
      </c>
      <c r="G1350" s="71" t="str">
        <f>MID(F1350,1,2)</f>
        <v>US</v>
      </c>
      <c r="H1350" s="43" t="s">
        <v>2534</v>
      </c>
      <c r="I1350" s="71" t="s">
        <v>2535</v>
      </c>
      <c r="J1350" s="71" t="s">
        <v>454</v>
      </c>
      <c r="K1350" s="43"/>
      <c r="L1350" s="71" t="s">
        <v>107</v>
      </c>
      <c r="M1350" s="73">
        <v>11</v>
      </c>
      <c r="N1350" s="71" t="s">
        <v>388</v>
      </c>
      <c r="O1350" s="73">
        <v>0.098</v>
      </c>
      <c r="P1350" s="71" t="s">
        <v>389</v>
      </c>
      <c r="Q1350" s="73">
        <v>16.5</v>
      </c>
      <c r="R1350" s="71" t="s">
        <v>388</v>
      </c>
      <c r="S1350" s="73">
        <v>0</v>
      </c>
      <c r="T1350" s="71" t="s">
        <v>390</v>
      </c>
      <c r="U1350" s="74">
        <v>1</v>
      </c>
      <c r="V1350" s="71" t="s">
        <v>446</v>
      </c>
      <c r="W1350" s="130">
        <v>46068.836944444447</v>
      </c>
      <c r="X1350" s="72">
        <v>46071.965277777781</v>
      </c>
      <c r="Y1350" s="72">
        <v>46073.676388888889</v>
      </c>
      <c r="Z1350" s="104" t="s">
        <v>382</v>
      </c>
      <c r="AA1350" s="104" t="s">
        <v>422</v>
      </c>
      <c r="AB1350" s="105">
        <v>46072.961111111108</v>
      </c>
      <c r="AC1350" s="105">
        <v>46073.151388888888</v>
      </c>
    </row>
    <row r="1351" s="70" customFormat="1" ht="11.25" customHeight="1">
      <c r="A1351" s="87"/>
      <c r="C1351" s="43" t="s">
        <v>2533</v>
      </c>
      <c r="D1351" s="71" t="s">
        <v>382</v>
      </c>
      <c r="E1351" s="71" t="str">
        <f>MID(D1351,1,2)</f>
        <v>IL</v>
      </c>
      <c r="F1351" s="71" t="s">
        <v>468</v>
      </c>
      <c r="G1351" s="71" t="str">
        <f>MID(F1351,1,2)</f>
        <v>US</v>
      </c>
      <c r="H1351" s="43" t="s">
        <v>2534</v>
      </c>
      <c r="I1351" s="71" t="s">
        <v>2535</v>
      </c>
      <c r="J1351" s="71" t="s">
        <v>454</v>
      </c>
      <c r="K1351" s="43"/>
      <c r="L1351" s="71" t="s">
        <v>107</v>
      </c>
      <c r="M1351" s="73">
        <v>11</v>
      </c>
      <c r="N1351" s="71" t="s">
        <v>388</v>
      </c>
      <c r="O1351" s="73">
        <v>0.098</v>
      </c>
      <c r="P1351" s="71" t="s">
        <v>389</v>
      </c>
      <c r="Q1351" s="73">
        <v>16.5</v>
      </c>
      <c r="R1351" s="71" t="s">
        <v>388</v>
      </c>
      <c r="S1351" s="73">
        <v>0</v>
      </c>
      <c r="T1351" s="71" t="s">
        <v>390</v>
      </c>
      <c r="U1351" s="74">
        <v>1</v>
      </c>
      <c r="V1351" s="71" t="s">
        <v>446</v>
      </c>
      <c r="W1351" s="130">
        <v>46068.836944444447</v>
      </c>
      <c r="X1351" s="72">
        <v>46071.965277777781</v>
      </c>
      <c r="Y1351" s="72">
        <v>46073.676388888889</v>
      </c>
      <c r="Z1351" s="104" t="s">
        <v>422</v>
      </c>
      <c r="AA1351" s="104" t="s">
        <v>468</v>
      </c>
      <c r="AB1351" s="105">
        <v>46073.538888888892</v>
      </c>
      <c r="AC1351" s="105">
        <v>46073.668055555558</v>
      </c>
    </row>
    <row r="1352" s="70" customFormat="1" ht="11.25" customHeight="1">
      <c r="A1352" s="87"/>
      <c r="C1352" s="43" t="s">
        <v>2536</v>
      </c>
      <c r="D1352" s="71" t="s">
        <v>382</v>
      </c>
      <c r="E1352" s="71" t="str">
        <f>MID(D1352,1,2)</f>
        <v>IL</v>
      </c>
      <c r="F1352" s="71" t="s">
        <v>526</v>
      </c>
      <c r="G1352" s="71" t="str">
        <f>MID(F1352,1,2)</f>
        <v>US</v>
      </c>
      <c r="H1352" s="43" t="s">
        <v>2537</v>
      </c>
      <c r="I1352" s="71" t="s">
        <v>2538</v>
      </c>
      <c r="J1352" s="71" t="s">
        <v>386</v>
      </c>
      <c r="K1352" s="43"/>
      <c r="L1352" s="71" t="s">
        <v>107</v>
      </c>
      <c r="M1352" s="73">
        <v>245</v>
      </c>
      <c r="N1352" s="71" t="s">
        <v>388</v>
      </c>
      <c r="O1352" s="73">
        <v>2.268</v>
      </c>
      <c r="P1352" s="71" t="s">
        <v>389</v>
      </c>
      <c r="Q1352" s="73">
        <v>378</v>
      </c>
      <c r="R1352" s="71" t="s">
        <v>388</v>
      </c>
      <c r="S1352" s="73">
        <v>15</v>
      </c>
      <c r="T1352" s="71" t="s">
        <v>390</v>
      </c>
      <c r="U1352" s="74">
        <v>3</v>
      </c>
      <c r="V1352" s="71" t="s">
        <v>391</v>
      </c>
      <c r="W1352" s="130">
        <v>46068.361805555556</v>
      </c>
      <c r="X1352" s="72">
        <v>46069.03125</v>
      </c>
      <c r="Y1352" s="72">
        <v>46069.6625</v>
      </c>
      <c r="Z1352" s="104" t="s">
        <v>382</v>
      </c>
      <c r="AA1352" s="104" t="s">
        <v>526</v>
      </c>
      <c r="AB1352" s="105">
        <v>46069.031944444447</v>
      </c>
      <c r="AC1352" s="105">
        <v>46069.25</v>
      </c>
    </row>
    <row r="1353" s="70" customFormat="1" ht="11.25" customHeight="1">
      <c r="A1353" s="87"/>
      <c r="C1353" s="43" t="s">
        <v>2539</v>
      </c>
      <c r="D1353" s="71" t="s">
        <v>382</v>
      </c>
      <c r="E1353" s="71" t="str">
        <f>MID(D1353,1,2)</f>
        <v>IL</v>
      </c>
      <c r="F1353" s="71" t="s">
        <v>526</v>
      </c>
      <c r="G1353" s="71" t="str">
        <f>MID(F1353,1,2)</f>
        <v>US</v>
      </c>
      <c r="H1353" s="43" t="s">
        <v>2540</v>
      </c>
      <c r="I1353" s="71" t="s">
        <v>2541</v>
      </c>
      <c r="J1353" s="71" t="s">
        <v>426</v>
      </c>
      <c r="K1353" s="43"/>
      <c r="L1353" s="71" t="s">
        <v>105</v>
      </c>
      <c r="M1353" s="73">
        <v>5</v>
      </c>
      <c r="N1353" s="71" t="s">
        <v>388</v>
      </c>
      <c r="O1353" s="73">
        <v>0.01</v>
      </c>
      <c r="P1353" s="71" t="s">
        <v>389</v>
      </c>
      <c r="Q1353" s="73">
        <v>100</v>
      </c>
      <c r="R1353" s="71" t="s">
        <v>388</v>
      </c>
      <c r="S1353" s="73">
        <v>0</v>
      </c>
      <c r="T1353" s="71" t="s">
        <v>390</v>
      </c>
      <c r="U1353" s="74">
        <v>1</v>
      </c>
      <c r="V1353" s="71" t="s">
        <v>391</v>
      </c>
      <c r="W1353" s="130">
        <v>46077.590277777781</v>
      </c>
      <c r="X1353" s="72">
        <v>46096.802083333336</v>
      </c>
      <c r="Y1353" s="72">
        <v>46100.394444444442</v>
      </c>
      <c r="Z1353" s="104" t="s">
        <v>382</v>
      </c>
      <c r="AA1353" s="104" t="s">
        <v>408</v>
      </c>
      <c r="AB1353" s="105">
        <v>46096.910416666666</v>
      </c>
      <c r="AC1353" s="105"/>
    </row>
    <row r="1354" s="70" customFormat="1" ht="11.25" customHeight="1">
      <c r="A1354" s="87"/>
      <c r="C1354" s="43" t="s">
        <v>2539</v>
      </c>
      <c r="D1354" s="71" t="s">
        <v>382</v>
      </c>
      <c r="E1354" s="71" t="str">
        <f>MID(D1354,1,2)</f>
        <v>IL</v>
      </c>
      <c r="F1354" s="71" t="s">
        <v>526</v>
      </c>
      <c r="G1354" s="71" t="str">
        <f>MID(F1354,1,2)</f>
        <v>US</v>
      </c>
      <c r="H1354" s="43" t="s">
        <v>2540</v>
      </c>
      <c r="I1354" s="71" t="s">
        <v>2541</v>
      </c>
      <c r="J1354" s="71" t="s">
        <v>426</v>
      </c>
      <c r="K1354" s="43"/>
      <c r="L1354" s="71" t="s">
        <v>105</v>
      </c>
      <c r="M1354" s="73">
        <v>5</v>
      </c>
      <c r="N1354" s="71" t="s">
        <v>388</v>
      </c>
      <c r="O1354" s="73">
        <v>0.01</v>
      </c>
      <c r="P1354" s="71" t="s">
        <v>389</v>
      </c>
      <c r="Q1354" s="73">
        <v>100</v>
      </c>
      <c r="R1354" s="71" t="s">
        <v>388</v>
      </c>
      <c r="S1354" s="73">
        <v>0</v>
      </c>
      <c r="T1354" s="71" t="s">
        <v>390</v>
      </c>
      <c r="U1354" s="74">
        <v>1</v>
      </c>
      <c r="V1354" s="71" t="s">
        <v>391</v>
      </c>
      <c r="W1354" s="130">
        <v>46077.590277777781</v>
      </c>
      <c r="X1354" s="72">
        <v>46096.802083333336</v>
      </c>
      <c r="Y1354" s="72">
        <v>46100.394444444442</v>
      </c>
      <c r="Z1354" s="104" t="s">
        <v>408</v>
      </c>
      <c r="AA1354" s="104" t="s">
        <v>405</v>
      </c>
      <c r="AB1354" s="105">
        <v>46098.541666666664</v>
      </c>
      <c r="AC1354" s="105">
        <v>46098.732638888891</v>
      </c>
    </row>
    <row r="1355" s="70" customFormat="1" ht="11.25" customHeight="1">
      <c r="A1355" s="87"/>
      <c r="C1355" s="43" t="s">
        <v>2539</v>
      </c>
      <c r="D1355" s="71" t="s">
        <v>382</v>
      </c>
      <c r="E1355" s="71" t="str">
        <f>MID(D1355,1,2)</f>
        <v>IL</v>
      </c>
      <c r="F1355" s="71" t="s">
        <v>526</v>
      </c>
      <c r="G1355" s="71" t="str">
        <f>MID(F1355,1,2)</f>
        <v>US</v>
      </c>
      <c r="H1355" s="43" t="s">
        <v>2540</v>
      </c>
      <c r="I1355" s="71" t="s">
        <v>2541</v>
      </c>
      <c r="J1355" s="71" t="s">
        <v>426</v>
      </c>
      <c r="K1355" s="43"/>
      <c r="L1355" s="71" t="s">
        <v>105</v>
      </c>
      <c r="M1355" s="73">
        <v>5</v>
      </c>
      <c r="N1355" s="71" t="s">
        <v>388</v>
      </c>
      <c r="O1355" s="73">
        <v>0.01</v>
      </c>
      <c r="P1355" s="71" t="s">
        <v>389</v>
      </c>
      <c r="Q1355" s="73">
        <v>100</v>
      </c>
      <c r="R1355" s="71" t="s">
        <v>388</v>
      </c>
      <c r="S1355" s="73">
        <v>0</v>
      </c>
      <c r="T1355" s="71" t="s">
        <v>390</v>
      </c>
      <c r="U1355" s="74">
        <v>1</v>
      </c>
      <c r="V1355" s="71" t="s">
        <v>391</v>
      </c>
      <c r="W1355" s="130">
        <v>46077.590277777781</v>
      </c>
      <c r="X1355" s="72">
        <v>46096.802083333336</v>
      </c>
      <c r="Y1355" s="72">
        <v>46100.394444444442</v>
      </c>
      <c r="Z1355" s="104" t="s">
        <v>405</v>
      </c>
      <c r="AA1355" s="104" t="s">
        <v>526</v>
      </c>
      <c r="AB1355" s="105">
        <v>46099.543055555558</v>
      </c>
      <c r="AC1355" s="105">
        <v>46099.618055555555</v>
      </c>
    </row>
    <row r="1356" s="70" customFormat="1" ht="11.25" customHeight="1">
      <c r="A1356" s="87"/>
      <c r="C1356" s="43" t="s">
        <v>2542</v>
      </c>
      <c r="D1356" s="71" t="s">
        <v>382</v>
      </c>
      <c r="E1356" s="71" t="str">
        <f>MID(D1356,1,2)</f>
        <v>IL</v>
      </c>
      <c r="F1356" s="71" t="s">
        <v>405</v>
      </c>
      <c r="G1356" s="71" t="str">
        <f>MID(F1356,1,2)</f>
        <v>CA</v>
      </c>
      <c r="H1356" s="43" t="s">
        <v>2543</v>
      </c>
      <c r="I1356" s="71" t="s">
        <v>2544</v>
      </c>
      <c r="J1356" s="71" t="s">
        <v>386</v>
      </c>
      <c r="K1356" s="43"/>
      <c r="L1356" s="71" t="s">
        <v>107</v>
      </c>
      <c r="M1356" s="73">
        <v>203</v>
      </c>
      <c r="N1356" s="71" t="s">
        <v>388</v>
      </c>
      <c r="O1356" s="73">
        <v>0.529</v>
      </c>
      <c r="P1356" s="71" t="s">
        <v>389</v>
      </c>
      <c r="Q1356" s="73">
        <v>203</v>
      </c>
      <c r="R1356" s="71" t="s">
        <v>388</v>
      </c>
      <c r="S1356" s="73">
        <v>0</v>
      </c>
      <c r="T1356" s="71" t="s">
        <v>390</v>
      </c>
      <c r="U1356" s="74">
        <v>2</v>
      </c>
      <c r="V1356" s="71" t="s">
        <v>417</v>
      </c>
      <c r="W1356" s="130">
        <v>46068.604861111111</v>
      </c>
      <c r="X1356" s="72">
        <v>46069.416666666664</v>
      </c>
      <c r="Y1356" s="72">
        <v>46069.958333333336</v>
      </c>
      <c r="Z1356" s="104" t="s">
        <v>382</v>
      </c>
      <c r="AA1356" s="104" t="s">
        <v>405</v>
      </c>
      <c r="AB1356" s="105">
        <v>46069.538194444445</v>
      </c>
      <c r="AC1356" s="105">
        <v>46069.72152777778</v>
      </c>
    </row>
    <row r="1357" s="70" customFormat="1" ht="11.25" customHeight="1">
      <c r="A1357" s="87"/>
      <c r="C1357" s="43" t="s">
        <v>2545</v>
      </c>
      <c r="D1357" s="71" t="s">
        <v>382</v>
      </c>
      <c r="E1357" s="71" t="str">
        <f>MID(D1357,1,2)</f>
        <v>IL</v>
      </c>
      <c r="F1357" s="71" t="s">
        <v>2546</v>
      </c>
      <c r="G1357" s="71" t="str">
        <f>MID(F1357,1,2)</f>
        <v>FR</v>
      </c>
      <c r="H1357" s="43" t="s">
        <v>2547</v>
      </c>
      <c r="I1357" s="71" t="s">
        <v>2548</v>
      </c>
      <c r="J1357" s="71" t="s">
        <v>400</v>
      </c>
      <c r="K1357" s="43"/>
      <c r="L1357" s="71" t="s">
        <v>105</v>
      </c>
      <c r="M1357" s="73">
        <v>258</v>
      </c>
      <c r="N1357" s="71" t="s">
        <v>388</v>
      </c>
      <c r="O1357" s="73">
        <v>2.052</v>
      </c>
      <c r="P1357" s="71" t="s">
        <v>389</v>
      </c>
      <c r="Q1357" s="73">
        <v>342</v>
      </c>
      <c r="R1357" s="71" t="s">
        <v>388</v>
      </c>
      <c r="S1357" s="73">
        <v>0</v>
      </c>
      <c r="T1357" s="71" t="s">
        <v>390</v>
      </c>
      <c r="U1357" s="74">
        <v>6</v>
      </c>
      <c r="V1357" s="71" t="s">
        <v>391</v>
      </c>
      <c r="W1357" s="130"/>
      <c r="X1357" s="72">
        <v>46070.663194444445</v>
      </c>
      <c r="Y1357" s="72">
        <v>46076.354166666664</v>
      </c>
      <c r="Z1357" s="104" t="s">
        <v>382</v>
      </c>
      <c r="AA1357" s="104" t="s">
        <v>577</v>
      </c>
      <c r="AB1357" s="105">
        <v>46070.65902777778</v>
      </c>
      <c r="AC1357" s="105">
        <v>46070.8125</v>
      </c>
    </row>
    <row r="1358" s="70" customFormat="1" ht="11.25" customHeight="1">
      <c r="A1358" s="87"/>
      <c r="C1358" s="43" t="s">
        <v>2545</v>
      </c>
      <c r="D1358" s="71" t="s">
        <v>382</v>
      </c>
      <c r="E1358" s="71" t="str">
        <f>MID(D1358,1,2)</f>
        <v>IL</v>
      </c>
      <c r="F1358" s="71" t="s">
        <v>2546</v>
      </c>
      <c r="G1358" s="71" t="str">
        <f>MID(F1358,1,2)</f>
        <v>FR</v>
      </c>
      <c r="H1358" s="43" t="s">
        <v>2547</v>
      </c>
      <c r="I1358" s="71" t="s">
        <v>2548</v>
      </c>
      <c r="J1358" s="71" t="s">
        <v>400</v>
      </c>
      <c r="K1358" s="43"/>
      <c r="L1358" s="71" t="s">
        <v>105</v>
      </c>
      <c r="M1358" s="73">
        <v>258</v>
      </c>
      <c r="N1358" s="71" t="s">
        <v>388</v>
      </c>
      <c r="O1358" s="73">
        <v>2.052</v>
      </c>
      <c r="P1358" s="71" t="s">
        <v>389</v>
      </c>
      <c r="Q1358" s="73">
        <v>342</v>
      </c>
      <c r="R1358" s="71" t="s">
        <v>388</v>
      </c>
      <c r="S1358" s="73">
        <v>0</v>
      </c>
      <c r="T1358" s="71" t="s">
        <v>390</v>
      </c>
      <c r="U1358" s="74">
        <v>6</v>
      </c>
      <c r="V1358" s="71" t="s">
        <v>391</v>
      </c>
      <c r="W1358" s="130"/>
      <c r="X1358" s="72">
        <v>46070.663194444445</v>
      </c>
      <c r="Y1358" s="72">
        <v>46076.354166666664</v>
      </c>
      <c r="Z1358" s="104" t="s">
        <v>577</v>
      </c>
      <c r="AA1358" s="104" t="s">
        <v>2546</v>
      </c>
      <c r="AB1358" s="105">
        <v>46076</v>
      </c>
      <c r="AC1358" s="105">
        <v>46076</v>
      </c>
    </row>
    <row r="1359" s="70" customFormat="1" ht="11.25" customHeight="1">
      <c r="A1359" s="87"/>
      <c r="C1359" s="43" t="s">
        <v>2549</v>
      </c>
      <c r="D1359" s="71" t="s">
        <v>382</v>
      </c>
      <c r="E1359" s="71" t="str">
        <f>MID(D1359,1,2)</f>
        <v>IL</v>
      </c>
      <c r="F1359" s="71" t="s">
        <v>597</v>
      </c>
      <c r="G1359" s="71" t="str">
        <f>MID(F1359,1,2)</f>
        <v>NL</v>
      </c>
      <c r="H1359" s="43" t="s">
        <v>2550</v>
      </c>
      <c r="I1359" s="71" t="s">
        <v>2551</v>
      </c>
      <c r="J1359" s="71" t="s">
        <v>400</v>
      </c>
      <c r="K1359" s="43"/>
      <c r="L1359" s="71" t="s">
        <v>105</v>
      </c>
      <c r="M1359" s="73">
        <v>233</v>
      </c>
      <c r="N1359" s="71" t="s">
        <v>388</v>
      </c>
      <c r="O1359" s="73">
        <v>1.432</v>
      </c>
      <c r="P1359" s="71" t="s">
        <v>389</v>
      </c>
      <c r="Q1359" s="73">
        <v>239</v>
      </c>
      <c r="R1359" s="71" t="s">
        <v>388</v>
      </c>
      <c r="S1359" s="73">
        <v>0</v>
      </c>
      <c r="T1359" s="71" t="s">
        <v>390</v>
      </c>
      <c r="U1359" s="74">
        <v>1</v>
      </c>
      <c r="V1359" s="71" t="s">
        <v>446</v>
      </c>
      <c r="W1359" s="130">
        <v>46068.5625</v>
      </c>
      <c r="X1359" s="72">
        <v>46071.584722222222</v>
      </c>
      <c r="Y1359" s="72">
        <v>46073.375</v>
      </c>
      <c r="Z1359" s="104" t="s">
        <v>382</v>
      </c>
      <c r="AA1359" s="104" t="s">
        <v>590</v>
      </c>
      <c r="AB1359" s="105">
        <v>46071.802083333336</v>
      </c>
      <c r="AC1359" s="105">
        <v>46071.984027777777</v>
      </c>
    </row>
    <row r="1360" s="70" customFormat="1" ht="11.25" customHeight="1">
      <c r="A1360" s="87"/>
      <c r="C1360" s="43" t="s">
        <v>2549</v>
      </c>
      <c r="D1360" s="71" t="s">
        <v>382</v>
      </c>
      <c r="E1360" s="71" t="str">
        <f>MID(D1360,1,2)</f>
        <v>IL</v>
      </c>
      <c r="F1360" s="71" t="s">
        <v>597</v>
      </c>
      <c r="G1360" s="71" t="str">
        <f>MID(F1360,1,2)</f>
        <v>NL</v>
      </c>
      <c r="H1360" s="43" t="s">
        <v>2550</v>
      </c>
      <c r="I1360" s="71" t="s">
        <v>2551</v>
      </c>
      <c r="J1360" s="71" t="s">
        <v>400</v>
      </c>
      <c r="K1360" s="43"/>
      <c r="L1360" s="71" t="s">
        <v>105</v>
      </c>
      <c r="M1360" s="73">
        <v>233</v>
      </c>
      <c r="N1360" s="71" t="s">
        <v>388</v>
      </c>
      <c r="O1360" s="73">
        <v>1.432</v>
      </c>
      <c r="P1360" s="71" t="s">
        <v>389</v>
      </c>
      <c r="Q1360" s="73">
        <v>239</v>
      </c>
      <c r="R1360" s="71" t="s">
        <v>388</v>
      </c>
      <c r="S1360" s="73">
        <v>0</v>
      </c>
      <c r="T1360" s="71" t="s">
        <v>390</v>
      </c>
      <c r="U1360" s="74">
        <v>1</v>
      </c>
      <c r="V1360" s="71" t="s">
        <v>446</v>
      </c>
      <c r="W1360" s="130">
        <v>46068.5625</v>
      </c>
      <c r="X1360" s="72">
        <v>46071.584722222222</v>
      </c>
      <c r="Y1360" s="72">
        <v>46073.375</v>
      </c>
      <c r="Z1360" s="104" t="s">
        <v>590</v>
      </c>
      <c r="AA1360" s="104" t="s">
        <v>597</v>
      </c>
      <c r="AB1360" s="105">
        <v>46072.364583333336</v>
      </c>
      <c r="AC1360" s="105">
        <v>46072.463194444441</v>
      </c>
    </row>
    <row r="1361" s="70" customFormat="1" ht="11.25" customHeight="1">
      <c r="A1361" s="87"/>
      <c r="C1361" s="43" t="s">
        <v>2552</v>
      </c>
      <c r="D1361" s="71" t="s">
        <v>382</v>
      </c>
      <c r="E1361" s="71" t="str">
        <f>MID(D1361,1,2)</f>
        <v>IL</v>
      </c>
      <c r="F1361" s="71" t="s">
        <v>597</v>
      </c>
      <c r="G1361" s="71" t="str">
        <f>MID(F1361,1,2)</f>
        <v>NL</v>
      </c>
      <c r="H1361" s="43" t="s">
        <v>2553</v>
      </c>
      <c r="I1361" s="71" t="s">
        <v>2554</v>
      </c>
      <c r="J1361" s="71" t="s">
        <v>400</v>
      </c>
      <c r="K1361" s="43"/>
      <c r="L1361" s="71" t="s">
        <v>105</v>
      </c>
      <c r="M1361" s="73">
        <v>249</v>
      </c>
      <c r="N1361" s="71" t="s">
        <v>388</v>
      </c>
      <c r="O1361" s="73">
        <v>1.432</v>
      </c>
      <c r="P1361" s="71" t="s">
        <v>389</v>
      </c>
      <c r="Q1361" s="73">
        <v>249</v>
      </c>
      <c r="R1361" s="71" t="s">
        <v>388</v>
      </c>
      <c r="S1361" s="73">
        <v>0</v>
      </c>
      <c r="T1361" s="71" t="s">
        <v>390</v>
      </c>
      <c r="U1361" s="74">
        <v>1</v>
      </c>
      <c r="V1361" s="71" t="s">
        <v>446</v>
      </c>
      <c r="W1361" s="130">
        <v>46068.569444444445</v>
      </c>
      <c r="X1361" s="72">
        <v>46071.584722222222</v>
      </c>
      <c r="Y1361" s="72">
        <v>46073.375</v>
      </c>
      <c r="Z1361" s="104" t="s">
        <v>382</v>
      </c>
      <c r="AA1361" s="104" t="s">
        <v>590</v>
      </c>
      <c r="AB1361" s="105">
        <v>46071.800694444442</v>
      </c>
      <c r="AC1361" s="105">
        <v>46071.984027777777</v>
      </c>
    </row>
    <row r="1362" s="70" customFormat="1" ht="11.25" customHeight="1">
      <c r="A1362" s="87"/>
      <c r="C1362" s="43" t="s">
        <v>2552</v>
      </c>
      <c r="D1362" s="71" t="s">
        <v>382</v>
      </c>
      <c r="E1362" s="71" t="str">
        <f>MID(D1362,1,2)</f>
        <v>IL</v>
      </c>
      <c r="F1362" s="71" t="s">
        <v>597</v>
      </c>
      <c r="G1362" s="71" t="str">
        <f>MID(F1362,1,2)</f>
        <v>NL</v>
      </c>
      <c r="H1362" s="43" t="s">
        <v>2553</v>
      </c>
      <c r="I1362" s="71" t="s">
        <v>2554</v>
      </c>
      <c r="J1362" s="71" t="s">
        <v>400</v>
      </c>
      <c r="K1362" s="43"/>
      <c r="L1362" s="71" t="s">
        <v>105</v>
      </c>
      <c r="M1362" s="73">
        <v>249</v>
      </c>
      <c r="N1362" s="71" t="s">
        <v>388</v>
      </c>
      <c r="O1362" s="73">
        <v>1.432</v>
      </c>
      <c r="P1362" s="71" t="s">
        <v>389</v>
      </c>
      <c r="Q1362" s="73">
        <v>249</v>
      </c>
      <c r="R1362" s="71" t="s">
        <v>388</v>
      </c>
      <c r="S1362" s="73">
        <v>0</v>
      </c>
      <c r="T1362" s="71" t="s">
        <v>390</v>
      </c>
      <c r="U1362" s="74">
        <v>1</v>
      </c>
      <c r="V1362" s="71" t="s">
        <v>446</v>
      </c>
      <c r="W1362" s="130">
        <v>46068.569444444445</v>
      </c>
      <c r="X1362" s="72">
        <v>46071.584722222222</v>
      </c>
      <c r="Y1362" s="72">
        <v>46073.375</v>
      </c>
      <c r="Z1362" s="104" t="s">
        <v>590</v>
      </c>
      <c r="AA1362" s="104" t="s">
        <v>597</v>
      </c>
      <c r="AB1362" s="105">
        <v>46072.364583333336</v>
      </c>
      <c r="AC1362" s="105">
        <v>46072.463194444441</v>
      </c>
    </row>
    <row r="1363" s="70" customFormat="1" ht="11.25" customHeight="1">
      <c r="A1363" s="87"/>
      <c r="C1363" s="43" t="s">
        <v>2555</v>
      </c>
      <c r="D1363" s="71" t="s">
        <v>382</v>
      </c>
      <c r="E1363" s="71" t="str">
        <f>MID(D1363,1,2)</f>
        <v>IL</v>
      </c>
      <c r="F1363" s="71" t="s">
        <v>546</v>
      </c>
      <c r="G1363" s="71" t="str">
        <f>MID(F1363,1,2)</f>
        <v>GB</v>
      </c>
      <c r="H1363" s="43" t="s">
        <v>2556</v>
      </c>
      <c r="I1363" s="71" t="s">
        <v>2557</v>
      </c>
      <c r="J1363" s="71" t="s">
        <v>400</v>
      </c>
      <c r="K1363" s="43" t="s">
        <v>1416</v>
      </c>
      <c r="L1363" s="71" t="s">
        <v>105</v>
      </c>
      <c r="M1363" s="73">
        <v>462</v>
      </c>
      <c r="N1363" s="71" t="s">
        <v>388</v>
      </c>
      <c r="O1363" s="73">
        <v>0.682</v>
      </c>
      <c r="P1363" s="71" t="s">
        <v>389</v>
      </c>
      <c r="Q1363" s="73">
        <v>462</v>
      </c>
      <c r="R1363" s="71" t="s">
        <v>388</v>
      </c>
      <c r="S1363" s="73">
        <v>0</v>
      </c>
      <c r="T1363" s="71" t="s">
        <v>390</v>
      </c>
      <c r="U1363" s="74">
        <v>1</v>
      </c>
      <c r="V1363" s="71" t="s">
        <v>391</v>
      </c>
      <c r="W1363" s="130"/>
      <c r="X1363" s="72">
        <v>46067.41875</v>
      </c>
      <c r="Y1363" s="72">
        <v>46073.351388888892</v>
      </c>
      <c r="Z1363" s="104" t="s">
        <v>560</v>
      </c>
      <c r="AA1363" s="104" t="s">
        <v>561</v>
      </c>
      <c r="AB1363" s="105"/>
      <c r="AC1363" s="105"/>
    </row>
    <row r="1364" s="70" customFormat="1" ht="11.25" customHeight="1">
      <c r="A1364" s="87"/>
      <c r="C1364" s="43" t="s">
        <v>2555</v>
      </c>
      <c r="D1364" s="71" t="s">
        <v>382</v>
      </c>
      <c r="E1364" s="71" t="str">
        <f>MID(D1364,1,2)</f>
        <v>IL</v>
      </c>
      <c r="F1364" s="71" t="s">
        <v>546</v>
      </c>
      <c r="G1364" s="71" t="str">
        <f>MID(F1364,1,2)</f>
        <v>GB</v>
      </c>
      <c r="H1364" s="43" t="s">
        <v>2556</v>
      </c>
      <c r="I1364" s="71" t="s">
        <v>2557</v>
      </c>
      <c r="J1364" s="71" t="s">
        <v>400</v>
      </c>
      <c r="K1364" s="43" t="s">
        <v>1416</v>
      </c>
      <c r="L1364" s="71" t="s">
        <v>105</v>
      </c>
      <c r="M1364" s="73">
        <v>462</v>
      </c>
      <c r="N1364" s="71" t="s">
        <v>388</v>
      </c>
      <c r="O1364" s="73">
        <v>0.682</v>
      </c>
      <c r="P1364" s="71" t="s">
        <v>389</v>
      </c>
      <c r="Q1364" s="73">
        <v>462</v>
      </c>
      <c r="R1364" s="71" t="s">
        <v>388</v>
      </c>
      <c r="S1364" s="73">
        <v>0</v>
      </c>
      <c r="T1364" s="71" t="s">
        <v>390</v>
      </c>
      <c r="U1364" s="74">
        <v>1</v>
      </c>
      <c r="V1364" s="71" t="s">
        <v>391</v>
      </c>
      <c r="W1364" s="130"/>
      <c r="X1364" s="72">
        <v>46067.41875</v>
      </c>
      <c r="Y1364" s="72">
        <v>46073.351388888892</v>
      </c>
      <c r="Z1364" s="104" t="s">
        <v>382</v>
      </c>
      <c r="AA1364" s="104" t="s">
        <v>748</v>
      </c>
      <c r="AB1364" s="105">
        <v>46067.957638888889</v>
      </c>
      <c r="AC1364" s="105">
        <v>46068.101388888892</v>
      </c>
    </row>
    <row r="1365" s="70" customFormat="1" ht="11.25" customHeight="1">
      <c r="A1365" s="87"/>
      <c r="C1365" s="43" t="s">
        <v>2555</v>
      </c>
      <c r="D1365" s="71" t="s">
        <v>382</v>
      </c>
      <c r="E1365" s="71" t="str">
        <f>MID(D1365,1,2)</f>
        <v>IL</v>
      </c>
      <c r="F1365" s="71" t="s">
        <v>546</v>
      </c>
      <c r="G1365" s="71" t="str">
        <f>MID(F1365,1,2)</f>
        <v>GB</v>
      </c>
      <c r="H1365" s="43" t="s">
        <v>2556</v>
      </c>
      <c r="I1365" s="71" t="s">
        <v>2557</v>
      </c>
      <c r="J1365" s="71" t="s">
        <v>400</v>
      </c>
      <c r="K1365" s="43" t="s">
        <v>1416</v>
      </c>
      <c r="L1365" s="71" t="s">
        <v>105</v>
      </c>
      <c r="M1365" s="73">
        <v>462</v>
      </c>
      <c r="N1365" s="71" t="s">
        <v>388</v>
      </c>
      <c r="O1365" s="73">
        <v>0.682</v>
      </c>
      <c r="P1365" s="71" t="s">
        <v>389</v>
      </c>
      <c r="Q1365" s="73">
        <v>462</v>
      </c>
      <c r="R1365" s="71" t="s">
        <v>388</v>
      </c>
      <c r="S1365" s="73">
        <v>0</v>
      </c>
      <c r="T1365" s="71" t="s">
        <v>390</v>
      </c>
      <c r="U1365" s="74">
        <v>1</v>
      </c>
      <c r="V1365" s="71" t="s">
        <v>391</v>
      </c>
      <c r="W1365" s="130"/>
      <c r="X1365" s="72">
        <v>46067.41875</v>
      </c>
      <c r="Y1365" s="72">
        <v>46073.351388888892</v>
      </c>
      <c r="Z1365" s="104" t="s">
        <v>748</v>
      </c>
      <c r="AA1365" s="104" t="s">
        <v>546</v>
      </c>
      <c r="AB1365" s="105">
        <v>46073.018055555556</v>
      </c>
      <c r="AC1365" s="105">
        <v>46073.143055555556</v>
      </c>
    </row>
    <row r="1366" s="70" customFormat="1" ht="11.25" customHeight="1">
      <c r="A1366" s="87"/>
      <c r="C1366" s="43" t="s">
        <v>2558</v>
      </c>
      <c r="D1366" s="71" t="s">
        <v>382</v>
      </c>
      <c r="E1366" s="71" t="str">
        <f>MID(D1366,1,2)</f>
        <v>IL</v>
      </c>
      <c r="F1366" s="71" t="s">
        <v>414</v>
      </c>
      <c r="G1366" s="71" t="str">
        <f>MID(F1366,1,2)</f>
        <v>US</v>
      </c>
      <c r="H1366" s="43" t="s">
        <v>2559</v>
      </c>
      <c r="I1366" s="71" t="s">
        <v>2560</v>
      </c>
      <c r="J1366" s="71" t="s">
        <v>426</v>
      </c>
      <c r="K1366" s="43"/>
      <c r="L1366" s="71" t="s">
        <v>105</v>
      </c>
      <c r="M1366" s="73">
        <v>250</v>
      </c>
      <c r="N1366" s="71" t="s">
        <v>388</v>
      </c>
      <c r="O1366" s="73">
        <v>1.158</v>
      </c>
      <c r="P1366" s="71" t="s">
        <v>389</v>
      </c>
      <c r="Q1366" s="73">
        <v>250</v>
      </c>
      <c r="R1366" s="71" t="s">
        <v>388</v>
      </c>
      <c r="S1366" s="73">
        <v>0</v>
      </c>
      <c r="T1366" s="71" t="s">
        <v>390</v>
      </c>
      <c r="U1366" s="74">
        <v>1</v>
      </c>
      <c r="V1366" s="71" t="s">
        <v>391</v>
      </c>
      <c r="W1366" s="130">
        <v>46065.792361111111</v>
      </c>
      <c r="X1366" s="72">
        <v>46068.715277777781</v>
      </c>
      <c r="Y1366" s="72">
        <v>46068.944444444445</v>
      </c>
      <c r="Z1366" s="104" t="s">
        <v>382</v>
      </c>
      <c r="AA1366" s="104" t="s">
        <v>414</v>
      </c>
      <c r="AB1366" s="105">
        <v>46068.738194444442</v>
      </c>
      <c r="AC1366" s="105">
        <v>46068.929166666669</v>
      </c>
    </row>
    <row r="1367" s="70" customFormat="1" ht="11.25" customHeight="1">
      <c r="A1367" s="87"/>
      <c r="C1367" s="43" t="s">
        <v>2561</v>
      </c>
      <c r="D1367" s="71" t="s">
        <v>382</v>
      </c>
      <c r="E1367" s="71" t="str">
        <f>MID(D1367,1,2)</f>
        <v>IL</v>
      </c>
      <c r="F1367" s="71" t="s">
        <v>433</v>
      </c>
      <c r="G1367" s="71" t="str">
        <f>MID(F1367,1,2)</f>
        <v>US</v>
      </c>
      <c r="H1367" s="43" t="s">
        <v>2562</v>
      </c>
      <c r="I1367" s="71" t="s">
        <v>2563</v>
      </c>
      <c r="J1367" s="71" t="s">
        <v>386</v>
      </c>
      <c r="K1367" s="43"/>
      <c r="L1367" s="71" t="s">
        <v>107</v>
      </c>
      <c r="M1367" s="73">
        <v>68</v>
      </c>
      <c r="N1367" s="71" t="s">
        <v>388</v>
      </c>
      <c r="O1367" s="73">
        <v>0.942</v>
      </c>
      <c r="P1367" s="71" t="s">
        <v>389</v>
      </c>
      <c r="Q1367" s="73">
        <v>157</v>
      </c>
      <c r="R1367" s="71" t="s">
        <v>388</v>
      </c>
      <c r="S1367" s="73">
        <v>0</v>
      </c>
      <c r="T1367" s="71" t="s">
        <v>390</v>
      </c>
      <c r="U1367" s="74">
        <v>1</v>
      </c>
      <c r="V1367" s="71" t="s">
        <v>391</v>
      </c>
      <c r="W1367" s="130"/>
      <c r="X1367" s="72">
        <v>46070.382638888892</v>
      </c>
      <c r="Y1367" s="72">
        <v>46073.666666666664</v>
      </c>
      <c r="Z1367" s="104" t="s">
        <v>382</v>
      </c>
      <c r="AA1367" s="104" t="s">
        <v>414</v>
      </c>
      <c r="AB1367" s="105">
        <v>46070.50625</v>
      </c>
      <c r="AC1367" s="105">
        <v>46070.732638888891</v>
      </c>
    </row>
    <row r="1368" s="70" customFormat="1" ht="11.25" customHeight="1">
      <c r="A1368" s="87"/>
      <c r="C1368" s="43" t="s">
        <v>2561</v>
      </c>
      <c r="D1368" s="71" t="s">
        <v>382</v>
      </c>
      <c r="E1368" s="71" t="str">
        <f>MID(D1368,1,2)</f>
        <v>IL</v>
      </c>
      <c r="F1368" s="71" t="s">
        <v>433</v>
      </c>
      <c r="G1368" s="71" t="str">
        <f>MID(F1368,1,2)</f>
        <v>US</v>
      </c>
      <c r="H1368" s="43" t="s">
        <v>2562</v>
      </c>
      <c r="I1368" s="71" t="s">
        <v>2563</v>
      </c>
      <c r="J1368" s="71" t="s">
        <v>386</v>
      </c>
      <c r="K1368" s="43"/>
      <c r="L1368" s="71" t="s">
        <v>107</v>
      </c>
      <c r="M1368" s="73">
        <v>68</v>
      </c>
      <c r="N1368" s="71" t="s">
        <v>388</v>
      </c>
      <c r="O1368" s="73">
        <v>0.942</v>
      </c>
      <c r="P1368" s="71" t="s">
        <v>389</v>
      </c>
      <c r="Q1368" s="73">
        <v>157</v>
      </c>
      <c r="R1368" s="71" t="s">
        <v>388</v>
      </c>
      <c r="S1368" s="73">
        <v>0</v>
      </c>
      <c r="T1368" s="71" t="s">
        <v>390</v>
      </c>
      <c r="U1368" s="74">
        <v>1</v>
      </c>
      <c r="V1368" s="71" t="s">
        <v>391</v>
      </c>
      <c r="W1368" s="130"/>
      <c r="X1368" s="72">
        <v>46070.382638888892</v>
      </c>
      <c r="Y1368" s="72">
        <v>46073.666666666664</v>
      </c>
      <c r="Z1368" s="104" t="s">
        <v>414</v>
      </c>
      <c r="AA1368" s="104" t="s">
        <v>433</v>
      </c>
      <c r="AB1368" s="105">
        <v>46071.297222222223</v>
      </c>
      <c r="AC1368" s="105">
        <v>46071.416666666664</v>
      </c>
    </row>
    <row r="1369" s="70" customFormat="1" ht="11.25" customHeight="1">
      <c r="A1369" s="87"/>
      <c r="C1369" s="43" t="s">
        <v>2564</v>
      </c>
      <c r="D1369" s="71" t="s">
        <v>382</v>
      </c>
      <c r="E1369" s="71" t="str">
        <f>MID(D1369,1,2)</f>
        <v>IL</v>
      </c>
      <c r="F1369" s="71" t="s">
        <v>2058</v>
      </c>
      <c r="G1369" s="71" t="str">
        <f>MID(F1369,1,2)</f>
        <v>AT</v>
      </c>
      <c r="H1369" s="43" t="s">
        <v>2565</v>
      </c>
      <c r="I1369" s="71" t="s">
        <v>2566</v>
      </c>
      <c r="J1369" s="71" t="s">
        <v>400</v>
      </c>
      <c r="K1369" s="43"/>
      <c r="L1369" s="71" t="s">
        <v>105</v>
      </c>
      <c r="M1369" s="73">
        <v>7</v>
      </c>
      <c r="N1369" s="71" t="s">
        <v>388</v>
      </c>
      <c r="O1369" s="73">
        <v>0.092</v>
      </c>
      <c r="P1369" s="71" t="s">
        <v>389</v>
      </c>
      <c r="Q1369" s="73">
        <v>15.5</v>
      </c>
      <c r="R1369" s="71" t="s">
        <v>388</v>
      </c>
      <c r="S1369" s="73">
        <v>0</v>
      </c>
      <c r="T1369" s="71" t="s">
        <v>390</v>
      </c>
      <c r="U1369" s="74">
        <v>1</v>
      </c>
      <c r="V1369" s="71" t="s">
        <v>391</v>
      </c>
      <c r="W1369" s="130"/>
      <c r="X1369" s="72">
        <v>46070.576388888891</v>
      </c>
      <c r="Y1369" s="72">
        <v>46076.256944444445</v>
      </c>
      <c r="Z1369" s="104" t="s">
        <v>382</v>
      </c>
      <c r="AA1369" s="104" t="s">
        <v>383</v>
      </c>
      <c r="AB1369" s="105">
        <v>46070.538888888892</v>
      </c>
      <c r="AC1369" s="105">
        <v>46070.68125</v>
      </c>
    </row>
    <row r="1370" s="70" customFormat="1" ht="11.25" customHeight="1">
      <c r="A1370" s="87"/>
      <c r="C1370" s="43" t="s">
        <v>2564</v>
      </c>
      <c r="D1370" s="71" t="s">
        <v>382</v>
      </c>
      <c r="E1370" s="71" t="str">
        <f>MID(D1370,1,2)</f>
        <v>IL</v>
      </c>
      <c r="F1370" s="71" t="s">
        <v>2058</v>
      </c>
      <c r="G1370" s="71" t="str">
        <f>MID(F1370,1,2)</f>
        <v>AT</v>
      </c>
      <c r="H1370" s="43" t="s">
        <v>2565</v>
      </c>
      <c r="I1370" s="71" t="s">
        <v>2566</v>
      </c>
      <c r="J1370" s="71" t="s">
        <v>400</v>
      </c>
      <c r="K1370" s="43"/>
      <c r="L1370" s="71" t="s">
        <v>105</v>
      </c>
      <c r="M1370" s="73">
        <v>7</v>
      </c>
      <c r="N1370" s="71" t="s">
        <v>388</v>
      </c>
      <c r="O1370" s="73">
        <v>0.092</v>
      </c>
      <c r="P1370" s="71" t="s">
        <v>389</v>
      </c>
      <c r="Q1370" s="73">
        <v>15.5</v>
      </c>
      <c r="R1370" s="71" t="s">
        <v>388</v>
      </c>
      <c r="S1370" s="73">
        <v>0</v>
      </c>
      <c r="T1370" s="71" t="s">
        <v>390</v>
      </c>
      <c r="U1370" s="74">
        <v>1</v>
      </c>
      <c r="V1370" s="71" t="s">
        <v>391</v>
      </c>
      <c r="W1370" s="130"/>
      <c r="X1370" s="72">
        <v>46070.576388888891</v>
      </c>
      <c r="Y1370" s="72">
        <v>46076.256944444445</v>
      </c>
      <c r="Z1370" s="104" t="s">
        <v>383</v>
      </c>
      <c r="AA1370" s="104" t="s">
        <v>2058</v>
      </c>
      <c r="AB1370" s="105">
        <v>46075.847222222219</v>
      </c>
      <c r="AC1370" s="105">
        <v>46076.291666666664</v>
      </c>
    </row>
    <row r="1371" s="70" customFormat="1" ht="11.25" customHeight="1">
      <c r="A1371" s="87"/>
      <c r="C1371" s="43" t="s">
        <v>2567</v>
      </c>
      <c r="D1371" s="71" t="s">
        <v>382</v>
      </c>
      <c r="E1371" s="71" t="str">
        <f>MID(D1371,1,2)</f>
        <v>IL</v>
      </c>
      <c r="F1371" s="71" t="s">
        <v>443</v>
      </c>
      <c r="G1371" s="71" t="str">
        <f>MID(F1371,1,2)</f>
        <v>US</v>
      </c>
      <c r="H1371" s="43" t="s">
        <v>2568</v>
      </c>
      <c r="I1371" s="71" t="s">
        <v>2569</v>
      </c>
      <c r="J1371" s="71" t="s">
        <v>386</v>
      </c>
      <c r="K1371" s="43"/>
      <c r="L1371" s="71" t="s">
        <v>107</v>
      </c>
      <c r="M1371" s="73">
        <v>69</v>
      </c>
      <c r="N1371" s="71" t="s">
        <v>388</v>
      </c>
      <c r="O1371" s="73">
        <v>0.586</v>
      </c>
      <c r="P1371" s="71" t="s">
        <v>389</v>
      </c>
      <c r="Q1371" s="73">
        <v>98</v>
      </c>
      <c r="R1371" s="71" t="s">
        <v>388</v>
      </c>
      <c r="S1371" s="73">
        <v>0</v>
      </c>
      <c r="T1371" s="71" t="s">
        <v>390</v>
      </c>
      <c r="U1371" s="74">
        <v>1</v>
      </c>
      <c r="V1371" s="71" t="s">
        <v>391</v>
      </c>
      <c r="W1371" s="130">
        <v>46068.38958333333</v>
      </c>
      <c r="X1371" s="72">
        <v>46070.965277777781</v>
      </c>
      <c r="Y1371" s="72">
        <v>46072.041666666664</v>
      </c>
      <c r="Z1371" s="104" t="s">
        <v>382</v>
      </c>
      <c r="AA1371" s="104" t="s">
        <v>422</v>
      </c>
      <c r="AB1371" s="105">
        <v>46070.96597222222</v>
      </c>
      <c r="AC1371" s="105">
        <v>46071.173611111109</v>
      </c>
    </row>
    <row r="1372" s="70" customFormat="1" ht="11.25" customHeight="1">
      <c r="A1372" s="87"/>
      <c r="C1372" s="43" t="s">
        <v>2567</v>
      </c>
      <c r="D1372" s="71" t="s">
        <v>382</v>
      </c>
      <c r="E1372" s="71" t="str">
        <f>MID(D1372,1,2)</f>
        <v>IL</v>
      </c>
      <c r="F1372" s="71" t="s">
        <v>443</v>
      </c>
      <c r="G1372" s="71" t="str">
        <f>MID(F1372,1,2)</f>
        <v>US</v>
      </c>
      <c r="H1372" s="43" t="s">
        <v>2568</v>
      </c>
      <c r="I1372" s="71" t="s">
        <v>2569</v>
      </c>
      <c r="J1372" s="71" t="s">
        <v>386</v>
      </c>
      <c r="K1372" s="43"/>
      <c r="L1372" s="71" t="s">
        <v>107</v>
      </c>
      <c r="M1372" s="73">
        <v>69</v>
      </c>
      <c r="N1372" s="71" t="s">
        <v>388</v>
      </c>
      <c r="O1372" s="73">
        <v>0.586</v>
      </c>
      <c r="P1372" s="71" t="s">
        <v>389</v>
      </c>
      <c r="Q1372" s="73">
        <v>98</v>
      </c>
      <c r="R1372" s="71" t="s">
        <v>388</v>
      </c>
      <c r="S1372" s="73">
        <v>0</v>
      </c>
      <c r="T1372" s="71" t="s">
        <v>390</v>
      </c>
      <c r="U1372" s="74">
        <v>1</v>
      </c>
      <c r="V1372" s="71" t="s">
        <v>391</v>
      </c>
      <c r="W1372" s="130">
        <v>46068.38958333333</v>
      </c>
      <c r="X1372" s="72">
        <v>46070.965277777781</v>
      </c>
      <c r="Y1372" s="72">
        <v>46072.041666666664</v>
      </c>
      <c r="Z1372" s="104" t="s">
        <v>422</v>
      </c>
      <c r="AA1372" s="104" t="s">
        <v>443</v>
      </c>
      <c r="AB1372" s="105">
        <v>46071.685416666667</v>
      </c>
      <c r="AC1372" s="105">
        <v>46071.8125</v>
      </c>
    </row>
    <row r="1373" s="70" customFormat="1" ht="11.25" customHeight="1">
      <c r="A1373" s="87"/>
      <c r="C1373" s="43" t="s">
        <v>2570</v>
      </c>
      <c r="D1373" s="71" t="s">
        <v>382</v>
      </c>
      <c r="E1373" s="71" t="str">
        <f>MID(D1373,1,2)</f>
        <v>IL</v>
      </c>
      <c r="F1373" s="71" t="s">
        <v>419</v>
      </c>
      <c r="G1373" s="71" t="str">
        <f>MID(F1373,1,2)</f>
        <v>US</v>
      </c>
      <c r="H1373" s="43" t="s">
        <v>2571</v>
      </c>
      <c r="I1373" s="71" t="s">
        <v>2572</v>
      </c>
      <c r="J1373" s="71" t="s">
        <v>426</v>
      </c>
      <c r="K1373" s="43"/>
      <c r="L1373" s="71" t="s">
        <v>105</v>
      </c>
      <c r="M1373" s="73">
        <v>83</v>
      </c>
      <c r="N1373" s="71" t="s">
        <v>388</v>
      </c>
      <c r="O1373" s="73">
        <v>0.532</v>
      </c>
      <c r="P1373" s="71" t="s">
        <v>389</v>
      </c>
      <c r="Q1373" s="73">
        <v>100</v>
      </c>
      <c r="R1373" s="71" t="s">
        <v>388</v>
      </c>
      <c r="S1373" s="73">
        <v>0</v>
      </c>
      <c r="T1373" s="71" t="s">
        <v>390</v>
      </c>
      <c r="U1373" s="74">
        <v>2</v>
      </c>
      <c r="V1373" s="71" t="s">
        <v>391</v>
      </c>
      <c r="W1373" s="130">
        <v>46068.731944444444</v>
      </c>
      <c r="X1373" s="72">
        <v>46070.479166666664</v>
      </c>
      <c r="Y1373" s="72">
        <v>46072.708333333336</v>
      </c>
      <c r="Z1373" s="104" t="s">
        <v>382</v>
      </c>
      <c r="AA1373" s="104" t="s">
        <v>422</v>
      </c>
      <c r="AB1373" s="105">
        <v>46070.6125</v>
      </c>
      <c r="AC1373" s="105">
        <v>46070.80625</v>
      </c>
    </row>
    <row r="1374" s="70" customFormat="1" ht="11.25" customHeight="1">
      <c r="A1374" s="87"/>
      <c r="C1374" s="43" t="s">
        <v>2570</v>
      </c>
      <c r="D1374" s="71" t="s">
        <v>382</v>
      </c>
      <c r="E1374" s="71" t="str">
        <f>MID(D1374,1,2)</f>
        <v>IL</v>
      </c>
      <c r="F1374" s="71" t="s">
        <v>419</v>
      </c>
      <c r="G1374" s="71" t="str">
        <f>MID(F1374,1,2)</f>
        <v>US</v>
      </c>
      <c r="H1374" s="43" t="s">
        <v>2571</v>
      </c>
      <c r="I1374" s="71" t="s">
        <v>2572</v>
      </c>
      <c r="J1374" s="71" t="s">
        <v>426</v>
      </c>
      <c r="K1374" s="43"/>
      <c r="L1374" s="71" t="s">
        <v>105</v>
      </c>
      <c r="M1374" s="73">
        <v>83</v>
      </c>
      <c r="N1374" s="71" t="s">
        <v>388</v>
      </c>
      <c r="O1374" s="73">
        <v>0.532</v>
      </c>
      <c r="P1374" s="71" t="s">
        <v>389</v>
      </c>
      <c r="Q1374" s="73">
        <v>100</v>
      </c>
      <c r="R1374" s="71" t="s">
        <v>388</v>
      </c>
      <c r="S1374" s="73">
        <v>0</v>
      </c>
      <c r="T1374" s="71" t="s">
        <v>390</v>
      </c>
      <c r="U1374" s="74">
        <v>2</v>
      </c>
      <c r="V1374" s="71" t="s">
        <v>391</v>
      </c>
      <c r="W1374" s="130">
        <v>46068.731944444444</v>
      </c>
      <c r="X1374" s="72">
        <v>46070.479166666664</v>
      </c>
      <c r="Y1374" s="72">
        <v>46072.708333333336</v>
      </c>
      <c r="Z1374" s="104" t="s">
        <v>422</v>
      </c>
      <c r="AA1374" s="104" t="s">
        <v>419</v>
      </c>
      <c r="AB1374" s="105">
        <v>46071.045138888891</v>
      </c>
      <c r="AC1374" s="105">
        <v>46071.875</v>
      </c>
    </row>
    <row r="1375" s="70" customFormat="1" ht="11.25" customHeight="1">
      <c r="A1375" s="87"/>
      <c r="C1375" s="43" t="s">
        <v>2573</v>
      </c>
      <c r="D1375" s="71" t="s">
        <v>382</v>
      </c>
      <c r="E1375" s="71" t="str">
        <f>MID(D1375,1,2)</f>
        <v>IL</v>
      </c>
      <c r="F1375" s="71" t="s">
        <v>522</v>
      </c>
      <c r="G1375" s="71" t="str">
        <f>MID(F1375,1,2)</f>
        <v>CZ</v>
      </c>
      <c r="H1375" s="43" t="s">
        <v>2574</v>
      </c>
      <c r="I1375" s="71" t="s">
        <v>2575</v>
      </c>
      <c r="J1375" s="71" t="s">
        <v>386</v>
      </c>
      <c r="K1375" s="43"/>
      <c r="L1375" s="71" t="s">
        <v>107</v>
      </c>
      <c r="M1375" s="73">
        <v>3</v>
      </c>
      <c r="N1375" s="71" t="s">
        <v>388</v>
      </c>
      <c r="O1375" s="73">
        <v>0.012</v>
      </c>
      <c r="P1375" s="71" t="s">
        <v>389</v>
      </c>
      <c r="Q1375" s="73">
        <v>3</v>
      </c>
      <c r="R1375" s="71" t="s">
        <v>388</v>
      </c>
      <c r="S1375" s="73">
        <v>0</v>
      </c>
      <c r="T1375" s="71" t="s">
        <v>390</v>
      </c>
      <c r="U1375" s="74">
        <v>1</v>
      </c>
      <c r="V1375" s="71" t="s">
        <v>391</v>
      </c>
      <c r="W1375" s="130">
        <v>46068.445138888892</v>
      </c>
      <c r="X1375" s="72">
        <v>46070.013888888891</v>
      </c>
      <c r="Y1375" s="72">
        <v>46073.364583333336</v>
      </c>
      <c r="Z1375" s="104" t="s">
        <v>382</v>
      </c>
      <c r="AA1375" s="104" t="s">
        <v>496</v>
      </c>
      <c r="AB1375" s="105">
        <v>46070.013888888891</v>
      </c>
      <c r="AC1375" s="105"/>
    </row>
    <row r="1376" s="70" customFormat="1" ht="11.25" customHeight="1">
      <c r="A1376" s="87"/>
      <c r="C1376" s="43" t="s">
        <v>2573</v>
      </c>
      <c r="D1376" s="71" t="s">
        <v>382</v>
      </c>
      <c r="E1376" s="71" t="str">
        <f>MID(D1376,1,2)</f>
        <v>IL</v>
      </c>
      <c r="F1376" s="71" t="s">
        <v>522</v>
      </c>
      <c r="G1376" s="71" t="str">
        <f>MID(F1376,1,2)</f>
        <v>CZ</v>
      </c>
      <c r="H1376" s="43" t="s">
        <v>2574</v>
      </c>
      <c r="I1376" s="71" t="s">
        <v>2575</v>
      </c>
      <c r="J1376" s="71" t="s">
        <v>386</v>
      </c>
      <c r="K1376" s="43"/>
      <c r="L1376" s="71" t="s">
        <v>107</v>
      </c>
      <c r="M1376" s="73">
        <v>3</v>
      </c>
      <c r="N1376" s="71" t="s">
        <v>388</v>
      </c>
      <c r="O1376" s="73">
        <v>0.012</v>
      </c>
      <c r="P1376" s="71" t="s">
        <v>389</v>
      </c>
      <c r="Q1376" s="73">
        <v>3</v>
      </c>
      <c r="R1376" s="71" t="s">
        <v>388</v>
      </c>
      <c r="S1376" s="73">
        <v>0</v>
      </c>
      <c r="T1376" s="71" t="s">
        <v>390</v>
      </c>
      <c r="U1376" s="74">
        <v>1</v>
      </c>
      <c r="V1376" s="71" t="s">
        <v>391</v>
      </c>
      <c r="W1376" s="130">
        <v>46068.445138888892</v>
      </c>
      <c r="X1376" s="72">
        <v>46070.013888888891</v>
      </c>
      <c r="Y1376" s="72">
        <v>46073.364583333336</v>
      </c>
      <c r="Z1376" s="104" t="s">
        <v>496</v>
      </c>
      <c r="AA1376" s="104" t="s">
        <v>522</v>
      </c>
      <c r="AB1376" s="105">
        <v>46073.326388888891</v>
      </c>
      <c r="AC1376" s="105">
        <v>46073.40625</v>
      </c>
    </row>
    <row r="1377" s="70" customFormat="1" ht="11.25" customHeight="1">
      <c r="A1377" s="87"/>
      <c r="C1377" s="43" t="s">
        <v>2576</v>
      </c>
      <c r="D1377" s="71" t="s">
        <v>382</v>
      </c>
      <c r="E1377" s="71" t="str">
        <f>MID(D1377,1,2)</f>
        <v>IL</v>
      </c>
      <c r="F1377" s="71" t="s">
        <v>414</v>
      </c>
      <c r="G1377" s="71" t="str">
        <f>MID(F1377,1,2)</f>
        <v>US</v>
      </c>
      <c r="H1377" s="43" t="s">
        <v>2577</v>
      </c>
      <c r="I1377" s="71" t="s">
        <v>2578</v>
      </c>
      <c r="J1377" s="71" t="s">
        <v>426</v>
      </c>
      <c r="K1377" s="43" t="s">
        <v>759</v>
      </c>
      <c r="L1377" s="71" t="s">
        <v>105</v>
      </c>
      <c r="M1377" s="73">
        <v>4</v>
      </c>
      <c r="N1377" s="71" t="s">
        <v>388</v>
      </c>
      <c r="O1377" s="73">
        <v>0.072</v>
      </c>
      <c r="P1377" s="71" t="s">
        <v>389</v>
      </c>
      <c r="Q1377" s="73">
        <v>12</v>
      </c>
      <c r="R1377" s="71" t="s">
        <v>388</v>
      </c>
      <c r="S1377" s="73">
        <v>0</v>
      </c>
      <c r="T1377" s="71" t="s">
        <v>390</v>
      </c>
      <c r="U1377" s="74">
        <v>1</v>
      </c>
      <c r="V1377" s="71" t="s">
        <v>427</v>
      </c>
      <c r="W1377" s="130">
        <v>46068.396527777775</v>
      </c>
      <c r="X1377" s="72">
        <v>46070.03125</v>
      </c>
      <c r="Y1377" s="72">
        <v>46072.239583333336</v>
      </c>
      <c r="Z1377" s="104" t="s">
        <v>382</v>
      </c>
      <c r="AA1377" s="104" t="s">
        <v>414</v>
      </c>
      <c r="AB1377" s="105">
        <v>46071.546527777777</v>
      </c>
      <c r="AC1377" s="105">
        <v>46071.748611111114</v>
      </c>
    </row>
    <row r="1378" s="70" customFormat="1" ht="11.25" customHeight="1">
      <c r="A1378" s="87"/>
      <c r="C1378" s="43" t="s">
        <v>2579</v>
      </c>
      <c r="D1378" s="71" t="s">
        <v>382</v>
      </c>
      <c r="E1378" s="71" t="str">
        <f>MID(D1378,1,2)</f>
        <v>IL</v>
      </c>
      <c r="F1378" s="71" t="s">
        <v>414</v>
      </c>
      <c r="G1378" s="71" t="str">
        <f>MID(F1378,1,2)</f>
        <v>US</v>
      </c>
      <c r="H1378" s="43" t="s">
        <v>2577</v>
      </c>
      <c r="I1378" s="71" t="s">
        <v>2580</v>
      </c>
      <c r="J1378" s="71" t="s">
        <v>400</v>
      </c>
      <c r="K1378" s="43" t="s">
        <v>759</v>
      </c>
      <c r="L1378" s="71" t="s">
        <v>105</v>
      </c>
      <c r="M1378" s="73">
        <v>2</v>
      </c>
      <c r="N1378" s="71" t="s">
        <v>388</v>
      </c>
      <c r="O1378" s="73">
        <v>0.01</v>
      </c>
      <c r="P1378" s="71" t="s">
        <v>389</v>
      </c>
      <c r="Q1378" s="73">
        <v>2</v>
      </c>
      <c r="R1378" s="71" t="s">
        <v>388</v>
      </c>
      <c r="S1378" s="73">
        <v>0</v>
      </c>
      <c r="T1378" s="71" t="s">
        <v>390</v>
      </c>
      <c r="U1378" s="74">
        <v>1</v>
      </c>
      <c r="V1378" s="71" t="s">
        <v>427</v>
      </c>
      <c r="W1378" s="130">
        <v>46069.63590277778</v>
      </c>
      <c r="X1378" s="72">
        <v>46070.03125</v>
      </c>
      <c r="Y1378" s="72">
        <v>46072.239583333336</v>
      </c>
      <c r="Z1378" s="104" t="s">
        <v>382</v>
      </c>
      <c r="AA1378" s="104" t="s">
        <v>414</v>
      </c>
      <c r="AB1378" s="105">
        <v>46071.546527777777</v>
      </c>
      <c r="AC1378" s="105">
        <v>46071.748611111114</v>
      </c>
    </row>
    <row r="1379" s="70" customFormat="1" ht="11.25" customHeight="1">
      <c r="A1379" s="87"/>
      <c r="C1379" s="43" t="s">
        <v>2581</v>
      </c>
      <c r="D1379" s="71" t="s">
        <v>382</v>
      </c>
      <c r="E1379" s="71" t="str">
        <f>MID(D1379,1,2)</f>
        <v>IL</v>
      </c>
      <c r="F1379" s="71" t="s">
        <v>526</v>
      </c>
      <c r="G1379" s="71" t="str">
        <f>MID(F1379,1,2)</f>
        <v>US</v>
      </c>
      <c r="H1379" s="43" t="s">
        <v>2582</v>
      </c>
      <c r="I1379" s="71" t="s">
        <v>2583</v>
      </c>
      <c r="J1379" s="71" t="s">
        <v>386</v>
      </c>
      <c r="K1379" s="43"/>
      <c r="L1379" s="71" t="s">
        <v>107</v>
      </c>
      <c r="M1379" s="73">
        <v>246</v>
      </c>
      <c r="N1379" s="71" t="s">
        <v>388</v>
      </c>
      <c r="O1379" s="73">
        <v>2.268</v>
      </c>
      <c r="P1379" s="71" t="s">
        <v>389</v>
      </c>
      <c r="Q1379" s="73">
        <v>378</v>
      </c>
      <c r="R1379" s="71" t="s">
        <v>388</v>
      </c>
      <c r="S1379" s="73">
        <v>15</v>
      </c>
      <c r="T1379" s="71" t="s">
        <v>390</v>
      </c>
      <c r="U1379" s="74">
        <v>3</v>
      </c>
      <c r="V1379" s="71" t="s">
        <v>391</v>
      </c>
      <c r="W1379" s="130">
        <v>46068.402777777781</v>
      </c>
      <c r="X1379" s="72">
        <v>46072.03125</v>
      </c>
      <c r="Y1379" s="72">
        <v>46072.25</v>
      </c>
      <c r="Z1379" s="104" t="s">
        <v>382</v>
      </c>
      <c r="AA1379" s="104" t="s">
        <v>526</v>
      </c>
      <c r="AB1379" s="105">
        <v>46072.040972222225</v>
      </c>
      <c r="AC1379" s="105">
        <v>46072.251388888886</v>
      </c>
    </row>
    <row r="1380" s="70" customFormat="1" ht="11.25" customHeight="1">
      <c r="A1380" s="87"/>
      <c r="C1380" s="43" t="s">
        <v>2584</v>
      </c>
      <c r="D1380" s="71" t="s">
        <v>382</v>
      </c>
      <c r="E1380" s="71" t="str">
        <f>MID(D1380,1,2)</f>
        <v>IL</v>
      </c>
      <c r="F1380" s="71" t="s">
        <v>433</v>
      </c>
      <c r="G1380" s="71" t="str">
        <f>MID(F1380,1,2)</f>
        <v>US</v>
      </c>
      <c r="H1380" s="43" t="s">
        <v>2585</v>
      </c>
      <c r="I1380" s="71" t="s">
        <v>2586</v>
      </c>
      <c r="J1380" s="71" t="s">
        <v>386</v>
      </c>
      <c r="K1380" s="43"/>
      <c r="L1380" s="71" t="s">
        <v>107</v>
      </c>
      <c r="M1380" s="73">
        <v>15</v>
      </c>
      <c r="N1380" s="71" t="s">
        <v>388</v>
      </c>
      <c r="O1380" s="73">
        <v>0.115</v>
      </c>
      <c r="P1380" s="71" t="s">
        <v>389</v>
      </c>
      <c r="Q1380" s="73">
        <v>19.5</v>
      </c>
      <c r="R1380" s="71" t="s">
        <v>388</v>
      </c>
      <c r="S1380" s="73">
        <v>0</v>
      </c>
      <c r="T1380" s="71" t="s">
        <v>390</v>
      </c>
      <c r="U1380" s="74">
        <v>1</v>
      </c>
      <c r="V1380" s="71" t="s">
        <v>391</v>
      </c>
      <c r="W1380" s="130">
        <v>46068.402777777781</v>
      </c>
      <c r="X1380" s="72">
        <v>46071.041666666664</v>
      </c>
      <c r="Y1380" s="72">
        <v>46071.326388888891</v>
      </c>
      <c r="Z1380" s="104" t="s">
        <v>382</v>
      </c>
      <c r="AA1380" s="104" t="s">
        <v>433</v>
      </c>
      <c r="AB1380" s="105">
        <v>46071.04583333333</v>
      </c>
      <c r="AC1380" s="105">
        <v>46071.3125</v>
      </c>
    </row>
    <row r="1381" s="70" customFormat="1" ht="11.25" customHeight="1">
      <c r="A1381" s="87"/>
      <c r="C1381" s="43" t="s">
        <v>2587</v>
      </c>
      <c r="D1381" s="71" t="s">
        <v>382</v>
      </c>
      <c r="E1381" s="71" t="str">
        <f>MID(D1381,1,2)</f>
        <v>IL</v>
      </c>
      <c r="F1381" s="71" t="s">
        <v>595</v>
      </c>
      <c r="G1381" s="71" t="str">
        <f>MID(F1381,1,2)</f>
        <v>AT</v>
      </c>
      <c r="H1381" s="43" t="s">
        <v>2588</v>
      </c>
      <c r="I1381" s="71" t="s">
        <v>2589</v>
      </c>
      <c r="J1381" s="71" t="s">
        <v>426</v>
      </c>
      <c r="K1381" s="43"/>
      <c r="L1381" s="71" t="s">
        <v>105</v>
      </c>
      <c r="M1381" s="73">
        <v>8</v>
      </c>
      <c r="N1381" s="71" t="s">
        <v>388</v>
      </c>
      <c r="O1381" s="73">
        <v>0.039</v>
      </c>
      <c r="P1381" s="71" t="s">
        <v>389</v>
      </c>
      <c r="Q1381" s="73">
        <v>8</v>
      </c>
      <c r="R1381" s="71" t="s">
        <v>388</v>
      </c>
      <c r="S1381" s="73">
        <v>0</v>
      </c>
      <c r="T1381" s="71" t="s">
        <v>390</v>
      </c>
      <c r="U1381" s="74">
        <v>1</v>
      </c>
      <c r="V1381" s="71" t="s">
        <v>391</v>
      </c>
      <c r="W1381" s="130">
        <v>46068.6250462963</v>
      </c>
      <c r="X1381" s="72">
        <v>46069.246527777781</v>
      </c>
      <c r="Y1381" s="72">
        <v>46069.365972222222</v>
      </c>
      <c r="Z1381" s="104" t="s">
        <v>382</v>
      </c>
      <c r="AA1381" s="104" t="s">
        <v>595</v>
      </c>
      <c r="AB1381" s="105">
        <v>46069.252083333333</v>
      </c>
      <c r="AC1381" s="105">
        <v>46069.359027777777</v>
      </c>
    </row>
    <row r="1382" s="70" customFormat="1" ht="11.25" customHeight="1">
      <c r="A1382" s="87"/>
      <c r="C1382" s="43" t="s">
        <v>2590</v>
      </c>
      <c r="D1382" s="71" t="s">
        <v>382</v>
      </c>
      <c r="E1382" s="71" t="str">
        <f>MID(D1382,1,2)</f>
        <v>IL</v>
      </c>
      <c r="F1382" s="71" t="s">
        <v>383</v>
      </c>
      <c r="G1382" s="71" t="str">
        <f>MID(F1382,1,2)</f>
        <v>DE</v>
      </c>
      <c r="H1382" s="43" t="s">
        <v>2171</v>
      </c>
      <c r="I1382" s="71" t="s">
        <v>2591</v>
      </c>
      <c r="J1382" s="71" t="s">
        <v>386</v>
      </c>
      <c r="K1382" s="43"/>
      <c r="L1382" s="71" t="s">
        <v>107</v>
      </c>
      <c r="M1382" s="73">
        <v>36</v>
      </c>
      <c r="N1382" s="71" t="s">
        <v>388</v>
      </c>
      <c r="O1382" s="73">
        <v>0.432</v>
      </c>
      <c r="P1382" s="71" t="s">
        <v>389</v>
      </c>
      <c r="Q1382" s="73">
        <v>100</v>
      </c>
      <c r="R1382" s="71" t="s">
        <v>388</v>
      </c>
      <c r="S1382" s="73">
        <v>0</v>
      </c>
      <c r="T1382" s="71" t="s">
        <v>390</v>
      </c>
      <c r="U1382" s="74">
        <v>1</v>
      </c>
      <c r="V1382" s="71" t="s">
        <v>391</v>
      </c>
      <c r="W1382" s="130"/>
      <c r="X1382" s="72">
        <v>46074.552083333336</v>
      </c>
      <c r="Y1382" s="72">
        <v>46083.25</v>
      </c>
      <c r="Z1382" s="104" t="s">
        <v>383</v>
      </c>
      <c r="AA1382" s="104" t="s">
        <v>667</v>
      </c>
      <c r="AB1382" s="105">
        <v>46082.279861111114</v>
      </c>
      <c r="AC1382" s="105"/>
    </row>
    <row r="1383" s="70" customFormat="1" ht="11.25" customHeight="1">
      <c r="A1383" s="87"/>
      <c r="C1383" s="43" t="s">
        <v>2590</v>
      </c>
      <c r="D1383" s="71" t="s">
        <v>382</v>
      </c>
      <c r="E1383" s="71" t="str">
        <f>MID(D1383,1,2)</f>
        <v>IL</v>
      </c>
      <c r="F1383" s="71" t="s">
        <v>383</v>
      </c>
      <c r="G1383" s="71" t="str">
        <f>MID(F1383,1,2)</f>
        <v>DE</v>
      </c>
      <c r="H1383" s="43" t="s">
        <v>2171</v>
      </c>
      <c r="I1383" s="71" t="s">
        <v>2591</v>
      </c>
      <c r="J1383" s="71" t="s">
        <v>386</v>
      </c>
      <c r="K1383" s="43"/>
      <c r="L1383" s="71" t="s">
        <v>107</v>
      </c>
      <c r="M1383" s="73">
        <v>36</v>
      </c>
      <c r="N1383" s="71" t="s">
        <v>388</v>
      </c>
      <c r="O1383" s="73">
        <v>0.432</v>
      </c>
      <c r="P1383" s="71" t="s">
        <v>389</v>
      </c>
      <c r="Q1383" s="73">
        <v>100</v>
      </c>
      <c r="R1383" s="71" t="s">
        <v>388</v>
      </c>
      <c r="S1383" s="73">
        <v>0</v>
      </c>
      <c r="T1383" s="71" t="s">
        <v>390</v>
      </c>
      <c r="U1383" s="74">
        <v>1</v>
      </c>
      <c r="V1383" s="71" t="s">
        <v>391</v>
      </c>
      <c r="W1383" s="130"/>
      <c r="X1383" s="72">
        <v>46074.552083333336</v>
      </c>
      <c r="Y1383" s="72">
        <v>46083.25</v>
      </c>
      <c r="Z1383" s="104" t="s">
        <v>382</v>
      </c>
      <c r="AA1383" s="104" t="s">
        <v>1117</v>
      </c>
      <c r="AB1383" s="105">
        <v>46074.552083333336</v>
      </c>
      <c r="AC1383" s="105"/>
    </row>
    <row r="1384" s="70" customFormat="1" ht="11.25" customHeight="1">
      <c r="A1384" s="87"/>
      <c r="C1384" s="43" t="s">
        <v>2590</v>
      </c>
      <c r="D1384" s="71" t="s">
        <v>382</v>
      </c>
      <c r="E1384" s="71" t="str">
        <f>MID(D1384,1,2)</f>
        <v>IL</v>
      </c>
      <c r="F1384" s="71" t="s">
        <v>383</v>
      </c>
      <c r="G1384" s="71" t="str">
        <f>MID(F1384,1,2)</f>
        <v>DE</v>
      </c>
      <c r="H1384" s="43" t="s">
        <v>2171</v>
      </c>
      <c r="I1384" s="71" t="s">
        <v>2591</v>
      </c>
      <c r="J1384" s="71" t="s">
        <v>386</v>
      </c>
      <c r="K1384" s="43"/>
      <c r="L1384" s="71" t="s">
        <v>107</v>
      </c>
      <c r="M1384" s="73">
        <v>36</v>
      </c>
      <c r="N1384" s="71" t="s">
        <v>388</v>
      </c>
      <c r="O1384" s="73">
        <v>0.432</v>
      </c>
      <c r="P1384" s="71" t="s">
        <v>389</v>
      </c>
      <c r="Q1384" s="73">
        <v>100</v>
      </c>
      <c r="R1384" s="71" t="s">
        <v>388</v>
      </c>
      <c r="S1384" s="73">
        <v>0</v>
      </c>
      <c r="T1384" s="71" t="s">
        <v>390</v>
      </c>
      <c r="U1384" s="74">
        <v>1</v>
      </c>
      <c r="V1384" s="71" t="s">
        <v>391</v>
      </c>
      <c r="W1384" s="130"/>
      <c r="X1384" s="72">
        <v>46074.552083333336</v>
      </c>
      <c r="Y1384" s="72">
        <v>46083.25</v>
      </c>
      <c r="Z1384" s="104" t="s">
        <v>1117</v>
      </c>
      <c r="AA1384" s="104" t="s">
        <v>383</v>
      </c>
      <c r="AB1384" s="105">
        <v>46075.416666666664</v>
      </c>
      <c r="AC1384" s="105">
        <v>46075.603472222225</v>
      </c>
    </row>
    <row r="1385" s="70" customFormat="1" ht="11.25" customHeight="1">
      <c r="A1385" s="87"/>
      <c r="C1385" s="43" t="s">
        <v>2592</v>
      </c>
      <c r="D1385" s="71" t="s">
        <v>382</v>
      </c>
      <c r="E1385" s="71" t="str">
        <f>MID(D1385,1,2)</f>
        <v>IL</v>
      </c>
      <c r="F1385" s="71" t="s">
        <v>433</v>
      </c>
      <c r="G1385" s="71" t="str">
        <f>MID(F1385,1,2)</f>
        <v>US</v>
      </c>
      <c r="H1385" s="43" t="s">
        <v>2585</v>
      </c>
      <c r="I1385" s="71" t="s">
        <v>2593</v>
      </c>
      <c r="J1385" s="71" t="s">
        <v>386</v>
      </c>
      <c r="K1385" s="43"/>
      <c r="L1385" s="71" t="s">
        <v>107</v>
      </c>
      <c r="M1385" s="73">
        <v>19</v>
      </c>
      <c r="N1385" s="71" t="s">
        <v>388</v>
      </c>
      <c r="O1385" s="73">
        <v>0.192</v>
      </c>
      <c r="P1385" s="71" t="s">
        <v>389</v>
      </c>
      <c r="Q1385" s="73">
        <v>32</v>
      </c>
      <c r="R1385" s="71" t="s">
        <v>388</v>
      </c>
      <c r="S1385" s="73">
        <v>0</v>
      </c>
      <c r="T1385" s="71" t="s">
        <v>390</v>
      </c>
      <c r="U1385" s="74">
        <v>1</v>
      </c>
      <c r="V1385" s="71" t="s">
        <v>391</v>
      </c>
      <c r="W1385" s="130">
        <v>46068.417361111111</v>
      </c>
      <c r="X1385" s="72">
        <v>46071.041666666664</v>
      </c>
      <c r="Y1385" s="72">
        <v>46071.326388888891</v>
      </c>
      <c r="Z1385" s="104" t="s">
        <v>382</v>
      </c>
      <c r="AA1385" s="104" t="s">
        <v>433</v>
      </c>
      <c r="AB1385" s="105">
        <v>46071.04583333333</v>
      </c>
      <c r="AC1385" s="105">
        <v>46071.3125</v>
      </c>
    </row>
    <row r="1386" s="70" customFormat="1" ht="11.25" customHeight="1">
      <c r="A1386" s="87"/>
      <c r="C1386" s="43" t="s">
        <v>2594</v>
      </c>
      <c r="D1386" s="71" t="s">
        <v>382</v>
      </c>
      <c r="E1386" s="71" t="str">
        <f>MID(D1386,1,2)</f>
        <v>IL</v>
      </c>
      <c r="F1386" s="71" t="s">
        <v>817</v>
      </c>
      <c r="G1386" s="71" t="str">
        <f>MID(F1386,1,2)</f>
        <v>IN</v>
      </c>
      <c r="H1386" s="43" t="s">
        <v>2595</v>
      </c>
      <c r="I1386" s="71" t="s">
        <v>2596</v>
      </c>
      <c r="J1386" s="71" t="s">
        <v>400</v>
      </c>
      <c r="K1386" s="43"/>
      <c r="L1386" s="71" t="s">
        <v>105</v>
      </c>
      <c r="M1386" s="73">
        <v>50</v>
      </c>
      <c r="N1386" s="71" t="s">
        <v>388</v>
      </c>
      <c r="O1386" s="73">
        <v>0.248</v>
      </c>
      <c r="P1386" s="71" t="s">
        <v>389</v>
      </c>
      <c r="Q1386" s="73">
        <v>50</v>
      </c>
      <c r="R1386" s="71" t="s">
        <v>388</v>
      </c>
      <c r="S1386" s="73">
        <v>0</v>
      </c>
      <c r="T1386" s="71" t="s">
        <v>390</v>
      </c>
      <c r="U1386" s="74">
        <v>7</v>
      </c>
      <c r="V1386" s="71" t="s">
        <v>391</v>
      </c>
      <c r="W1386" s="130"/>
      <c r="X1386" s="72">
        <v>46070.486111111109</v>
      </c>
      <c r="Y1386" s="72">
        <v>46070.868055555555</v>
      </c>
      <c r="Z1386" s="104" t="s">
        <v>382</v>
      </c>
      <c r="AA1386" s="104" t="s">
        <v>817</v>
      </c>
      <c r="AB1386" s="105">
        <v>46070.484722222223</v>
      </c>
      <c r="AC1386" s="105">
        <v>46070.870138888888</v>
      </c>
    </row>
    <row r="1387" s="70" customFormat="1" ht="11.25" customHeight="1">
      <c r="A1387" s="87"/>
      <c r="C1387" s="43" t="s">
        <v>2597</v>
      </c>
      <c r="D1387" s="71" t="s">
        <v>382</v>
      </c>
      <c r="E1387" s="71" t="str">
        <f>MID(D1387,1,2)</f>
        <v>IL</v>
      </c>
      <c r="F1387" s="71" t="s">
        <v>1117</v>
      </c>
      <c r="G1387" s="71" t="str">
        <f>MID(F1387,1,2)</f>
        <v>BE</v>
      </c>
      <c r="H1387" s="43" t="s">
        <v>2598</v>
      </c>
      <c r="I1387" s="71" t="s">
        <v>2599</v>
      </c>
      <c r="J1387" s="71" t="s">
        <v>426</v>
      </c>
      <c r="K1387" s="43"/>
      <c r="L1387" s="71" t="s">
        <v>105</v>
      </c>
      <c r="M1387" s="73">
        <v>12</v>
      </c>
      <c r="N1387" s="71" t="s">
        <v>388</v>
      </c>
      <c r="O1387" s="73">
        <v>0.087</v>
      </c>
      <c r="P1387" s="71" t="s">
        <v>389</v>
      </c>
      <c r="Q1387" s="73">
        <v>14.5</v>
      </c>
      <c r="R1387" s="71" t="s">
        <v>388</v>
      </c>
      <c r="S1387" s="73">
        <v>0</v>
      </c>
      <c r="T1387" s="71" t="s">
        <v>390</v>
      </c>
      <c r="U1387" s="74">
        <v>1</v>
      </c>
      <c r="V1387" s="71" t="s">
        <v>391</v>
      </c>
      <c r="W1387" s="130">
        <v>46068.423611111109</v>
      </c>
      <c r="X1387" s="72">
        <v>46070.013888888891</v>
      </c>
      <c r="Y1387" s="72">
        <v>46072.763888888891</v>
      </c>
      <c r="Z1387" s="104" t="s">
        <v>382</v>
      </c>
      <c r="AA1387" s="104" t="s">
        <v>496</v>
      </c>
      <c r="AB1387" s="105">
        <v>46070.013888888891</v>
      </c>
      <c r="AC1387" s="105"/>
    </row>
    <row r="1388" s="70" customFormat="1" ht="11.25" customHeight="1">
      <c r="A1388" s="87"/>
      <c r="C1388" s="43" t="s">
        <v>2597</v>
      </c>
      <c r="D1388" s="71" t="s">
        <v>382</v>
      </c>
      <c r="E1388" s="71" t="str">
        <f>MID(D1388,1,2)</f>
        <v>IL</v>
      </c>
      <c r="F1388" s="71" t="s">
        <v>1117</v>
      </c>
      <c r="G1388" s="71" t="str">
        <f>MID(F1388,1,2)</f>
        <v>BE</v>
      </c>
      <c r="H1388" s="43" t="s">
        <v>2598</v>
      </c>
      <c r="I1388" s="71" t="s">
        <v>2599</v>
      </c>
      <c r="J1388" s="71" t="s">
        <v>426</v>
      </c>
      <c r="K1388" s="43"/>
      <c r="L1388" s="71" t="s">
        <v>105</v>
      </c>
      <c r="M1388" s="73">
        <v>12</v>
      </c>
      <c r="N1388" s="71" t="s">
        <v>388</v>
      </c>
      <c r="O1388" s="73">
        <v>0.087</v>
      </c>
      <c r="P1388" s="71" t="s">
        <v>389</v>
      </c>
      <c r="Q1388" s="73">
        <v>14.5</v>
      </c>
      <c r="R1388" s="71" t="s">
        <v>388</v>
      </c>
      <c r="S1388" s="73">
        <v>0</v>
      </c>
      <c r="T1388" s="71" t="s">
        <v>390</v>
      </c>
      <c r="U1388" s="74">
        <v>1</v>
      </c>
      <c r="V1388" s="71" t="s">
        <v>391</v>
      </c>
      <c r="W1388" s="130">
        <v>46068.423611111109</v>
      </c>
      <c r="X1388" s="72">
        <v>46070.013888888891</v>
      </c>
      <c r="Y1388" s="72">
        <v>46072.763888888891</v>
      </c>
      <c r="Z1388" s="104" t="s">
        <v>496</v>
      </c>
      <c r="AA1388" s="104" t="s">
        <v>1117</v>
      </c>
      <c r="AB1388" s="105">
        <v>46072.652777777781</v>
      </c>
      <c r="AC1388" s="105">
        <v>46072.898611111108</v>
      </c>
    </row>
    <row r="1389" s="70" customFormat="1" ht="11.25" customHeight="1">
      <c r="A1389" s="87"/>
      <c r="C1389" s="43" t="s">
        <v>2600</v>
      </c>
      <c r="D1389" s="71" t="s">
        <v>382</v>
      </c>
      <c r="E1389" s="71" t="str">
        <f>MID(D1389,1,2)</f>
        <v>IL</v>
      </c>
      <c r="F1389" s="71" t="s">
        <v>414</v>
      </c>
      <c r="G1389" s="71" t="str">
        <f>MID(F1389,1,2)</f>
        <v>US</v>
      </c>
      <c r="H1389" s="43" t="s">
        <v>2601</v>
      </c>
      <c r="I1389" s="71" t="s">
        <v>2602</v>
      </c>
      <c r="J1389" s="71" t="s">
        <v>426</v>
      </c>
      <c r="K1389" s="43"/>
      <c r="L1389" s="71" t="s">
        <v>105</v>
      </c>
      <c r="M1389" s="73">
        <v>119</v>
      </c>
      <c r="N1389" s="71" t="s">
        <v>388</v>
      </c>
      <c r="O1389" s="73">
        <v>0.882</v>
      </c>
      <c r="P1389" s="71" t="s">
        <v>389</v>
      </c>
      <c r="Q1389" s="73">
        <v>147</v>
      </c>
      <c r="R1389" s="71" t="s">
        <v>388</v>
      </c>
      <c r="S1389" s="73">
        <v>0</v>
      </c>
      <c r="T1389" s="71" t="s">
        <v>390</v>
      </c>
      <c r="U1389" s="74">
        <v>3</v>
      </c>
      <c r="V1389" s="71" t="s">
        <v>391</v>
      </c>
      <c r="W1389" s="130">
        <v>46068.500694444447</v>
      </c>
      <c r="X1389" s="72">
        <v>46070.03125</v>
      </c>
      <c r="Y1389" s="72">
        <v>46070.381944444445</v>
      </c>
      <c r="Z1389" s="104" t="s">
        <v>382</v>
      </c>
      <c r="AA1389" s="104" t="s">
        <v>414</v>
      </c>
      <c r="AB1389" s="105">
        <v>46070.03125</v>
      </c>
      <c r="AC1389" s="105">
        <v>46070.217361111114</v>
      </c>
    </row>
    <row r="1390" s="70" customFormat="1" ht="11.25" customHeight="1">
      <c r="A1390" s="87"/>
      <c r="C1390" s="43" t="s">
        <v>2603</v>
      </c>
      <c r="D1390" s="71" t="s">
        <v>382</v>
      </c>
      <c r="E1390" s="71" t="str">
        <f>MID(D1390,1,2)</f>
        <v>IL</v>
      </c>
      <c r="F1390" s="71" t="s">
        <v>414</v>
      </c>
      <c r="G1390" s="71" t="str">
        <f>MID(F1390,1,2)</f>
        <v>US</v>
      </c>
      <c r="H1390" s="43" t="s">
        <v>2577</v>
      </c>
      <c r="I1390" s="71" t="s">
        <v>2604</v>
      </c>
      <c r="J1390" s="71" t="s">
        <v>426</v>
      </c>
      <c r="K1390" s="43" t="s">
        <v>431</v>
      </c>
      <c r="L1390" s="71" t="s">
        <v>105</v>
      </c>
      <c r="M1390" s="73">
        <v>1</v>
      </c>
      <c r="N1390" s="71" t="s">
        <v>388</v>
      </c>
      <c r="O1390" s="73">
        <v>0.009</v>
      </c>
      <c r="P1390" s="71" t="s">
        <v>389</v>
      </c>
      <c r="Q1390" s="73">
        <v>1.5</v>
      </c>
      <c r="R1390" s="71" t="s">
        <v>388</v>
      </c>
      <c r="S1390" s="73">
        <v>0</v>
      </c>
      <c r="T1390" s="71" t="s">
        <v>390</v>
      </c>
      <c r="U1390" s="74">
        <v>1</v>
      </c>
      <c r="V1390" s="71" t="s">
        <v>427</v>
      </c>
      <c r="W1390" s="130">
        <v>46068.864849537036</v>
      </c>
      <c r="X1390" s="72">
        <v>46071.03125</v>
      </c>
      <c r="Y1390" s="72">
        <v>46072.239583333336</v>
      </c>
      <c r="Z1390" s="104" t="s">
        <v>382</v>
      </c>
      <c r="AA1390" s="104" t="s">
        <v>414</v>
      </c>
      <c r="AB1390" s="105">
        <v>46071.546527777777</v>
      </c>
      <c r="AC1390" s="105">
        <v>46071.748611111114</v>
      </c>
    </row>
    <row r="1391" s="70" customFormat="1" ht="11.25" customHeight="1">
      <c r="A1391" s="87"/>
      <c r="C1391" s="43" t="s">
        <v>2605</v>
      </c>
      <c r="D1391" s="71" t="s">
        <v>382</v>
      </c>
      <c r="E1391" s="71" t="str">
        <f>MID(D1391,1,2)</f>
        <v>IL</v>
      </c>
      <c r="F1391" s="71" t="s">
        <v>419</v>
      </c>
      <c r="G1391" s="71" t="str">
        <f>MID(F1391,1,2)</f>
        <v>US</v>
      </c>
      <c r="H1391" s="43" t="s">
        <v>2606</v>
      </c>
      <c r="I1391" s="71" t="s">
        <v>2607</v>
      </c>
      <c r="J1391" s="71" t="s">
        <v>386</v>
      </c>
      <c r="K1391" s="43"/>
      <c r="L1391" s="71" t="s">
        <v>107</v>
      </c>
      <c r="M1391" s="73">
        <v>3</v>
      </c>
      <c r="N1391" s="71" t="s">
        <v>388</v>
      </c>
      <c r="O1391" s="73">
        <v>0.047</v>
      </c>
      <c r="P1391" s="71" t="s">
        <v>389</v>
      </c>
      <c r="Q1391" s="73">
        <v>8</v>
      </c>
      <c r="R1391" s="71" t="s">
        <v>388</v>
      </c>
      <c r="S1391" s="73">
        <v>0</v>
      </c>
      <c r="T1391" s="71" t="s">
        <v>390</v>
      </c>
      <c r="U1391" s="74">
        <v>1</v>
      </c>
      <c r="V1391" s="71" t="s">
        <v>391</v>
      </c>
      <c r="W1391" s="130">
        <v>46068.795219907406</v>
      </c>
      <c r="X1391" s="72">
        <v>46069.479166666664</v>
      </c>
      <c r="Y1391" s="72">
        <v>46070.656944444447</v>
      </c>
      <c r="Z1391" s="104" t="s">
        <v>382</v>
      </c>
      <c r="AA1391" s="104" t="s">
        <v>422</v>
      </c>
      <c r="AB1391" s="105">
        <v>46069.553472222222</v>
      </c>
      <c r="AC1391" s="105">
        <v>46069.73125</v>
      </c>
    </row>
    <row r="1392" s="70" customFormat="1" ht="11.25" customHeight="1">
      <c r="A1392" s="87"/>
      <c r="C1392" s="43" t="s">
        <v>2605</v>
      </c>
      <c r="D1392" s="71" t="s">
        <v>382</v>
      </c>
      <c r="E1392" s="71" t="str">
        <f>MID(D1392,1,2)</f>
        <v>IL</v>
      </c>
      <c r="F1392" s="71" t="s">
        <v>419</v>
      </c>
      <c r="G1392" s="71" t="str">
        <f>MID(F1392,1,2)</f>
        <v>US</v>
      </c>
      <c r="H1392" s="43" t="s">
        <v>2606</v>
      </c>
      <c r="I1392" s="71" t="s">
        <v>2607</v>
      </c>
      <c r="J1392" s="71" t="s">
        <v>386</v>
      </c>
      <c r="K1392" s="43"/>
      <c r="L1392" s="71" t="s">
        <v>107</v>
      </c>
      <c r="M1392" s="73">
        <v>3</v>
      </c>
      <c r="N1392" s="71" t="s">
        <v>388</v>
      </c>
      <c r="O1392" s="73">
        <v>0.047</v>
      </c>
      <c r="P1392" s="71" t="s">
        <v>389</v>
      </c>
      <c r="Q1392" s="73">
        <v>8</v>
      </c>
      <c r="R1392" s="71" t="s">
        <v>388</v>
      </c>
      <c r="S1392" s="73">
        <v>0</v>
      </c>
      <c r="T1392" s="71" t="s">
        <v>390</v>
      </c>
      <c r="U1392" s="74">
        <v>1</v>
      </c>
      <c r="V1392" s="71" t="s">
        <v>391</v>
      </c>
      <c r="W1392" s="130">
        <v>46068.795219907406</v>
      </c>
      <c r="X1392" s="72">
        <v>46069.479166666664</v>
      </c>
      <c r="Y1392" s="72">
        <v>46070.656944444447</v>
      </c>
      <c r="Z1392" s="104" t="s">
        <v>422</v>
      </c>
      <c r="AA1392" s="104" t="s">
        <v>419</v>
      </c>
      <c r="AB1392" s="105">
        <v>46070.560416666667</v>
      </c>
      <c r="AC1392" s="105">
        <v>46070.648611111108</v>
      </c>
    </row>
    <row r="1393" s="70" customFormat="1" ht="11.25" customHeight="1">
      <c r="A1393" s="87"/>
      <c r="C1393" s="43" t="s">
        <v>2608</v>
      </c>
      <c r="D1393" s="71" t="s">
        <v>382</v>
      </c>
      <c r="E1393" s="71" t="str">
        <f>MID(D1393,1,2)</f>
        <v>IL</v>
      </c>
      <c r="F1393" s="71" t="s">
        <v>414</v>
      </c>
      <c r="G1393" s="71" t="str">
        <f>MID(F1393,1,2)</f>
        <v>US</v>
      </c>
      <c r="H1393" s="43" t="s">
        <v>2577</v>
      </c>
      <c r="I1393" s="71" t="s">
        <v>2609</v>
      </c>
      <c r="J1393" s="71" t="s">
        <v>426</v>
      </c>
      <c r="K1393" s="43" t="s">
        <v>759</v>
      </c>
      <c r="L1393" s="71" t="s">
        <v>105</v>
      </c>
      <c r="M1393" s="73">
        <v>1</v>
      </c>
      <c r="N1393" s="71" t="s">
        <v>388</v>
      </c>
      <c r="O1393" s="73">
        <v>0.009</v>
      </c>
      <c r="P1393" s="71" t="s">
        <v>389</v>
      </c>
      <c r="Q1393" s="73">
        <v>1.5</v>
      </c>
      <c r="R1393" s="71" t="s">
        <v>388</v>
      </c>
      <c r="S1393" s="73">
        <v>0</v>
      </c>
      <c r="T1393" s="71" t="s">
        <v>390</v>
      </c>
      <c r="U1393" s="74">
        <v>1</v>
      </c>
      <c r="V1393" s="71" t="s">
        <v>427</v>
      </c>
      <c r="W1393" s="130">
        <v>46068.423611111109</v>
      </c>
      <c r="X1393" s="72">
        <v>46071.03125</v>
      </c>
      <c r="Y1393" s="72">
        <v>46072.239583333336</v>
      </c>
      <c r="Z1393" s="104" t="s">
        <v>382</v>
      </c>
      <c r="AA1393" s="104" t="s">
        <v>414</v>
      </c>
      <c r="AB1393" s="105">
        <v>46071.546527777777</v>
      </c>
      <c r="AC1393" s="105">
        <v>46071.748611111114</v>
      </c>
    </row>
    <row r="1394" s="70" customFormat="1" ht="11.25" customHeight="1">
      <c r="A1394" s="87"/>
      <c r="C1394" s="43" t="s">
        <v>2610</v>
      </c>
      <c r="D1394" s="71" t="s">
        <v>382</v>
      </c>
      <c r="E1394" s="71" t="str">
        <f>MID(D1394,1,2)</f>
        <v>IL</v>
      </c>
      <c r="F1394" s="71" t="s">
        <v>414</v>
      </c>
      <c r="G1394" s="71" t="str">
        <f>MID(F1394,1,2)</f>
        <v>US</v>
      </c>
      <c r="H1394" s="43" t="s">
        <v>2577</v>
      </c>
      <c r="I1394" s="71" t="s">
        <v>2611</v>
      </c>
      <c r="J1394" s="71" t="s">
        <v>426</v>
      </c>
      <c r="K1394" s="43" t="s">
        <v>431</v>
      </c>
      <c r="L1394" s="71" t="s">
        <v>105</v>
      </c>
      <c r="M1394" s="73">
        <v>1</v>
      </c>
      <c r="N1394" s="71" t="s">
        <v>388</v>
      </c>
      <c r="O1394" s="73">
        <v>0.009</v>
      </c>
      <c r="P1394" s="71" t="s">
        <v>389</v>
      </c>
      <c r="Q1394" s="73">
        <v>1.5</v>
      </c>
      <c r="R1394" s="71" t="s">
        <v>388</v>
      </c>
      <c r="S1394" s="73">
        <v>0</v>
      </c>
      <c r="T1394" s="71" t="s">
        <v>390</v>
      </c>
      <c r="U1394" s="74">
        <v>1</v>
      </c>
      <c r="V1394" s="71" t="s">
        <v>427</v>
      </c>
      <c r="W1394" s="130">
        <v>46068.431944444441</v>
      </c>
      <c r="X1394" s="72">
        <v>46071.03125</v>
      </c>
      <c r="Y1394" s="72">
        <v>46072.239583333336</v>
      </c>
      <c r="Z1394" s="104" t="s">
        <v>382</v>
      </c>
      <c r="AA1394" s="104" t="s">
        <v>414</v>
      </c>
      <c r="AB1394" s="105">
        <v>46071.546527777777</v>
      </c>
      <c r="AC1394" s="105">
        <v>46071.748611111114</v>
      </c>
    </row>
    <row r="1395" s="70" customFormat="1" ht="11.25" customHeight="1">
      <c r="A1395" s="87"/>
      <c r="C1395" s="43" t="s">
        <v>2612</v>
      </c>
      <c r="D1395" s="71" t="s">
        <v>382</v>
      </c>
      <c r="E1395" s="71" t="str">
        <f>MID(D1395,1,2)</f>
        <v>IL</v>
      </c>
      <c r="F1395" s="71" t="s">
        <v>433</v>
      </c>
      <c r="G1395" s="71" t="str">
        <f>MID(F1395,1,2)</f>
        <v>US</v>
      </c>
      <c r="H1395" s="43" t="s">
        <v>2613</v>
      </c>
      <c r="I1395" s="71" t="s">
        <v>2614</v>
      </c>
      <c r="J1395" s="71" t="s">
        <v>386</v>
      </c>
      <c r="K1395" s="43"/>
      <c r="L1395" s="71" t="s">
        <v>107</v>
      </c>
      <c r="M1395" s="73">
        <v>2</v>
      </c>
      <c r="N1395" s="71" t="s">
        <v>388</v>
      </c>
      <c r="O1395" s="73">
        <v>0.024</v>
      </c>
      <c r="P1395" s="71" t="s">
        <v>389</v>
      </c>
      <c r="Q1395" s="73">
        <v>4</v>
      </c>
      <c r="R1395" s="71" t="s">
        <v>388</v>
      </c>
      <c r="S1395" s="73">
        <v>0</v>
      </c>
      <c r="T1395" s="71" t="s">
        <v>390</v>
      </c>
      <c r="U1395" s="74">
        <v>1</v>
      </c>
      <c r="V1395" s="71" t="s">
        <v>391</v>
      </c>
      <c r="W1395" s="130">
        <v>46068.4375</v>
      </c>
      <c r="X1395" s="72">
        <v>46070.041666666664</v>
      </c>
      <c r="Y1395" s="72">
        <v>46071.326388888891</v>
      </c>
      <c r="Z1395" s="104" t="s">
        <v>382</v>
      </c>
      <c r="AA1395" s="104" t="s">
        <v>433</v>
      </c>
      <c r="AB1395" s="105">
        <v>46070.040972222225</v>
      </c>
      <c r="AC1395" s="105">
        <v>46070.304166666669</v>
      </c>
    </row>
    <row r="1396" s="70" customFormat="1" ht="11.25" customHeight="1">
      <c r="A1396" s="87"/>
      <c r="C1396" s="43" t="s">
        <v>2615</v>
      </c>
      <c r="D1396" s="71" t="s">
        <v>382</v>
      </c>
      <c r="E1396" s="71" t="str">
        <f>MID(D1396,1,2)</f>
        <v>IL</v>
      </c>
      <c r="F1396" s="71" t="s">
        <v>651</v>
      </c>
      <c r="G1396" s="71" t="str">
        <f>MID(F1396,1,2)</f>
        <v>BR</v>
      </c>
      <c r="H1396" s="43" t="s">
        <v>2616</v>
      </c>
      <c r="I1396" s="71" t="s">
        <v>2617</v>
      </c>
      <c r="J1396" s="71" t="s">
        <v>386</v>
      </c>
      <c r="K1396" s="43"/>
      <c r="L1396" s="71" t="s">
        <v>107</v>
      </c>
      <c r="M1396" s="73">
        <v>60</v>
      </c>
      <c r="N1396" s="71" t="s">
        <v>388</v>
      </c>
      <c r="O1396" s="73">
        <v>0.625</v>
      </c>
      <c r="P1396" s="71" t="s">
        <v>389</v>
      </c>
      <c r="Q1396" s="73">
        <v>104.5</v>
      </c>
      <c r="R1396" s="71" t="s">
        <v>388</v>
      </c>
      <c r="S1396" s="73">
        <v>0</v>
      </c>
      <c r="T1396" s="71" t="s">
        <v>390</v>
      </c>
      <c r="U1396" s="74">
        <v>1</v>
      </c>
      <c r="V1396" s="71" t="s">
        <v>391</v>
      </c>
      <c r="W1396" s="130">
        <v>46068.45208333333</v>
      </c>
      <c r="X1396" s="72">
        <v>46070.584722222222</v>
      </c>
      <c r="Y1396" s="72">
        <v>46073.270833333336</v>
      </c>
      <c r="Z1396" s="104" t="s">
        <v>382</v>
      </c>
      <c r="AA1396" s="104" t="s">
        <v>590</v>
      </c>
      <c r="AB1396" s="105">
        <v>46070.816666666666</v>
      </c>
      <c r="AC1396" s="105">
        <v>46071.020138888889</v>
      </c>
    </row>
    <row r="1397" s="70" customFormat="1" ht="11.25" customHeight="1">
      <c r="A1397" s="87"/>
      <c r="C1397" s="43" t="s">
        <v>2615</v>
      </c>
      <c r="D1397" s="71" t="s">
        <v>382</v>
      </c>
      <c r="E1397" s="71" t="str">
        <f>MID(D1397,1,2)</f>
        <v>IL</v>
      </c>
      <c r="F1397" s="71" t="s">
        <v>651</v>
      </c>
      <c r="G1397" s="71" t="str">
        <f>MID(F1397,1,2)</f>
        <v>BR</v>
      </c>
      <c r="H1397" s="43" t="s">
        <v>2616</v>
      </c>
      <c r="I1397" s="71" t="s">
        <v>2617</v>
      </c>
      <c r="J1397" s="71" t="s">
        <v>386</v>
      </c>
      <c r="K1397" s="43"/>
      <c r="L1397" s="71" t="s">
        <v>107</v>
      </c>
      <c r="M1397" s="73">
        <v>60</v>
      </c>
      <c r="N1397" s="71" t="s">
        <v>388</v>
      </c>
      <c r="O1397" s="73">
        <v>0.625</v>
      </c>
      <c r="P1397" s="71" t="s">
        <v>389</v>
      </c>
      <c r="Q1397" s="73">
        <v>104.5</v>
      </c>
      <c r="R1397" s="71" t="s">
        <v>388</v>
      </c>
      <c r="S1397" s="73">
        <v>0</v>
      </c>
      <c r="T1397" s="71" t="s">
        <v>390</v>
      </c>
      <c r="U1397" s="74">
        <v>1</v>
      </c>
      <c r="V1397" s="71" t="s">
        <v>391</v>
      </c>
      <c r="W1397" s="130">
        <v>46068.45208333333</v>
      </c>
      <c r="X1397" s="72">
        <v>46070.584722222222</v>
      </c>
      <c r="Y1397" s="72">
        <v>46073.270833333336</v>
      </c>
      <c r="Z1397" s="104" t="s">
        <v>590</v>
      </c>
      <c r="AA1397" s="104" t="s">
        <v>651</v>
      </c>
      <c r="AB1397" s="105">
        <v>46073.038888888892</v>
      </c>
      <c r="AC1397" s="105">
        <v>46073.294444444444</v>
      </c>
    </row>
    <row r="1398" s="70" customFormat="1" ht="11.25" customHeight="1">
      <c r="A1398" s="87"/>
      <c r="C1398" s="43" t="s">
        <v>2618</v>
      </c>
      <c r="D1398" s="71" t="s">
        <v>382</v>
      </c>
      <c r="E1398" s="71" t="str">
        <f>MID(D1398,1,2)</f>
        <v>IL</v>
      </c>
      <c r="F1398" s="71" t="s">
        <v>414</v>
      </c>
      <c r="G1398" s="71" t="str">
        <f>MID(F1398,1,2)</f>
        <v>US</v>
      </c>
      <c r="H1398" s="43" t="s">
        <v>2601</v>
      </c>
      <c r="I1398" s="71" t="s">
        <v>2619</v>
      </c>
      <c r="J1398" s="71" t="s">
        <v>426</v>
      </c>
      <c r="K1398" s="43"/>
      <c r="L1398" s="71" t="s">
        <v>105</v>
      </c>
      <c r="M1398" s="73">
        <v>32</v>
      </c>
      <c r="N1398" s="71" t="s">
        <v>388</v>
      </c>
      <c r="O1398" s="73">
        <v>0.275</v>
      </c>
      <c r="P1398" s="71" t="s">
        <v>389</v>
      </c>
      <c r="Q1398" s="73">
        <v>100</v>
      </c>
      <c r="R1398" s="71" t="s">
        <v>388</v>
      </c>
      <c r="S1398" s="73">
        <v>0</v>
      </c>
      <c r="T1398" s="71" t="s">
        <v>390</v>
      </c>
      <c r="U1398" s="74">
        <v>1</v>
      </c>
      <c r="V1398" s="71" t="s">
        <v>391</v>
      </c>
      <c r="W1398" s="130">
        <v>46068.507638888892</v>
      </c>
      <c r="X1398" s="72">
        <v>46070.03125</v>
      </c>
      <c r="Y1398" s="72">
        <v>46070.381944444445</v>
      </c>
      <c r="Z1398" s="104" t="s">
        <v>382</v>
      </c>
      <c r="AA1398" s="104" t="s">
        <v>414</v>
      </c>
      <c r="AB1398" s="105">
        <v>46070.03125</v>
      </c>
      <c r="AC1398" s="105">
        <v>46070.217361111114</v>
      </c>
    </row>
    <row r="1399" s="70" customFormat="1" ht="11.25" customHeight="1">
      <c r="A1399" s="87"/>
      <c r="C1399" s="43" t="s">
        <v>2620</v>
      </c>
      <c r="D1399" s="71" t="s">
        <v>382</v>
      </c>
      <c r="E1399" s="71" t="str">
        <f>MID(D1399,1,2)</f>
        <v>IL</v>
      </c>
      <c r="F1399" s="71" t="s">
        <v>963</v>
      </c>
      <c r="G1399" s="71" t="str">
        <f>MID(F1399,1,2)</f>
        <v>IN</v>
      </c>
      <c r="H1399" s="43" t="s">
        <v>2621</v>
      </c>
      <c r="I1399" s="71" t="s">
        <v>2622</v>
      </c>
      <c r="J1399" s="71" t="s">
        <v>483</v>
      </c>
      <c r="K1399" s="43"/>
      <c r="L1399" s="71" t="s">
        <v>105</v>
      </c>
      <c r="M1399" s="73">
        <v>11</v>
      </c>
      <c r="N1399" s="71" t="s">
        <v>388</v>
      </c>
      <c r="O1399" s="73">
        <v>0.03</v>
      </c>
      <c r="P1399" s="71" t="s">
        <v>389</v>
      </c>
      <c r="Q1399" s="73">
        <v>11</v>
      </c>
      <c r="R1399" s="71" t="s">
        <v>388</v>
      </c>
      <c r="S1399" s="73">
        <v>0</v>
      </c>
      <c r="T1399" s="71" t="s">
        <v>390</v>
      </c>
      <c r="U1399" s="74">
        <v>1</v>
      </c>
      <c r="V1399" s="71" t="s">
        <v>391</v>
      </c>
      <c r="W1399" s="130">
        <v>46068.84033564815</v>
      </c>
      <c r="X1399" s="72">
        <v>46070.715277777781</v>
      </c>
      <c r="Y1399" s="72">
        <v>46072.052083333336</v>
      </c>
      <c r="Z1399" s="104" t="s">
        <v>382</v>
      </c>
      <c r="AA1399" s="104" t="s">
        <v>667</v>
      </c>
      <c r="AB1399" s="105">
        <v>46070.70416666667</v>
      </c>
      <c r="AC1399" s="105">
        <v>46070.827777777777</v>
      </c>
    </row>
    <row r="1400" s="70" customFormat="1" ht="11.25" customHeight="1">
      <c r="A1400" s="87"/>
      <c r="C1400" s="43" t="s">
        <v>2620</v>
      </c>
      <c r="D1400" s="71" t="s">
        <v>382</v>
      </c>
      <c r="E1400" s="71" t="str">
        <f>MID(D1400,1,2)</f>
        <v>IL</v>
      </c>
      <c r="F1400" s="71" t="s">
        <v>963</v>
      </c>
      <c r="G1400" s="71" t="str">
        <f>MID(F1400,1,2)</f>
        <v>IN</v>
      </c>
      <c r="H1400" s="43" t="s">
        <v>2621</v>
      </c>
      <c r="I1400" s="71" t="s">
        <v>2622</v>
      </c>
      <c r="J1400" s="71" t="s">
        <v>483</v>
      </c>
      <c r="K1400" s="43"/>
      <c r="L1400" s="71" t="s">
        <v>105</v>
      </c>
      <c r="M1400" s="73">
        <v>11</v>
      </c>
      <c r="N1400" s="71" t="s">
        <v>388</v>
      </c>
      <c r="O1400" s="73">
        <v>0.03</v>
      </c>
      <c r="P1400" s="71" t="s">
        <v>389</v>
      </c>
      <c r="Q1400" s="73">
        <v>11</v>
      </c>
      <c r="R1400" s="71" t="s">
        <v>388</v>
      </c>
      <c r="S1400" s="73">
        <v>0</v>
      </c>
      <c r="T1400" s="71" t="s">
        <v>390</v>
      </c>
      <c r="U1400" s="74">
        <v>1</v>
      </c>
      <c r="V1400" s="71" t="s">
        <v>391</v>
      </c>
      <c r="W1400" s="130">
        <v>46068.84033564815</v>
      </c>
      <c r="X1400" s="72">
        <v>46070.715277777781</v>
      </c>
      <c r="Y1400" s="72">
        <v>46072.052083333336</v>
      </c>
      <c r="Z1400" s="104" t="s">
        <v>667</v>
      </c>
      <c r="AA1400" s="104" t="s">
        <v>963</v>
      </c>
      <c r="AB1400" s="105">
        <v>46071.509027777778</v>
      </c>
      <c r="AC1400" s="105">
        <v>46072.05972222222</v>
      </c>
    </row>
    <row r="1401" s="70" customFormat="1" ht="11.25" customHeight="1">
      <c r="A1401" s="87"/>
      <c r="C1401" s="43" t="s">
        <v>2623</v>
      </c>
      <c r="D1401" s="71" t="s">
        <v>382</v>
      </c>
      <c r="E1401" s="71" t="str">
        <f>MID(D1401,1,2)</f>
        <v>IL</v>
      </c>
      <c r="F1401" s="71" t="s">
        <v>702</v>
      </c>
      <c r="G1401" s="71" t="str">
        <f>MID(F1401,1,2)</f>
        <v>JP</v>
      </c>
      <c r="H1401" s="43" t="s">
        <v>2624</v>
      </c>
      <c r="I1401" s="71" t="s">
        <v>2625</v>
      </c>
      <c r="J1401" s="71" t="s">
        <v>483</v>
      </c>
      <c r="K1401" s="43"/>
      <c r="L1401" s="71" t="s">
        <v>105</v>
      </c>
      <c r="M1401" s="73">
        <v>98</v>
      </c>
      <c r="N1401" s="71" t="s">
        <v>388</v>
      </c>
      <c r="O1401" s="73">
        <v>0.594</v>
      </c>
      <c r="P1401" s="71" t="s">
        <v>389</v>
      </c>
      <c r="Q1401" s="73">
        <v>99</v>
      </c>
      <c r="R1401" s="71" t="s">
        <v>388</v>
      </c>
      <c r="S1401" s="73">
        <v>0</v>
      </c>
      <c r="T1401" s="71" t="s">
        <v>390</v>
      </c>
      <c r="U1401" s="74">
        <v>1</v>
      </c>
      <c r="V1401" s="71" t="s">
        <v>391</v>
      </c>
      <c r="W1401" s="130"/>
      <c r="X1401" s="72">
        <v>46070.461805555555</v>
      </c>
      <c r="Y1401" s="72">
        <v>46073.461805555555</v>
      </c>
      <c r="Z1401" s="104" t="s">
        <v>382</v>
      </c>
      <c r="AA1401" s="104" t="s">
        <v>465</v>
      </c>
      <c r="AB1401" s="105">
        <v>46071.370833333334</v>
      </c>
      <c r="AC1401" s="105">
        <v>46071.529861111114</v>
      </c>
    </row>
    <row r="1402" s="70" customFormat="1" ht="11.25" customHeight="1">
      <c r="A1402" s="87"/>
      <c r="C1402" s="43" t="s">
        <v>2623</v>
      </c>
      <c r="D1402" s="71" t="s">
        <v>382</v>
      </c>
      <c r="E1402" s="71" t="str">
        <f>MID(D1402,1,2)</f>
        <v>IL</v>
      </c>
      <c r="F1402" s="71" t="s">
        <v>702</v>
      </c>
      <c r="G1402" s="71" t="str">
        <f>MID(F1402,1,2)</f>
        <v>JP</v>
      </c>
      <c r="H1402" s="43" t="s">
        <v>2624</v>
      </c>
      <c r="I1402" s="71" t="s">
        <v>2625</v>
      </c>
      <c r="J1402" s="71" t="s">
        <v>483</v>
      </c>
      <c r="K1402" s="43"/>
      <c r="L1402" s="71" t="s">
        <v>105</v>
      </c>
      <c r="M1402" s="73">
        <v>98</v>
      </c>
      <c r="N1402" s="71" t="s">
        <v>388</v>
      </c>
      <c r="O1402" s="73">
        <v>0.594</v>
      </c>
      <c r="P1402" s="71" t="s">
        <v>389</v>
      </c>
      <c r="Q1402" s="73">
        <v>99</v>
      </c>
      <c r="R1402" s="71" t="s">
        <v>388</v>
      </c>
      <c r="S1402" s="73">
        <v>0</v>
      </c>
      <c r="T1402" s="71" t="s">
        <v>390</v>
      </c>
      <c r="U1402" s="74">
        <v>1</v>
      </c>
      <c r="V1402" s="71" t="s">
        <v>391</v>
      </c>
      <c r="W1402" s="130"/>
      <c r="X1402" s="72">
        <v>46070.461805555555</v>
      </c>
      <c r="Y1402" s="72">
        <v>46073.461805555555</v>
      </c>
      <c r="Z1402" s="104" t="s">
        <v>465</v>
      </c>
      <c r="AA1402" s="104" t="s">
        <v>702</v>
      </c>
      <c r="AB1402" s="105">
        <v>46072.94375</v>
      </c>
      <c r="AC1402" s="105">
        <v>46073.534722222219</v>
      </c>
    </row>
    <row r="1403" s="70" customFormat="1" ht="11.25" customHeight="1">
      <c r="A1403" s="87"/>
      <c r="C1403" s="43" t="s">
        <v>2626</v>
      </c>
      <c r="D1403" s="71" t="s">
        <v>382</v>
      </c>
      <c r="E1403" s="71" t="str">
        <f>MID(D1403,1,2)</f>
        <v>IL</v>
      </c>
      <c r="F1403" s="71" t="s">
        <v>414</v>
      </c>
      <c r="G1403" s="71" t="str">
        <f>MID(F1403,1,2)</f>
        <v>US</v>
      </c>
      <c r="H1403" s="43" t="s">
        <v>2577</v>
      </c>
      <c r="I1403" s="71" t="s">
        <v>2627</v>
      </c>
      <c r="J1403" s="71" t="s">
        <v>426</v>
      </c>
      <c r="K1403" s="43" t="s">
        <v>431</v>
      </c>
      <c r="L1403" s="71" t="s">
        <v>105</v>
      </c>
      <c r="M1403" s="73">
        <v>9</v>
      </c>
      <c r="N1403" s="71" t="s">
        <v>388</v>
      </c>
      <c r="O1403" s="73">
        <v>0.068</v>
      </c>
      <c r="P1403" s="71" t="s">
        <v>389</v>
      </c>
      <c r="Q1403" s="73">
        <v>11.5</v>
      </c>
      <c r="R1403" s="71" t="s">
        <v>388</v>
      </c>
      <c r="S1403" s="73">
        <v>0</v>
      </c>
      <c r="T1403" s="71" t="s">
        <v>390</v>
      </c>
      <c r="U1403" s="74">
        <v>1</v>
      </c>
      <c r="V1403" s="71" t="s">
        <v>427</v>
      </c>
      <c r="W1403" s="130">
        <v>46068.760509259257</v>
      </c>
      <c r="X1403" s="72">
        <v>46071.03125</v>
      </c>
      <c r="Y1403" s="72">
        <v>46072.239583333336</v>
      </c>
      <c r="Z1403" s="104" t="s">
        <v>382</v>
      </c>
      <c r="AA1403" s="104" t="s">
        <v>414</v>
      </c>
      <c r="AB1403" s="105">
        <v>46071.546527777777</v>
      </c>
      <c r="AC1403" s="105">
        <v>46071.748611111114</v>
      </c>
    </row>
    <row r="1404" s="70" customFormat="1" ht="11.25" customHeight="1">
      <c r="A1404" s="87"/>
      <c r="C1404" s="43" t="s">
        <v>2628</v>
      </c>
      <c r="D1404" s="71" t="s">
        <v>382</v>
      </c>
      <c r="E1404" s="71" t="str">
        <f>MID(D1404,1,2)</f>
        <v>IL</v>
      </c>
      <c r="F1404" s="71" t="s">
        <v>774</v>
      </c>
      <c r="G1404" s="71" t="str">
        <f>MID(F1404,1,2)</f>
        <v>CN</v>
      </c>
      <c r="H1404" s="43" t="s">
        <v>2629</v>
      </c>
      <c r="I1404" s="71" t="s">
        <v>2630</v>
      </c>
      <c r="J1404" s="71" t="s">
        <v>755</v>
      </c>
      <c r="K1404" s="43"/>
      <c r="L1404" s="71" t="s">
        <v>105</v>
      </c>
      <c r="M1404" s="73">
        <v>4.5</v>
      </c>
      <c r="N1404" s="71" t="s">
        <v>388</v>
      </c>
      <c r="O1404" s="73">
        <v>0.109</v>
      </c>
      <c r="P1404" s="71" t="s">
        <v>389</v>
      </c>
      <c r="Q1404" s="73">
        <v>18.5</v>
      </c>
      <c r="R1404" s="71" t="s">
        <v>388</v>
      </c>
      <c r="S1404" s="73">
        <v>0</v>
      </c>
      <c r="T1404" s="71" t="s">
        <v>390</v>
      </c>
      <c r="U1404" s="74">
        <v>1</v>
      </c>
      <c r="V1404" s="71" t="s">
        <v>391</v>
      </c>
      <c r="W1404" s="130">
        <v>46068.5799537037</v>
      </c>
      <c r="X1404" s="72">
        <v>46069.690972222219</v>
      </c>
      <c r="Y1404" s="72">
        <v>46071.305555555555</v>
      </c>
      <c r="Z1404" s="104" t="s">
        <v>382</v>
      </c>
      <c r="AA1404" s="104" t="s">
        <v>383</v>
      </c>
      <c r="AB1404" s="105">
        <v>46069.715277777781</v>
      </c>
      <c r="AC1404" s="105">
        <v>46069.838888888888</v>
      </c>
    </row>
    <row r="1405" s="70" customFormat="1" ht="11.25" customHeight="1">
      <c r="A1405" s="87"/>
      <c r="C1405" s="43" t="s">
        <v>2628</v>
      </c>
      <c r="D1405" s="71" t="s">
        <v>382</v>
      </c>
      <c r="E1405" s="71" t="str">
        <f>MID(D1405,1,2)</f>
        <v>IL</v>
      </c>
      <c r="F1405" s="71" t="s">
        <v>774</v>
      </c>
      <c r="G1405" s="71" t="str">
        <f>MID(F1405,1,2)</f>
        <v>CN</v>
      </c>
      <c r="H1405" s="43" t="s">
        <v>2629</v>
      </c>
      <c r="I1405" s="71" t="s">
        <v>2630</v>
      </c>
      <c r="J1405" s="71" t="s">
        <v>755</v>
      </c>
      <c r="K1405" s="43"/>
      <c r="L1405" s="71" t="s">
        <v>105</v>
      </c>
      <c r="M1405" s="73">
        <v>4.5</v>
      </c>
      <c r="N1405" s="71" t="s">
        <v>388</v>
      </c>
      <c r="O1405" s="73">
        <v>0.109</v>
      </c>
      <c r="P1405" s="71" t="s">
        <v>389</v>
      </c>
      <c r="Q1405" s="73">
        <v>18.5</v>
      </c>
      <c r="R1405" s="71" t="s">
        <v>388</v>
      </c>
      <c r="S1405" s="73">
        <v>0</v>
      </c>
      <c r="T1405" s="71" t="s">
        <v>390</v>
      </c>
      <c r="U1405" s="74">
        <v>1</v>
      </c>
      <c r="V1405" s="71" t="s">
        <v>391</v>
      </c>
      <c r="W1405" s="130">
        <v>46068.5799537037</v>
      </c>
      <c r="X1405" s="72">
        <v>46069.690972222219</v>
      </c>
      <c r="Y1405" s="72">
        <v>46071.305555555555</v>
      </c>
      <c r="Z1405" s="104" t="s">
        <v>383</v>
      </c>
      <c r="AA1405" s="104" t="s">
        <v>774</v>
      </c>
      <c r="AB1405" s="105">
        <v>46070.502083333333</v>
      </c>
      <c r="AC1405" s="105">
        <v>46071.254861111112</v>
      </c>
    </row>
    <row r="1406" s="70" customFormat="1" ht="11.25" customHeight="1">
      <c r="A1406" s="87"/>
      <c r="C1406" s="43" t="s">
        <v>2631</v>
      </c>
      <c r="D1406" s="71" t="s">
        <v>382</v>
      </c>
      <c r="E1406" s="71" t="str">
        <f>MID(D1406,1,2)</f>
        <v>IL</v>
      </c>
      <c r="F1406" s="71" t="s">
        <v>2453</v>
      </c>
      <c r="G1406" s="71" t="str">
        <f>MID(F1406,1,2)</f>
        <v>GE</v>
      </c>
      <c r="H1406" s="43" t="s">
        <v>2632</v>
      </c>
      <c r="I1406" s="71" t="s">
        <v>2633</v>
      </c>
      <c r="J1406" s="71" t="s">
        <v>400</v>
      </c>
      <c r="K1406" s="43"/>
      <c r="L1406" s="71" t="s">
        <v>105</v>
      </c>
      <c r="M1406" s="73">
        <v>94</v>
      </c>
      <c r="N1406" s="71" t="s">
        <v>388</v>
      </c>
      <c r="O1406" s="73">
        <v>0.595</v>
      </c>
      <c r="P1406" s="71" t="s">
        <v>389</v>
      </c>
      <c r="Q1406" s="73">
        <v>100</v>
      </c>
      <c r="R1406" s="71" t="s">
        <v>388</v>
      </c>
      <c r="S1406" s="73">
        <v>0</v>
      </c>
      <c r="T1406" s="71" t="s">
        <v>390</v>
      </c>
      <c r="U1406" s="74">
        <v>1</v>
      </c>
      <c r="V1406" s="71" t="s">
        <v>391</v>
      </c>
      <c r="W1406" s="130">
        <v>46068.46597222222</v>
      </c>
      <c r="X1406" s="72">
        <v>46070.229166666664</v>
      </c>
      <c r="Y1406" s="72">
        <v>46070.45416666667</v>
      </c>
      <c r="Z1406" s="104" t="s">
        <v>382</v>
      </c>
      <c r="AA1406" s="104" t="s">
        <v>2453</v>
      </c>
      <c r="AB1406" s="105">
        <v>46070.224305555559</v>
      </c>
      <c r="AC1406" s="105">
        <v>46070.4</v>
      </c>
    </row>
    <row r="1407" s="70" customFormat="1" ht="11.25" customHeight="1">
      <c r="A1407" s="87"/>
      <c r="C1407" s="43" t="s">
        <v>2634</v>
      </c>
      <c r="D1407" s="71" t="s">
        <v>382</v>
      </c>
      <c r="E1407" s="71" t="str">
        <f>MID(D1407,1,2)</f>
        <v>IL</v>
      </c>
      <c r="F1407" s="71" t="s">
        <v>510</v>
      </c>
      <c r="G1407" s="71" t="str">
        <f>MID(F1407,1,2)</f>
        <v>US</v>
      </c>
      <c r="H1407" s="43" t="s">
        <v>2635</v>
      </c>
      <c r="I1407" s="71" t="s">
        <v>2636</v>
      </c>
      <c r="J1407" s="71" t="s">
        <v>400</v>
      </c>
      <c r="K1407" s="43"/>
      <c r="L1407" s="71" t="s">
        <v>105</v>
      </c>
      <c r="M1407" s="73">
        <v>120</v>
      </c>
      <c r="N1407" s="71" t="s">
        <v>388</v>
      </c>
      <c r="O1407" s="73">
        <v>0.751</v>
      </c>
      <c r="P1407" s="71" t="s">
        <v>389</v>
      </c>
      <c r="Q1407" s="73">
        <v>125.5</v>
      </c>
      <c r="R1407" s="71" t="s">
        <v>388</v>
      </c>
      <c r="S1407" s="73">
        <v>0</v>
      </c>
      <c r="T1407" s="71" t="s">
        <v>390</v>
      </c>
      <c r="U1407" s="74">
        <v>1</v>
      </c>
      <c r="V1407" s="71" t="s">
        <v>391</v>
      </c>
      <c r="W1407" s="130">
        <v>46068.500694444447</v>
      </c>
      <c r="X1407" s="72">
        <v>46070.965277777781</v>
      </c>
      <c r="Y1407" s="72">
        <v>46071.640972222223</v>
      </c>
      <c r="Z1407" s="104" t="s">
        <v>382</v>
      </c>
      <c r="AA1407" s="104" t="s">
        <v>422</v>
      </c>
      <c r="AB1407" s="105">
        <v>46070.96597222222</v>
      </c>
      <c r="AC1407" s="105">
        <v>46071.173611111109</v>
      </c>
    </row>
    <row r="1408" s="70" customFormat="1" ht="11.25" customHeight="1">
      <c r="A1408" s="87"/>
      <c r="C1408" s="43" t="s">
        <v>2634</v>
      </c>
      <c r="D1408" s="71" t="s">
        <v>382</v>
      </c>
      <c r="E1408" s="71" t="str">
        <f>MID(D1408,1,2)</f>
        <v>IL</v>
      </c>
      <c r="F1408" s="71" t="s">
        <v>510</v>
      </c>
      <c r="G1408" s="71" t="str">
        <f>MID(F1408,1,2)</f>
        <v>US</v>
      </c>
      <c r="H1408" s="43" t="s">
        <v>2635</v>
      </c>
      <c r="I1408" s="71" t="s">
        <v>2636</v>
      </c>
      <c r="J1408" s="71" t="s">
        <v>400</v>
      </c>
      <c r="K1408" s="43"/>
      <c r="L1408" s="71" t="s">
        <v>105</v>
      </c>
      <c r="M1408" s="73">
        <v>120</v>
      </c>
      <c r="N1408" s="71" t="s">
        <v>388</v>
      </c>
      <c r="O1408" s="73">
        <v>0.751</v>
      </c>
      <c r="P1408" s="71" t="s">
        <v>389</v>
      </c>
      <c r="Q1408" s="73">
        <v>125.5</v>
      </c>
      <c r="R1408" s="71" t="s">
        <v>388</v>
      </c>
      <c r="S1408" s="73">
        <v>0</v>
      </c>
      <c r="T1408" s="71" t="s">
        <v>390</v>
      </c>
      <c r="U1408" s="74">
        <v>1</v>
      </c>
      <c r="V1408" s="71" t="s">
        <v>391</v>
      </c>
      <c r="W1408" s="130">
        <v>46068.500694444447</v>
      </c>
      <c r="X1408" s="72">
        <v>46070.965277777781</v>
      </c>
      <c r="Y1408" s="72">
        <v>46071.640972222223</v>
      </c>
      <c r="Z1408" s="104" t="s">
        <v>422</v>
      </c>
      <c r="AA1408" s="104" t="s">
        <v>510</v>
      </c>
      <c r="AB1408" s="105">
        <v>46071.50625</v>
      </c>
      <c r="AC1408" s="105">
        <v>46071.63958333333</v>
      </c>
    </row>
    <row r="1409" s="70" customFormat="1" ht="11.25" customHeight="1">
      <c r="A1409" s="87"/>
      <c r="C1409" s="43" t="s">
        <v>2637</v>
      </c>
      <c r="D1409" s="71" t="s">
        <v>382</v>
      </c>
      <c r="E1409" s="71" t="str">
        <f>MID(D1409,1,2)</f>
        <v>IL</v>
      </c>
      <c r="F1409" s="71" t="s">
        <v>2223</v>
      </c>
      <c r="G1409" s="71" t="str">
        <f>MID(F1409,1,2)</f>
        <v>GB</v>
      </c>
      <c r="H1409" s="43" t="s">
        <v>2638</v>
      </c>
      <c r="I1409" s="71" t="s">
        <v>2639</v>
      </c>
      <c r="J1409" s="71" t="s">
        <v>386</v>
      </c>
      <c r="K1409" s="43"/>
      <c r="L1409" s="71" t="s">
        <v>107</v>
      </c>
      <c r="M1409" s="73">
        <v>5</v>
      </c>
      <c r="N1409" s="71" t="s">
        <v>388</v>
      </c>
      <c r="O1409" s="73">
        <v>0.047</v>
      </c>
      <c r="P1409" s="71" t="s">
        <v>389</v>
      </c>
      <c r="Q1409" s="73">
        <v>8</v>
      </c>
      <c r="R1409" s="71" t="s">
        <v>388</v>
      </c>
      <c r="S1409" s="73">
        <v>0</v>
      </c>
      <c r="T1409" s="71" t="s">
        <v>390</v>
      </c>
      <c r="U1409" s="74">
        <v>1</v>
      </c>
      <c r="V1409" s="71" t="s">
        <v>446</v>
      </c>
      <c r="W1409" s="130">
        <v>46068.486805555556</v>
      </c>
      <c r="X1409" s="72">
        <v>46069.381944444445</v>
      </c>
      <c r="Y1409" s="72">
        <v>46070.833333333336</v>
      </c>
      <c r="Z1409" s="104" t="s">
        <v>382</v>
      </c>
      <c r="AA1409" s="104" t="s">
        <v>546</v>
      </c>
      <c r="AB1409" s="105">
        <v>46069.38958333333</v>
      </c>
      <c r="AC1409" s="105">
        <v>46069.518055555556</v>
      </c>
    </row>
    <row r="1410" s="70" customFormat="1" ht="11.25" customHeight="1">
      <c r="A1410" s="87"/>
      <c r="C1410" s="43" t="s">
        <v>2640</v>
      </c>
      <c r="D1410" s="71" t="s">
        <v>382</v>
      </c>
      <c r="E1410" s="71" t="str">
        <f>MID(D1410,1,2)</f>
        <v>IL</v>
      </c>
      <c r="F1410" s="71" t="s">
        <v>963</v>
      </c>
      <c r="G1410" s="71" t="str">
        <f>MID(F1410,1,2)</f>
        <v>IN</v>
      </c>
      <c r="H1410" s="43" t="s">
        <v>2621</v>
      </c>
      <c r="I1410" s="71" t="s">
        <v>2641</v>
      </c>
      <c r="J1410" s="71" t="s">
        <v>426</v>
      </c>
      <c r="K1410" s="43"/>
      <c r="L1410" s="71" t="s">
        <v>105</v>
      </c>
      <c r="M1410" s="73">
        <v>1</v>
      </c>
      <c r="N1410" s="71" t="s">
        <v>388</v>
      </c>
      <c r="O1410" s="73">
        <v>0.007</v>
      </c>
      <c r="P1410" s="71" t="s">
        <v>389</v>
      </c>
      <c r="Q1410" s="73">
        <v>1.5</v>
      </c>
      <c r="R1410" s="71" t="s">
        <v>388</v>
      </c>
      <c r="S1410" s="73">
        <v>0</v>
      </c>
      <c r="T1410" s="71" t="s">
        <v>390</v>
      </c>
      <c r="U1410" s="74">
        <v>1</v>
      </c>
      <c r="V1410" s="71" t="s">
        <v>391</v>
      </c>
      <c r="W1410" s="130"/>
      <c r="X1410" s="72">
        <v>46070.715277777781</v>
      </c>
      <c r="Y1410" s="72">
        <v>46072.052083333336</v>
      </c>
      <c r="Z1410" s="104" t="s">
        <v>382</v>
      </c>
      <c r="AA1410" s="104" t="s">
        <v>667</v>
      </c>
      <c r="AB1410" s="105">
        <v>46070.70416666667</v>
      </c>
      <c r="AC1410" s="105">
        <v>46070.827777777777</v>
      </c>
    </row>
    <row r="1411" s="70" customFormat="1" ht="11.25" customHeight="1">
      <c r="A1411" s="87"/>
      <c r="C1411" s="43" t="s">
        <v>2640</v>
      </c>
      <c r="D1411" s="71" t="s">
        <v>382</v>
      </c>
      <c r="E1411" s="71" t="str">
        <f>MID(D1411,1,2)</f>
        <v>IL</v>
      </c>
      <c r="F1411" s="71" t="s">
        <v>963</v>
      </c>
      <c r="G1411" s="71" t="str">
        <f>MID(F1411,1,2)</f>
        <v>IN</v>
      </c>
      <c r="H1411" s="43" t="s">
        <v>2621</v>
      </c>
      <c r="I1411" s="71" t="s">
        <v>2641</v>
      </c>
      <c r="J1411" s="71" t="s">
        <v>426</v>
      </c>
      <c r="K1411" s="43"/>
      <c r="L1411" s="71" t="s">
        <v>105</v>
      </c>
      <c r="M1411" s="73">
        <v>1</v>
      </c>
      <c r="N1411" s="71" t="s">
        <v>388</v>
      </c>
      <c r="O1411" s="73">
        <v>0.007</v>
      </c>
      <c r="P1411" s="71" t="s">
        <v>389</v>
      </c>
      <c r="Q1411" s="73">
        <v>1.5</v>
      </c>
      <c r="R1411" s="71" t="s">
        <v>388</v>
      </c>
      <c r="S1411" s="73">
        <v>0</v>
      </c>
      <c r="T1411" s="71" t="s">
        <v>390</v>
      </c>
      <c r="U1411" s="74">
        <v>1</v>
      </c>
      <c r="V1411" s="71" t="s">
        <v>391</v>
      </c>
      <c r="W1411" s="130"/>
      <c r="X1411" s="72">
        <v>46070.715277777781</v>
      </c>
      <c r="Y1411" s="72">
        <v>46072.052083333336</v>
      </c>
      <c r="Z1411" s="104" t="s">
        <v>667</v>
      </c>
      <c r="AA1411" s="104" t="s">
        <v>963</v>
      </c>
      <c r="AB1411" s="105">
        <v>46071.509027777778</v>
      </c>
      <c r="AC1411" s="105">
        <v>46072.05972222222</v>
      </c>
    </row>
    <row r="1412" s="70" customFormat="1" ht="11.25" customHeight="1">
      <c r="A1412" s="87"/>
      <c r="C1412" s="43" t="s">
        <v>2642</v>
      </c>
      <c r="D1412" s="71" t="s">
        <v>382</v>
      </c>
      <c r="E1412" s="71" t="str">
        <f>MID(D1412,1,2)</f>
        <v>IL</v>
      </c>
      <c r="F1412" s="71" t="s">
        <v>577</v>
      </c>
      <c r="G1412" s="71" t="str">
        <f>MID(F1412,1,2)</f>
        <v>FR</v>
      </c>
      <c r="H1412" s="43" t="s">
        <v>2256</v>
      </c>
      <c r="I1412" s="71" t="s">
        <v>2643</v>
      </c>
      <c r="J1412" s="71" t="s">
        <v>426</v>
      </c>
      <c r="K1412" s="43"/>
      <c r="L1412" s="71" t="s">
        <v>105</v>
      </c>
      <c r="M1412" s="73">
        <v>268</v>
      </c>
      <c r="N1412" s="71" t="s">
        <v>388</v>
      </c>
      <c r="O1412" s="73">
        <v>1.153</v>
      </c>
      <c r="P1412" s="71" t="s">
        <v>389</v>
      </c>
      <c r="Q1412" s="73">
        <v>268</v>
      </c>
      <c r="R1412" s="71" t="s">
        <v>388</v>
      </c>
      <c r="S1412" s="73">
        <v>0</v>
      </c>
      <c r="T1412" s="71" t="s">
        <v>390</v>
      </c>
      <c r="U1412" s="74">
        <v>1</v>
      </c>
      <c r="V1412" s="71" t="s">
        <v>391</v>
      </c>
      <c r="W1412" s="130">
        <v>46069.917280092595</v>
      </c>
      <c r="X1412" s="72">
        <v>46070.663194444445</v>
      </c>
      <c r="Y1412" s="72">
        <v>46071.819444444445</v>
      </c>
      <c r="Z1412" s="104" t="s">
        <v>382</v>
      </c>
      <c r="AA1412" s="104" t="s">
        <v>577</v>
      </c>
      <c r="AB1412" s="105">
        <v>46071.658333333333</v>
      </c>
      <c r="AC1412" s="105">
        <v>46071.821527777778</v>
      </c>
    </row>
    <row r="1413" s="70" customFormat="1" ht="11.25" customHeight="1">
      <c r="A1413" s="87"/>
      <c r="C1413" s="43" t="s">
        <v>2644</v>
      </c>
      <c r="D1413" s="71" t="s">
        <v>382</v>
      </c>
      <c r="E1413" s="71" t="str">
        <f>MID(D1413,1,2)</f>
        <v>IL</v>
      </c>
      <c r="F1413" s="71" t="s">
        <v>496</v>
      </c>
      <c r="G1413" s="71" t="str">
        <f>MID(F1413,1,2)</f>
        <v>RO</v>
      </c>
      <c r="H1413" s="43" t="s">
        <v>2645</v>
      </c>
      <c r="I1413" s="71" t="s">
        <v>2646</v>
      </c>
      <c r="J1413" s="71" t="s">
        <v>426</v>
      </c>
      <c r="K1413" s="43"/>
      <c r="L1413" s="71" t="s">
        <v>105</v>
      </c>
      <c r="M1413" s="73">
        <v>2</v>
      </c>
      <c r="N1413" s="71" t="s">
        <v>388</v>
      </c>
      <c r="O1413" s="73">
        <v>0.014</v>
      </c>
      <c r="P1413" s="71" t="s">
        <v>389</v>
      </c>
      <c r="Q1413" s="73">
        <v>2.5</v>
      </c>
      <c r="R1413" s="71" t="s">
        <v>388</v>
      </c>
      <c r="S1413" s="73">
        <v>0</v>
      </c>
      <c r="T1413" s="71" t="s">
        <v>390</v>
      </c>
      <c r="U1413" s="74">
        <v>1</v>
      </c>
      <c r="V1413" s="71" t="s">
        <v>391</v>
      </c>
      <c r="W1413" s="130">
        <v>46068.472916666666</v>
      </c>
      <c r="X1413" s="72">
        <v>46069.465277777781</v>
      </c>
      <c r="Y1413" s="72">
        <v>46069.854861111111</v>
      </c>
      <c r="Z1413" s="104" t="s">
        <v>382</v>
      </c>
      <c r="AA1413" s="104" t="s">
        <v>496</v>
      </c>
      <c r="AB1413" s="105">
        <v>46069.740277777775</v>
      </c>
      <c r="AC1413" s="105">
        <v>46069.848611111112</v>
      </c>
    </row>
    <row r="1414" s="70" customFormat="1" ht="11.25" customHeight="1">
      <c r="A1414" s="87"/>
      <c r="C1414" s="43" t="s">
        <v>2647</v>
      </c>
      <c r="D1414" s="71" t="s">
        <v>382</v>
      </c>
      <c r="E1414" s="71" t="str">
        <f>MID(D1414,1,2)</f>
        <v>IL</v>
      </c>
      <c r="F1414" s="71" t="s">
        <v>963</v>
      </c>
      <c r="G1414" s="71" t="str">
        <f>MID(F1414,1,2)</f>
        <v>IN</v>
      </c>
      <c r="H1414" s="43" t="s">
        <v>2621</v>
      </c>
      <c r="I1414" s="71" t="s">
        <v>2648</v>
      </c>
      <c r="J1414" s="71" t="s">
        <v>400</v>
      </c>
      <c r="K1414" s="43"/>
      <c r="L1414" s="71" t="s">
        <v>105</v>
      </c>
      <c r="M1414" s="73">
        <v>17</v>
      </c>
      <c r="N1414" s="71" t="s">
        <v>388</v>
      </c>
      <c r="O1414" s="73">
        <v>0.164</v>
      </c>
      <c r="P1414" s="71" t="s">
        <v>389</v>
      </c>
      <c r="Q1414" s="73">
        <v>27.5</v>
      </c>
      <c r="R1414" s="71" t="s">
        <v>388</v>
      </c>
      <c r="S1414" s="73">
        <v>0</v>
      </c>
      <c r="T1414" s="71" t="s">
        <v>390</v>
      </c>
      <c r="U1414" s="74">
        <v>1</v>
      </c>
      <c r="V1414" s="71" t="s">
        <v>391</v>
      </c>
      <c r="W1414" s="130">
        <v>46069.708854166667</v>
      </c>
      <c r="X1414" s="72">
        <v>46070.715277777781</v>
      </c>
      <c r="Y1414" s="72">
        <v>46072.052083333336</v>
      </c>
      <c r="Z1414" s="104" t="s">
        <v>382</v>
      </c>
      <c r="AA1414" s="104" t="s">
        <v>667</v>
      </c>
      <c r="AB1414" s="105">
        <v>46070.70416666667</v>
      </c>
      <c r="AC1414" s="105">
        <v>46070.827777777777</v>
      </c>
    </row>
    <row r="1415" s="70" customFormat="1" ht="11.25" customHeight="1">
      <c r="A1415" s="87"/>
      <c r="C1415" s="43" t="s">
        <v>2647</v>
      </c>
      <c r="D1415" s="71" t="s">
        <v>382</v>
      </c>
      <c r="E1415" s="71" t="str">
        <f>MID(D1415,1,2)</f>
        <v>IL</v>
      </c>
      <c r="F1415" s="71" t="s">
        <v>963</v>
      </c>
      <c r="G1415" s="71" t="str">
        <f>MID(F1415,1,2)</f>
        <v>IN</v>
      </c>
      <c r="H1415" s="43" t="s">
        <v>2621</v>
      </c>
      <c r="I1415" s="71" t="s">
        <v>2648</v>
      </c>
      <c r="J1415" s="71" t="s">
        <v>400</v>
      </c>
      <c r="K1415" s="43"/>
      <c r="L1415" s="71" t="s">
        <v>105</v>
      </c>
      <c r="M1415" s="73">
        <v>17</v>
      </c>
      <c r="N1415" s="71" t="s">
        <v>388</v>
      </c>
      <c r="O1415" s="73">
        <v>0.164</v>
      </c>
      <c r="P1415" s="71" t="s">
        <v>389</v>
      </c>
      <c r="Q1415" s="73">
        <v>27.5</v>
      </c>
      <c r="R1415" s="71" t="s">
        <v>388</v>
      </c>
      <c r="S1415" s="73">
        <v>0</v>
      </c>
      <c r="T1415" s="71" t="s">
        <v>390</v>
      </c>
      <c r="U1415" s="74">
        <v>1</v>
      </c>
      <c r="V1415" s="71" t="s">
        <v>391</v>
      </c>
      <c r="W1415" s="130">
        <v>46069.708854166667</v>
      </c>
      <c r="X1415" s="72">
        <v>46070.715277777781</v>
      </c>
      <c r="Y1415" s="72">
        <v>46072.052083333336</v>
      </c>
      <c r="Z1415" s="104" t="s">
        <v>667</v>
      </c>
      <c r="AA1415" s="104" t="s">
        <v>963</v>
      </c>
      <c r="AB1415" s="105">
        <v>46071.509027777778</v>
      </c>
      <c r="AC1415" s="105">
        <v>46072.05972222222</v>
      </c>
    </row>
    <row r="1416" s="70" customFormat="1" ht="11.25" customHeight="1">
      <c r="A1416" s="87"/>
      <c r="C1416" s="43" t="s">
        <v>2649</v>
      </c>
      <c r="D1416" s="71" t="s">
        <v>382</v>
      </c>
      <c r="E1416" s="71" t="str">
        <f>MID(D1416,1,2)</f>
        <v>IL</v>
      </c>
      <c r="F1416" s="71" t="s">
        <v>2453</v>
      </c>
      <c r="G1416" s="71" t="str">
        <f>MID(F1416,1,2)</f>
        <v>GE</v>
      </c>
      <c r="H1416" s="43" t="s">
        <v>2632</v>
      </c>
      <c r="I1416" s="71" t="s">
        <v>2650</v>
      </c>
      <c r="J1416" s="71" t="s">
        <v>400</v>
      </c>
      <c r="K1416" s="43"/>
      <c r="L1416" s="71" t="s">
        <v>105</v>
      </c>
      <c r="M1416" s="73">
        <v>60</v>
      </c>
      <c r="N1416" s="71" t="s">
        <v>388</v>
      </c>
      <c r="O1416" s="73">
        <v>0.528</v>
      </c>
      <c r="P1416" s="71" t="s">
        <v>389</v>
      </c>
      <c r="Q1416" s="73">
        <v>100</v>
      </c>
      <c r="R1416" s="71" t="s">
        <v>388</v>
      </c>
      <c r="S1416" s="73">
        <v>0</v>
      </c>
      <c r="T1416" s="71" t="s">
        <v>390</v>
      </c>
      <c r="U1416" s="74">
        <v>1</v>
      </c>
      <c r="V1416" s="71" t="s">
        <v>391</v>
      </c>
      <c r="W1416" s="130">
        <v>46068.479861111111</v>
      </c>
      <c r="X1416" s="72">
        <v>46070.229166666664</v>
      </c>
      <c r="Y1416" s="72">
        <v>46070.45416666667</v>
      </c>
      <c r="Z1416" s="104" t="s">
        <v>382</v>
      </c>
      <c r="AA1416" s="104" t="s">
        <v>2453</v>
      </c>
      <c r="AB1416" s="105">
        <v>46070.224305555559</v>
      </c>
      <c r="AC1416" s="105">
        <v>46070.4</v>
      </c>
    </row>
    <row r="1417" s="70" customFormat="1" ht="11.25" customHeight="1">
      <c r="A1417" s="87"/>
      <c r="C1417" s="43" t="s">
        <v>2651</v>
      </c>
      <c r="D1417" s="71" t="s">
        <v>382</v>
      </c>
      <c r="E1417" s="71" t="str">
        <f>MID(D1417,1,2)</f>
        <v>IL</v>
      </c>
      <c r="F1417" s="71" t="s">
        <v>419</v>
      </c>
      <c r="G1417" s="71" t="str">
        <f>MID(F1417,1,2)</f>
        <v>US</v>
      </c>
      <c r="H1417" s="43" t="s">
        <v>2652</v>
      </c>
      <c r="I1417" s="71" t="s">
        <v>2653</v>
      </c>
      <c r="J1417" s="71" t="s">
        <v>426</v>
      </c>
      <c r="K1417" s="43"/>
      <c r="L1417" s="71" t="s">
        <v>105</v>
      </c>
      <c r="M1417" s="73">
        <v>5220</v>
      </c>
      <c r="N1417" s="71" t="s">
        <v>388</v>
      </c>
      <c r="O1417" s="73">
        <v>24.84</v>
      </c>
      <c r="P1417" s="71" t="s">
        <v>389</v>
      </c>
      <c r="Q1417" s="73">
        <v>5220</v>
      </c>
      <c r="R1417" s="71" t="s">
        <v>388</v>
      </c>
      <c r="S1417" s="73">
        <v>0</v>
      </c>
      <c r="T1417" s="71" t="s">
        <v>390</v>
      </c>
      <c r="U1417" s="74">
        <v>18</v>
      </c>
      <c r="V1417" s="71" t="s">
        <v>391</v>
      </c>
      <c r="W1417" s="130">
        <v>46071.354166666664</v>
      </c>
      <c r="X1417" s="72">
        <v>46072.477083333331</v>
      </c>
      <c r="Y1417" s="72">
        <v>46075.666666666664</v>
      </c>
      <c r="Z1417" s="104" t="s">
        <v>382</v>
      </c>
      <c r="AA1417" s="104" t="s">
        <v>422</v>
      </c>
      <c r="AB1417" s="105">
        <v>46073.47152777778</v>
      </c>
      <c r="AC1417" s="105">
        <v>46073.68125</v>
      </c>
    </row>
    <row r="1418" s="70" customFormat="1" ht="11.25" customHeight="1">
      <c r="A1418" s="87"/>
      <c r="C1418" s="43" t="s">
        <v>2651</v>
      </c>
      <c r="D1418" s="71" t="s">
        <v>382</v>
      </c>
      <c r="E1418" s="71" t="str">
        <f>MID(D1418,1,2)</f>
        <v>IL</v>
      </c>
      <c r="F1418" s="71" t="s">
        <v>419</v>
      </c>
      <c r="G1418" s="71" t="str">
        <f>MID(F1418,1,2)</f>
        <v>US</v>
      </c>
      <c r="H1418" s="43" t="s">
        <v>2652</v>
      </c>
      <c r="I1418" s="71" t="s">
        <v>2653</v>
      </c>
      <c r="J1418" s="71" t="s">
        <v>426</v>
      </c>
      <c r="K1418" s="43"/>
      <c r="L1418" s="71" t="s">
        <v>105</v>
      </c>
      <c r="M1418" s="73">
        <v>5220</v>
      </c>
      <c r="N1418" s="71" t="s">
        <v>388</v>
      </c>
      <c r="O1418" s="73">
        <v>24.84</v>
      </c>
      <c r="P1418" s="71" t="s">
        <v>389</v>
      </c>
      <c r="Q1418" s="73">
        <v>5220</v>
      </c>
      <c r="R1418" s="71" t="s">
        <v>388</v>
      </c>
      <c r="S1418" s="73">
        <v>0</v>
      </c>
      <c r="T1418" s="71" t="s">
        <v>390</v>
      </c>
      <c r="U1418" s="74">
        <v>18</v>
      </c>
      <c r="V1418" s="71" t="s">
        <v>391</v>
      </c>
      <c r="W1418" s="130">
        <v>46071.354166666664</v>
      </c>
      <c r="X1418" s="72">
        <v>46072.477083333331</v>
      </c>
      <c r="Y1418" s="72">
        <v>46075.666666666664</v>
      </c>
      <c r="Z1418" s="104" t="s">
        <v>422</v>
      </c>
      <c r="AA1418" s="104" t="s">
        <v>419</v>
      </c>
      <c r="AB1418" s="105">
        <v>46074.686111111114</v>
      </c>
      <c r="AC1418" s="105">
        <v>46075.515277777777</v>
      </c>
    </row>
    <row r="1419" s="70" customFormat="1" ht="11.25" customHeight="1">
      <c r="A1419" s="87"/>
      <c r="C1419" s="43" t="s">
        <v>2654</v>
      </c>
      <c r="D1419" s="71" t="s">
        <v>382</v>
      </c>
      <c r="E1419" s="71" t="str">
        <f>MID(D1419,1,2)</f>
        <v>IL</v>
      </c>
      <c r="F1419" s="71" t="s">
        <v>471</v>
      </c>
      <c r="G1419" s="71" t="str">
        <f>MID(F1419,1,2)</f>
        <v>US</v>
      </c>
      <c r="H1419" s="43" t="s">
        <v>2655</v>
      </c>
      <c r="I1419" s="71" t="s">
        <v>2656</v>
      </c>
      <c r="J1419" s="71" t="s">
        <v>386</v>
      </c>
      <c r="K1419" s="43"/>
      <c r="L1419" s="71" t="s">
        <v>107</v>
      </c>
      <c r="M1419" s="73">
        <v>48</v>
      </c>
      <c r="N1419" s="71" t="s">
        <v>388</v>
      </c>
      <c r="O1419" s="73">
        <v>0.278</v>
      </c>
      <c r="P1419" s="71" t="s">
        <v>389</v>
      </c>
      <c r="Q1419" s="73">
        <v>100</v>
      </c>
      <c r="R1419" s="71" t="s">
        <v>388</v>
      </c>
      <c r="S1419" s="73">
        <v>0</v>
      </c>
      <c r="T1419" s="71" t="s">
        <v>390</v>
      </c>
      <c r="U1419" s="74">
        <v>1</v>
      </c>
      <c r="V1419" s="71" t="s">
        <v>391</v>
      </c>
      <c r="W1419" s="130">
        <v>46068.493055555555</v>
      </c>
      <c r="X1419" s="72">
        <v>46070.482638888891</v>
      </c>
      <c r="Y1419" s="72">
        <v>46074.177083333336</v>
      </c>
      <c r="Z1419" s="104" t="s">
        <v>382</v>
      </c>
      <c r="AA1419" s="104" t="s">
        <v>471</v>
      </c>
      <c r="AB1419" s="105">
        <v>46074.009027777778</v>
      </c>
      <c r="AC1419" s="105">
        <v>46074.190972222219</v>
      </c>
    </row>
    <row r="1420" s="70" customFormat="1" ht="11.25" customHeight="1">
      <c r="A1420" s="87"/>
      <c r="C1420" s="43" t="s">
        <v>2657</v>
      </c>
      <c r="D1420" s="71" t="s">
        <v>382</v>
      </c>
      <c r="E1420" s="71" t="str">
        <f>MID(D1420,1,2)</f>
        <v>IL</v>
      </c>
      <c r="F1420" s="71" t="s">
        <v>2658</v>
      </c>
      <c r="G1420" s="71" t="str">
        <f>MID(F1420,1,2)</f>
        <v>VN</v>
      </c>
      <c r="H1420" s="43" t="s">
        <v>2659</v>
      </c>
      <c r="I1420" s="71" t="s">
        <v>2660</v>
      </c>
      <c r="J1420" s="71" t="s">
        <v>386</v>
      </c>
      <c r="K1420" s="43"/>
      <c r="L1420" s="71" t="s">
        <v>107</v>
      </c>
      <c r="M1420" s="73">
        <v>336</v>
      </c>
      <c r="N1420" s="71" t="s">
        <v>388</v>
      </c>
      <c r="O1420" s="73">
        <v>2.072</v>
      </c>
      <c r="P1420" s="71" t="s">
        <v>389</v>
      </c>
      <c r="Q1420" s="73">
        <v>345.5</v>
      </c>
      <c r="R1420" s="71" t="s">
        <v>388</v>
      </c>
      <c r="S1420" s="73">
        <v>0</v>
      </c>
      <c r="T1420" s="71" t="s">
        <v>390</v>
      </c>
      <c r="U1420" s="74">
        <v>2</v>
      </c>
      <c r="V1420" s="71" t="s">
        <v>391</v>
      </c>
      <c r="W1420" s="130">
        <v>46069.992361111108</v>
      </c>
      <c r="X1420" s="72">
        <v>46072.9375</v>
      </c>
      <c r="Y1420" s="72">
        <v>46075.916666666664</v>
      </c>
      <c r="Z1420" s="104" t="s">
        <v>382</v>
      </c>
      <c r="AA1420" s="104" t="s">
        <v>833</v>
      </c>
      <c r="AB1420" s="105">
        <v>46072.921527777777</v>
      </c>
      <c r="AC1420" s="105"/>
    </row>
    <row r="1421" s="70" customFormat="1" ht="11.25" customHeight="1">
      <c r="A1421" s="87"/>
      <c r="C1421" s="43" t="s">
        <v>2657</v>
      </c>
      <c r="D1421" s="71" t="s">
        <v>382</v>
      </c>
      <c r="E1421" s="71" t="str">
        <f>MID(D1421,1,2)</f>
        <v>IL</v>
      </c>
      <c r="F1421" s="71" t="s">
        <v>2658</v>
      </c>
      <c r="G1421" s="71" t="str">
        <f>MID(F1421,1,2)</f>
        <v>VN</v>
      </c>
      <c r="H1421" s="43" t="s">
        <v>2659</v>
      </c>
      <c r="I1421" s="71" t="s">
        <v>2660</v>
      </c>
      <c r="J1421" s="71" t="s">
        <v>386</v>
      </c>
      <c r="K1421" s="43"/>
      <c r="L1421" s="71" t="s">
        <v>107</v>
      </c>
      <c r="M1421" s="73">
        <v>336</v>
      </c>
      <c r="N1421" s="71" t="s">
        <v>388</v>
      </c>
      <c r="O1421" s="73">
        <v>2.072</v>
      </c>
      <c r="P1421" s="71" t="s">
        <v>389</v>
      </c>
      <c r="Q1421" s="73">
        <v>345.5</v>
      </c>
      <c r="R1421" s="71" t="s">
        <v>388</v>
      </c>
      <c r="S1421" s="73">
        <v>0</v>
      </c>
      <c r="T1421" s="71" t="s">
        <v>390</v>
      </c>
      <c r="U1421" s="74">
        <v>2</v>
      </c>
      <c r="V1421" s="71" t="s">
        <v>391</v>
      </c>
      <c r="W1421" s="130">
        <v>46069.992361111108</v>
      </c>
      <c r="X1421" s="72">
        <v>46072.9375</v>
      </c>
      <c r="Y1421" s="72">
        <v>46075.916666666664</v>
      </c>
      <c r="Z1421" s="104" t="s">
        <v>833</v>
      </c>
      <c r="AA1421" s="104" t="s">
        <v>1108</v>
      </c>
      <c r="AB1421" s="105">
        <v>46074.629861111112</v>
      </c>
      <c r="AC1421" s="105">
        <v>46074.800694444442</v>
      </c>
    </row>
    <row r="1422" s="70" customFormat="1" ht="11.25" customHeight="1">
      <c r="A1422" s="87"/>
      <c r="C1422" s="43" t="s">
        <v>2657</v>
      </c>
      <c r="D1422" s="71" t="s">
        <v>382</v>
      </c>
      <c r="E1422" s="71" t="str">
        <f>MID(D1422,1,2)</f>
        <v>IL</v>
      </c>
      <c r="F1422" s="71" t="s">
        <v>2658</v>
      </c>
      <c r="G1422" s="71" t="str">
        <f>MID(F1422,1,2)</f>
        <v>VN</v>
      </c>
      <c r="H1422" s="43" t="s">
        <v>2659</v>
      </c>
      <c r="I1422" s="71" t="s">
        <v>2660</v>
      </c>
      <c r="J1422" s="71" t="s">
        <v>386</v>
      </c>
      <c r="K1422" s="43"/>
      <c r="L1422" s="71" t="s">
        <v>107</v>
      </c>
      <c r="M1422" s="73">
        <v>336</v>
      </c>
      <c r="N1422" s="71" t="s">
        <v>388</v>
      </c>
      <c r="O1422" s="73">
        <v>2.072</v>
      </c>
      <c r="P1422" s="71" t="s">
        <v>389</v>
      </c>
      <c r="Q1422" s="73">
        <v>345.5</v>
      </c>
      <c r="R1422" s="71" t="s">
        <v>388</v>
      </c>
      <c r="S1422" s="73">
        <v>0</v>
      </c>
      <c r="T1422" s="71" t="s">
        <v>390</v>
      </c>
      <c r="U1422" s="74">
        <v>2</v>
      </c>
      <c r="V1422" s="71" t="s">
        <v>391</v>
      </c>
      <c r="W1422" s="130">
        <v>46069.992361111108</v>
      </c>
      <c r="X1422" s="72">
        <v>46072.9375</v>
      </c>
      <c r="Y1422" s="72">
        <v>46075.916666666664</v>
      </c>
      <c r="Z1422" s="104" t="s">
        <v>1108</v>
      </c>
      <c r="AA1422" s="104" t="s">
        <v>2658</v>
      </c>
      <c r="AB1422" s="105">
        <v>46075.381944444445</v>
      </c>
      <c r="AC1422" s="105">
        <v>46075.481944444444</v>
      </c>
    </row>
    <row r="1423" s="70" customFormat="1" ht="11.25" customHeight="1">
      <c r="A1423" s="87"/>
      <c r="C1423" s="43" t="s">
        <v>2661</v>
      </c>
      <c r="D1423" s="71" t="s">
        <v>382</v>
      </c>
      <c r="E1423" s="71" t="str">
        <f>MID(D1423,1,2)</f>
        <v>IL</v>
      </c>
      <c r="F1423" s="71" t="s">
        <v>414</v>
      </c>
      <c r="G1423" s="71" t="str">
        <f>MID(F1423,1,2)</f>
        <v>US</v>
      </c>
      <c r="H1423" s="43" t="s">
        <v>2662</v>
      </c>
      <c r="I1423" s="71"/>
      <c r="J1423" s="71" t="s">
        <v>426</v>
      </c>
      <c r="K1423" s="43"/>
      <c r="L1423" s="71" t="s">
        <v>105</v>
      </c>
      <c r="M1423" s="73">
        <v>3448</v>
      </c>
      <c r="N1423" s="71" t="s">
        <v>388</v>
      </c>
      <c r="O1423" s="73">
        <v>20.832</v>
      </c>
      <c r="P1423" s="71" t="s">
        <v>389</v>
      </c>
      <c r="Q1423" s="73">
        <v>3472</v>
      </c>
      <c r="R1423" s="71" t="s">
        <v>388</v>
      </c>
      <c r="S1423" s="73">
        <v>0</v>
      </c>
      <c r="T1423" s="71" t="s">
        <v>390</v>
      </c>
      <c r="U1423" s="74">
        <v>20</v>
      </c>
      <c r="V1423" s="71" t="s">
        <v>391</v>
      </c>
      <c r="W1423" s="130">
        <v>46068.534722222219</v>
      </c>
      <c r="X1423" s="72">
        <v>46070.49722222222</v>
      </c>
      <c r="Y1423" s="72">
        <v>46071.239583333336</v>
      </c>
      <c r="Z1423" s="104" t="s">
        <v>382</v>
      </c>
      <c r="AA1423" s="104" t="s">
        <v>414</v>
      </c>
      <c r="AB1423" s="105">
        <v>46071.033333333333</v>
      </c>
      <c r="AC1423" s="105">
        <v>46071.227083333331</v>
      </c>
    </row>
    <row r="1424" s="70" customFormat="1" ht="11.25" customHeight="1">
      <c r="A1424" s="87"/>
      <c r="C1424" s="43" t="s">
        <v>2663</v>
      </c>
      <c r="D1424" s="71" t="s">
        <v>382</v>
      </c>
      <c r="E1424" s="71" t="str">
        <f>MID(D1424,1,2)</f>
        <v>IL</v>
      </c>
      <c r="F1424" s="71" t="s">
        <v>546</v>
      </c>
      <c r="G1424" s="71" t="str">
        <f>MID(F1424,1,2)</f>
        <v>GB</v>
      </c>
      <c r="H1424" s="43" t="s">
        <v>2664</v>
      </c>
      <c r="I1424" s="71" t="s">
        <v>2665</v>
      </c>
      <c r="J1424" s="71" t="s">
        <v>400</v>
      </c>
      <c r="K1424" s="43"/>
      <c r="L1424" s="71" t="s">
        <v>105</v>
      </c>
      <c r="M1424" s="73">
        <v>78</v>
      </c>
      <c r="N1424" s="71" t="s">
        <v>388</v>
      </c>
      <c r="O1424" s="73">
        <v>0.792</v>
      </c>
      <c r="P1424" s="71" t="s">
        <v>389</v>
      </c>
      <c r="Q1424" s="73">
        <v>132</v>
      </c>
      <c r="R1424" s="71" t="s">
        <v>388</v>
      </c>
      <c r="S1424" s="73">
        <v>0</v>
      </c>
      <c r="T1424" s="71" t="s">
        <v>390</v>
      </c>
      <c r="U1424" s="74">
        <v>1</v>
      </c>
      <c r="V1424" s="71" t="s">
        <v>391</v>
      </c>
      <c r="W1424" s="130"/>
      <c r="X1424" s="72">
        <v>46069.565972222219</v>
      </c>
      <c r="Y1424" s="72">
        <v>46070.364583333336</v>
      </c>
      <c r="Z1424" s="104" t="s">
        <v>560</v>
      </c>
      <c r="AA1424" s="104" t="s">
        <v>561</v>
      </c>
      <c r="AB1424" s="105"/>
      <c r="AC1424" s="105"/>
    </row>
    <row r="1425" s="70" customFormat="1" ht="11.25" customHeight="1">
      <c r="A1425" s="87"/>
      <c r="C1425" s="43" t="s">
        <v>2663</v>
      </c>
      <c r="D1425" s="71" t="s">
        <v>382</v>
      </c>
      <c r="E1425" s="71" t="str">
        <f>MID(D1425,1,2)</f>
        <v>IL</v>
      </c>
      <c r="F1425" s="71" t="s">
        <v>546</v>
      </c>
      <c r="G1425" s="71" t="str">
        <f>MID(F1425,1,2)</f>
        <v>GB</v>
      </c>
      <c r="H1425" s="43" t="s">
        <v>2664</v>
      </c>
      <c r="I1425" s="71" t="s">
        <v>2665</v>
      </c>
      <c r="J1425" s="71" t="s">
        <v>400</v>
      </c>
      <c r="K1425" s="43"/>
      <c r="L1425" s="71" t="s">
        <v>105</v>
      </c>
      <c r="M1425" s="73">
        <v>78</v>
      </c>
      <c r="N1425" s="71" t="s">
        <v>388</v>
      </c>
      <c r="O1425" s="73">
        <v>0.792</v>
      </c>
      <c r="P1425" s="71" t="s">
        <v>389</v>
      </c>
      <c r="Q1425" s="73">
        <v>132</v>
      </c>
      <c r="R1425" s="71" t="s">
        <v>388</v>
      </c>
      <c r="S1425" s="73">
        <v>0</v>
      </c>
      <c r="T1425" s="71" t="s">
        <v>390</v>
      </c>
      <c r="U1425" s="74">
        <v>1</v>
      </c>
      <c r="V1425" s="71" t="s">
        <v>391</v>
      </c>
      <c r="W1425" s="130"/>
      <c r="X1425" s="72">
        <v>46069.565972222219</v>
      </c>
      <c r="Y1425" s="72">
        <v>46070.364583333336</v>
      </c>
      <c r="Z1425" s="104" t="s">
        <v>382</v>
      </c>
      <c r="AA1425" s="104" t="s">
        <v>383</v>
      </c>
      <c r="AB1425" s="105">
        <v>46069.564583333333</v>
      </c>
      <c r="AC1425" s="105">
        <v>46069.70625</v>
      </c>
    </row>
    <row r="1426" s="70" customFormat="1" ht="11.25" customHeight="1">
      <c r="A1426" s="87"/>
      <c r="C1426" s="43" t="s">
        <v>2663</v>
      </c>
      <c r="D1426" s="71" t="s">
        <v>382</v>
      </c>
      <c r="E1426" s="71" t="str">
        <f>MID(D1426,1,2)</f>
        <v>IL</v>
      </c>
      <c r="F1426" s="71" t="s">
        <v>546</v>
      </c>
      <c r="G1426" s="71" t="str">
        <f>MID(F1426,1,2)</f>
        <v>GB</v>
      </c>
      <c r="H1426" s="43" t="s">
        <v>2664</v>
      </c>
      <c r="I1426" s="71" t="s">
        <v>2665</v>
      </c>
      <c r="J1426" s="71" t="s">
        <v>400</v>
      </c>
      <c r="K1426" s="43"/>
      <c r="L1426" s="71" t="s">
        <v>105</v>
      </c>
      <c r="M1426" s="73">
        <v>78</v>
      </c>
      <c r="N1426" s="71" t="s">
        <v>388</v>
      </c>
      <c r="O1426" s="73">
        <v>0.792</v>
      </c>
      <c r="P1426" s="71" t="s">
        <v>389</v>
      </c>
      <c r="Q1426" s="73">
        <v>132</v>
      </c>
      <c r="R1426" s="71" t="s">
        <v>388</v>
      </c>
      <c r="S1426" s="73">
        <v>0</v>
      </c>
      <c r="T1426" s="71" t="s">
        <v>390</v>
      </c>
      <c r="U1426" s="74">
        <v>1</v>
      </c>
      <c r="V1426" s="71" t="s">
        <v>391</v>
      </c>
      <c r="W1426" s="130"/>
      <c r="X1426" s="72">
        <v>46069.565972222219</v>
      </c>
      <c r="Y1426" s="72">
        <v>46070.364583333336</v>
      </c>
      <c r="Z1426" s="104" t="s">
        <v>383</v>
      </c>
      <c r="AA1426" s="104" t="s">
        <v>546</v>
      </c>
      <c r="AB1426" s="105">
        <v>46070.344444444447</v>
      </c>
      <c r="AC1426" s="105">
        <v>46070.36875</v>
      </c>
    </row>
    <row r="1427" s="70" customFormat="1" ht="11.25" customHeight="1">
      <c r="A1427" s="87"/>
      <c r="C1427" s="43" t="s">
        <v>2666</v>
      </c>
      <c r="D1427" s="71" t="s">
        <v>808</v>
      </c>
      <c r="E1427" s="71" t="str">
        <f>MID(D1427,1,2)</f>
        <v>IL</v>
      </c>
      <c r="F1427" s="71" t="s">
        <v>809</v>
      </c>
      <c r="G1427" s="71" t="str">
        <f>MID(F1427,1,2)</f>
        <v>IN</v>
      </c>
      <c r="H1427" s="43"/>
      <c r="I1427" s="71" t="s">
        <v>2667</v>
      </c>
      <c r="J1427" s="71" t="s">
        <v>426</v>
      </c>
      <c r="K1427" s="43"/>
      <c r="L1427" s="71" t="s">
        <v>105</v>
      </c>
      <c r="M1427" s="73">
        <v>0</v>
      </c>
      <c r="N1427" s="71" t="s">
        <v>388</v>
      </c>
      <c r="O1427" s="73">
        <v>0</v>
      </c>
      <c r="P1427" s="71" t="s">
        <v>389</v>
      </c>
      <c r="Q1427" s="73">
        <v>0</v>
      </c>
      <c r="R1427" s="71" t="s">
        <v>388</v>
      </c>
      <c r="S1427" s="73">
        <v>0</v>
      </c>
      <c r="T1427" s="71" t="s">
        <v>390</v>
      </c>
      <c r="U1427" s="74">
        <v>0</v>
      </c>
      <c r="V1427" s="71" t="s">
        <v>391</v>
      </c>
      <c r="W1427" s="130"/>
      <c r="X1427" s="72">
        <v>46068.50625</v>
      </c>
      <c r="Y1427" s="72">
        <v>46069.50625</v>
      </c>
      <c r="Z1427" s="104"/>
      <c r="AA1427" s="104"/>
      <c r="AB1427" s="105"/>
      <c r="AC1427" s="105"/>
    </row>
    <row r="1428" s="70" customFormat="1" ht="11.25" customHeight="1">
      <c r="A1428" s="87"/>
      <c r="C1428" s="43" t="s">
        <v>2668</v>
      </c>
      <c r="D1428" s="71" t="s">
        <v>382</v>
      </c>
      <c r="E1428" s="71" t="str">
        <f>MID(D1428,1,2)</f>
        <v>IL</v>
      </c>
      <c r="F1428" s="71" t="s">
        <v>414</v>
      </c>
      <c r="G1428" s="71" t="str">
        <f>MID(F1428,1,2)</f>
        <v>US</v>
      </c>
      <c r="H1428" s="43" t="s">
        <v>2577</v>
      </c>
      <c r="I1428" s="71" t="s">
        <v>2669</v>
      </c>
      <c r="J1428" s="71" t="s">
        <v>386</v>
      </c>
      <c r="K1428" s="43" t="s">
        <v>759</v>
      </c>
      <c r="L1428" s="71" t="s">
        <v>107</v>
      </c>
      <c r="M1428" s="73">
        <v>45</v>
      </c>
      <c r="N1428" s="71" t="s">
        <v>388</v>
      </c>
      <c r="O1428" s="73">
        <v>0.704</v>
      </c>
      <c r="P1428" s="71" t="s">
        <v>389</v>
      </c>
      <c r="Q1428" s="73">
        <v>117.5</v>
      </c>
      <c r="R1428" s="71" t="s">
        <v>388</v>
      </c>
      <c r="S1428" s="73">
        <v>0</v>
      </c>
      <c r="T1428" s="71" t="s">
        <v>390</v>
      </c>
      <c r="U1428" s="74">
        <v>1</v>
      </c>
      <c r="V1428" s="71" t="s">
        <v>391</v>
      </c>
      <c r="W1428" s="130">
        <v>46068.521527777775</v>
      </c>
      <c r="X1428" s="72">
        <v>46071.03125</v>
      </c>
      <c r="Y1428" s="72">
        <v>46072.239583333336</v>
      </c>
      <c r="Z1428" s="104" t="s">
        <v>382</v>
      </c>
      <c r="AA1428" s="104" t="s">
        <v>414</v>
      </c>
      <c r="AB1428" s="105">
        <v>46071.546527777777</v>
      </c>
      <c r="AC1428" s="105">
        <v>46071.748611111114</v>
      </c>
    </row>
    <row r="1429" s="70" customFormat="1" ht="11.25" customHeight="1">
      <c r="A1429" s="87"/>
      <c r="C1429" s="43" t="s">
        <v>2670</v>
      </c>
      <c r="D1429" s="71" t="s">
        <v>382</v>
      </c>
      <c r="E1429" s="71" t="str">
        <f>MID(D1429,1,2)</f>
        <v>IL</v>
      </c>
      <c r="F1429" s="71" t="s">
        <v>2671</v>
      </c>
      <c r="G1429" s="71" t="str">
        <f>MID(F1429,1,2)</f>
        <v>AU</v>
      </c>
      <c r="H1429" s="43" t="s">
        <v>2672</v>
      </c>
      <c r="I1429" s="71" t="s">
        <v>2673</v>
      </c>
      <c r="J1429" s="71" t="s">
        <v>386</v>
      </c>
      <c r="K1429" s="43"/>
      <c r="L1429" s="71" t="s">
        <v>107</v>
      </c>
      <c r="M1429" s="73">
        <v>81</v>
      </c>
      <c r="N1429" s="71" t="s">
        <v>388</v>
      </c>
      <c r="O1429" s="73">
        <v>0.795</v>
      </c>
      <c r="P1429" s="71" t="s">
        <v>389</v>
      </c>
      <c r="Q1429" s="73">
        <v>132.5</v>
      </c>
      <c r="R1429" s="71" t="s">
        <v>388</v>
      </c>
      <c r="S1429" s="73">
        <v>0</v>
      </c>
      <c r="T1429" s="71" t="s">
        <v>390</v>
      </c>
      <c r="U1429" s="74">
        <v>4</v>
      </c>
      <c r="V1429" s="71" t="s">
        <v>391</v>
      </c>
      <c r="W1429" s="130">
        <v>46069.6740625</v>
      </c>
      <c r="X1429" s="72">
        <v>46071.895833333336</v>
      </c>
      <c r="Y1429" s="72">
        <v>46073.642361111109</v>
      </c>
      <c r="Z1429" s="104" t="s">
        <v>382</v>
      </c>
      <c r="AA1429" s="104" t="s">
        <v>833</v>
      </c>
      <c r="AB1429" s="105">
        <v>46071.897222222222</v>
      </c>
      <c r="AC1429" s="105">
        <v>46072.55625</v>
      </c>
    </row>
    <row r="1430" s="70" customFormat="1" ht="11.25" customHeight="1">
      <c r="A1430" s="87"/>
      <c r="C1430" s="43" t="s">
        <v>2670</v>
      </c>
      <c r="D1430" s="71" t="s">
        <v>382</v>
      </c>
      <c r="E1430" s="71" t="str">
        <f>MID(D1430,1,2)</f>
        <v>IL</v>
      </c>
      <c r="F1430" s="71" t="s">
        <v>2671</v>
      </c>
      <c r="G1430" s="71" t="str">
        <f>MID(F1430,1,2)</f>
        <v>AU</v>
      </c>
      <c r="H1430" s="43" t="s">
        <v>2672</v>
      </c>
      <c r="I1430" s="71" t="s">
        <v>2673</v>
      </c>
      <c r="J1430" s="71" t="s">
        <v>386</v>
      </c>
      <c r="K1430" s="43"/>
      <c r="L1430" s="71" t="s">
        <v>107</v>
      </c>
      <c r="M1430" s="73">
        <v>81</v>
      </c>
      <c r="N1430" s="71" t="s">
        <v>388</v>
      </c>
      <c r="O1430" s="73">
        <v>0.795</v>
      </c>
      <c r="P1430" s="71" t="s">
        <v>389</v>
      </c>
      <c r="Q1430" s="73">
        <v>132.5</v>
      </c>
      <c r="R1430" s="71" t="s">
        <v>388</v>
      </c>
      <c r="S1430" s="73">
        <v>0</v>
      </c>
      <c r="T1430" s="71" t="s">
        <v>390</v>
      </c>
      <c r="U1430" s="74">
        <v>4</v>
      </c>
      <c r="V1430" s="71" t="s">
        <v>391</v>
      </c>
      <c r="W1430" s="130">
        <v>46069.6740625</v>
      </c>
      <c r="X1430" s="72">
        <v>46071.895833333336</v>
      </c>
      <c r="Y1430" s="72">
        <v>46073.642361111109</v>
      </c>
      <c r="Z1430" s="104" t="s">
        <v>833</v>
      </c>
      <c r="AA1430" s="104" t="s">
        <v>2671</v>
      </c>
      <c r="AB1430" s="105">
        <v>46073.336111111108</v>
      </c>
      <c r="AC1430" s="105">
        <v>46073.819444444445</v>
      </c>
    </row>
    <row r="1431" s="70" customFormat="1" ht="11.25" customHeight="1">
      <c r="A1431" s="87"/>
      <c r="C1431" s="43" t="s">
        <v>2674</v>
      </c>
      <c r="D1431" s="71" t="s">
        <v>382</v>
      </c>
      <c r="E1431" s="71" t="str">
        <f>MID(D1431,1,2)</f>
        <v>IL</v>
      </c>
      <c r="F1431" s="71" t="s">
        <v>1583</v>
      </c>
      <c r="G1431" s="71" t="str">
        <f>MID(F1431,1,2)</f>
        <v>BR</v>
      </c>
      <c r="H1431" s="43" t="s">
        <v>2675</v>
      </c>
      <c r="I1431" s="71" t="s">
        <v>2676</v>
      </c>
      <c r="J1431" s="71" t="s">
        <v>411</v>
      </c>
      <c r="K1431" s="43"/>
      <c r="L1431" s="71" t="s">
        <v>105</v>
      </c>
      <c r="M1431" s="73">
        <v>6.21</v>
      </c>
      <c r="N1431" s="71" t="s">
        <v>388</v>
      </c>
      <c r="O1431" s="73">
        <v>0.029</v>
      </c>
      <c r="P1431" s="71" t="s">
        <v>389</v>
      </c>
      <c r="Q1431" s="73">
        <v>5</v>
      </c>
      <c r="R1431" s="71" t="s">
        <v>388</v>
      </c>
      <c r="S1431" s="73">
        <v>0</v>
      </c>
      <c r="T1431" s="71" t="s">
        <v>390</v>
      </c>
      <c r="U1431" s="74">
        <v>1</v>
      </c>
      <c r="V1431" s="71" t="s">
        <v>391</v>
      </c>
      <c r="W1431" s="130">
        <v>46072.9530787037</v>
      </c>
      <c r="X1431" s="72">
        <v>46073.572916666664</v>
      </c>
      <c r="Y1431" s="72">
        <v>46083.395833333336</v>
      </c>
      <c r="Z1431" s="104" t="s">
        <v>382</v>
      </c>
      <c r="AA1431" s="104" t="s">
        <v>383</v>
      </c>
      <c r="AB1431" s="105">
        <v>46073.699305555558</v>
      </c>
      <c r="AC1431" s="105">
        <v>46073.840277777781</v>
      </c>
    </row>
    <row r="1432" s="70" customFormat="1" ht="11.25" customHeight="1">
      <c r="A1432" s="87"/>
      <c r="C1432" s="43" t="s">
        <v>2674</v>
      </c>
      <c r="D1432" s="71" t="s">
        <v>382</v>
      </c>
      <c r="E1432" s="71" t="str">
        <f>MID(D1432,1,2)</f>
        <v>IL</v>
      </c>
      <c r="F1432" s="71" t="s">
        <v>1583</v>
      </c>
      <c r="G1432" s="71" t="str">
        <f>MID(F1432,1,2)</f>
        <v>BR</v>
      </c>
      <c r="H1432" s="43" t="s">
        <v>2675</v>
      </c>
      <c r="I1432" s="71" t="s">
        <v>2676</v>
      </c>
      <c r="J1432" s="71" t="s">
        <v>411</v>
      </c>
      <c r="K1432" s="43"/>
      <c r="L1432" s="71" t="s">
        <v>105</v>
      </c>
      <c r="M1432" s="73">
        <v>6.21</v>
      </c>
      <c r="N1432" s="71" t="s">
        <v>388</v>
      </c>
      <c r="O1432" s="73">
        <v>0.029</v>
      </c>
      <c r="P1432" s="71" t="s">
        <v>389</v>
      </c>
      <c r="Q1432" s="73">
        <v>5</v>
      </c>
      <c r="R1432" s="71" t="s">
        <v>388</v>
      </c>
      <c r="S1432" s="73">
        <v>0</v>
      </c>
      <c r="T1432" s="71" t="s">
        <v>390</v>
      </c>
      <c r="U1432" s="74">
        <v>1</v>
      </c>
      <c r="V1432" s="71" t="s">
        <v>391</v>
      </c>
      <c r="W1432" s="130">
        <v>46072.9530787037</v>
      </c>
      <c r="X1432" s="72">
        <v>46073.572916666664</v>
      </c>
      <c r="Y1432" s="72">
        <v>46083.395833333336</v>
      </c>
      <c r="Z1432" s="104" t="s">
        <v>383</v>
      </c>
      <c r="AA1432" s="104" t="s">
        <v>1349</v>
      </c>
      <c r="AB1432" s="105">
        <v>46074.524305555555</v>
      </c>
      <c r="AC1432" s="105">
        <v>46074.961111111108</v>
      </c>
    </row>
    <row r="1433" s="70" customFormat="1" ht="11.25" customHeight="1">
      <c r="A1433" s="87"/>
      <c r="C1433" s="43" t="s">
        <v>2674</v>
      </c>
      <c r="D1433" s="71" t="s">
        <v>382</v>
      </c>
      <c r="E1433" s="71" t="str">
        <f>MID(D1433,1,2)</f>
        <v>IL</v>
      </c>
      <c r="F1433" s="71" t="s">
        <v>1583</v>
      </c>
      <c r="G1433" s="71" t="str">
        <f>MID(F1433,1,2)</f>
        <v>BR</v>
      </c>
      <c r="H1433" s="43" t="s">
        <v>2675</v>
      </c>
      <c r="I1433" s="71" t="s">
        <v>2676</v>
      </c>
      <c r="J1433" s="71" t="s">
        <v>411</v>
      </c>
      <c r="K1433" s="43"/>
      <c r="L1433" s="71" t="s">
        <v>105</v>
      </c>
      <c r="M1433" s="73">
        <v>6.21</v>
      </c>
      <c r="N1433" s="71" t="s">
        <v>388</v>
      </c>
      <c r="O1433" s="73">
        <v>0.029</v>
      </c>
      <c r="P1433" s="71" t="s">
        <v>389</v>
      </c>
      <c r="Q1433" s="73">
        <v>5</v>
      </c>
      <c r="R1433" s="71" t="s">
        <v>388</v>
      </c>
      <c r="S1433" s="73">
        <v>0</v>
      </c>
      <c r="T1433" s="71" t="s">
        <v>390</v>
      </c>
      <c r="U1433" s="74">
        <v>1</v>
      </c>
      <c r="V1433" s="71" t="s">
        <v>391</v>
      </c>
      <c r="W1433" s="130">
        <v>46072.9530787037</v>
      </c>
      <c r="X1433" s="72">
        <v>46073.572916666664</v>
      </c>
      <c r="Y1433" s="72">
        <v>46083.395833333336</v>
      </c>
      <c r="Z1433" s="104" t="s">
        <v>1349</v>
      </c>
      <c r="AA1433" s="104" t="s">
        <v>1583</v>
      </c>
      <c r="AB1433" s="105">
        <v>46079.409722222219</v>
      </c>
      <c r="AC1433" s="105">
        <v>46079.663194444445</v>
      </c>
    </row>
    <row r="1434" s="70" customFormat="1" ht="11.25" customHeight="1">
      <c r="A1434" s="87"/>
      <c r="C1434" s="43" t="s">
        <v>2677</v>
      </c>
      <c r="D1434" s="71" t="s">
        <v>382</v>
      </c>
      <c r="E1434" s="71" t="str">
        <f>MID(D1434,1,2)</f>
        <v>IL</v>
      </c>
      <c r="F1434" s="71" t="s">
        <v>1583</v>
      </c>
      <c r="G1434" s="71" t="str">
        <f>MID(F1434,1,2)</f>
        <v>BR</v>
      </c>
      <c r="H1434" s="43" t="s">
        <v>2675</v>
      </c>
      <c r="I1434" s="71" t="s">
        <v>2678</v>
      </c>
      <c r="J1434" s="71" t="s">
        <v>411</v>
      </c>
      <c r="K1434" s="43"/>
      <c r="L1434" s="71" t="s">
        <v>105</v>
      </c>
      <c r="M1434" s="73">
        <v>3</v>
      </c>
      <c r="N1434" s="71" t="s">
        <v>388</v>
      </c>
      <c r="O1434" s="73">
        <v>0.036</v>
      </c>
      <c r="P1434" s="71" t="s">
        <v>389</v>
      </c>
      <c r="Q1434" s="73">
        <v>6</v>
      </c>
      <c r="R1434" s="71" t="s">
        <v>388</v>
      </c>
      <c r="S1434" s="73">
        <v>0</v>
      </c>
      <c r="T1434" s="71" t="s">
        <v>390</v>
      </c>
      <c r="U1434" s="74">
        <v>3</v>
      </c>
      <c r="V1434" s="71" t="s">
        <v>391</v>
      </c>
      <c r="W1434" s="130">
        <v>46072.953113425923</v>
      </c>
      <c r="X1434" s="72">
        <v>46073.572916666664</v>
      </c>
      <c r="Y1434" s="72">
        <v>46084</v>
      </c>
      <c r="Z1434" s="104" t="s">
        <v>382</v>
      </c>
      <c r="AA1434" s="104" t="s">
        <v>383</v>
      </c>
      <c r="AB1434" s="105">
        <v>46073.699305555558</v>
      </c>
      <c r="AC1434" s="105">
        <v>46073.840277777781</v>
      </c>
    </row>
    <row r="1435" s="70" customFormat="1" ht="11.25" customHeight="1">
      <c r="A1435" s="87"/>
      <c r="C1435" s="43" t="s">
        <v>2677</v>
      </c>
      <c r="D1435" s="71" t="s">
        <v>382</v>
      </c>
      <c r="E1435" s="71" t="str">
        <f>MID(D1435,1,2)</f>
        <v>IL</v>
      </c>
      <c r="F1435" s="71" t="s">
        <v>1583</v>
      </c>
      <c r="G1435" s="71" t="str">
        <f>MID(F1435,1,2)</f>
        <v>BR</v>
      </c>
      <c r="H1435" s="43" t="s">
        <v>2675</v>
      </c>
      <c r="I1435" s="71" t="s">
        <v>2678</v>
      </c>
      <c r="J1435" s="71" t="s">
        <v>411</v>
      </c>
      <c r="K1435" s="43"/>
      <c r="L1435" s="71" t="s">
        <v>105</v>
      </c>
      <c r="M1435" s="73">
        <v>3</v>
      </c>
      <c r="N1435" s="71" t="s">
        <v>388</v>
      </c>
      <c r="O1435" s="73">
        <v>0.036</v>
      </c>
      <c r="P1435" s="71" t="s">
        <v>389</v>
      </c>
      <c r="Q1435" s="73">
        <v>6</v>
      </c>
      <c r="R1435" s="71" t="s">
        <v>388</v>
      </c>
      <c r="S1435" s="73">
        <v>0</v>
      </c>
      <c r="T1435" s="71" t="s">
        <v>390</v>
      </c>
      <c r="U1435" s="74">
        <v>3</v>
      </c>
      <c r="V1435" s="71" t="s">
        <v>391</v>
      </c>
      <c r="W1435" s="130">
        <v>46072.953113425923</v>
      </c>
      <c r="X1435" s="72">
        <v>46073.572916666664</v>
      </c>
      <c r="Y1435" s="72">
        <v>46084</v>
      </c>
      <c r="Z1435" s="104" t="s">
        <v>383</v>
      </c>
      <c r="AA1435" s="104" t="s">
        <v>1349</v>
      </c>
      <c r="AB1435" s="105">
        <v>46074.524305555555</v>
      </c>
      <c r="AC1435" s="105">
        <v>46074.961111111108</v>
      </c>
    </row>
    <row r="1436" s="70" customFormat="1" ht="11.25" customHeight="1">
      <c r="A1436" s="87"/>
      <c r="C1436" s="43" t="s">
        <v>2677</v>
      </c>
      <c r="D1436" s="71" t="s">
        <v>382</v>
      </c>
      <c r="E1436" s="71" t="str">
        <f>MID(D1436,1,2)</f>
        <v>IL</v>
      </c>
      <c r="F1436" s="71" t="s">
        <v>1583</v>
      </c>
      <c r="G1436" s="71" t="str">
        <f>MID(F1436,1,2)</f>
        <v>BR</v>
      </c>
      <c r="H1436" s="43" t="s">
        <v>2675</v>
      </c>
      <c r="I1436" s="71" t="s">
        <v>2678</v>
      </c>
      <c r="J1436" s="71" t="s">
        <v>411</v>
      </c>
      <c r="K1436" s="43"/>
      <c r="L1436" s="71" t="s">
        <v>105</v>
      </c>
      <c r="M1436" s="73">
        <v>3</v>
      </c>
      <c r="N1436" s="71" t="s">
        <v>388</v>
      </c>
      <c r="O1436" s="73">
        <v>0.036</v>
      </c>
      <c r="P1436" s="71" t="s">
        <v>389</v>
      </c>
      <c r="Q1436" s="73">
        <v>6</v>
      </c>
      <c r="R1436" s="71" t="s">
        <v>388</v>
      </c>
      <c r="S1436" s="73">
        <v>0</v>
      </c>
      <c r="T1436" s="71" t="s">
        <v>390</v>
      </c>
      <c r="U1436" s="74">
        <v>3</v>
      </c>
      <c r="V1436" s="71" t="s">
        <v>391</v>
      </c>
      <c r="W1436" s="130">
        <v>46072.953113425923</v>
      </c>
      <c r="X1436" s="72">
        <v>46073.572916666664</v>
      </c>
      <c r="Y1436" s="72">
        <v>46084</v>
      </c>
      <c r="Z1436" s="104" t="s">
        <v>1349</v>
      </c>
      <c r="AA1436" s="104" t="s">
        <v>1583</v>
      </c>
      <c r="AB1436" s="105">
        <v>46079.409722222219</v>
      </c>
      <c r="AC1436" s="105">
        <v>46079.663194444445</v>
      </c>
    </row>
    <row r="1437" s="70" customFormat="1" ht="11.25" customHeight="1">
      <c r="A1437" s="87"/>
      <c r="C1437" s="43" t="s">
        <v>2679</v>
      </c>
      <c r="D1437" s="71" t="s">
        <v>382</v>
      </c>
      <c r="E1437" s="71" t="str">
        <f>MID(D1437,1,2)</f>
        <v>IL</v>
      </c>
      <c r="F1437" s="71" t="s">
        <v>468</v>
      </c>
      <c r="G1437" s="71" t="str">
        <f>MID(F1437,1,2)</f>
        <v>US</v>
      </c>
      <c r="H1437" s="43" t="s">
        <v>2680</v>
      </c>
      <c r="I1437" s="71" t="s">
        <v>2681</v>
      </c>
      <c r="J1437" s="71" t="s">
        <v>386</v>
      </c>
      <c r="K1437" s="43"/>
      <c r="L1437" s="71" t="s">
        <v>107</v>
      </c>
      <c r="M1437" s="73">
        <v>79</v>
      </c>
      <c r="N1437" s="71" t="s">
        <v>388</v>
      </c>
      <c r="O1437" s="73">
        <v>0.781</v>
      </c>
      <c r="P1437" s="71" t="s">
        <v>389</v>
      </c>
      <c r="Q1437" s="73">
        <v>130.5</v>
      </c>
      <c r="R1437" s="71" t="s">
        <v>388</v>
      </c>
      <c r="S1437" s="73">
        <v>0</v>
      </c>
      <c r="T1437" s="71" t="s">
        <v>390</v>
      </c>
      <c r="U1437" s="74">
        <v>1</v>
      </c>
      <c r="V1437" s="71" t="s">
        <v>391</v>
      </c>
      <c r="W1437" s="130">
        <v>46068.55625</v>
      </c>
      <c r="X1437" s="72">
        <v>46070.479166666664</v>
      </c>
      <c r="Y1437" s="72">
        <v>46076.677083333336</v>
      </c>
      <c r="Z1437" s="104" t="s">
        <v>382</v>
      </c>
      <c r="AA1437" s="104" t="s">
        <v>422</v>
      </c>
      <c r="AB1437" s="105">
        <v>46070.6125</v>
      </c>
      <c r="AC1437" s="105">
        <v>46070.80625</v>
      </c>
    </row>
    <row r="1438" s="70" customFormat="1" ht="11.25" customHeight="1">
      <c r="A1438" s="87"/>
      <c r="C1438" s="43" t="s">
        <v>2679</v>
      </c>
      <c r="D1438" s="71" t="s">
        <v>382</v>
      </c>
      <c r="E1438" s="71" t="str">
        <f>MID(D1438,1,2)</f>
        <v>IL</v>
      </c>
      <c r="F1438" s="71" t="s">
        <v>468</v>
      </c>
      <c r="G1438" s="71" t="str">
        <f>MID(F1438,1,2)</f>
        <v>US</v>
      </c>
      <c r="H1438" s="43" t="s">
        <v>2680</v>
      </c>
      <c r="I1438" s="71" t="s">
        <v>2681</v>
      </c>
      <c r="J1438" s="71" t="s">
        <v>386</v>
      </c>
      <c r="K1438" s="43"/>
      <c r="L1438" s="71" t="s">
        <v>107</v>
      </c>
      <c r="M1438" s="73">
        <v>79</v>
      </c>
      <c r="N1438" s="71" t="s">
        <v>388</v>
      </c>
      <c r="O1438" s="73">
        <v>0.781</v>
      </c>
      <c r="P1438" s="71" t="s">
        <v>389</v>
      </c>
      <c r="Q1438" s="73">
        <v>130.5</v>
      </c>
      <c r="R1438" s="71" t="s">
        <v>388</v>
      </c>
      <c r="S1438" s="73">
        <v>0</v>
      </c>
      <c r="T1438" s="71" t="s">
        <v>390</v>
      </c>
      <c r="U1438" s="74">
        <v>1</v>
      </c>
      <c r="V1438" s="71" t="s">
        <v>391</v>
      </c>
      <c r="W1438" s="130">
        <v>46068.55625</v>
      </c>
      <c r="X1438" s="72">
        <v>46070.479166666664</v>
      </c>
      <c r="Y1438" s="72">
        <v>46076.677083333336</v>
      </c>
      <c r="Z1438" s="104" t="s">
        <v>422</v>
      </c>
      <c r="AA1438" s="104" t="s">
        <v>468</v>
      </c>
      <c r="AB1438" s="105">
        <v>46071.539583333331</v>
      </c>
      <c r="AC1438" s="105">
        <v>46071.668055555558</v>
      </c>
    </row>
    <row r="1439" s="70" customFormat="1" ht="11.25" customHeight="1">
      <c r="A1439" s="87"/>
      <c r="C1439" s="43" t="s">
        <v>2682</v>
      </c>
      <c r="D1439" s="71" t="s">
        <v>382</v>
      </c>
      <c r="E1439" s="71" t="str">
        <f>MID(D1439,1,2)</f>
        <v>IL</v>
      </c>
      <c r="F1439" s="71" t="s">
        <v>383</v>
      </c>
      <c r="G1439" s="71" t="str">
        <f>MID(F1439,1,2)</f>
        <v>DE</v>
      </c>
      <c r="H1439" s="43" t="s">
        <v>2683</v>
      </c>
      <c r="I1439" s="71" t="s">
        <v>2684</v>
      </c>
      <c r="J1439" s="71" t="s">
        <v>386</v>
      </c>
      <c r="K1439" s="43"/>
      <c r="L1439" s="71" t="s">
        <v>107</v>
      </c>
      <c r="M1439" s="73">
        <v>1807</v>
      </c>
      <c r="N1439" s="71" t="s">
        <v>388</v>
      </c>
      <c r="O1439" s="73">
        <v>17.526</v>
      </c>
      <c r="P1439" s="71" t="s">
        <v>389</v>
      </c>
      <c r="Q1439" s="73">
        <v>2921</v>
      </c>
      <c r="R1439" s="71" t="s">
        <v>388</v>
      </c>
      <c r="S1439" s="73">
        <v>0</v>
      </c>
      <c r="T1439" s="71" t="s">
        <v>390</v>
      </c>
      <c r="U1439" s="74">
        <v>14</v>
      </c>
      <c r="V1439" s="71" t="s">
        <v>391</v>
      </c>
      <c r="W1439" s="130"/>
      <c r="X1439" s="72">
        <v>46070.47152777778</v>
      </c>
      <c r="Y1439" s="72">
        <v>46072.260416666664</v>
      </c>
      <c r="Z1439" s="104" t="s">
        <v>382</v>
      </c>
      <c r="AA1439" s="104" t="s">
        <v>748</v>
      </c>
      <c r="AB1439" s="105">
        <v>46070.646527777775</v>
      </c>
      <c r="AC1439" s="105"/>
    </row>
    <row r="1440" s="70" customFormat="1" ht="11.25" customHeight="1">
      <c r="A1440" s="87"/>
      <c r="C1440" s="43" t="s">
        <v>2682</v>
      </c>
      <c r="D1440" s="71" t="s">
        <v>382</v>
      </c>
      <c r="E1440" s="71" t="str">
        <f>MID(D1440,1,2)</f>
        <v>IL</v>
      </c>
      <c r="F1440" s="71" t="s">
        <v>383</v>
      </c>
      <c r="G1440" s="71" t="str">
        <f>MID(F1440,1,2)</f>
        <v>DE</v>
      </c>
      <c r="H1440" s="43" t="s">
        <v>2683</v>
      </c>
      <c r="I1440" s="71" t="s">
        <v>2684</v>
      </c>
      <c r="J1440" s="71" t="s">
        <v>386</v>
      </c>
      <c r="K1440" s="43"/>
      <c r="L1440" s="71" t="s">
        <v>107</v>
      </c>
      <c r="M1440" s="73">
        <v>1807</v>
      </c>
      <c r="N1440" s="71" t="s">
        <v>388</v>
      </c>
      <c r="O1440" s="73">
        <v>17.526</v>
      </c>
      <c r="P1440" s="71" t="s">
        <v>389</v>
      </c>
      <c r="Q1440" s="73">
        <v>2921</v>
      </c>
      <c r="R1440" s="71" t="s">
        <v>388</v>
      </c>
      <c r="S1440" s="73">
        <v>0</v>
      </c>
      <c r="T1440" s="71" t="s">
        <v>390</v>
      </c>
      <c r="U1440" s="74">
        <v>14</v>
      </c>
      <c r="V1440" s="71" t="s">
        <v>391</v>
      </c>
      <c r="W1440" s="130"/>
      <c r="X1440" s="72">
        <v>46070.47152777778</v>
      </c>
      <c r="Y1440" s="72">
        <v>46072.260416666664</v>
      </c>
      <c r="Z1440" s="104" t="s">
        <v>748</v>
      </c>
      <c r="AA1440" s="104" t="s">
        <v>383</v>
      </c>
      <c r="AB1440" s="105">
        <v>46071.588194444441</v>
      </c>
      <c r="AC1440" s="105">
        <v>46071.916666666664</v>
      </c>
    </row>
    <row r="1441" s="70" customFormat="1" ht="11.25" customHeight="1">
      <c r="A1441" s="87"/>
      <c r="C1441" s="43" t="s">
        <v>2685</v>
      </c>
      <c r="D1441" s="71" t="s">
        <v>382</v>
      </c>
      <c r="E1441" s="71" t="str">
        <f>MID(D1441,1,2)</f>
        <v>IL</v>
      </c>
      <c r="F1441" s="71" t="s">
        <v>414</v>
      </c>
      <c r="G1441" s="71" t="str">
        <f>MID(F1441,1,2)</f>
        <v>US</v>
      </c>
      <c r="H1441" s="43" t="s">
        <v>2577</v>
      </c>
      <c r="I1441" s="71" t="s">
        <v>2686</v>
      </c>
      <c r="J1441" s="71" t="s">
        <v>386</v>
      </c>
      <c r="K1441" s="43" t="s">
        <v>431</v>
      </c>
      <c r="L1441" s="71" t="s">
        <v>107</v>
      </c>
      <c r="M1441" s="73">
        <v>433</v>
      </c>
      <c r="N1441" s="71" t="s">
        <v>388</v>
      </c>
      <c r="O1441" s="73">
        <v>4.813</v>
      </c>
      <c r="P1441" s="71" t="s">
        <v>389</v>
      </c>
      <c r="Q1441" s="73">
        <v>802.5</v>
      </c>
      <c r="R1441" s="71" t="s">
        <v>388</v>
      </c>
      <c r="S1441" s="73">
        <v>0</v>
      </c>
      <c r="T1441" s="71" t="s">
        <v>390</v>
      </c>
      <c r="U1441" s="74">
        <v>2</v>
      </c>
      <c r="V1441" s="71" t="s">
        <v>391</v>
      </c>
      <c r="W1441" s="130">
        <v>46068.583333333336</v>
      </c>
      <c r="X1441" s="72">
        <v>46071.03125</v>
      </c>
      <c r="Y1441" s="72">
        <v>46072.239583333336</v>
      </c>
      <c r="Z1441" s="104" t="s">
        <v>382</v>
      </c>
      <c r="AA1441" s="104" t="s">
        <v>414</v>
      </c>
      <c r="AB1441" s="105">
        <v>46071.546527777777</v>
      </c>
      <c r="AC1441" s="105">
        <v>46071.748611111114</v>
      </c>
    </row>
    <row r="1442" s="70" customFormat="1" ht="11.25" customHeight="1">
      <c r="A1442" s="87"/>
      <c r="C1442" s="43" t="s">
        <v>2687</v>
      </c>
      <c r="D1442" s="71" t="s">
        <v>382</v>
      </c>
      <c r="E1442" s="71" t="str">
        <f>MID(D1442,1,2)</f>
        <v>IL</v>
      </c>
      <c r="F1442" s="71" t="s">
        <v>485</v>
      </c>
      <c r="G1442" s="71" t="str">
        <f>MID(F1442,1,2)</f>
        <v>US</v>
      </c>
      <c r="H1442" s="43" t="s">
        <v>2688</v>
      </c>
      <c r="I1442" s="71" t="s">
        <v>2689</v>
      </c>
      <c r="J1442" s="71" t="s">
        <v>386</v>
      </c>
      <c r="K1442" s="43"/>
      <c r="L1442" s="71" t="s">
        <v>107</v>
      </c>
      <c r="M1442" s="73">
        <v>82</v>
      </c>
      <c r="N1442" s="71" t="s">
        <v>388</v>
      </c>
      <c r="O1442" s="73">
        <v>1.085</v>
      </c>
      <c r="P1442" s="71" t="s">
        <v>389</v>
      </c>
      <c r="Q1442" s="73">
        <v>181</v>
      </c>
      <c r="R1442" s="71" t="s">
        <v>388</v>
      </c>
      <c r="S1442" s="73">
        <v>0</v>
      </c>
      <c r="T1442" s="71" t="s">
        <v>390</v>
      </c>
      <c r="U1442" s="74">
        <v>1</v>
      </c>
      <c r="V1442" s="71" t="s">
        <v>391</v>
      </c>
      <c r="W1442" s="130">
        <v>46068.611805555556</v>
      </c>
      <c r="X1442" s="72">
        <v>46069.599305555559</v>
      </c>
      <c r="Y1442" s="72">
        <v>46073.583333333336</v>
      </c>
      <c r="Z1442" s="104" t="s">
        <v>382</v>
      </c>
      <c r="AA1442" s="104" t="s">
        <v>414</v>
      </c>
      <c r="AB1442" s="105">
        <v>46071.477083333331</v>
      </c>
      <c r="AC1442" s="105">
        <v>46071.709027777775</v>
      </c>
    </row>
    <row r="1443" s="70" customFormat="1" ht="11.25" customHeight="1">
      <c r="A1443" s="87"/>
      <c r="C1443" s="43" t="s">
        <v>2687</v>
      </c>
      <c r="D1443" s="71" t="s">
        <v>382</v>
      </c>
      <c r="E1443" s="71" t="str">
        <f>MID(D1443,1,2)</f>
        <v>IL</v>
      </c>
      <c r="F1443" s="71" t="s">
        <v>485</v>
      </c>
      <c r="G1443" s="71" t="str">
        <f>MID(F1443,1,2)</f>
        <v>US</v>
      </c>
      <c r="H1443" s="43" t="s">
        <v>2688</v>
      </c>
      <c r="I1443" s="71" t="s">
        <v>2689</v>
      </c>
      <c r="J1443" s="71" t="s">
        <v>386</v>
      </c>
      <c r="K1443" s="43"/>
      <c r="L1443" s="71" t="s">
        <v>107</v>
      </c>
      <c r="M1443" s="73">
        <v>82</v>
      </c>
      <c r="N1443" s="71" t="s">
        <v>388</v>
      </c>
      <c r="O1443" s="73">
        <v>1.085</v>
      </c>
      <c r="P1443" s="71" t="s">
        <v>389</v>
      </c>
      <c r="Q1443" s="73">
        <v>181</v>
      </c>
      <c r="R1443" s="71" t="s">
        <v>388</v>
      </c>
      <c r="S1443" s="73">
        <v>0</v>
      </c>
      <c r="T1443" s="71" t="s">
        <v>390</v>
      </c>
      <c r="U1443" s="74">
        <v>1</v>
      </c>
      <c r="V1443" s="71" t="s">
        <v>391</v>
      </c>
      <c r="W1443" s="130">
        <v>46068.611805555556</v>
      </c>
      <c r="X1443" s="72">
        <v>46069.599305555559</v>
      </c>
      <c r="Y1443" s="72">
        <v>46073.583333333336</v>
      </c>
      <c r="Z1443" s="104" t="s">
        <v>414</v>
      </c>
      <c r="AA1443" s="104" t="s">
        <v>485</v>
      </c>
      <c r="AB1443" s="105">
        <v>46072.961111111108</v>
      </c>
      <c r="AC1443" s="105">
        <v>46073.543055555558</v>
      </c>
    </row>
    <row r="1444" s="70" customFormat="1" ht="11.25" customHeight="1">
      <c r="A1444" s="87"/>
      <c r="C1444" s="43" t="s">
        <v>2690</v>
      </c>
      <c r="D1444" s="71" t="s">
        <v>382</v>
      </c>
      <c r="E1444" s="71" t="str">
        <f>MID(D1444,1,2)</f>
        <v>IL</v>
      </c>
      <c r="F1444" s="71" t="s">
        <v>408</v>
      </c>
      <c r="G1444" s="71" t="str">
        <f>MID(F1444,1,2)</f>
        <v>GR</v>
      </c>
      <c r="H1444" s="43" t="s">
        <v>2691</v>
      </c>
      <c r="I1444" s="71" t="s">
        <v>2692</v>
      </c>
      <c r="J1444" s="71" t="s">
        <v>400</v>
      </c>
      <c r="K1444" s="43"/>
      <c r="L1444" s="71" t="s">
        <v>105</v>
      </c>
      <c r="M1444" s="73">
        <v>47</v>
      </c>
      <c r="N1444" s="71" t="s">
        <v>388</v>
      </c>
      <c r="O1444" s="73">
        <v>0.531</v>
      </c>
      <c r="P1444" s="71" t="s">
        <v>389</v>
      </c>
      <c r="Q1444" s="73">
        <v>100</v>
      </c>
      <c r="R1444" s="71" t="s">
        <v>388</v>
      </c>
      <c r="S1444" s="73">
        <v>0</v>
      </c>
      <c r="T1444" s="71" t="s">
        <v>390</v>
      </c>
      <c r="U1444" s="74">
        <v>1</v>
      </c>
      <c r="V1444" s="71" t="s">
        <v>391</v>
      </c>
      <c r="W1444" s="130">
        <v>46068.59097222222</v>
      </c>
      <c r="X1444" s="72">
        <v>46069.458333333336</v>
      </c>
      <c r="Y1444" s="72">
        <v>46070.571527777778</v>
      </c>
      <c r="Z1444" s="104" t="s">
        <v>382</v>
      </c>
      <c r="AA1444" s="104" t="s">
        <v>408</v>
      </c>
      <c r="AB1444" s="105">
        <v>46069.458333333336</v>
      </c>
      <c r="AC1444" s="105">
        <v>46070.291666666664</v>
      </c>
    </row>
    <row r="1445" s="70" customFormat="1" ht="11.25" customHeight="1">
      <c r="A1445" s="87"/>
      <c r="C1445" s="43" t="s">
        <v>2693</v>
      </c>
      <c r="D1445" s="71" t="s">
        <v>382</v>
      </c>
      <c r="E1445" s="71" t="str">
        <f>MID(D1445,1,2)</f>
        <v>IL</v>
      </c>
      <c r="F1445" s="71" t="s">
        <v>480</v>
      </c>
      <c r="G1445" s="71" t="str">
        <f>MID(F1445,1,2)</f>
        <v>CA</v>
      </c>
      <c r="H1445" s="43" t="s">
        <v>2694</v>
      </c>
      <c r="I1445" s="71" t="s">
        <v>2695</v>
      </c>
      <c r="J1445" s="71" t="s">
        <v>386</v>
      </c>
      <c r="K1445" s="43"/>
      <c r="L1445" s="71" t="s">
        <v>107</v>
      </c>
      <c r="M1445" s="73">
        <v>391</v>
      </c>
      <c r="N1445" s="71" t="s">
        <v>388</v>
      </c>
      <c r="O1445" s="73">
        <v>1.058</v>
      </c>
      <c r="P1445" s="71" t="s">
        <v>389</v>
      </c>
      <c r="Q1445" s="73">
        <v>391</v>
      </c>
      <c r="R1445" s="71" t="s">
        <v>388</v>
      </c>
      <c r="S1445" s="73">
        <v>0</v>
      </c>
      <c r="T1445" s="71" t="s">
        <v>390</v>
      </c>
      <c r="U1445" s="74">
        <v>4</v>
      </c>
      <c r="V1445" s="71" t="s">
        <v>417</v>
      </c>
      <c r="W1445" s="130">
        <v>46069.990972222222</v>
      </c>
      <c r="X1445" s="72">
        <v>46071.458333333336</v>
      </c>
      <c r="Y1445" s="72">
        <v>46073.375</v>
      </c>
      <c r="Z1445" s="104" t="s">
        <v>382</v>
      </c>
      <c r="AA1445" s="104" t="s">
        <v>405</v>
      </c>
      <c r="AB1445" s="105">
        <v>46071.491666666669</v>
      </c>
      <c r="AC1445" s="105">
        <v>46071.7</v>
      </c>
    </row>
    <row r="1446" s="70" customFormat="1" ht="11.25" customHeight="1">
      <c r="A1446" s="87"/>
      <c r="C1446" s="43" t="s">
        <v>2693</v>
      </c>
      <c r="D1446" s="71" t="s">
        <v>382</v>
      </c>
      <c r="E1446" s="71" t="str">
        <f>MID(D1446,1,2)</f>
        <v>IL</v>
      </c>
      <c r="F1446" s="71" t="s">
        <v>480</v>
      </c>
      <c r="G1446" s="71" t="str">
        <f>MID(F1446,1,2)</f>
        <v>CA</v>
      </c>
      <c r="H1446" s="43" t="s">
        <v>2694</v>
      </c>
      <c r="I1446" s="71" t="s">
        <v>2695</v>
      </c>
      <c r="J1446" s="71" t="s">
        <v>386</v>
      </c>
      <c r="K1446" s="43"/>
      <c r="L1446" s="71" t="s">
        <v>107</v>
      </c>
      <c r="M1446" s="73">
        <v>391</v>
      </c>
      <c r="N1446" s="71" t="s">
        <v>388</v>
      </c>
      <c r="O1446" s="73">
        <v>1.058</v>
      </c>
      <c r="P1446" s="71" t="s">
        <v>389</v>
      </c>
      <c r="Q1446" s="73">
        <v>391</v>
      </c>
      <c r="R1446" s="71" t="s">
        <v>388</v>
      </c>
      <c r="S1446" s="73">
        <v>0</v>
      </c>
      <c r="T1446" s="71" t="s">
        <v>390</v>
      </c>
      <c r="U1446" s="74">
        <v>4</v>
      </c>
      <c r="V1446" s="71" t="s">
        <v>417</v>
      </c>
      <c r="W1446" s="130">
        <v>46069.990972222222</v>
      </c>
      <c r="X1446" s="72">
        <v>46071.458333333336</v>
      </c>
      <c r="Y1446" s="72">
        <v>46073.375</v>
      </c>
      <c r="Z1446" s="104" t="s">
        <v>405</v>
      </c>
      <c r="AA1446" s="104" t="s">
        <v>480</v>
      </c>
      <c r="AB1446" s="105">
        <v>46072.711805555555</v>
      </c>
      <c r="AC1446" s="105">
        <v>46072.773611111108</v>
      </c>
    </row>
    <row r="1447" s="70" customFormat="1" ht="11.25" customHeight="1">
      <c r="A1447" s="87"/>
      <c r="C1447" s="43" t="s">
        <v>2696</v>
      </c>
      <c r="D1447" s="71" t="s">
        <v>382</v>
      </c>
      <c r="E1447" s="71" t="str">
        <f>MID(D1447,1,2)</f>
        <v>IL</v>
      </c>
      <c r="F1447" s="71" t="s">
        <v>573</v>
      </c>
      <c r="G1447" s="71" t="str">
        <f>MID(F1447,1,2)</f>
        <v>CH</v>
      </c>
      <c r="H1447" s="43" t="s">
        <v>2697</v>
      </c>
      <c r="I1447" s="71" t="s">
        <v>2698</v>
      </c>
      <c r="J1447" s="71" t="s">
        <v>400</v>
      </c>
      <c r="K1447" s="43"/>
      <c r="L1447" s="71" t="s">
        <v>105</v>
      </c>
      <c r="M1447" s="73">
        <v>532</v>
      </c>
      <c r="N1447" s="71" t="s">
        <v>388</v>
      </c>
      <c r="O1447" s="73">
        <v>2.161</v>
      </c>
      <c r="P1447" s="71" t="s">
        <v>389</v>
      </c>
      <c r="Q1447" s="73">
        <v>532</v>
      </c>
      <c r="R1447" s="71" t="s">
        <v>388</v>
      </c>
      <c r="S1447" s="73">
        <v>0</v>
      </c>
      <c r="T1447" s="71" t="s">
        <v>390</v>
      </c>
      <c r="U1447" s="74">
        <v>4</v>
      </c>
      <c r="V1447" s="71" t="s">
        <v>391</v>
      </c>
      <c r="W1447" s="130"/>
      <c r="X1447" s="72">
        <v>46072.415277777778</v>
      </c>
      <c r="Y1447" s="72">
        <v>46073.791666666664</v>
      </c>
      <c r="Z1447" s="104" t="s">
        <v>382</v>
      </c>
      <c r="AA1447" s="104" t="s">
        <v>383</v>
      </c>
      <c r="AB1447" s="105">
        <v>46071.977083333331</v>
      </c>
      <c r="AC1447" s="105">
        <v>46072.288194444445</v>
      </c>
    </row>
    <row r="1448" s="70" customFormat="1" ht="11.25" customHeight="1">
      <c r="A1448" s="87"/>
      <c r="C1448" s="43" t="s">
        <v>2696</v>
      </c>
      <c r="D1448" s="71" t="s">
        <v>382</v>
      </c>
      <c r="E1448" s="71" t="str">
        <f>MID(D1448,1,2)</f>
        <v>IL</v>
      </c>
      <c r="F1448" s="71" t="s">
        <v>573</v>
      </c>
      <c r="G1448" s="71" t="str">
        <f>MID(F1448,1,2)</f>
        <v>CH</v>
      </c>
      <c r="H1448" s="43" t="s">
        <v>2697</v>
      </c>
      <c r="I1448" s="71" t="s">
        <v>2698</v>
      </c>
      <c r="J1448" s="71" t="s">
        <v>400</v>
      </c>
      <c r="K1448" s="43"/>
      <c r="L1448" s="71" t="s">
        <v>105</v>
      </c>
      <c r="M1448" s="73">
        <v>532</v>
      </c>
      <c r="N1448" s="71" t="s">
        <v>388</v>
      </c>
      <c r="O1448" s="73">
        <v>2.161</v>
      </c>
      <c r="P1448" s="71" t="s">
        <v>389</v>
      </c>
      <c r="Q1448" s="73">
        <v>532</v>
      </c>
      <c r="R1448" s="71" t="s">
        <v>388</v>
      </c>
      <c r="S1448" s="73">
        <v>0</v>
      </c>
      <c r="T1448" s="71" t="s">
        <v>390</v>
      </c>
      <c r="U1448" s="74">
        <v>4</v>
      </c>
      <c r="V1448" s="71" t="s">
        <v>391</v>
      </c>
      <c r="W1448" s="130"/>
      <c r="X1448" s="72">
        <v>46072.415277777778</v>
      </c>
      <c r="Y1448" s="72">
        <v>46073.791666666664</v>
      </c>
      <c r="Z1448" s="104" t="s">
        <v>383</v>
      </c>
      <c r="AA1448" s="104" t="s">
        <v>573</v>
      </c>
      <c r="AB1448" s="105">
        <v>46072.760416666664</v>
      </c>
      <c r="AC1448" s="105">
        <v>46072.790277777778</v>
      </c>
    </row>
    <row r="1449" s="70" customFormat="1" ht="11.25" customHeight="1">
      <c r="A1449" s="87"/>
      <c r="C1449" s="43" t="s">
        <v>2699</v>
      </c>
      <c r="D1449" s="71" t="s">
        <v>382</v>
      </c>
      <c r="E1449" s="71" t="str">
        <f>MID(D1449,1,2)</f>
        <v>IL</v>
      </c>
      <c r="F1449" s="71" t="s">
        <v>414</v>
      </c>
      <c r="G1449" s="71" t="str">
        <f>MID(F1449,1,2)</f>
        <v>US</v>
      </c>
      <c r="H1449" s="43" t="s">
        <v>2577</v>
      </c>
      <c r="I1449" s="71" t="s">
        <v>2700</v>
      </c>
      <c r="J1449" s="71" t="s">
        <v>400</v>
      </c>
      <c r="K1449" s="43"/>
      <c r="L1449" s="71" t="s">
        <v>105</v>
      </c>
      <c r="M1449" s="73">
        <v>51</v>
      </c>
      <c r="N1449" s="71" t="s">
        <v>388</v>
      </c>
      <c r="O1449" s="73">
        <v>0.197</v>
      </c>
      <c r="P1449" s="71" t="s">
        <v>389</v>
      </c>
      <c r="Q1449" s="73">
        <v>51</v>
      </c>
      <c r="R1449" s="71" t="s">
        <v>388</v>
      </c>
      <c r="S1449" s="73">
        <v>0</v>
      </c>
      <c r="T1449" s="71" t="s">
        <v>390</v>
      </c>
      <c r="U1449" s="74">
        <v>1</v>
      </c>
      <c r="V1449" s="71" t="s">
        <v>391</v>
      </c>
      <c r="W1449" s="130">
        <v>46068.618055555555</v>
      </c>
      <c r="X1449" s="72">
        <v>46071.03125</v>
      </c>
      <c r="Y1449" s="72">
        <v>46072.239583333336</v>
      </c>
      <c r="Z1449" s="104" t="s">
        <v>382</v>
      </c>
      <c r="AA1449" s="104" t="s">
        <v>414</v>
      </c>
      <c r="AB1449" s="105">
        <v>46071.546527777777</v>
      </c>
      <c r="AC1449" s="105">
        <v>46071.748611111114</v>
      </c>
    </row>
    <row r="1450" s="70" customFormat="1" ht="11.25" customHeight="1">
      <c r="A1450" s="87"/>
      <c r="C1450" s="43" t="s">
        <v>2701</v>
      </c>
      <c r="D1450" s="71" t="s">
        <v>382</v>
      </c>
      <c r="E1450" s="71" t="str">
        <f>MID(D1450,1,2)</f>
        <v>IL</v>
      </c>
      <c r="F1450" s="71" t="s">
        <v>383</v>
      </c>
      <c r="G1450" s="71" t="str">
        <f>MID(F1450,1,2)</f>
        <v>DE</v>
      </c>
      <c r="H1450" s="43" t="s">
        <v>2171</v>
      </c>
      <c r="I1450" s="71" t="s">
        <v>2702</v>
      </c>
      <c r="J1450" s="71" t="s">
        <v>426</v>
      </c>
      <c r="K1450" s="43"/>
      <c r="L1450" s="71" t="s">
        <v>105</v>
      </c>
      <c r="M1450" s="73">
        <v>182</v>
      </c>
      <c r="N1450" s="71" t="s">
        <v>388</v>
      </c>
      <c r="O1450" s="73">
        <v>0.4</v>
      </c>
      <c r="P1450" s="71" t="s">
        <v>389</v>
      </c>
      <c r="Q1450" s="73">
        <v>182</v>
      </c>
      <c r="R1450" s="71" t="s">
        <v>388</v>
      </c>
      <c r="S1450" s="73">
        <v>0</v>
      </c>
      <c r="T1450" s="71" t="s">
        <v>390</v>
      </c>
      <c r="U1450" s="74">
        <v>1</v>
      </c>
      <c r="V1450" s="71" t="s">
        <v>391</v>
      </c>
      <c r="W1450" s="130"/>
      <c r="X1450" s="72">
        <v>46074.552083333336</v>
      </c>
      <c r="Y1450" s="72">
        <v>46075.833333333336</v>
      </c>
      <c r="Z1450" s="104" t="s">
        <v>382</v>
      </c>
      <c r="AA1450" s="104" t="s">
        <v>1117</v>
      </c>
      <c r="AB1450" s="105">
        <v>46074.552083333336</v>
      </c>
      <c r="AC1450" s="105"/>
    </row>
    <row r="1451" s="70" customFormat="1" ht="11.25" customHeight="1">
      <c r="A1451" s="87"/>
      <c r="C1451" s="43" t="s">
        <v>2701</v>
      </c>
      <c r="D1451" s="71" t="s">
        <v>382</v>
      </c>
      <c r="E1451" s="71" t="str">
        <f>MID(D1451,1,2)</f>
        <v>IL</v>
      </c>
      <c r="F1451" s="71" t="s">
        <v>383</v>
      </c>
      <c r="G1451" s="71" t="str">
        <f>MID(F1451,1,2)</f>
        <v>DE</v>
      </c>
      <c r="H1451" s="43" t="s">
        <v>2171</v>
      </c>
      <c r="I1451" s="71" t="s">
        <v>2702</v>
      </c>
      <c r="J1451" s="71" t="s">
        <v>426</v>
      </c>
      <c r="K1451" s="43"/>
      <c r="L1451" s="71" t="s">
        <v>105</v>
      </c>
      <c r="M1451" s="73">
        <v>182</v>
      </c>
      <c r="N1451" s="71" t="s">
        <v>388</v>
      </c>
      <c r="O1451" s="73">
        <v>0.4</v>
      </c>
      <c r="P1451" s="71" t="s">
        <v>389</v>
      </c>
      <c r="Q1451" s="73">
        <v>182</v>
      </c>
      <c r="R1451" s="71" t="s">
        <v>388</v>
      </c>
      <c r="S1451" s="73">
        <v>0</v>
      </c>
      <c r="T1451" s="71" t="s">
        <v>390</v>
      </c>
      <c r="U1451" s="74">
        <v>1</v>
      </c>
      <c r="V1451" s="71" t="s">
        <v>391</v>
      </c>
      <c r="W1451" s="130"/>
      <c r="X1451" s="72">
        <v>46074.552083333336</v>
      </c>
      <c r="Y1451" s="72">
        <v>46075.833333333336</v>
      </c>
      <c r="Z1451" s="104" t="s">
        <v>1117</v>
      </c>
      <c r="AA1451" s="104" t="s">
        <v>383</v>
      </c>
      <c r="AB1451" s="105">
        <v>46075.416666666664</v>
      </c>
      <c r="AC1451" s="105">
        <v>46075.603472222225</v>
      </c>
    </row>
    <row r="1452" s="70" customFormat="1" ht="11.25" customHeight="1">
      <c r="A1452" s="87"/>
      <c r="C1452" s="43" t="s">
        <v>2703</v>
      </c>
      <c r="D1452" s="71" t="s">
        <v>382</v>
      </c>
      <c r="E1452" s="71" t="str">
        <f>MID(D1452,1,2)</f>
        <v>IL</v>
      </c>
      <c r="F1452" s="71" t="s">
        <v>419</v>
      </c>
      <c r="G1452" s="71" t="str">
        <f>MID(F1452,1,2)</f>
        <v>US</v>
      </c>
      <c r="H1452" s="43" t="s">
        <v>2704</v>
      </c>
      <c r="I1452" s="71" t="s">
        <v>2705</v>
      </c>
      <c r="J1452" s="71" t="s">
        <v>454</v>
      </c>
      <c r="K1452" s="43" t="s">
        <v>431</v>
      </c>
      <c r="L1452" s="71" t="s">
        <v>107</v>
      </c>
      <c r="M1452" s="73">
        <v>10</v>
      </c>
      <c r="N1452" s="71" t="s">
        <v>388</v>
      </c>
      <c r="O1452" s="73">
        <v>0.101</v>
      </c>
      <c r="P1452" s="71" t="s">
        <v>389</v>
      </c>
      <c r="Q1452" s="73">
        <v>17</v>
      </c>
      <c r="R1452" s="71" t="s">
        <v>388</v>
      </c>
      <c r="S1452" s="73">
        <v>0</v>
      </c>
      <c r="T1452" s="71" t="s">
        <v>390</v>
      </c>
      <c r="U1452" s="74">
        <v>1</v>
      </c>
      <c r="V1452" s="71" t="s">
        <v>427</v>
      </c>
      <c r="W1452" s="130">
        <v>46068.63958333333</v>
      </c>
      <c r="X1452" s="72">
        <v>46071.965277777781</v>
      </c>
      <c r="Y1452" s="72">
        <v>46072.645138888889</v>
      </c>
      <c r="Z1452" s="104" t="s">
        <v>382</v>
      </c>
      <c r="AA1452" s="104" t="s">
        <v>422</v>
      </c>
      <c r="AB1452" s="105">
        <v>46071.0375</v>
      </c>
      <c r="AC1452" s="105">
        <v>46071.0375</v>
      </c>
    </row>
    <row r="1453" s="70" customFormat="1" ht="11.25" customHeight="1">
      <c r="A1453" s="87"/>
      <c r="C1453" s="43" t="s">
        <v>2703</v>
      </c>
      <c r="D1453" s="71" t="s">
        <v>382</v>
      </c>
      <c r="E1453" s="71" t="str">
        <f>MID(D1453,1,2)</f>
        <v>IL</v>
      </c>
      <c r="F1453" s="71" t="s">
        <v>419</v>
      </c>
      <c r="G1453" s="71" t="str">
        <f>MID(F1453,1,2)</f>
        <v>US</v>
      </c>
      <c r="H1453" s="43" t="s">
        <v>2704</v>
      </c>
      <c r="I1453" s="71" t="s">
        <v>2705</v>
      </c>
      <c r="J1453" s="71" t="s">
        <v>454</v>
      </c>
      <c r="K1453" s="43" t="s">
        <v>431</v>
      </c>
      <c r="L1453" s="71" t="s">
        <v>107</v>
      </c>
      <c r="M1453" s="73">
        <v>10</v>
      </c>
      <c r="N1453" s="71" t="s">
        <v>388</v>
      </c>
      <c r="O1453" s="73">
        <v>0.101</v>
      </c>
      <c r="P1453" s="71" t="s">
        <v>389</v>
      </c>
      <c r="Q1453" s="73">
        <v>17</v>
      </c>
      <c r="R1453" s="71" t="s">
        <v>388</v>
      </c>
      <c r="S1453" s="73">
        <v>0</v>
      </c>
      <c r="T1453" s="71" t="s">
        <v>390</v>
      </c>
      <c r="U1453" s="74">
        <v>1</v>
      </c>
      <c r="V1453" s="71" t="s">
        <v>427</v>
      </c>
      <c r="W1453" s="130">
        <v>46068.63958333333</v>
      </c>
      <c r="X1453" s="72">
        <v>46071.965277777781</v>
      </c>
      <c r="Y1453" s="72">
        <v>46072.645138888889</v>
      </c>
      <c r="Z1453" s="104" t="s">
        <v>422</v>
      </c>
      <c r="AA1453" s="104" t="s">
        <v>419</v>
      </c>
      <c r="AB1453" s="105">
        <v>46071.70416666667</v>
      </c>
      <c r="AC1453" s="105">
        <v>46071.806944444441</v>
      </c>
    </row>
    <row r="1454" s="70" customFormat="1" ht="11.25" customHeight="1">
      <c r="A1454" s="87"/>
      <c r="C1454" s="43" t="s">
        <v>2706</v>
      </c>
      <c r="D1454" s="71" t="s">
        <v>382</v>
      </c>
      <c r="E1454" s="71" t="str">
        <f>MID(D1454,1,2)</f>
        <v>IL</v>
      </c>
      <c r="F1454" s="71" t="s">
        <v>471</v>
      </c>
      <c r="G1454" s="71" t="str">
        <f>MID(F1454,1,2)</f>
        <v>US</v>
      </c>
      <c r="H1454" s="43" t="s">
        <v>2707</v>
      </c>
      <c r="I1454" s="71" t="s">
        <v>2708</v>
      </c>
      <c r="J1454" s="71" t="s">
        <v>386</v>
      </c>
      <c r="K1454" s="43"/>
      <c r="L1454" s="71" t="s">
        <v>107</v>
      </c>
      <c r="M1454" s="73">
        <v>358</v>
      </c>
      <c r="N1454" s="71" t="s">
        <v>388</v>
      </c>
      <c r="O1454" s="73">
        <v>3.192</v>
      </c>
      <c r="P1454" s="71" t="s">
        <v>389</v>
      </c>
      <c r="Q1454" s="73">
        <v>532</v>
      </c>
      <c r="R1454" s="71" t="s">
        <v>388</v>
      </c>
      <c r="S1454" s="73">
        <v>0</v>
      </c>
      <c r="T1454" s="71" t="s">
        <v>390</v>
      </c>
      <c r="U1454" s="74">
        <v>5</v>
      </c>
      <c r="V1454" s="71" t="s">
        <v>391</v>
      </c>
      <c r="W1454" s="130">
        <v>46071.727129629631</v>
      </c>
      <c r="X1454" s="72">
        <v>46073.663194444445</v>
      </c>
      <c r="Y1454" s="72">
        <v>46075.635416666664</v>
      </c>
      <c r="Z1454" s="104" t="s">
        <v>382</v>
      </c>
      <c r="AA1454" s="104" t="s">
        <v>577</v>
      </c>
      <c r="AB1454" s="105">
        <v>46073.69027777778</v>
      </c>
      <c r="AC1454" s="105">
        <v>46073.832638888889</v>
      </c>
    </row>
    <row r="1455" s="70" customFormat="1" ht="11.25" customHeight="1">
      <c r="A1455" s="87"/>
      <c r="C1455" s="43" t="s">
        <v>2706</v>
      </c>
      <c r="D1455" s="71" t="s">
        <v>382</v>
      </c>
      <c r="E1455" s="71" t="str">
        <f>MID(D1455,1,2)</f>
        <v>IL</v>
      </c>
      <c r="F1455" s="71" t="s">
        <v>471</v>
      </c>
      <c r="G1455" s="71" t="str">
        <f>MID(F1455,1,2)</f>
        <v>US</v>
      </c>
      <c r="H1455" s="43" t="s">
        <v>2707</v>
      </c>
      <c r="I1455" s="71" t="s">
        <v>2708</v>
      </c>
      <c r="J1455" s="71" t="s">
        <v>386</v>
      </c>
      <c r="K1455" s="43"/>
      <c r="L1455" s="71" t="s">
        <v>107</v>
      </c>
      <c r="M1455" s="73">
        <v>358</v>
      </c>
      <c r="N1455" s="71" t="s">
        <v>388</v>
      </c>
      <c r="O1455" s="73">
        <v>3.192</v>
      </c>
      <c r="P1455" s="71" t="s">
        <v>389</v>
      </c>
      <c r="Q1455" s="73">
        <v>532</v>
      </c>
      <c r="R1455" s="71" t="s">
        <v>388</v>
      </c>
      <c r="S1455" s="73">
        <v>0</v>
      </c>
      <c r="T1455" s="71" t="s">
        <v>390</v>
      </c>
      <c r="U1455" s="74">
        <v>5</v>
      </c>
      <c r="V1455" s="71" t="s">
        <v>391</v>
      </c>
      <c r="W1455" s="130">
        <v>46071.727129629631</v>
      </c>
      <c r="X1455" s="72">
        <v>46073.663194444445</v>
      </c>
      <c r="Y1455" s="72">
        <v>46075.635416666664</v>
      </c>
      <c r="Z1455" s="104" t="s">
        <v>577</v>
      </c>
      <c r="AA1455" s="104" t="s">
        <v>471</v>
      </c>
      <c r="AB1455" s="105">
        <v>46075.552083333336</v>
      </c>
      <c r="AC1455" s="105">
        <v>46075.619444444441</v>
      </c>
    </row>
    <row r="1456" s="70" customFormat="1" ht="11.25" customHeight="1">
      <c r="A1456" s="87"/>
      <c r="C1456" s="43" t="s">
        <v>2709</v>
      </c>
      <c r="D1456" s="71" t="s">
        <v>382</v>
      </c>
      <c r="E1456" s="71" t="str">
        <f>MID(D1456,1,2)</f>
        <v>IL</v>
      </c>
      <c r="F1456" s="71" t="s">
        <v>471</v>
      </c>
      <c r="G1456" s="71" t="str">
        <f>MID(F1456,1,2)</f>
        <v>US</v>
      </c>
      <c r="H1456" s="43" t="s">
        <v>2710</v>
      </c>
      <c r="I1456" s="71" t="s">
        <v>2711</v>
      </c>
      <c r="J1456" s="71" t="s">
        <v>386</v>
      </c>
      <c r="K1456" s="43"/>
      <c r="L1456" s="71" t="s">
        <v>107</v>
      </c>
      <c r="M1456" s="73">
        <v>23</v>
      </c>
      <c r="N1456" s="71" t="s">
        <v>388</v>
      </c>
      <c r="O1456" s="73">
        <v>0.86</v>
      </c>
      <c r="P1456" s="71" t="s">
        <v>389</v>
      </c>
      <c r="Q1456" s="73">
        <v>143.5</v>
      </c>
      <c r="R1456" s="71" t="s">
        <v>388</v>
      </c>
      <c r="S1456" s="73">
        <v>0</v>
      </c>
      <c r="T1456" s="71" t="s">
        <v>390</v>
      </c>
      <c r="U1456" s="74">
        <v>3</v>
      </c>
      <c r="V1456" s="71" t="s">
        <v>391</v>
      </c>
      <c r="W1456" s="130">
        <v>46071.667361111111</v>
      </c>
      <c r="X1456" s="72">
        <v>46074.013888888891</v>
      </c>
      <c r="Y1456" s="72">
        <v>46074.215277777781</v>
      </c>
      <c r="Z1456" s="104" t="s">
        <v>382</v>
      </c>
      <c r="AA1456" s="104" t="s">
        <v>471</v>
      </c>
      <c r="AB1456" s="105">
        <v>46074.009027777778</v>
      </c>
      <c r="AC1456" s="105">
        <v>46074.190972222219</v>
      </c>
    </row>
    <row r="1457" s="70" customFormat="1" ht="11.25" customHeight="1">
      <c r="A1457" s="87"/>
      <c r="C1457" s="43" t="s">
        <v>2712</v>
      </c>
      <c r="D1457" s="71" t="s">
        <v>382</v>
      </c>
      <c r="E1457" s="71" t="str">
        <f>MID(D1457,1,2)</f>
        <v>IL</v>
      </c>
      <c r="F1457" s="71" t="s">
        <v>471</v>
      </c>
      <c r="G1457" s="71" t="str">
        <f>MID(F1457,1,2)</f>
        <v>US</v>
      </c>
      <c r="H1457" s="43" t="s">
        <v>2713</v>
      </c>
      <c r="I1457" s="71" t="s">
        <v>2714</v>
      </c>
      <c r="J1457" s="71" t="s">
        <v>386</v>
      </c>
      <c r="K1457" s="43"/>
      <c r="L1457" s="71" t="s">
        <v>107</v>
      </c>
      <c r="M1457" s="73">
        <v>1</v>
      </c>
      <c r="N1457" s="71" t="s">
        <v>388</v>
      </c>
      <c r="O1457" s="73">
        <v>0.1</v>
      </c>
      <c r="P1457" s="71" t="s">
        <v>389</v>
      </c>
      <c r="Q1457" s="73">
        <v>17</v>
      </c>
      <c r="R1457" s="71" t="s">
        <v>388</v>
      </c>
      <c r="S1457" s="73">
        <v>0</v>
      </c>
      <c r="T1457" s="71" t="s">
        <v>390</v>
      </c>
      <c r="U1457" s="74">
        <v>1</v>
      </c>
      <c r="V1457" s="71" t="s">
        <v>391</v>
      </c>
      <c r="W1457" s="130">
        <v>46071.451388888891</v>
      </c>
      <c r="X1457" s="72">
        <v>46074.013888888891</v>
      </c>
      <c r="Y1457" s="72">
        <v>46074.215277777781</v>
      </c>
      <c r="Z1457" s="104" t="s">
        <v>382</v>
      </c>
      <c r="AA1457" s="104" t="s">
        <v>471</v>
      </c>
      <c r="AB1457" s="105">
        <v>46074.009027777778</v>
      </c>
      <c r="AC1457" s="105">
        <v>46074.190972222219</v>
      </c>
    </row>
    <row r="1458" s="70" customFormat="1" ht="11.25" customHeight="1">
      <c r="A1458" s="87"/>
      <c r="C1458" s="43" t="s">
        <v>2715</v>
      </c>
      <c r="D1458" s="71" t="s">
        <v>382</v>
      </c>
      <c r="E1458" s="71" t="str">
        <f>MID(D1458,1,2)</f>
        <v>IL</v>
      </c>
      <c r="F1458" s="71" t="s">
        <v>419</v>
      </c>
      <c r="G1458" s="71" t="str">
        <f>MID(F1458,1,2)</f>
        <v>US</v>
      </c>
      <c r="H1458" s="43" t="s">
        <v>2716</v>
      </c>
      <c r="I1458" s="71" t="s">
        <v>2717</v>
      </c>
      <c r="J1458" s="71" t="s">
        <v>386</v>
      </c>
      <c r="K1458" s="43"/>
      <c r="L1458" s="71" t="s">
        <v>107</v>
      </c>
      <c r="M1458" s="73">
        <v>393</v>
      </c>
      <c r="N1458" s="71" t="s">
        <v>388</v>
      </c>
      <c r="O1458" s="73">
        <v>4.372</v>
      </c>
      <c r="P1458" s="71" t="s">
        <v>389</v>
      </c>
      <c r="Q1458" s="73">
        <v>3000</v>
      </c>
      <c r="R1458" s="71" t="s">
        <v>388</v>
      </c>
      <c r="S1458" s="73">
        <v>0</v>
      </c>
      <c r="T1458" s="71" t="s">
        <v>390</v>
      </c>
      <c r="U1458" s="74">
        <v>1</v>
      </c>
      <c r="V1458" s="71" t="s">
        <v>391</v>
      </c>
      <c r="W1458" s="130">
        <v>46068.667361111111</v>
      </c>
      <c r="X1458" s="72">
        <v>46071.479861111111</v>
      </c>
      <c r="Y1458" s="72">
        <v>46074.447916666664</v>
      </c>
      <c r="Z1458" s="104" t="s">
        <v>382</v>
      </c>
      <c r="AA1458" s="104" t="s">
        <v>466</v>
      </c>
      <c r="AB1458" s="105">
        <v>46071.597222222219</v>
      </c>
      <c r="AC1458" s="105">
        <v>46071.740277777775</v>
      </c>
    </row>
    <row r="1459" s="70" customFormat="1" ht="11.25" customHeight="1">
      <c r="A1459" s="87"/>
      <c r="C1459" s="43" t="s">
        <v>2715</v>
      </c>
      <c r="D1459" s="71" t="s">
        <v>382</v>
      </c>
      <c r="E1459" s="71" t="str">
        <f>MID(D1459,1,2)</f>
        <v>IL</v>
      </c>
      <c r="F1459" s="71" t="s">
        <v>419</v>
      </c>
      <c r="G1459" s="71" t="str">
        <f>MID(F1459,1,2)</f>
        <v>US</v>
      </c>
      <c r="H1459" s="43" t="s">
        <v>2716</v>
      </c>
      <c r="I1459" s="71" t="s">
        <v>2717</v>
      </c>
      <c r="J1459" s="71" t="s">
        <v>386</v>
      </c>
      <c r="K1459" s="43"/>
      <c r="L1459" s="71" t="s">
        <v>107</v>
      </c>
      <c r="M1459" s="73">
        <v>393</v>
      </c>
      <c r="N1459" s="71" t="s">
        <v>388</v>
      </c>
      <c r="O1459" s="73">
        <v>4.372</v>
      </c>
      <c r="P1459" s="71" t="s">
        <v>389</v>
      </c>
      <c r="Q1459" s="73">
        <v>3000</v>
      </c>
      <c r="R1459" s="71" t="s">
        <v>388</v>
      </c>
      <c r="S1459" s="73">
        <v>0</v>
      </c>
      <c r="T1459" s="71" t="s">
        <v>390</v>
      </c>
      <c r="U1459" s="74">
        <v>1</v>
      </c>
      <c r="V1459" s="71" t="s">
        <v>391</v>
      </c>
      <c r="W1459" s="130">
        <v>46068.667361111111</v>
      </c>
      <c r="X1459" s="72">
        <v>46071.479861111111</v>
      </c>
      <c r="Y1459" s="72">
        <v>46074.447916666664</v>
      </c>
      <c r="Z1459" s="104" t="s">
        <v>466</v>
      </c>
      <c r="AA1459" s="104" t="s">
        <v>419</v>
      </c>
      <c r="AB1459" s="105">
        <v>46074.2875</v>
      </c>
      <c r="AC1459" s="105">
        <v>46074.425694444442</v>
      </c>
    </row>
    <row r="1460" s="70" customFormat="1" ht="11.25" customHeight="1">
      <c r="A1460" s="87"/>
      <c r="C1460" s="43" t="s">
        <v>2718</v>
      </c>
      <c r="D1460" s="71" t="s">
        <v>382</v>
      </c>
      <c r="E1460" s="71" t="str">
        <f>MID(D1460,1,2)</f>
        <v>IL</v>
      </c>
      <c r="F1460" s="71" t="s">
        <v>667</v>
      </c>
      <c r="G1460" s="71" t="str">
        <f>MID(F1460,1,2)</f>
        <v>DE</v>
      </c>
      <c r="H1460" s="43" t="s">
        <v>2719</v>
      </c>
      <c r="I1460" s="71" t="s">
        <v>2720</v>
      </c>
      <c r="J1460" s="71" t="s">
        <v>386</v>
      </c>
      <c r="K1460" s="43"/>
      <c r="L1460" s="71" t="s">
        <v>107</v>
      </c>
      <c r="M1460" s="73">
        <v>278</v>
      </c>
      <c r="N1460" s="71" t="s">
        <v>388</v>
      </c>
      <c r="O1460" s="73">
        <v>3.136</v>
      </c>
      <c r="P1460" s="71" t="s">
        <v>389</v>
      </c>
      <c r="Q1460" s="73">
        <v>523</v>
      </c>
      <c r="R1460" s="71" t="s">
        <v>388</v>
      </c>
      <c r="S1460" s="73">
        <v>0</v>
      </c>
      <c r="T1460" s="71" t="s">
        <v>390</v>
      </c>
      <c r="U1460" s="74">
        <v>3</v>
      </c>
      <c r="V1460" s="71" t="s">
        <v>391</v>
      </c>
      <c r="W1460" s="130">
        <v>46071.7271412037</v>
      </c>
      <c r="X1460" s="72">
        <v>46073.572916666664</v>
      </c>
      <c r="Y1460" s="72">
        <v>46078.5</v>
      </c>
      <c r="Z1460" s="104" t="s">
        <v>667</v>
      </c>
      <c r="AA1460" s="104" t="s">
        <v>677</v>
      </c>
      <c r="AB1460" s="105">
        <v>46078.375</v>
      </c>
      <c r="AC1460" s="105">
        <v>46078.5</v>
      </c>
    </row>
    <row r="1461" s="70" customFormat="1" ht="11.25" customHeight="1">
      <c r="A1461" s="87"/>
      <c r="C1461" s="43" t="s">
        <v>2718</v>
      </c>
      <c r="D1461" s="71" t="s">
        <v>382</v>
      </c>
      <c r="E1461" s="71" t="str">
        <f>MID(D1461,1,2)</f>
        <v>IL</v>
      </c>
      <c r="F1461" s="71" t="s">
        <v>667</v>
      </c>
      <c r="G1461" s="71" t="str">
        <f>MID(F1461,1,2)</f>
        <v>DE</v>
      </c>
      <c r="H1461" s="43" t="s">
        <v>2719</v>
      </c>
      <c r="I1461" s="71" t="s">
        <v>2720</v>
      </c>
      <c r="J1461" s="71" t="s">
        <v>386</v>
      </c>
      <c r="K1461" s="43"/>
      <c r="L1461" s="71" t="s">
        <v>107</v>
      </c>
      <c r="M1461" s="73">
        <v>278</v>
      </c>
      <c r="N1461" s="71" t="s">
        <v>388</v>
      </c>
      <c r="O1461" s="73">
        <v>3.136</v>
      </c>
      <c r="P1461" s="71" t="s">
        <v>389</v>
      </c>
      <c r="Q1461" s="73">
        <v>523</v>
      </c>
      <c r="R1461" s="71" t="s">
        <v>388</v>
      </c>
      <c r="S1461" s="73">
        <v>0</v>
      </c>
      <c r="T1461" s="71" t="s">
        <v>390</v>
      </c>
      <c r="U1461" s="74">
        <v>3</v>
      </c>
      <c r="V1461" s="71" t="s">
        <v>391</v>
      </c>
      <c r="W1461" s="130">
        <v>46071.7271412037</v>
      </c>
      <c r="X1461" s="72">
        <v>46073.572916666664</v>
      </c>
      <c r="Y1461" s="72">
        <v>46078.5</v>
      </c>
      <c r="Z1461" s="104" t="s">
        <v>382</v>
      </c>
      <c r="AA1461" s="104" t="s">
        <v>383</v>
      </c>
      <c r="AB1461" s="105">
        <v>46073.555555555555</v>
      </c>
      <c r="AC1461" s="105">
        <v>46073.692361111112</v>
      </c>
    </row>
    <row r="1462" s="70" customFormat="1" ht="11.25" customHeight="1">
      <c r="A1462" s="87"/>
      <c r="C1462" s="43" t="s">
        <v>2718</v>
      </c>
      <c r="D1462" s="71" t="s">
        <v>382</v>
      </c>
      <c r="E1462" s="71" t="str">
        <f>MID(D1462,1,2)</f>
        <v>IL</v>
      </c>
      <c r="F1462" s="71" t="s">
        <v>667</v>
      </c>
      <c r="G1462" s="71" t="str">
        <f>MID(F1462,1,2)</f>
        <v>DE</v>
      </c>
      <c r="H1462" s="43" t="s">
        <v>2719</v>
      </c>
      <c r="I1462" s="71" t="s">
        <v>2720</v>
      </c>
      <c r="J1462" s="71" t="s">
        <v>386</v>
      </c>
      <c r="K1462" s="43"/>
      <c r="L1462" s="71" t="s">
        <v>107</v>
      </c>
      <c r="M1462" s="73">
        <v>278</v>
      </c>
      <c r="N1462" s="71" t="s">
        <v>388</v>
      </c>
      <c r="O1462" s="73">
        <v>3.136</v>
      </c>
      <c r="P1462" s="71" t="s">
        <v>389</v>
      </c>
      <c r="Q1462" s="73">
        <v>523</v>
      </c>
      <c r="R1462" s="71" t="s">
        <v>388</v>
      </c>
      <c r="S1462" s="73">
        <v>0</v>
      </c>
      <c r="T1462" s="71" t="s">
        <v>390</v>
      </c>
      <c r="U1462" s="74">
        <v>3</v>
      </c>
      <c r="V1462" s="71" t="s">
        <v>391</v>
      </c>
      <c r="W1462" s="130">
        <v>46071.7271412037</v>
      </c>
      <c r="X1462" s="72">
        <v>46073.572916666664</v>
      </c>
      <c r="Y1462" s="72">
        <v>46078.5</v>
      </c>
      <c r="Z1462" s="104" t="s">
        <v>383</v>
      </c>
      <c r="AA1462" s="104" t="s">
        <v>667</v>
      </c>
      <c r="AB1462" s="105">
        <v>46074.41875</v>
      </c>
      <c r="AC1462" s="105">
        <v>46074.678472222222</v>
      </c>
    </row>
    <row r="1463" s="70" customFormat="1" ht="11.25" customHeight="1">
      <c r="A1463" s="87"/>
      <c r="C1463" s="43" t="s">
        <v>2721</v>
      </c>
      <c r="D1463" s="71" t="s">
        <v>382</v>
      </c>
      <c r="E1463" s="71" t="str">
        <f>MID(D1463,1,2)</f>
        <v>IL</v>
      </c>
      <c r="F1463" s="71" t="s">
        <v>677</v>
      </c>
      <c r="G1463" s="71" t="str">
        <f>MID(F1463,1,2)</f>
        <v>DE</v>
      </c>
      <c r="H1463" s="43" t="s">
        <v>2722</v>
      </c>
      <c r="I1463" s="71" t="s">
        <v>2723</v>
      </c>
      <c r="J1463" s="71" t="s">
        <v>426</v>
      </c>
      <c r="K1463" s="43"/>
      <c r="L1463" s="71" t="s">
        <v>105</v>
      </c>
      <c r="M1463" s="73">
        <v>150</v>
      </c>
      <c r="N1463" s="71" t="s">
        <v>388</v>
      </c>
      <c r="O1463" s="73">
        <v>1.419</v>
      </c>
      <c r="P1463" s="71" t="s">
        <v>389</v>
      </c>
      <c r="Q1463" s="73">
        <v>236.5</v>
      </c>
      <c r="R1463" s="71" t="s">
        <v>388</v>
      </c>
      <c r="S1463" s="73">
        <v>0</v>
      </c>
      <c r="T1463" s="71" t="s">
        <v>390</v>
      </c>
      <c r="U1463" s="74">
        <v>4</v>
      </c>
      <c r="V1463" s="71" t="s">
        <v>446</v>
      </c>
      <c r="W1463" s="130">
        <v>46069.885925925926</v>
      </c>
      <c r="X1463" s="72">
        <v>46070.576388888891</v>
      </c>
      <c r="Y1463" s="72">
        <v>46072.833333333336</v>
      </c>
      <c r="Z1463" s="104" t="s">
        <v>382</v>
      </c>
      <c r="AA1463" s="104" t="s">
        <v>383</v>
      </c>
      <c r="AB1463" s="105">
        <v>46070.994444444441</v>
      </c>
      <c r="AC1463" s="105">
        <v>46071.310416666667</v>
      </c>
    </row>
    <row r="1464" s="70" customFormat="1" ht="11.25" customHeight="1">
      <c r="A1464" s="87"/>
      <c r="C1464" s="43" t="s">
        <v>2721</v>
      </c>
      <c r="D1464" s="71" t="s">
        <v>382</v>
      </c>
      <c r="E1464" s="71" t="str">
        <f>MID(D1464,1,2)</f>
        <v>IL</v>
      </c>
      <c r="F1464" s="71" t="s">
        <v>677</v>
      </c>
      <c r="G1464" s="71" t="str">
        <f>MID(F1464,1,2)</f>
        <v>DE</v>
      </c>
      <c r="H1464" s="43" t="s">
        <v>2722</v>
      </c>
      <c r="I1464" s="71" t="s">
        <v>2723</v>
      </c>
      <c r="J1464" s="71" t="s">
        <v>426</v>
      </c>
      <c r="K1464" s="43"/>
      <c r="L1464" s="71" t="s">
        <v>105</v>
      </c>
      <c r="M1464" s="73">
        <v>150</v>
      </c>
      <c r="N1464" s="71" t="s">
        <v>388</v>
      </c>
      <c r="O1464" s="73">
        <v>1.419</v>
      </c>
      <c r="P1464" s="71" t="s">
        <v>389</v>
      </c>
      <c r="Q1464" s="73">
        <v>236.5</v>
      </c>
      <c r="R1464" s="71" t="s">
        <v>388</v>
      </c>
      <c r="S1464" s="73">
        <v>0</v>
      </c>
      <c r="T1464" s="71" t="s">
        <v>390</v>
      </c>
      <c r="U1464" s="74">
        <v>4</v>
      </c>
      <c r="V1464" s="71" t="s">
        <v>446</v>
      </c>
      <c r="W1464" s="130">
        <v>46069.885925925926</v>
      </c>
      <c r="X1464" s="72">
        <v>46070.576388888891</v>
      </c>
      <c r="Y1464" s="72">
        <v>46072.833333333336</v>
      </c>
      <c r="Z1464" s="104" t="s">
        <v>383</v>
      </c>
      <c r="AA1464" s="104" t="s">
        <v>677</v>
      </c>
      <c r="AB1464" s="105">
        <v>46072.277777777781</v>
      </c>
      <c r="AC1464" s="105">
        <v>46072.454861111109</v>
      </c>
    </row>
    <row r="1465" s="70" customFormat="1" ht="11.25" customHeight="1">
      <c r="A1465" s="87"/>
      <c r="C1465" s="43" t="s">
        <v>2724</v>
      </c>
      <c r="D1465" s="71" t="s">
        <v>382</v>
      </c>
      <c r="E1465" s="71" t="str">
        <f>MID(D1465,1,2)</f>
        <v>IL</v>
      </c>
      <c r="F1465" s="71" t="s">
        <v>667</v>
      </c>
      <c r="G1465" s="71" t="str">
        <f>MID(F1465,1,2)</f>
        <v>DE</v>
      </c>
      <c r="H1465" s="43" t="s">
        <v>2725</v>
      </c>
      <c r="I1465" s="71" t="s">
        <v>2726</v>
      </c>
      <c r="J1465" s="71" t="s">
        <v>386</v>
      </c>
      <c r="K1465" s="43"/>
      <c r="L1465" s="71" t="s">
        <v>107</v>
      </c>
      <c r="M1465" s="73">
        <v>95</v>
      </c>
      <c r="N1465" s="71" t="s">
        <v>388</v>
      </c>
      <c r="O1465" s="73">
        <v>1.27</v>
      </c>
      <c r="P1465" s="71" t="s">
        <v>389</v>
      </c>
      <c r="Q1465" s="73">
        <v>212</v>
      </c>
      <c r="R1465" s="71" t="s">
        <v>388</v>
      </c>
      <c r="S1465" s="73">
        <v>0</v>
      </c>
      <c r="T1465" s="71" t="s">
        <v>390</v>
      </c>
      <c r="U1465" s="74">
        <v>3</v>
      </c>
      <c r="V1465" s="71" t="s">
        <v>391</v>
      </c>
      <c r="W1465" s="130">
        <v>46071.727175925924</v>
      </c>
      <c r="X1465" s="72">
        <v>46073.663194444445</v>
      </c>
      <c r="Y1465" s="72">
        <v>46078.5</v>
      </c>
      <c r="Z1465" s="104" t="s">
        <v>667</v>
      </c>
      <c r="AA1465" s="104" t="s">
        <v>677</v>
      </c>
      <c r="AB1465" s="105">
        <v>46078.375</v>
      </c>
      <c r="AC1465" s="105">
        <v>46078.5</v>
      </c>
    </row>
    <row r="1466" s="70" customFormat="1" ht="11.25" customHeight="1">
      <c r="A1466" s="87"/>
      <c r="C1466" s="43" t="s">
        <v>2724</v>
      </c>
      <c r="D1466" s="71" t="s">
        <v>382</v>
      </c>
      <c r="E1466" s="71" t="str">
        <f>MID(D1466,1,2)</f>
        <v>IL</v>
      </c>
      <c r="F1466" s="71" t="s">
        <v>667</v>
      </c>
      <c r="G1466" s="71" t="str">
        <f>MID(F1466,1,2)</f>
        <v>DE</v>
      </c>
      <c r="H1466" s="43" t="s">
        <v>2725</v>
      </c>
      <c r="I1466" s="71" t="s">
        <v>2726</v>
      </c>
      <c r="J1466" s="71" t="s">
        <v>386</v>
      </c>
      <c r="K1466" s="43"/>
      <c r="L1466" s="71" t="s">
        <v>107</v>
      </c>
      <c r="M1466" s="73">
        <v>95</v>
      </c>
      <c r="N1466" s="71" t="s">
        <v>388</v>
      </c>
      <c r="O1466" s="73">
        <v>1.27</v>
      </c>
      <c r="P1466" s="71" t="s">
        <v>389</v>
      </c>
      <c r="Q1466" s="73">
        <v>212</v>
      </c>
      <c r="R1466" s="71" t="s">
        <v>388</v>
      </c>
      <c r="S1466" s="73">
        <v>0</v>
      </c>
      <c r="T1466" s="71" t="s">
        <v>390</v>
      </c>
      <c r="U1466" s="74">
        <v>3</v>
      </c>
      <c r="V1466" s="71" t="s">
        <v>391</v>
      </c>
      <c r="W1466" s="130">
        <v>46071.727175925924</v>
      </c>
      <c r="X1466" s="72">
        <v>46073.663194444445</v>
      </c>
      <c r="Y1466" s="72">
        <v>46078.5</v>
      </c>
      <c r="Z1466" s="104" t="s">
        <v>382</v>
      </c>
      <c r="AA1466" s="104" t="s">
        <v>667</v>
      </c>
      <c r="AB1466" s="105">
        <v>46073.714583333334</v>
      </c>
      <c r="AC1466" s="105">
        <v>46073.830555555556</v>
      </c>
    </row>
    <row r="1467" s="70" customFormat="1" ht="11.25" customHeight="1">
      <c r="A1467" s="87"/>
      <c r="C1467" s="43" t="s">
        <v>2727</v>
      </c>
      <c r="D1467" s="71" t="s">
        <v>382</v>
      </c>
      <c r="E1467" s="71" t="str">
        <f>MID(D1467,1,2)</f>
        <v>IL</v>
      </c>
      <c r="F1467" s="71" t="s">
        <v>667</v>
      </c>
      <c r="G1467" s="71" t="str">
        <f>MID(F1467,1,2)</f>
        <v>DE</v>
      </c>
      <c r="H1467" s="43" t="s">
        <v>2728</v>
      </c>
      <c r="I1467" s="71" t="s">
        <v>2729</v>
      </c>
      <c r="J1467" s="71" t="s">
        <v>386</v>
      </c>
      <c r="K1467" s="43"/>
      <c r="L1467" s="71" t="s">
        <v>107</v>
      </c>
      <c r="M1467" s="73">
        <v>39</v>
      </c>
      <c r="N1467" s="71" t="s">
        <v>388</v>
      </c>
      <c r="O1467" s="73">
        <v>0.624</v>
      </c>
      <c r="P1467" s="71" t="s">
        <v>389</v>
      </c>
      <c r="Q1467" s="73">
        <v>104</v>
      </c>
      <c r="R1467" s="71" t="s">
        <v>388</v>
      </c>
      <c r="S1467" s="73">
        <v>0</v>
      </c>
      <c r="T1467" s="71" t="s">
        <v>390</v>
      </c>
      <c r="U1467" s="74">
        <v>2</v>
      </c>
      <c r="V1467" s="71" t="s">
        <v>391</v>
      </c>
      <c r="W1467" s="130">
        <v>46071.730613425927</v>
      </c>
      <c r="X1467" s="72">
        <v>46072.671527777777</v>
      </c>
      <c r="Y1467" s="72">
        <v>46078.5</v>
      </c>
      <c r="Z1467" s="104" t="s">
        <v>667</v>
      </c>
      <c r="AA1467" s="104" t="s">
        <v>677</v>
      </c>
      <c r="AB1467" s="105">
        <v>46078.375</v>
      </c>
      <c r="AC1467" s="105">
        <v>46078.5</v>
      </c>
    </row>
    <row r="1468" s="70" customFormat="1" ht="11.25" customHeight="1">
      <c r="A1468" s="87"/>
      <c r="C1468" s="43" t="s">
        <v>2727</v>
      </c>
      <c r="D1468" s="71" t="s">
        <v>382</v>
      </c>
      <c r="E1468" s="71" t="str">
        <f>MID(D1468,1,2)</f>
        <v>IL</v>
      </c>
      <c r="F1468" s="71" t="s">
        <v>667</v>
      </c>
      <c r="G1468" s="71" t="str">
        <f>MID(F1468,1,2)</f>
        <v>DE</v>
      </c>
      <c r="H1468" s="43" t="s">
        <v>2728</v>
      </c>
      <c r="I1468" s="71" t="s">
        <v>2729</v>
      </c>
      <c r="J1468" s="71" t="s">
        <v>386</v>
      </c>
      <c r="K1468" s="43"/>
      <c r="L1468" s="71" t="s">
        <v>107</v>
      </c>
      <c r="M1468" s="73">
        <v>39</v>
      </c>
      <c r="N1468" s="71" t="s">
        <v>388</v>
      </c>
      <c r="O1468" s="73">
        <v>0.624</v>
      </c>
      <c r="P1468" s="71" t="s">
        <v>389</v>
      </c>
      <c r="Q1468" s="73">
        <v>104</v>
      </c>
      <c r="R1468" s="71" t="s">
        <v>388</v>
      </c>
      <c r="S1468" s="73">
        <v>0</v>
      </c>
      <c r="T1468" s="71" t="s">
        <v>390</v>
      </c>
      <c r="U1468" s="74">
        <v>2</v>
      </c>
      <c r="V1468" s="71" t="s">
        <v>391</v>
      </c>
      <c r="W1468" s="130">
        <v>46071.730613425927</v>
      </c>
      <c r="X1468" s="72">
        <v>46072.671527777777</v>
      </c>
      <c r="Y1468" s="72">
        <v>46078.5</v>
      </c>
      <c r="Z1468" s="104" t="s">
        <v>382</v>
      </c>
      <c r="AA1468" s="104" t="s">
        <v>667</v>
      </c>
      <c r="AB1468" s="105">
        <v>46072.71875</v>
      </c>
      <c r="AC1468" s="105">
        <v>46072.843055555553</v>
      </c>
    </row>
    <row r="1469" s="70" customFormat="1" ht="11.25" customHeight="1">
      <c r="A1469" s="87"/>
      <c r="C1469" s="43" t="s">
        <v>2730</v>
      </c>
      <c r="D1469" s="71" t="s">
        <v>382</v>
      </c>
      <c r="E1469" s="71" t="str">
        <f>MID(D1469,1,2)</f>
        <v>IL</v>
      </c>
      <c r="F1469" s="71" t="s">
        <v>419</v>
      </c>
      <c r="G1469" s="71" t="str">
        <f>MID(F1469,1,2)</f>
        <v>US</v>
      </c>
      <c r="H1469" s="43" t="s">
        <v>2731</v>
      </c>
      <c r="I1469" s="71" t="s">
        <v>2732</v>
      </c>
      <c r="J1469" s="71" t="s">
        <v>386</v>
      </c>
      <c r="K1469" s="43"/>
      <c r="L1469" s="71" t="s">
        <v>107</v>
      </c>
      <c r="M1469" s="73">
        <v>400</v>
      </c>
      <c r="N1469" s="71" t="s">
        <v>388</v>
      </c>
      <c r="O1469" s="73">
        <v>4.372</v>
      </c>
      <c r="P1469" s="71" t="s">
        <v>389</v>
      </c>
      <c r="Q1469" s="73">
        <v>3000</v>
      </c>
      <c r="R1469" s="71" t="s">
        <v>388</v>
      </c>
      <c r="S1469" s="73">
        <v>0</v>
      </c>
      <c r="T1469" s="71" t="s">
        <v>390</v>
      </c>
      <c r="U1469" s="74">
        <v>1</v>
      </c>
      <c r="V1469" s="71" t="s">
        <v>391</v>
      </c>
      <c r="W1469" s="130">
        <v>46068.6875</v>
      </c>
      <c r="X1469" s="72">
        <v>46071.479861111111</v>
      </c>
      <c r="Y1469" s="72">
        <v>46074.447916666664</v>
      </c>
      <c r="Z1469" s="104" t="s">
        <v>382</v>
      </c>
      <c r="AA1469" s="104" t="s">
        <v>466</v>
      </c>
      <c r="AB1469" s="105">
        <v>46071.597222222219</v>
      </c>
      <c r="AC1469" s="105">
        <v>46071.740277777775</v>
      </c>
    </row>
    <row r="1470" s="70" customFormat="1" ht="11.25" customHeight="1">
      <c r="A1470" s="87"/>
      <c r="C1470" s="43" t="s">
        <v>2730</v>
      </c>
      <c r="D1470" s="71" t="s">
        <v>382</v>
      </c>
      <c r="E1470" s="71" t="str">
        <f>MID(D1470,1,2)</f>
        <v>IL</v>
      </c>
      <c r="F1470" s="71" t="s">
        <v>419</v>
      </c>
      <c r="G1470" s="71" t="str">
        <f>MID(F1470,1,2)</f>
        <v>US</v>
      </c>
      <c r="H1470" s="43" t="s">
        <v>2731</v>
      </c>
      <c r="I1470" s="71" t="s">
        <v>2732</v>
      </c>
      <c r="J1470" s="71" t="s">
        <v>386</v>
      </c>
      <c r="K1470" s="43"/>
      <c r="L1470" s="71" t="s">
        <v>107</v>
      </c>
      <c r="M1470" s="73">
        <v>400</v>
      </c>
      <c r="N1470" s="71" t="s">
        <v>388</v>
      </c>
      <c r="O1470" s="73">
        <v>4.372</v>
      </c>
      <c r="P1470" s="71" t="s">
        <v>389</v>
      </c>
      <c r="Q1470" s="73">
        <v>3000</v>
      </c>
      <c r="R1470" s="71" t="s">
        <v>388</v>
      </c>
      <c r="S1470" s="73">
        <v>0</v>
      </c>
      <c r="T1470" s="71" t="s">
        <v>390</v>
      </c>
      <c r="U1470" s="74">
        <v>1</v>
      </c>
      <c r="V1470" s="71" t="s">
        <v>391</v>
      </c>
      <c r="W1470" s="130">
        <v>46068.6875</v>
      </c>
      <c r="X1470" s="72">
        <v>46071.479861111111</v>
      </c>
      <c r="Y1470" s="72">
        <v>46074.447916666664</v>
      </c>
      <c r="Z1470" s="104" t="s">
        <v>466</v>
      </c>
      <c r="AA1470" s="104" t="s">
        <v>419</v>
      </c>
      <c r="AB1470" s="105">
        <v>46074.303472222222</v>
      </c>
      <c r="AC1470" s="105">
        <v>46074.425694444442</v>
      </c>
    </row>
    <row r="1471" s="70" customFormat="1" ht="11.25" customHeight="1">
      <c r="A1471" s="87"/>
      <c r="C1471" s="43" t="s">
        <v>2733</v>
      </c>
      <c r="D1471" s="71" t="s">
        <v>382</v>
      </c>
      <c r="E1471" s="71" t="str">
        <f>MID(D1471,1,2)</f>
        <v>IL</v>
      </c>
      <c r="F1471" s="71" t="s">
        <v>465</v>
      </c>
      <c r="G1471" s="71" t="str">
        <f>MID(F1471,1,2)</f>
        <v>AZ</v>
      </c>
      <c r="H1471" s="43" t="s">
        <v>2734</v>
      </c>
      <c r="I1471" s="71"/>
      <c r="J1471" s="71" t="s">
        <v>426</v>
      </c>
      <c r="K1471" s="43"/>
      <c r="L1471" s="71" t="s">
        <v>105</v>
      </c>
      <c r="M1471" s="73">
        <v>10</v>
      </c>
      <c r="N1471" s="71" t="s">
        <v>388</v>
      </c>
      <c r="O1471" s="73">
        <v>0.055</v>
      </c>
      <c r="P1471" s="71" t="s">
        <v>389</v>
      </c>
      <c r="Q1471" s="73">
        <v>10</v>
      </c>
      <c r="R1471" s="71" t="s">
        <v>388</v>
      </c>
      <c r="S1471" s="73">
        <v>0</v>
      </c>
      <c r="T1471" s="71" t="s">
        <v>390</v>
      </c>
      <c r="U1471" s="74">
        <v>1</v>
      </c>
      <c r="V1471" s="71" t="s">
        <v>391</v>
      </c>
      <c r="W1471" s="130"/>
      <c r="X1471" s="72">
        <v>46070.951388888891</v>
      </c>
      <c r="Y1471" s="72">
        <v>46071.131944444445</v>
      </c>
      <c r="Z1471" s="104" t="s">
        <v>382</v>
      </c>
      <c r="AA1471" s="104" t="s">
        <v>465</v>
      </c>
      <c r="AB1471" s="105">
        <v>46071.370833333334</v>
      </c>
      <c r="AC1471" s="105">
        <v>46071.529861111114</v>
      </c>
    </row>
    <row r="1472" s="70" customFormat="1" ht="11.25" customHeight="1">
      <c r="A1472" s="87"/>
      <c r="C1472" s="43" t="s">
        <v>2735</v>
      </c>
      <c r="D1472" s="71" t="s">
        <v>382</v>
      </c>
      <c r="E1472" s="71" t="str">
        <f>MID(D1472,1,2)</f>
        <v>IL</v>
      </c>
      <c r="F1472" s="71" t="s">
        <v>465</v>
      </c>
      <c r="G1472" s="71" t="str">
        <f>MID(F1472,1,2)</f>
        <v>AZ</v>
      </c>
      <c r="H1472" s="43" t="s">
        <v>2736</v>
      </c>
      <c r="I1472" s="71"/>
      <c r="J1472" s="71" t="s">
        <v>426</v>
      </c>
      <c r="K1472" s="43"/>
      <c r="L1472" s="71" t="s">
        <v>105</v>
      </c>
      <c r="M1472" s="73">
        <v>98</v>
      </c>
      <c r="N1472" s="71" t="s">
        <v>388</v>
      </c>
      <c r="O1472" s="73">
        <v>0.749</v>
      </c>
      <c r="P1472" s="71" t="s">
        <v>389</v>
      </c>
      <c r="Q1472" s="73">
        <v>125</v>
      </c>
      <c r="R1472" s="71" t="s">
        <v>388</v>
      </c>
      <c r="S1472" s="73">
        <v>0</v>
      </c>
      <c r="T1472" s="71" t="s">
        <v>390</v>
      </c>
      <c r="U1472" s="74">
        <v>1</v>
      </c>
      <c r="V1472" s="71" t="s">
        <v>391</v>
      </c>
      <c r="W1472" s="130"/>
      <c r="X1472" s="72">
        <v>46070.951388888891</v>
      </c>
      <c r="Y1472" s="72">
        <v>46071.131944444445</v>
      </c>
      <c r="Z1472" s="104" t="s">
        <v>382</v>
      </c>
      <c r="AA1472" s="104" t="s">
        <v>465</v>
      </c>
      <c r="AB1472" s="105">
        <v>46071.370833333334</v>
      </c>
      <c r="AC1472" s="105">
        <v>46071.529861111114</v>
      </c>
    </row>
    <row r="1473" s="70" customFormat="1" ht="11.25" customHeight="1">
      <c r="A1473" s="87"/>
      <c r="C1473" s="43" t="s">
        <v>2737</v>
      </c>
      <c r="D1473" s="71" t="s">
        <v>382</v>
      </c>
      <c r="E1473" s="71" t="str">
        <f>MID(D1473,1,2)</f>
        <v>IL</v>
      </c>
      <c r="F1473" s="71" t="s">
        <v>465</v>
      </c>
      <c r="G1473" s="71" t="str">
        <f>MID(F1473,1,2)</f>
        <v>AZ</v>
      </c>
      <c r="H1473" s="43" t="s">
        <v>2738</v>
      </c>
      <c r="I1473" s="71"/>
      <c r="J1473" s="71" t="s">
        <v>426</v>
      </c>
      <c r="K1473" s="43"/>
      <c r="L1473" s="71" t="s">
        <v>105</v>
      </c>
      <c r="M1473" s="73">
        <v>30</v>
      </c>
      <c r="N1473" s="71" t="s">
        <v>388</v>
      </c>
      <c r="O1473" s="73">
        <v>0.375</v>
      </c>
      <c r="P1473" s="71" t="s">
        <v>389</v>
      </c>
      <c r="Q1473" s="73">
        <v>100</v>
      </c>
      <c r="R1473" s="71" t="s">
        <v>388</v>
      </c>
      <c r="S1473" s="73">
        <v>0</v>
      </c>
      <c r="T1473" s="71" t="s">
        <v>390</v>
      </c>
      <c r="U1473" s="74">
        <v>1</v>
      </c>
      <c r="V1473" s="71" t="s">
        <v>391</v>
      </c>
      <c r="W1473" s="130"/>
      <c r="X1473" s="72">
        <v>46070.951388888891</v>
      </c>
      <c r="Y1473" s="72">
        <v>46071.131944444445</v>
      </c>
      <c r="Z1473" s="104" t="s">
        <v>382</v>
      </c>
      <c r="AA1473" s="104" t="s">
        <v>465</v>
      </c>
      <c r="AB1473" s="105">
        <v>46071.370833333334</v>
      </c>
      <c r="AC1473" s="105">
        <v>46071.529861111114</v>
      </c>
    </row>
    <row r="1474" s="70" customFormat="1" ht="11.25" customHeight="1">
      <c r="A1474" s="87"/>
      <c r="C1474" s="43" t="s">
        <v>2739</v>
      </c>
      <c r="D1474" s="71" t="s">
        <v>382</v>
      </c>
      <c r="E1474" s="71" t="str">
        <f>MID(D1474,1,2)</f>
        <v>IL</v>
      </c>
      <c r="F1474" s="71" t="s">
        <v>414</v>
      </c>
      <c r="G1474" s="71" t="str">
        <f>MID(F1474,1,2)</f>
        <v>US</v>
      </c>
      <c r="H1474" s="43" t="s">
        <v>2577</v>
      </c>
      <c r="I1474" s="71" t="s">
        <v>2740</v>
      </c>
      <c r="J1474" s="71" t="s">
        <v>386</v>
      </c>
      <c r="K1474" s="43" t="s">
        <v>431</v>
      </c>
      <c r="L1474" s="71" t="s">
        <v>107</v>
      </c>
      <c r="M1474" s="73">
        <v>15</v>
      </c>
      <c r="N1474" s="71" t="s">
        <v>388</v>
      </c>
      <c r="O1474" s="73">
        <v>0.1</v>
      </c>
      <c r="P1474" s="71" t="s">
        <v>389</v>
      </c>
      <c r="Q1474" s="73">
        <v>17</v>
      </c>
      <c r="R1474" s="71" t="s">
        <v>388</v>
      </c>
      <c r="S1474" s="73">
        <v>0</v>
      </c>
      <c r="T1474" s="71" t="s">
        <v>390</v>
      </c>
      <c r="U1474" s="74">
        <v>1</v>
      </c>
      <c r="V1474" s="71" t="s">
        <v>427</v>
      </c>
      <c r="W1474" s="130">
        <v>46069.319444444445</v>
      </c>
      <c r="X1474" s="72">
        <v>46071.03125</v>
      </c>
      <c r="Y1474" s="72">
        <v>46072.239583333336</v>
      </c>
      <c r="Z1474" s="104" t="s">
        <v>382</v>
      </c>
      <c r="AA1474" s="104" t="s">
        <v>414</v>
      </c>
      <c r="AB1474" s="105">
        <v>46071.546527777777</v>
      </c>
      <c r="AC1474" s="105">
        <v>46071.748611111114</v>
      </c>
    </row>
    <row r="1475" s="70" customFormat="1" ht="11.25" customHeight="1">
      <c r="A1475" s="87"/>
      <c r="C1475" s="43" t="s">
        <v>2741</v>
      </c>
      <c r="D1475" s="71" t="s">
        <v>382</v>
      </c>
      <c r="E1475" s="71" t="str">
        <f>MID(D1475,1,2)</f>
        <v>IL</v>
      </c>
      <c r="F1475" s="71" t="s">
        <v>1069</v>
      </c>
      <c r="G1475" s="71" t="str">
        <f>MID(F1475,1,2)</f>
        <v>AU</v>
      </c>
      <c r="H1475" s="43" t="s">
        <v>2742</v>
      </c>
      <c r="I1475" s="71" t="s">
        <v>2743</v>
      </c>
      <c r="J1475" s="71" t="s">
        <v>426</v>
      </c>
      <c r="K1475" s="43"/>
      <c r="L1475" s="71" t="s">
        <v>105</v>
      </c>
      <c r="M1475" s="73">
        <v>666</v>
      </c>
      <c r="N1475" s="71" t="s">
        <v>388</v>
      </c>
      <c r="O1475" s="73">
        <v>1.71</v>
      </c>
      <c r="P1475" s="71" t="s">
        <v>389</v>
      </c>
      <c r="Q1475" s="73">
        <v>666</v>
      </c>
      <c r="R1475" s="71" t="s">
        <v>388</v>
      </c>
      <c r="S1475" s="73">
        <v>0</v>
      </c>
      <c r="T1475" s="71" t="s">
        <v>390</v>
      </c>
      <c r="U1475" s="74">
        <v>1</v>
      </c>
      <c r="V1475" s="71" t="s">
        <v>391</v>
      </c>
      <c r="W1475" s="130">
        <v>46069.931180555555</v>
      </c>
      <c r="X1475" s="72">
        <v>46070.486111111109</v>
      </c>
      <c r="Y1475" s="72">
        <v>46073.791666666664</v>
      </c>
      <c r="Z1475" s="104" t="s">
        <v>382</v>
      </c>
      <c r="AA1475" s="104" t="s">
        <v>817</v>
      </c>
      <c r="AB1475" s="105">
        <v>46070.484722222223</v>
      </c>
      <c r="AC1475" s="105">
        <v>46070.870138888888</v>
      </c>
    </row>
    <row r="1476" s="70" customFormat="1" ht="11.25" customHeight="1">
      <c r="A1476" s="87"/>
      <c r="C1476" s="43" t="s">
        <v>2741</v>
      </c>
      <c r="D1476" s="71" t="s">
        <v>382</v>
      </c>
      <c r="E1476" s="71" t="str">
        <f>MID(D1476,1,2)</f>
        <v>IL</v>
      </c>
      <c r="F1476" s="71" t="s">
        <v>1069</v>
      </c>
      <c r="G1476" s="71" t="str">
        <f>MID(F1476,1,2)</f>
        <v>AU</v>
      </c>
      <c r="H1476" s="43" t="s">
        <v>2742</v>
      </c>
      <c r="I1476" s="71" t="s">
        <v>2743</v>
      </c>
      <c r="J1476" s="71" t="s">
        <v>426</v>
      </c>
      <c r="K1476" s="43"/>
      <c r="L1476" s="71" t="s">
        <v>105</v>
      </c>
      <c r="M1476" s="73">
        <v>666</v>
      </c>
      <c r="N1476" s="71" t="s">
        <v>388</v>
      </c>
      <c r="O1476" s="73">
        <v>1.71</v>
      </c>
      <c r="P1476" s="71" t="s">
        <v>389</v>
      </c>
      <c r="Q1476" s="73">
        <v>666</v>
      </c>
      <c r="R1476" s="71" t="s">
        <v>388</v>
      </c>
      <c r="S1476" s="73">
        <v>0</v>
      </c>
      <c r="T1476" s="71" t="s">
        <v>390</v>
      </c>
      <c r="U1476" s="74">
        <v>1</v>
      </c>
      <c r="V1476" s="71" t="s">
        <v>391</v>
      </c>
      <c r="W1476" s="130">
        <v>46069.931180555555</v>
      </c>
      <c r="X1476" s="72">
        <v>46070.486111111109</v>
      </c>
      <c r="Y1476" s="72">
        <v>46073.791666666664</v>
      </c>
      <c r="Z1476" s="104" t="s">
        <v>817</v>
      </c>
      <c r="AA1476" s="104" t="s">
        <v>1069</v>
      </c>
      <c r="AB1476" s="105">
        <v>46073.075</v>
      </c>
      <c r="AC1476" s="105">
        <v>46073.799305555556</v>
      </c>
    </row>
    <row r="1477" s="70" customFormat="1" ht="11.25" customHeight="1">
      <c r="A1477" s="87"/>
      <c r="C1477" s="43" t="s">
        <v>2744</v>
      </c>
      <c r="D1477" s="71" t="s">
        <v>382</v>
      </c>
      <c r="E1477" s="71" t="str">
        <f>MID(D1477,1,2)</f>
        <v>IL</v>
      </c>
      <c r="F1477" s="71" t="s">
        <v>1117</v>
      </c>
      <c r="G1477" s="71" t="str">
        <f>MID(F1477,1,2)</f>
        <v>BE</v>
      </c>
      <c r="H1477" s="43" t="s">
        <v>2745</v>
      </c>
      <c r="I1477" s="71" t="s">
        <v>2746</v>
      </c>
      <c r="J1477" s="71" t="s">
        <v>426</v>
      </c>
      <c r="K1477" s="43"/>
      <c r="L1477" s="71" t="s">
        <v>105</v>
      </c>
      <c r="M1477" s="73">
        <v>53</v>
      </c>
      <c r="N1477" s="71" t="s">
        <v>388</v>
      </c>
      <c r="O1477" s="73">
        <v>0.51</v>
      </c>
      <c r="P1477" s="71" t="s">
        <v>389</v>
      </c>
      <c r="Q1477" s="73">
        <v>100</v>
      </c>
      <c r="R1477" s="71" t="s">
        <v>388</v>
      </c>
      <c r="S1477" s="73">
        <v>0</v>
      </c>
      <c r="T1477" s="71" t="s">
        <v>390</v>
      </c>
      <c r="U1477" s="74">
        <v>1</v>
      </c>
      <c r="V1477" s="71" t="s">
        <v>391</v>
      </c>
      <c r="W1477" s="130">
        <v>46069.368055555555</v>
      </c>
      <c r="X1477" s="72">
        <v>46072.013888888891</v>
      </c>
      <c r="Y1477" s="72">
        <v>46073.729166666664</v>
      </c>
      <c r="Z1477" s="104" t="s">
        <v>382</v>
      </c>
      <c r="AA1477" s="104" t="s">
        <v>496</v>
      </c>
      <c r="AB1477" s="105">
        <v>46073.013888888891</v>
      </c>
      <c r="AC1477" s="105">
        <v>46073.128472222219</v>
      </c>
    </row>
    <row r="1478" s="70" customFormat="1" ht="11.25" customHeight="1">
      <c r="A1478" s="87"/>
      <c r="C1478" s="43" t="s">
        <v>2744</v>
      </c>
      <c r="D1478" s="71" t="s">
        <v>382</v>
      </c>
      <c r="E1478" s="71" t="str">
        <f>MID(D1478,1,2)</f>
        <v>IL</v>
      </c>
      <c r="F1478" s="71" t="s">
        <v>1117</v>
      </c>
      <c r="G1478" s="71" t="str">
        <f>MID(F1478,1,2)</f>
        <v>BE</v>
      </c>
      <c r="H1478" s="43" t="s">
        <v>2745</v>
      </c>
      <c r="I1478" s="71" t="s">
        <v>2746</v>
      </c>
      <c r="J1478" s="71" t="s">
        <v>426</v>
      </c>
      <c r="K1478" s="43"/>
      <c r="L1478" s="71" t="s">
        <v>105</v>
      </c>
      <c r="M1478" s="73">
        <v>53</v>
      </c>
      <c r="N1478" s="71" t="s">
        <v>388</v>
      </c>
      <c r="O1478" s="73">
        <v>0.51</v>
      </c>
      <c r="P1478" s="71" t="s">
        <v>389</v>
      </c>
      <c r="Q1478" s="73">
        <v>100</v>
      </c>
      <c r="R1478" s="71" t="s">
        <v>388</v>
      </c>
      <c r="S1478" s="73">
        <v>0</v>
      </c>
      <c r="T1478" s="71" t="s">
        <v>390</v>
      </c>
      <c r="U1478" s="74">
        <v>1</v>
      </c>
      <c r="V1478" s="71" t="s">
        <v>391</v>
      </c>
      <c r="W1478" s="130">
        <v>46069.368055555555</v>
      </c>
      <c r="X1478" s="72">
        <v>46072.013888888891</v>
      </c>
      <c r="Y1478" s="72">
        <v>46073.729166666664</v>
      </c>
      <c r="Z1478" s="104" t="s">
        <v>496</v>
      </c>
      <c r="AA1478" s="104" t="s">
        <v>1117</v>
      </c>
      <c r="AB1478" s="105">
        <v>46073.652777777781</v>
      </c>
      <c r="AC1478" s="105">
        <v>46073.850694444445</v>
      </c>
    </row>
    <row r="1479" s="70" customFormat="1" ht="11.25" customHeight="1">
      <c r="A1479" s="87"/>
      <c r="C1479" s="43" t="s">
        <v>2747</v>
      </c>
      <c r="D1479" s="71" t="s">
        <v>382</v>
      </c>
      <c r="E1479" s="71" t="str">
        <f>MID(D1479,1,2)</f>
        <v>IL</v>
      </c>
      <c r="F1479" s="71" t="s">
        <v>414</v>
      </c>
      <c r="G1479" s="71" t="str">
        <f>MID(F1479,1,2)</f>
        <v>US</v>
      </c>
      <c r="H1479" s="43" t="s">
        <v>2577</v>
      </c>
      <c r="I1479" s="71" t="s">
        <v>2748</v>
      </c>
      <c r="J1479" s="71" t="s">
        <v>483</v>
      </c>
      <c r="K1479" s="43" t="s">
        <v>2749</v>
      </c>
      <c r="L1479" s="71" t="s">
        <v>105</v>
      </c>
      <c r="M1479" s="73">
        <v>3</v>
      </c>
      <c r="N1479" s="71" t="s">
        <v>388</v>
      </c>
      <c r="O1479" s="73">
        <v>0.027</v>
      </c>
      <c r="P1479" s="71" t="s">
        <v>389</v>
      </c>
      <c r="Q1479" s="73">
        <v>4.5</v>
      </c>
      <c r="R1479" s="71" t="s">
        <v>388</v>
      </c>
      <c r="S1479" s="73">
        <v>0</v>
      </c>
      <c r="T1479" s="71" t="s">
        <v>390</v>
      </c>
      <c r="U1479" s="74">
        <v>1</v>
      </c>
      <c r="V1479" s="71" t="s">
        <v>427</v>
      </c>
      <c r="W1479" s="130">
        <v>46069.375</v>
      </c>
      <c r="X1479" s="72">
        <v>46071.03125</v>
      </c>
      <c r="Y1479" s="72">
        <v>46072.239583333336</v>
      </c>
      <c r="Z1479" s="104" t="s">
        <v>382</v>
      </c>
      <c r="AA1479" s="104" t="s">
        <v>414</v>
      </c>
      <c r="AB1479" s="105">
        <v>46071.546527777777</v>
      </c>
      <c r="AC1479" s="105">
        <v>46071.748611111114</v>
      </c>
    </row>
    <row r="1480" s="70" customFormat="1" ht="11.25" customHeight="1">
      <c r="A1480" s="87"/>
      <c r="C1480" s="43" t="s">
        <v>2750</v>
      </c>
      <c r="D1480" s="71" t="s">
        <v>382</v>
      </c>
      <c r="E1480" s="71" t="str">
        <f>MID(D1480,1,2)</f>
        <v>IL</v>
      </c>
      <c r="F1480" s="71" t="s">
        <v>522</v>
      </c>
      <c r="G1480" s="71" t="str">
        <f>MID(F1480,1,2)</f>
        <v>CZ</v>
      </c>
      <c r="H1480" s="43" t="s">
        <v>2751</v>
      </c>
      <c r="I1480" s="71" t="s">
        <v>2752</v>
      </c>
      <c r="J1480" s="71" t="s">
        <v>454</v>
      </c>
      <c r="K1480" s="43"/>
      <c r="L1480" s="71" t="s">
        <v>107</v>
      </c>
      <c r="M1480" s="73">
        <v>26</v>
      </c>
      <c r="N1480" s="71" t="s">
        <v>388</v>
      </c>
      <c r="O1480" s="73">
        <v>0.272</v>
      </c>
      <c r="P1480" s="71" t="s">
        <v>389</v>
      </c>
      <c r="Q1480" s="73">
        <v>100</v>
      </c>
      <c r="R1480" s="71" t="s">
        <v>388</v>
      </c>
      <c r="S1480" s="73">
        <v>0</v>
      </c>
      <c r="T1480" s="71" t="s">
        <v>390</v>
      </c>
      <c r="U1480" s="74">
        <v>1</v>
      </c>
      <c r="V1480" s="71" t="s">
        <v>391</v>
      </c>
      <c r="W1480" s="130">
        <v>46069.417361111111</v>
      </c>
      <c r="X1480" s="72">
        <v>46071.739583333336</v>
      </c>
      <c r="Y1480" s="72">
        <v>46071.880555555559</v>
      </c>
      <c r="Z1480" s="104" t="s">
        <v>382</v>
      </c>
      <c r="AA1480" s="104" t="s">
        <v>522</v>
      </c>
      <c r="AB1480" s="105">
        <v>46071.740277777775</v>
      </c>
      <c r="AC1480" s="105">
        <v>46071.868055555555</v>
      </c>
    </row>
    <row r="1481" s="70" customFormat="1" ht="11.25" customHeight="1">
      <c r="A1481" s="87"/>
      <c r="C1481" s="43" t="s">
        <v>2753</v>
      </c>
      <c r="D1481" s="71" t="s">
        <v>382</v>
      </c>
      <c r="E1481" s="71" t="str">
        <f>MID(D1481,1,2)</f>
        <v>IL</v>
      </c>
      <c r="F1481" s="71" t="s">
        <v>919</v>
      </c>
      <c r="G1481" s="71" t="str">
        <f>MID(F1481,1,2)</f>
        <v>CN</v>
      </c>
      <c r="H1481" s="43" t="s">
        <v>2754</v>
      </c>
      <c r="I1481" s="71" t="s">
        <v>2755</v>
      </c>
      <c r="J1481" s="71" t="s">
        <v>755</v>
      </c>
      <c r="K1481" s="43"/>
      <c r="L1481" s="71" t="s">
        <v>105</v>
      </c>
      <c r="M1481" s="73">
        <v>1</v>
      </c>
      <c r="N1481" s="71" t="s">
        <v>388</v>
      </c>
      <c r="O1481" s="73">
        <v>0.012</v>
      </c>
      <c r="P1481" s="71" t="s">
        <v>389</v>
      </c>
      <c r="Q1481" s="73">
        <v>2</v>
      </c>
      <c r="R1481" s="71" t="s">
        <v>388</v>
      </c>
      <c r="S1481" s="73">
        <v>0</v>
      </c>
      <c r="T1481" s="71" t="s">
        <v>390</v>
      </c>
      <c r="U1481" s="74">
        <v>1</v>
      </c>
      <c r="V1481" s="71" t="s">
        <v>391</v>
      </c>
      <c r="W1481" s="130">
        <v>46069.615717592591</v>
      </c>
      <c r="X1481" s="72">
        <v>46070.715277777781</v>
      </c>
      <c r="Y1481" s="72">
        <v>46073.597222222219</v>
      </c>
      <c r="Z1481" s="104" t="s">
        <v>382</v>
      </c>
      <c r="AA1481" s="104" t="s">
        <v>667</v>
      </c>
      <c r="AB1481" s="105">
        <v>46070.70416666667</v>
      </c>
      <c r="AC1481" s="105">
        <v>46070.827777777777</v>
      </c>
    </row>
    <row r="1482" s="70" customFormat="1" ht="11.25" customHeight="1">
      <c r="A1482" s="87"/>
      <c r="C1482" s="43" t="s">
        <v>2753</v>
      </c>
      <c r="D1482" s="71" t="s">
        <v>382</v>
      </c>
      <c r="E1482" s="71" t="str">
        <f>MID(D1482,1,2)</f>
        <v>IL</v>
      </c>
      <c r="F1482" s="71" t="s">
        <v>919</v>
      </c>
      <c r="G1482" s="71" t="str">
        <f>MID(F1482,1,2)</f>
        <v>CN</v>
      </c>
      <c r="H1482" s="43" t="s">
        <v>2754</v>
      </c>
      <c r="I1482" s="71" t="s">
        <v>2755</v>
      </c>
      <c r="J1482" s="71" t="s">
        <v>755</v>
      </c>
      <c r="K1482" s="43"/>
      <c r="L1482" s="71" t="s">
        <v>105</v>
      </c>
      <c r="M1482" s="73">
        <v>1</v>
      </c>
      <c r="N1482" s="71" t="s">
        <v>388</v>
      </c>
      <c r="O1482" s="73">
        <v>0.012</v>
      </c>
      <c r="P1482" s="71" t="s">
        <v>389</v>
      </c>
      <c r="Q1482" s="73">
        <v>2</v>
      </c>
      <c r="R1482" s="71" t="s">
        <v>388</v>
      </c>
      <c r="S1482" s="73">
        <v>0</v>
      </c>
      <c r="T1482" s="71" t="s">
        <v>390</v>
      </c>
      <c r="U1482" s="74">
        <v>1</v>
      </c>
      <c r="V1482" s="71" t="s">
        <v>391</v>
      </c>
      <c r="W1482" s="130">
        <v>46069.615717592591</v>
      </c>
      <c r="X1482" s="72">
        <v>46070.715277777781</v>
      </c>
      <c r="Y1482" s="72">
        <v>46073.597222222219</v>
      </c>
      <c r="Z1482" s="104" t="s">
        <v>667</v>
      </c>
      <c r="AA1482" s="104" t="s">
        <v>919</v>
      </c>
      <c r="AB1482" s="105">
        <v>46072.869444444441</v>
      </c>
      <c r="AC1482" s="105">
        <v>46073.604166666664</v>
      </c>
    </row>
    <row r="1483" s="70" customFormat="1" ht="11.25" customHeight="1">
      <c r="A1483" s="87"/>
      <c r="C1483" s="43" t="s">
        <v>2756</v>
      </c>
      <c r="D1483" s="71" t="s">
        <v>382</v>
      </c>
      <c r="E1483" s="71" t="str">
        <f>MID(D1483,1,2)</f>
        <v>IL</v>
      </c>
      <c r="F1483" s="71" t="s">
        <v>651</v>
      </c>
      <c r="G1483" s="71" t="str">
        <f>MID(F1483,1,2)</f>
        <v>BR</v>
      </c>
      <c r="H1483" s="43" t="s">
        <v>2616</v>
      </c>
      <c r="I1483" s="71" t="s">
        <v>2757</v>
      </c>
      <c r="J1483" s="71" t="s">
        <v>386</v>
      </c>
      <c r="K1483" s="43"/>
      <c r="L1483" s="71" t="s">
        <v>107</v>
      </c>
      <c r="M1483" s="73">
        <v>2</v>
      </c>
      <c r="N1483" s="71" t="s">
        <v>388</v>
      </c>
      <c r="O1483" s="73">
        <v>0.022</v>
      </c>
      <c r="P1483" s="71" t="s">
        <v>389</v>
      </c>
      <c r="Q1483" s="73">
        <v>4</v>
      </c>
      <c r="R1483" s="71" t="s">
        <v>388</v>
      </c>
      <c r="S1483" s="73">
        <v>0</v>
      </c>
      <c r="T1483" s="71" t="s">
        <v>390</v>
      </c>
      <c r="U1483" s="74">
        <v>1</v>
      </c>
      <c r="V1483" s="71" t="s">
        <v>391</v>
      </c>
      <c r="W1483" s="130">
        <v>46069.38958333333</v>
      </c>
      <c r="X1483" s="72">
        <v>46070.584722222222</v>
      </c>
      <c r="Y1483" s="72">
        <v>46073.270833333336</v>
      </c>
      <c r="Z1483" s="104" t="s">
        <v>382</v>
      </c>
      <c r="AA1483" s="104" t="s">
        <v>590</v>
      </c>
      <c r="AB1483" s="105">
        <v>46070.816666666666</v>
      </c>
      <c r="AC1483" s="105">
        <v>46071.020138888889</v>
      </c>
    </row>
    <row r="1484" s="70" customFormat="1" ht="11.25" customHeight="1">
      <c r="A1484" s="87"/>
      <c r="C1484" s="43" t="s">
        <v>2756</v>
      </c>
      <c r="D1484" s="71" t="s">
        <v>382</v>
      </c>
      <c r="E1484" s="71" t="str">
        <f>MID(D1484,1,2)</f>
        <v>IL</v>
      </c>
      <c r="F1484" s="71" t="s">
        <v>651</v>
      </c>
      <c r="G1484" s="71" t="str">
        <f>MID(F1484,1,2)</f>
        <v>BR</v>
      </c>
      <c r="H1484" s="43" t="s">
        <v>2616</v>
      </c>
      <c r="I1484" s="71" t="s">
        <v>2757</v>
      </c>
      <c r="J1484" s="71" t="s">
        <v>386</v>
      </c>
      <c r="K1484" s="43"/>
      <c r="L1484" s="71" t="s">
        <v>107</v>
      </c>
      <c r="M1484" s="73">
        <v>2</v>
      </c>
      <c r="N1484" s="71" t="s">
        <v>388</v>
      </c>
      <c r="O1484" s="73">
        <v>0.022</v>
      </c>
      <c r="P1484" s="71" t="s">
        <v>389</v>
      </c>
      <c r="Q1484" s="73">
        <v>4</v>
      </c>
      <c r="R1484" s="71" t="s">
        <v>388</v>
      </c>
      <c r="S1484" s="73">
        <v>0</v>
      </c>
      <c r="T1484" s="71" t="s">
        <v>390</v>
      </c>
      <c r="U1484" s="74">
        <v>1</v>
      </c>
      <c r="V1484" s="71" t="s">
        <v>391</v>
      </c>
      <c r="W1484" s="130">
        <v>46069.38958333333</v>
      </c>
      <c r="X1484" s="72">
        <v>46070.584722222222</v>
      </c>
      <c r="Y1484" s="72">
        <v>46073.270833333336</v>
      </c>
      <c r="Z1484" s="104" t="s">
        <v>590</v>
      </c>
      <c r="AA1484" s="104" t="s">
        <v>651</v>
      </c>
      <c r="AB1484" s="105">
        <v>46073.038888888892</v>
      </c>
      <c r="AC1484" s="105">
        <v>46073.294444444444</v>
      </c>
    </row>
    <row r="1485" s="70" customFormat="1" ht="11.25" customHeight="1">
      <c r="A1485" s="87"/>
      <c r="C1485" s="43" t="s">
        <v>2758</v>
      </c>
      <c r="D1485" s="71" t="s">
        <v>382</v>
      </c>
      <c r="E1485" s="71" t="str">
        <f>MID(D1485,1,2)</f>
        <v>IL</v>
      </c>
      <c r="F1485" s="71" t="s">
        <v>414</v>
      </c>
      <c r="G1485" s="71" t="str">
        <f>MID(F1485,1,2)</f>
        <v>US</v>
      </c>
      <c r="H1485" s="43" t="s">
        <v>2577</v>
      </c>
      <c r="I1485" s="71" t="s">
        <v>2759</v>
      </c>
      <c r="J1485" s="71" t="s">
        <v>386</v>
      </c>
      <c r="K1485" s="43" t="s">
        <v>2749</v>
      </c>
      <c r="L1485" s="71" t="s">
        <v>107</v>
      </c>
      <c r="M1485" s="73">
        <v>20</v>
      </c>
      <c r="N1485" s="71" t="s">
        <v>388</v>
      </c>
      <c r="O1485" s="73">
        <v>0.25</v>
      </c>
      <c r="P1485" s="71" t="s">
        <v>389</v>
      </c>
      <c r="Q1485" s="73">
        <v>42</v>
      </c>
      <c r="R1485" s="71" t="s">
        <v>388</v>
      </c>
      <c r="S1485" s="73">
        <v>0</v>
      </c>
      <c r="T1485" s="71" t="s">
        <v>390</v>
      </c>
      <c r="U1485" s="74">
        <v>2</v>
      </c>
      <c r="V1485" s="71" t="s">
        <v>391</v>
      </c>
      <c r="W1485" s="130">
        <v>46069.40347222222</v>
      </c>
      <c r="X1485" s="72">
        <v>46071.03125</v>
      </c>
      <c r="Y1485" s="72">
        <v>46072.239583333336</v>
      </c>
      <c r="Z1485" s="104" t="s">
        <v>382</v>
      </c>
      <c r="AA1485" s="104" t="s">
        <v>414</v>
      </c>
      <c r="AB1485" s="105">
        <v>46071.546527777777</v>
      </c>
      <c r="AC1485" s="105">
        <v>46071.748611111114</v>
      </c>
    </row>
    <row r="1486" s="70" customFormat="1" ht="11.25" customHeight="1">
      <c r="A1486" s="87"/>
      <c r="C1486" s="43" t="s">
        <v>2760</v>
      </c>
      <c r="D1486" s="71" t="s">
        <v>382</v>
      </c>
      <c r="E1486" s="71" t="str">
        <f>MID(D1486,1,2)</f>
        <v>IL</v>
      </c>
      <c r="F1486" s="71" t="s">
        <v>963</v>
      </c>
      <c r="G1486" s="71" t="str">
        <f>MID(F1486,1,2)</f>
        <v>IN</v>
      </c>
      <c r="H1486" s="43" t="s">
        <v>2621</v>
      </c>
      <c r="I1486" s="71" t="s">
        <v>2761</v>
      </c>
      <c r="J1486" s="71" t="s">
        <v>426</v>
      </c>
      <c r="K1486" s="43"/>
      <c r="L1486" s="71" t="s">
        <v>105</v>
      </c>
      <c r="M1486" s="73">
        <v>1</v>
      </c>
      <c r="N1486" s="71" t="s">
        <v>388</v>
      </c>
      <c r="O1486" s="73">
        <v>0.007</v>
      </c>
      <c r="P1486" s="71" t="s">
        <v>389</v>
      </c>
      <c r="Q1486" s="73">
        <v>1.5</v>
      </c>
      <c r="R1486" s="71" t="s">
        <v>388</v>
      </c>
      <c r="S1486" s="73">
        <v>0</v>
      </c>
      <c r="T1486" s="71" t="s">
        <v>390</v>
      </c>
      <c r="U1486" s="74">
        <v>1</v>
      </c>
      <c r="V1486" s="71" t="s">
        <v>391</v>
      </c>
      <c r="W1486" s="130">
        <v>46069.677511574075</v>
      </c>
      <c r="X1486" s="72">
        <v>46070.715277777781</v>
      </c>
      <c r="Y1486" s="72">
        <v>46072.052083333336</v>
      </c>
      <c r="Z1486" s="104" t="s">
        <v>382</v>
      </c>
      <c r="AA1486" s="104" t="s">
        <v>667</v>
      </c>
      <c r="AB1486" s="105">
        <v>46070.70416666667</v>
      </c>
      <c r="AC1486" s="105">
        <v>46070.827777777777</v>
      </c>
    </row>
    <row r="1487" s="70" customFormat="1" ht="11.25" customHeight="1">
      <c r="A1487" s="87"/>
      <c r="C1487" s="43" t="s">
        <v>2760</v>
      </c>
      <c r="D1487" s="71" t="s">
        <v>382</v>
      </c>
      <c r="E1487" s="71" t="str">
        <f>MID(D1487,1,2)</f>
        <v>IL</v>
      </c>
      <c r="F1487" s="71" t="s">
        <v>963</v>
      </c>
      <c r="G1487" s="71" t="str">
        <f>MID(F1487,1,2)</f>
        <v>IN</v>
      </c>
      <c r="H1487" s="43" t="s">
        <v>2621</v>
      </c>
      <c r="I1487" s="71" t="s">
        <v>2761</v>
      </c>
      <c r="J1487" s="71" t="s">
        <v>426</v>
      </c>
      <c r="K1487" s="43"/>
      <c r="L1487" s="71" t="s">
        <v>105</v>
      </c>
      <c r="M1487" s="73">
        <v>1</v>
      </c>
      <c r="N1487" s="71" t="s">
        <v>388</v>
      </c>
      <c r="O1487" s="73">
        <v>0.007</v>
      </c>
      <c r="P1487" s="71" t="s">
        <v>389</v>
      </c>
      <c r="Q1487" s="73">
        <v>1.5</v>
      </c>
      <c r="R1487" s="71" t="s">
        <v>388</v>
      </c>
      <c r="S1487" s="73">
        <v>0</v>
      </c>
      <c r="T1487" s="71" t="s">
        <v>390</v>
      </c>
      <c r="U1487" s="74">
        <v>1</v>
      </c>
      <c r="V1487" s="71" t="s">
        <v>391</v>
      </c>
      <c r="W1487" s="130">
        <v>46069.677511574075</v>
      </c>
      <c r="X1487" s="72">
        <v>46070.715277777781</v>
      </c>
      <c r="Y1487" s="72">
        <v>46072.052083333336</v>
      </c>
      <c r="Z1487" s="104" t="s">
        <v>667</v>
      </c>
      <c r="AA1487" s="104" t="s">
        <v>963</v>
      </c>
      <c r="AB1487" s="105">
        <v>46071.509027777778</v>
      </c>
      <c r="AC1487" s="105">
        <v>46072.05972222222</v>
      </c>
    </row>
    <row r="1488" s="70" customFormat="1" ht="11.25" customHeight="1">
      <c r="A1488" s="87"/>
      <c r="C1488" s="43" t="s">
        <v>2762</v>
      </c>
      <c r="D1488" s="71" t="s">
        <v>382</v>
      </c>
      <c r="E1488" s="71" t="str">
        <f>MID(D1488,1,2)</f>
        <v>IL</v>
      </c>
      <c r="F1488" s="71" t="s">
        <v>595</v>
      </c>
      <c r="G1488" s="71" t="str">
        <f>MID(F1488,1,2)</f>
        <v>AT</v>
      </c>
      <c r="H1488" s="43" t="s">
        <v>2763</v>
      </c>
      <c r="I1488" s="71" t="s">
        <v>2764</v>
      </c>
      <c r="J1488" s="71" t="s">
        <v>426</v>
      </c>
      <c r="K1488" s="43"/>
      <c r="L1488" s="71" t="s">
        <v>105</v>
      </c>
      <c r="M1488" s="73">
        <v>32</v>
      </c>
      <c r="N1488" s="71" t="s">
        <v>388</v>
      </c>
      <c r="O1488" s="73">
        <v>0.184</v>
      </c>
      <c r="P1488" s="71" t="s">
        <v>389</v>
      </c>
      <c r="Q1488" s="73">
        <v>32</v>
      </c>
      <c r="R1488" s="71" t="s">
        <v>388</v>
      </c>
      <c r="S1488" s="73">
        <v>0</v>
      </c>
      <c r="T1488" s="71" t="s">
        <v>390</v>
      </c>
      <c r="U1488" s="74">
        <v>1</v>
      </c>
      <c r="V1488" s="71" t="s">
        <v>391</v>
      </c>
      <c r="W1488" s="130">
        <v>46069.708865740744</v>
      </c>
      <c r="X1488" s="72">
        <v>46069.652777777781</v>
      </c>
      <c r="Y1488" s="72">
        <v>46069.768055555556</v>
      </c>
      <c r="Z1488" s="104" t="s">
        <v>382</v>
      </c>
      <c r="AA1488" s="104" t="s">
        <v>595</v>
      </c>
      <c r="AB1488" s="105">
        <v>46071.659722222219</v>
      </c>
      <c r="AC1488" s="105">
        <v>46071.769444444442</v>
      </c>
    </row>
    <row r="1489" s="70" customFormat="1" ht="11.25" customHeight="1">
      <c r="A1489" s="87"/>
      <c r="C1489" s="43" t="s">
        <v>2765</v>
      </c>
      <c r="D1489" s="71" t="s">
        <v>382</v>
      </c>
      <c r="E1489" s="71" t="str">
        <f>MID(D1489,1,2)</f>
        <v>IL</v>
      </c>
      <c r="F1489" s="71" t="s">
        <v>471</v>
      </c>
      <c r="G1489" s="71" t="str">
        <f>MID(F1489,1,2)</f>
        <v>US</v>
      </c>
      <c r="H1489" s="43" t="s">
        <v>2655</v>
      </c>
      <c r="I1489" s="71" t="s">
        <v>2766</v>
      </c>
      <c r="J1489" s="71" t="s">
        <v>386</v>
      </c>
      <c r="K1489" s="43"/>
      <c r="L1489" s="71" t="s">
        <v>107</v>
      </c>
      <c r="M1489" s="73">
        <v>320</v>
      </c>
      <c r="N1489" s="71" t="s">
        <v>388</v>
      </c>
      <c r="O1489" s="73">
        <v>1.383</v>
      </c>
      <c r="P1489" s="71" t="s">
        <v>389</v>
      </c>
      <c r="Q1489" s="73">
        <v>320</v>
      </c>
      <c r="R1489" s="71" t="s">
        <v>388</v>
      </c>
      <c r="S1489" s="73">
        <v>0</v>
      </c>
      <c r="T1489" s="71" t="s">
        <v>390</v>
      </c>
      <c r="U1489" s="74">
        <v>5</v>
      </c>
      <c r="V1489" s="71" t="s">
        <v>391</v>
      </c>
      <c r="W1489" s="130">
        <v>46070.2234375</v>
      </c>
      <c r="X1489" s="72">
        <v>46071.458333333336</v>
      </c>
      <c r="Y1489" s="72">
        <v>46074.177083333336</v>
      </c>
      <c r="Z1489" s="104" t="s">
        <v>382</v>
      </c>
      <c r="AA1489" s="104" t="s">
        <v>471</v>
      </c>
      <c r="AB1489" s="105">
        <v>46074.009027777778</v>
      </c>
      <c r="AC1489" s="105">
        <v>46074.190972222219</v>
      </c>
    </row>
    <row r="1490" s="70" customFormat="1" ht="11.25" customHeight="1">
      <c r="A1490" s="87"/>
      <c r="C1490" s="43" t="s">
        <v>2767</v>
      </c>
      <c r="D1490" s="71" t="s">
        <v>382</v>
      </c>
      <c r="E1490" s="71" t="str">
        <f>MID(D1490,1,2)</f>
        <v>IL</v>
      </c>
      <c r="F1490" s="71" t="s">
        <v>597</v>
      </c>
      <c r="G1490" s="71" t="str">
        <f>MID(F1490,1,2)</f>
        <v>NL</v>
      </c>
      <c r="H1490" s="43" t="s">
        <v>2768</v>
      </c>
      <c r="I1490" s="71" t="s">
        <v>2769</v>
      </c>
      <c r="J1490" s="71" t="s">
        <v>426</v>
      </c>
      <c r="K1490" s="43"/>
      <c r="L1490" s="71" t="s">
        <v>105</v>
      </c>
      <c r="M1490" s="73">
        <v>107</v>
      </c>
      <c r="N1490" s="71" t="s">
        <v>388</v>
      </c>
      <c r="O1490" s="73">
        <v>0.598</v>
      </c>
      <c r="P1490" s="71" t="s">
        <v>389</v>
      </c>
      <c r="Q1490" s="73">
        <v>107</v>
      </c>
      <c r="R1490" s="71" t="s">
        <v>388</v>
      </c>
      <c r="S1490" s="73">
        <v>0</v>
      </c>
      <c r="T1490" s="71" t="s">
        <v>390</v>
      </c>
      <c r="U1490" s="74">
        <v>1</v>
      </c>
      <c r="V1490" s="71" t="s">
        <v>391</v>
      </c>
      <c r="W1490" s="130">
        <v>46069.423611111109</v>
      </c>
      <c r="X1490" s="72">
        <v>46071.584722222222</v>
      </c>
      <c r="Y1490" s="72">
        <v>46073.402777777781</v>
      </c>
      <c r="Z1490" s="104" t="s">
        <v>382</v>
      </c>
      <c r="AA1490" s="104" t="s">
        <v>590</v>
      </c>
      <c r="AB1490" s="105">
        <v>46071.803472222222</v>
      </c>
      <c r="AC1490" s="105">
        <v>46072.986805555556</v>
      </c>
    </row>
    <row r="1491" s="70" customFormat="1" ht="11.25" customHeight="1">
      <c r="A1491" s="87"/>
      <c r="C1491" s="43" t="s">
        <v>2767</v>
      </c>
      <c r="D1491" s="71" t="s">
        <v>382</v>
      </c>
      <c r="E1491" s="71" t="str">
        <f>MID(D1491,1,2)</f>
        <v>IL</v>
      </c>
      <c r="F1491" s="71" t="s">
        <v>597</v>
      </c>
      <c r="G1491" s="71" t="str">
        <f>MID(F1491,1,2)</f>
        <v>NL</v>
      </c>
      <c r="H1491" s="43" t="s">
        <v>2768</v>
      </c>
      <c r="I1491" s="71" t="s">
        <v>2769</v>
      </c>
      <c r="J1491" s="71" t="s">
        <v>426</v>
      </c>
      <c r="K1491" s="43"/>
      <c r="L1491" s="71" t="s">
        <v>105</v>
      </c>
      <c r="M1491" s="73">
        <v>107</v>
      </c>
      <c r="N1491" s="71" t="s">
        <v>388</v>
      </c>
      <c r="O1491" s="73">
        <v>0.598</v>
      </c>
      <c r="P1491" s="71" t="s">
        <v>389</v>
      </c>
      <c r="Q1491" s="73">
        <v>107</v>
      </c>
      <c r="R1491" s="71" t="s">
        <v>388</v>
      </c>
      <c r="S1491" s="73">
        <v>0</v>
      </c>
      <c r="T1491" s="71" t="s">
        <v>390</v>
      </c>
      <c r="U1491" s="74">
        <v>1</v>
      </c>
      <c r="V1491" s="71" t="s">
        <v>391</v>
      </c>
      <c r="W1491" s="130">
        <v>46069.423611111109</v>
      </c>
      <c r="X1491" s="72">
        <v>46071.584722222222</v>
      </c>
      <c r="Y1491" s="72">
        <v>46073.402777777781</v>
      </c>
      <c r="Z1491" s="104" t="s">
        <v>590</v>
      </c>
      <c r="AA1491" s="104" t="s">
        <v>597</v>
      </c>
      <c r="AB1491" s="105">
        <v>46073.298611111109</v>
      </c>
      <c r="AC1491" s="105">
        <v>46073.396527777775</v>
      </c>
    </row>
    <row r="1492" s="70" customFormat="1" ht="11.25" customHeight="1">
      <c r="A1492" s="87"/>
      <c r="C1492" s="43" t="s">
        <v>2770</v>
      </c>
      <c r="D1492" s="71" t="s">
        <v>808</v>
      </c>
      <c r="E1492" s="71" t="str">
        <f>MID(D1492,1,2)</f>
        <v>IL</v>
      </c>
      <c r="F1492" s="71" t="s">
        <v>809</v>
      </c>
      <c r="G1492" s="71" t="str">
        <f>MID(F1492,1,2)</f>
        <v>IN</v>
      </c>
      <c r="H1492" s="43"/>
      <c r="I1492" s="71" t="s">
        <v>2771</v>
      </c>
      <c r="J1492" s="71" t="s">
        <v>426</v>
      </c>
      <c r="K1492" s="43"/>
      <c r="L1492" s="71" t="s">
        <v>105</v>
      </c>
      <c r="M1492" s="73">
        <v>0</v>
      </c>
      <c r="N1492" s="71" t="s">
        <v>388</v>
      </c>
      <c r="O1492" s="73">
        <v>0</v>
      </c>
      <c r="P1492" s="71" t="s">
        <v>389</v>
      </c>
      <c r="Q1492" s="73">
        <v>0</v>
      </c>
      <c r="R1492" s="71" t="s">
        <v>388</v>
      </c>
      <c r="S1492" s="73">
        <v>0</v>
      </c>
      <c r="T1492" s="71" t="s">
        <v>390</v>
      </c>
      <c r="U1492" s="74">
        <v>0</v>
      </c>
      <c r="V1492" s="71" t="s">
        <v>391</v>
      </c>
      <c r="W1492" s="130"/>
      <c r="X1492" s="72">
        <v>46069.414583333331</v>
      </c>
      <c r="Y1492" s="72">
        <v>46070.415277777778</v>
      </c>
      <c r="Z1492" s="104"/>
      <c r="AA1492" s="104"/>
      <c r="AB1492" s="105"/>
      <c r="AC1492" s="105"/>
    </row>
    <row r="1493" s="70" customFormat="1" ht="11.25" customHeight="1">
      <c r="A1493" s="87"/>
      <c r="C1493" s="43" t="s">
        <v>2772</v>
      </c>
      <c r="D1493" s="71" t="s">
        <v>382</v>
      </c>
      <c r="E1493" s="71" t="str">
        <f>MID(D1493,1,2)</f>
        <v>IL</v>
      </c>
      <c r="F1493" s="71" t="s">
        <v>414</v>
      </c>
      <c r="G1493" s="71" t="str">
        <f>MID(F1493,1,2)</f>
        <v>US</v>
      </c>
      <c r="H1493" s="43" t="s">
        <v>2577</v>
      </c>
      <c r="I1493" s="71" t="s">
        <v>2773</v>
      </c>
      <c r="J1493" s="71" t="s">
        <v>426</v>
      </c>
      <c r="K1493" s="43" t="s">
        <v>431</v>
      </c>
      <c r="L1493" s="71" t="s">
        <v>105</v>
      </c>
      <c r="M1493" s="73">
        <v>3</v>
      </c>
      <c r="N1493" s="71" t="s">
        <v>388</v>
      </c>
      <c r="O1493" s="73">
        <v>0.029</v>
      </c>
      <c r="P1493" s="71" t="s">
        <v>389</v>
      </c>
      <c r="Q1493" s="73">
        <v>5</v>
      </c>
      <c r="R1493" s="71" t="s">
        <v>388</v>
      </c>
      <c r="S1493" s="73">
        <v>0</v>
      </c>
      <c r="T1493" s="71" t="s">
        <v>390</v>
      </c>
      <c r="U1493" s="74">
        <v>1</v>
      </c>
      <c r="V1493" s="71" t="s">
        <v>427</v>
      </c>
      <c r="W1493" s="130">
        <v>46069.43125</v>
      </c>
      <c r="X1493" s="72">
        <v>46071.03125</v>
      </c>
      <c r="Y1493" s="72">
        <v>46072.239583333336</v>
      </c>
      <c r="Z1493" s="104" t="s">
        <v>382</v>
      </c>
      <c r="AA1493" s="104" t="s">
        <v>414</v>
      </c>
      <c r="AB1493" s="105">
        <v>46071.546527777777</v>
      </c>
      <c r="AC1493" s="105">
        <v>46071.748611111114</v>
      </c>
    </row>
    <row r="1494" s="70" customFormat="1" ht="11.25" customHeight="1">
      <c r="A1494" s="87"/>
      <c r="C1494" s="43" t="s">
        <v>2774</v>
      </c>
      <c r="D1494" s="71" t="s">
        <v>382</v>
      </c>
      <c r="E1494" s="71" t="str">
        <f>MID(D1494,1,2)</f>
        <v>IL</v>
      </c>
      <c r="F1494" s="71" t="s">
        <v>414</v>
      </c>
      <c r="G1494" s="71" t="str">
        <f>MID(F1494,1,2)</f>
        <v>US</v>
      </c>
      <c r="H1494" s="43" t="s">
        <v>2577</v>
      </c>
      <c r="I1494" s="71" t="s">
        <v>2775</v>
      </c>
      <c r="J1494" s="71" t="s">
        <v>426</v>
      </c>
      <c r="K1494" s="43" t="s">
        <v>759</v>
      </c>
      <c r="L1494" s="71" t="s">
        <v>105</v>
      </c>
      <c r="M1494" s="73">
        <v>3</v>
      </c>
      <c r="N1494" s="71" t="s">
        <v>388</v>
      </c>
      <c r="O1494" s="73">
        <v>0.029</v>
      </c>
      <c r="P1494" s="71" t="s">
        <v>389</v>
      </c>
      <c r="Q1494" s="73">
        <v>5</v>
      </c>
      <c r="R1494" s="71" t="s">
        <v>388</v>
      </c>
      <c r="S1494" s="73">
        <v>0</v>
      </c>
      <c r="T1494" s="71" t="s">
        <v>390</v>
      </c>
      <c r="U1494" s="74">
        <v>1</v>
      </c>
      <c r="V1494" s="71" t="s">
        <v>427</v>
      </c>
      <c r="W1494" s="130">
        <v>46069.83388888889</v>
      </c>
      <c r="X1494" s="72">
        <v>46071.03125</v>
      </c>
      <c r="Y1494" s="72">
        <v>46072.239583333336</v>
      </c>
      <c r="Z1494" s="104" t="s">
        <v>382</v>
      </c>
      <c r="AA1494" s="104" t="s">
        <v>414</v>
      </c>
      <c r="AB1494" s="105">
        <v>46071.546527777777</v>
      </c>
      <c r="AC1494" s="105">
        <v>46071.748611111114</v>
      </c>
    </row>
    <row r="1495" s="70" customFormat="1" ht="11.25" customHeight="1">
      <c r="A1495" s="87"/>
      <c r="C1495" s="43" t="s">
        <v>2776</v>
      </c>
      <c r="D1495" s="71" t="s">
        <v>382</v>
      </c>
      <c r="E1495" s="71" t="str">
        <f>MID(D1495,1,2)</f>
        <v>IL</v>
      </c>
      <c r="F1495" s="71" t="s">
        <v>651</v>
      </c>
      <c r="G1495" s="71" t="str">
        <f>MID(F1495,1,2)</f>
        <v>BR</v>
      </c>
      <c r="H1495" s="43" t="s">
        <v>2616</v>
      </c>
      <c r="I1495" s="71" t="s">
        <v>2777</v>
      </c>
      <c r="J1495" s="71" t="s">
        <v>386</v>
      </c>
      <c r="K1495" s="43"/>
      <c r="L1495" s="71" t="s">
        <v>107</v>
      </c>
      <c r="M1495" s="73">
        <v>9</v>
      </c>
      <c r="N1495" s="71" t="s">
        <v>388</v>
      </c>
      <c r="O1495" s="73">
        <v>0.097</v>
      </c>
      <c r="P1495" s="71" t="s">
        <v>389</v>
      </c>
      <c r="Q1495" s="73">
        <v>16.5</v>
      </c>
      <c r="R1495" s="71" t="s">
        <v>388</v>
      </c>
      <c r="S1495" s="73">
        <v>0</v>
      </c>
      <c r="T1495" s="71" t="s">
        <v>390</v>
      </c>
      <c r="U1495" s="74">
        <v>1</v>
      </c>
      <c r="V1495" s="71" t="s">
        <v>391</v>
      </c>
      <c r="W1495" s="130">
        <v>46069.4375</v>
      </c>
      <c r="X1495" s="72">
        <v>46070.584722222222</v>
      </c>
      <c r="Y1495" s="72">
        <v>46073.270833333336</v>
      </c>
      <c r="Z1495" s="104" t="s">
        <v>382</v>
      </c>
      <c r="AA1495" s="104" t="s">
        <v>590</v>
      </c>
      <c r="AB1495" s="105">
        <v>46070.816666666666</v>
      </c>
      <c r="AC1495" s="105">
        <v>46071.020138888889</v>
      </c>
    </row>
    <row r="1496" s="70" customFormat="1" ht="11.25" customHeight="1">
      <c r="A1496" s="87"/>
      <c r="C1496" s="43" t="s">
        <v>2776</v>
      </c>
      <c r="D1496" s="71" t="s">
        <v>382</v>
      </c>
      <c r="E1496" s="71" t="str">
        <f>MID(D1496,1,2)</f>
        <v>IL</v>
      </c>
      <c r="F1496" s="71" t="s">
        <v>651</v>
      </c>
      <c r="G1496" s="71" t="str">
        <f>MID(F1496,1,2)</f>
        <v>BR</v>
      </c>
      <c r="H1496" s="43" t="s">
        <v>2616</v>
      </c>
      <c r="I1496" s="71" t="s">
        <v>2777</v>
      </c>
      <c r="J1496" s="71" t="s">
        <v>386</v>
      </c>
      <c r="K1496" s="43"/>
      <c r="L1496" s="71" t="s">
        <v>107</v>
      </c>
      <c r="M1496" s="73">
        <v>9</v>
      </c>
      <c r="N1496" s="71" t="s">
        <v>388</v>
      </c>
      <c r="O1496" s="73">
        <v>0.097</v>
      </c>
      <c r="P1496" s="71" t="s">
        <v>389</v>
      </c>
      <c r="Q1496" s="73">
        <v>16.5</v>
      </c>
      <c r="R1496" s="71" t="s">
        <v>388</v>
      </c>
      <c r="S1496" s="73">
        <v>0</v>
      </c>
      <c r="T1496" s="71" t="s">
        <v>390</v>
      </c>
      <c r="U1496" s="74">
        <v>1</v>
      </c>
      <c r="V1496" s="71" t="s">
        <v>391</v>
      </c>
      <c r="W1496" s="130">
        <v>46069.4375</v>
      </c>
      <c r="X1496" s="72">
        <v>46070.584722222222</v>
      </c>
      <c r="Y1496" s="72">
        <v>46073.270833333336</v>
      </c>
      <c r="Z1496" s="104" t="s">
        <v>590</v>
      </c>
      <c r="AA1496" s="104" t="s">
        <v>651</v>
      </c>
      <c r="AB1496" s="105">
        <v>46073.038888888892</v>
      </c>
      <c r="AC1496" s="105">
        <v>46073.294444444444</v>
      </c>
    </row>
    <row r="1497" s="70" customFormat="1" ht="11.25" customHeight="1">
      <c r="A1497" s="87"/>
      <c r="C1497" s="43" t="s">
        <v>2778</v>
      </c>
      <c r="D1497" s="71" t="s">
        <v>382</v>
      </c>
      <c r="E1497" s="71" t="str">
        <f>MID(D1497,1,2)</f>
        <v>IL</v>
      </c>
      <c r="F1497" s="71" t="s">
        <v>651</v>
      </c>
      <c r="G1497" s="71" t="str">
        <f>MID(F1497,1,2)</f>
        <v>BR</v>
      </c>
      <c r="H1497" s="43" t="s">
        <v>2616</v>
      </c>
      <c r="I1497" s="71" t="s">
        <v>2779</v>
      </c>
      <c r="J1497" s="71" t="s">
        <v>386</v>
      </c>
      <c r="K1497" s="43"/>
      <c r="L1497" s="71" t="s">
        <v>107</v>
      </c>
      <c r="M1497" s="73">
        <v>2</v>
      </c>
      <c r="N1497" s="71" t="s">
        <v>388</v>
      </c>
      <c r="O1497" s="73">
        <v>0.029</v>
      </c>
      <c r="P1497" s="71" t="s">
        <v>389</v>
      </c>
      <c r="Q1497" s="73">
        <v>5</v>
      </c>
      <c r="R1497" s="71" t="s">
        <v>388</v>
      </c>
      <c r="S1497" s="73">
        <v>0</v>
      </c>
      <c r="T1497" s="71" t="s">
        <v>390</v>
      </c>
      <c r="U1497" s="74">
        <v>1</v>
      </c>
      <c r="V1497" s="71" t="s">
        <v>391</v>
      </c>
      <c r="W1497" s="130">
        <v>46069.445138888892</v>
      </c>
      <c r="X1497" s="72">
        <v>46070.584722222222</v>
      </c>
      <c r="Y1497" s="72">
        <v>46073.270833333336</v>
      </c>
      <c r="Z1497" s="104" t="s">
        <v>382</v>
      </c>
      <c r="AA1497" s="104" t="s">
        <v>590</v>
      </c>
      <c r="AB1497" s="105">
        <v>46070.816666666666</v>
      </c>
      <c r="AC1497" s="105">
        <v>46071.020138888889</v>
      </c>
    </row>
    <row r="1498" s="70" customFormat="1" ht="11.25" customHeight="1">
      <c r="A1498" s="87"/>
      <c r="C1498" s="43" t="s">
        <v>2778</v>
      </c>
      <c r="D1498" s="71" t="s">
        <v>382</v>
      </c>
      <c r="E1498" s="71" t="str">
        <f>MID(D1498,1,2)</f>
        <v>IL</v>
      </c>
      <c r="F1498" s="71" t="s">
        <v>651</v>
      </c>
      <c r="G1498" s="71" t="str">
        <f>MID(F1498,1,2)</f>
        <v>BR</v>
      </c>
      <c r="H1498" s="43" t="s">
        <v>2616</v>
      </c>
      <c r="I1498" s="71" t="s">
        <v>2779</v>
      </c>
      <c r="J1498" s="71" t="s">
        <v>386</v>
      </c>
      <c r="K1498" s="43"/>
      <c r="L1498" s="71" t="s">
        <v>107</v>
      </c>
      <c r="M1498" s="73">
        <v>2</v>
      </c>
      <c r="N1498" s="71" t="s">
        <v>388</v>
      </c>
      <c r="O1498" s="73">
        <v>0.029</v>
      </c>
      <c r="P1498" s="71" t="s">
        <v>389</v>
      </c>
      <c r="Q1498" s="73">
        <v>5</v>
      </c>
      <c r="R1498" s="71" t="s">
        <v>388</v>
      </c>
      <c r="S1498" s="73">
        <v>0</v>
      </c>
      <c r="T1498" s="71" t="s">
        <v>390</v>
      </c>
      <c r="U1498" s="74">
        <v>1</v>
      </c>
      <c r="V1498" s="71" t="s">
        <v>391</v>
      </c>
      <c r="W1498" s="130">
        <v>46069.445138888892</v>
      </c>
      <c r="X1498" s="72">
        <v>46070.584722222222</v>
      </c>
      <c r="Y1498" s="72">
        <v>46073.270833333336</v>
      </c>
      <c r="Z1498" s="104" t="s">
        <v>590</v>
      </c>
      <c r="AA1498" s="104" t="s">
        <v>651</v>
      </c>
      <c r="AB1498" s="105">
        <v>46073.038888888892</v>
      </c>
      <c r="AC1498" s="105">
        <v>46073.294444444444</v>
      </c>
    </row>
    <row r="1499" s="70" customFormat="1" ht="11.25" customHeight="1">
      <c r="A1499" s="87"/>
      <c r="C1499" s="43" t="s">
        <v>2780</v>
      </c>
      <c r="D1499" s="71" t="s">
        <v>382</v>
      </c>
      <c r="E1499" s="71" t="str">
        <f>MID(D1499,1,2)</f>
        <v>IL</v>
      </c>
      <c r="F1499" s="71" t="s">
        <v>597</v>
      </c>
      <c r="G1499" s="71" t="str">
        <f>MID(F1499,1,2)</f>
        <v>NL</v>
      </c>
      <c r="H1499" s="43" t="s">
        <v>2768</v>
      </c>
      <c r="I1499" s="71" t="s">
        <v>2781</v>
      </c>
      <c r="J1499" s="71" t="s">
        <v>400</v>
      </c>
      <c r="K1499" s="43"/>
      <c r="L1499" s="71" t="s">
        <v>105</v>
      </c>
      <c r="M1499" s="73">
        <v>296</v>
      </c>
      <c r="N1499" s="71" t="s">
        <v>388</v>
      </c>
      <c r="O1499" s="73">
        <v>1.008</v>
      </c>
      <c r="P1499" s="71" t="s">
        <v>389</v>
      </c>
      <c r="Q1499" s="73">
        <v>296</v>
      </c>
      <c r="R1499" s="71" t="s">
        <v>388</v>
      </c>
      <c r="S1499" s="73">
        <v>0</v>
      </c>
      <c r="T1499" s="71" t="s">
        <v>390</v>
      </c>
      <c r="U1499" s="74">
        <v>1</v>
      </c>
      <c r="V1499" s="71" t="s">
        <v>391</v>
      </c>
      <c r="W1499" s="130">
        <v>46069.465277777781</v>
      </c>
      <c r="X1499" s="72">
        <v>46071.584722222222</v>
      </c>
      <c r="Y1499" s="72">
        <v>46073.402777777781</v>
      </c>
      <c r="Z1499" s="104" t="s">
        <v>382</v>
      </c>
      <c r="AA1499" s="104" t="s">
        <v>590</v>
      </c>
      <c r="AB1499" s="105">
        <v>46071.803472222222</v>
      </c>
      <c r="AC1499" s="105">
        <v>46072.986805555556</v>
      </c>
    </row>
    <row r="1500" s="70" customFormat="1" ht="11.25" customHeight="1">
      <c r="A1500" s="87"/>
      <c r="C1500" s="43" t="s">
        <v>2780</v>
      </c>
      <c r="D1500" s="71" t="s">
        <v>382</v>
      </c>
      <c r="E1500" s="71" t="str">
        <f>MID(D1500,1,2)</f>
        <v>IL</v>
      </c>
      <c r="F1500" s="71" t="s">
        <v>597</v>
      </c>
      <c r="G1500" s="71" t="str">
        <f>MID(F1500,1,2)</f>
        <v>NL</v>
      </c>
      <c r="H1500" s="43" t="s">
        <v>2768</v>
      </c>
      <c r="I1500" s="71" t="s">
        <v>2781</v>
      </c>
      <c r="J1500" s="71" t="s">
        <v>400</v>
      </c>
      <c r="K1500" s="43"/>
      <c r="L1500" s="71" t="s">
        <v>105</v>
      </c>
      <c r="M1500" s="73">
        <v>296</v>
      </c>
      <c r="N1500" s="71" t="s">
        <v>388</v>
      </c>
      <c r="O1500" s="73">
        <v>1.008</v>
      </c>
      <c r="P1500" s="71" t="s">
        <v>389</v>
      </c>
      <c r="Q1500" s="73">
        <v>296</v>
      </c>
      <c r="R1500" s="71" t="s">
        <v>388</v>
      </c>
      <c r="S1500" s="73">
        <v>0</v>
      </c>
      <c r="T1500" s="71" t="s">
        <v>390</v>
      </c>
      <c r="U1500" s="74">
        <v>1</v>
      </c>
      <c r="V1500" s="71" t="s">
        <v>391</v>
      </c>
      <c r="W1500" s="130">
        <v>46069.465277777781</v>
      </c>
      <c r="X1500" s="72">
        <v>46071.584722222222</v>
      </c>
      <c r="Y1500" s="72">
        <v>46073.402777777781</v>
      </c>
      <c r="Z1500" s="104" t="s">
        <v>590</v>
      </c>
      <c r="AA1500" s="104" t="s">
        <v>597</v>
      </c>
      <c r="AB1500" s="105">
        <v>46073.298611111109</v>
      </c>
      <c r="AC1500" s="105">
        <v>46073.396527777775</v>
      </c>
    </row>
    <row r="1501" s="70" customFormat="1" ht="11.25" customHeight="1">
      <c r="A1501" s="87"/>
      <c r="C1501" s="43" t="s">
        <v>2782</v>
      </c>
      <c r="D1501" s="71" t="s">
        <v>382</v>
      </c>
      <c r="E1501" s="71" t="str">
        <f>MID(D1501,1,2)</f>
        <v>IL</v>
      </c>
      <c r="F1501" s="71" t="s">
        <v>496</v>
      </c>
      <c r="G1501" s="71" t="str">
        <f>MID(F1501,1,2)</f>
        <v>RO</v>
      </c>
      <c r="H1501" s="43" t="s">
        <v>2783</v>
      </c>
      <c r="I1501" s="71" t="s">
        <v>2784</v>
      </c>
      <c r="J1501" s="71" t="s">
        <v>386</v>
      </c>
      <c r="K1501" s="43"/>
      <c r="L1501" s="71" t="s">
        <v>107</v>
      </c>
      <c r="M1501" s="73">
        <v>7</v>
      </c>
      <c r="N1501" s="71" t="s">
        <v>388</v>
      </c>
      <c r="O1501" s="73">
        <v>0.041</v>
      </c>
      <c r="P1501" s="71" t="s">
        <v>389</v>
      </c>
      <c r="Q1501" s="73">
        <v>7</v>
      </c>
      <c r="R1501" s="71" t="s">
        <v>388</v>
      </c>
      <c r="S1501" s="73">
        <v>0</v>
      </c>
      <c r="T1501" s="71" t="s">
        <v>390</v>
      </c>
      <c r="U1501" s="74">
        <v>1</v>
      </c>
      <c r="V1501" s="71" t="s">
        <v>391</v>
      </c>
      <c r="W1501" s="130">
        <v>46069.472222222219</v>
      </c>
      <c r="X1501" s="72">
        <v>46072.455555555556</v>
      </c>
      <c r="Y1501" s="72">
        <v>46073.128472222219</v>
      </c>
      <c r="Z1501" s="104" t="s">
        <v>382</v>
      </c>
      <c r="AA1501" s="104" t="s">
        <v>496</v>
      </c>
      <c r="AB1501" s="105">
        <v>46073.013888888891</v>
      </c>
      <c r="AC1501" s="105">
        <v>46073.13958333333</v>
      </c>
    </row>
    <row r="1502" s="70" customFormat="1" ht="11.25" customHeight="1">
      <c r="A1502" s="87"/>
      <c r="C1502" s="43" t="s">
        <v>2785</v>
      </c>
      <c r="D1502" s="71" t="s">
        <v>382</v>
      </c>
      <c r="E1502" s="71" t="str">
        <f>MID(D1502,1,2)</f>
        <v>IL</v>
      </c>
      <c r="F1502" s="71" t="s">
        <v>1069</v>
      </c>
      <c r="G1502" s="71" t="str">
        <f>MID(F1502,1,2)</f>
        <v>AU</v>
      </c>
      <c r="H1502" s="43" t="s">
        <v>2742</v>
      </c>
      <c r="I1502" s="71" t="s">
        <v>2786</v>
      </c>
      <c r="J1502" s="71" t="s">
        <v>426</v>
      </c>
      <c r="K1502" s="43"/>
      <c r="L1502" s="71" t="s">
        <v>105</v>
      </c>
      <c r="M1502" s="73">
        <v>148</v>
      </c>
      <c r="N1502" s="71" t="s">
        <v>388</v>
      </c>
      <c r="O1502" s="73">
        <v>1.37</v>
      </c>
      <c r="P1502" s="71" t="s">
        <v>389</v>
      </c>
      <c r="Q1502" s="73">
        <v>228.5</v>
      </c>
      <c r="R1502" s="71" t="s">
        <v>388</v>
      </c>
      <c r="S1502" s="73">
        <v>0</v>
      </c>
      <c r="T1502" s="71" t="s">
        <v>390</v>
      </c>
      <c r="U1502" s="74">
        <v>1</v>
      </c>
      <c r="V1502" s="71" t="s">
        <v>391</v>
      </c>
      <c r="W1502" s="130">
        <v>46069.458333333336</v>
      </c>
      <c r="X1502" s="72">
        <v>46070.486111111109</v>
      </c>
      <c r="Y1502" s="72">
        <v>46073.791666666664</v>
      </c>
      <c r="Z1502" s="104" t="s">
        <v>382</v>
      </c>
      <c r="AA1502" s="104" t="s">
        <v>817</v>
      </c>
      <c r="AB1502" s="105">
        <v>46070.484722222223</v>
      </c>
      <c r="AC1502" s="105">
        <v>46070.870138888888</v>
      </c>
    </row>
    <row r="1503" s="70" customFormat="1" ht="11.25" customHeight="1">
      <c r="A1503" s="87"/>
      <c r="C1503" s="43" t="s">
        <v>2785</v>
      </c>
      <c r="D1503" s="71" t="s">
        <v>382</v>
      </c>
      <c r="E1503" s="71" t="str">
        <f>MID(D1503,1,2)</f>
        <v>IL</v>
      </c>
      <c r="F1503" s="71" t="s">
        <v>1069</v>
      </c>
      <c r="G1503" s="71" t="str">
        <f>MID(F1503,1,2)</f>
        <v>AU</v>
      </c>
      <c r="H1503" s="43" t="s">
        <v>2742</v>
      </c>
      <c r="I1503" s="71" t="s">
        <v>2786</v>
      </c>
      <c r="J1503" s="71" t="s">
        <v>426</v>
      </c>
      <c r="K1503" s="43"/>
      <c r="L1503" s="71" t="s">
        <v>105</v>
      </c>
      <c r="M1503" s="73">
        <v>148</v>
      </c>
      <c r="N1503" s="71" t="s">
        <v>388</v>
      </c>
      <c r="O1503" s="73">
        <v>1.37</v>
      </c>
      <c r="P1503" s="71" t="s">
        <v>389</v>
      </c>
      <c r="Q1503" s="73">
        <v>228.5</v>
      </c>
      <c r="R1503" s="71" t="s">
        <v>388</v>
      </c>
      <c r="S1503" s="73">
        <v>0</v>
      </c>
      <c r="T1503" s="71" t="s">
        <v>390</v>
      </c>
      <c r="U1503" s="74">
        <v>1</v>
      </c>
      <c r="V1503" s="71" t="s">
        <v>391</v>
      </c>
      <c r="W1503" s="130">
        <v>46069.458333333336</v>
      </c>
      <c r="X1503" s="72">
        <v>46070.486111111109</v>
      </c>
      <c r="Y1503" s="72">
        <v>46073.791666666664</v>
      </c>
      <c r="Z1503" s="104" t="s">
        <v>817</v>
      </c>
      <c r="AA1503" s="104" t="s">
        <v>1069</v>
      </c>
      <c r="AB1503" s="105">
        <v>46073.075</v>
      </c>
      <c r="AC1503" s="105">
        <v>46073.799305555556</v>
      </c>
    </row>
    <row r="1504" s="70" customFormat="1" ht="11.25" customHeight="1">
      <c r="A1504" s="87"/>
      <c r="C1504" s="43" t="s">
        <v>2787</v>
      </c>
      <c r="D1504" s="71" t="s">
        <v>382</v>
      </c>
      <c r="E1504" s="71" t="str">
        <f>MID(D1504,1,2)</f>
        <v>IL</v>
      </c>
      <c r="F1504" s="71" t="s">
        <v>2453</v>
      </c>
      <c r="G1504" s="71" t="str">
        <f>MID(F1504,1,2)</f>
        <v>GE</v>
      </c>
      <c r="H1504" s="43" t="s">
        <v>2788</v>
      </c>
      <c r="I1504" s="71" t="s">
        <v>2789</v>
      </c>
      <c r="J1504" s="71" t="s">
        <v>400</v>
      </c>
      <c r="K1504" s="43"/>
      <c r="L1504" s="71" t="s">
        <v>105</v>
      </c>
      <c r="M1504" s="73">
        <v>71</v>
      </c>
      <c r="N1504" s="71" t="s">
        <v>388</v>
      </c>
      <c r="O1504" s="73">
        <v>0.696</v>
      </c>
      <c r="P1504" s="71" t="s">
        <v>389</v>
      </c>
      <c r="Q1504" s="73">
        <v>116</v>
      </c>
      <c r="R1504" s="71" t="s">
        <v>388</v>
      </c>
      <c r="S1504" s="73">
        <v>0</v>
      </c>
      <c r="T1504" s="71" t="s">
        <v>390</v>
      </c>
      <c r="U1504" s="74">
        <v>1</v>
      </c>
      <c r="V1504" s="71" t="s">
        <v>391</v>
      </c>
      <c r="W1504" s="130">
        <v>46069.493055555555</v>
      </c>
      <c r="X1504" s="72">
        <v>46070.229166666664</v>
      </c>
      <c r="Y1504" s="72">
        <v>46070.420138888891</v>
      </c>
      <c r="Z1504" s="104" t="s">
        <v>382</v>
      </c>
      <c r="AA1504" s="104" t="s">
        <v>2453</v>
      </c>
      <c r="AB1504" s="105">
        <v>46070.224305555559</v>
      </c>
      <c r="AC1504" s="105">
        <v>46070.4</v>
      </c>
    </row>
    <row r="1505" s="70" customFormat="1" ht="11.25" customHeight="1">
      <c r="A1505" s="87"/>
      <c r="C1505" s="43" t="s">
        <v>2790</v>
      </c>
      <c r="D1505" s="71" t="s">
        <v>382</v>
      </c>
      <c r="E1505" s="71" t="str">
        <f>MID(D1505,1,2)</f>
        <v>IL</v>
      </c>
      <c r="F1505" s="71" t="s">
        <v>414</v>
      </c>
      <c r="G1505" s="71" t="str">
        <f>MID(F1505,1,2)</f>
        <v>US</v>
      </c>
      <c r="H1505" s="43" t="s">
        <v>2791</v>
      </c>
      <c r="I1505" s="71" t="s">
        <v>2792</v>
      </c>
      <c r="J1505" s="71" t="s">
        <v>386</v>
      </c>
      <c r="K1505" s="43"/>
      <c r="L1505" s="71" t="s">
        <v>107</v>
      </c>
      <c r="M1505" s="73">
        <v>136</v>
      </c>
      <c r="N1505" s="71" t="s">
        <v>388</v>
      </c>
      <c r="O1505" s="73">
        <v>1.377</v>
      </c>
      <c r="P1505" s="71" t="s">
        <v>389</v>
      </c>
      <c r="Q1505" s="73">
        <v>229.5</v>
      </c>
      <c r="R1505" s="71" t="s">
        <v>388</v>
      </c>
      <c r="S1505" s="73">
        <v>0</v>
      </c>
      <c r="T1505" s="71" t="s">
        <v>390</v>
      </c>
      <c r="U1505" s="74">
        <v>1</v>
      </c>
      <c r="V1505" s="71" t="s">
        <v>446</v>
      </c>
      <c r="W1505" s="130">
        <v>46072.549305555556</v>
      </c>
      <c r="X1505" s="72">
        <v>46074.965277777781</v>
      </c>
      <c r="Y1505" s="72">
        <v>46096.291666666664</v>
      </c>
      <c r="Z1505" s="104" t="s">
        <v>382</v>
      </c>
      <c r="AA1505" s="104" t="s">
        <v>414</v>
      </c>
      <c r="AB1505" s="105">
        <v>46091.945833333331</v>
      </c>
      <c r="AC1505" s="105">
        <v>46092.136111111111</v>
      </c>
    </row>
    <row r="1506" s="70" customFormat="1" ht="11.25" customHeight="1">
      <c r="A1506" s="87"/>
      <c r="C1506" s="43" t="s">
        <v>2793</v>
      </c>
      <c r="D1506" s="71" t="s">
        <v>382</v>
      </c>
      <c r="E1506" s="71" t="str">
        <f>MID(D1506,1,2)</f>
        <v>IL</v>
      </c>
      <c r="F1506" s="71" t="s">
        <v>468</v>
      </c>
      <c r="G1506" s="71" t="str">
        <f>MID(F1506,1,2)</f>
        <v>US</v>
      </c>
      <c r="H1506" s="43" t="s">
        <v>1617</v>
      </c>
      <c r="I1506" s="71" t="s">
        <v>2794</v>
      </c>
      <c r="J1506" s="71" t="s">
        <v>386</v>
      </c>
      <c r="K1506" s="43"/>
      <c r="L1506" s="71" t="s">
        <v>107</v>
      </c>
      <c r="M1506" s="73">
        <v>4</v>
      </c>
      <c r="N1506" s="71" t="s">
        <v>388</v>
      </c>
      <c r="O1506" s="73">
        <v>0.061</v>
      </c>
      <c r="P1506" s="71" t="s">
        <v>389</v>
      </c>
      <c r="Q1506" s="73">
        <v>10.5</v>
      </c>
      <c r="R1506" s="71" t="s">
        <v>388</v>
      </c>
      <c r="S1506" s="73">
        <v>0</v>
      </c>
      <c r="T1506" s="71" t="s">
        <v>390</v>
      </c>
      <c r="U1506" s="74">
        <v>1</v>
      </c>
      <c r="V1506" s="71" t="s">
        <v>446</v>
      </c>
      <c r="W1506" s="130">
        <v>46072.500694444447</v>
      </c>
      <c r="X1506" s="72">
        <v>46074.965277777781</v>
      </c>
      <c r="Y1506" s="72">
        <v>46104.416666666664</v>
      </c>
      <c r="Z1506" s="104" t="s">
        <v>382</v>
      </c>
      <c r="AA1506" s="104" t="s">
        <v>422</v>
      </c>
      <c r="AB1506" s="105">
        <v>46075.472222222219</v>
      </c>
      <c r="AC1506" s="105">
        <v>46075.679861111108</v>
      </c>
    </row>
    <row r="1507" s="70" customFormat="1" ht="11.25" customHeight="1">
      <c r="A1507" s="87"/>
      <c r="C1507" s="43" t="s">
        <v>2793</v>
      </c>
      <c r="D1507" s="71" t="s">
        <v>382</v>
      </c>
      <c r="E1507" s="71" t="str">
        <f>MID(D1507,1,2)</f>
        <v>IL</v>
      </c>
      <c r="F1507" s="71" t="s">
        <v>468</v>
      </c>
      <c r="G1507" s="71" t="str">
        <f>MID(F1507,1,2)</f>
        <v>US</v>
      </c>
      <c r="H1507" s="43" t="s">
        <v>1617</v>
      </c>
      <c r="I1507" s="71" t="s">
        <v>2794</v>
      </c>
      <c r="J1507" s="71" t="s">
        <v>386</v>
      </c>
      <c r="K1507" s="43"/>
      <c r="L1507" s="71" t="s">
        <v>107</v>
      </c>
      <c r="M1507" s="73">
        <v>4</v>
      </c>
      <c r="N1507" s="71" t="s">
        <v>388</v>
      </c>
      <c r="O1507" s="73">
        <v>0.061</v>
      </c>
      <c r="P1507" s="71" t="s">
        <v>389</v>
      </c>
      <c r="Q1507" s="73">
        <v>10.5</v>
      </c>
      <c r="R1507" s="71" t="s">
        <v>388</v>
      </c>
      <c r="S1507" s="73">
        <v>0</v>
      </c>
      <c r="T1507" s="71" t="s">
        <v>390</v>
      </c>
      <c r="U1507" s="74">
        <v>1</v>
      </c>
      <c r="V1507" s="71" t="s">
        <v>446</v>
      </c>
      <c r="W1507" s="130">
        <v>46072.500694444447</v>
      </c>
      <c r="X1507" s="72">
        <v>46074.965277777781</v>
      </c>
      <c r="Y1507" s="72">
        <v>46104.416666666664</v>
      </c>
      <c r="Z1507" s="104" t="s">
        <v>422</v>
      </c>
      <c r="AA1507" s="104" t="s">
        <v>468</v>
      </c>
      <c r="AB1507" s="105"/>
      <c r="AC1507" s="105"/>
    </row>
    <row r="1508" s="70" customFormat="1" ht="11.25" customHeight="1">
      <c r="A1508" s="87"/>
      <c r="C1508" s="43" t="s">
        <v>2795</v>
      </c>
      <c r="D1508" s="71" t="s">
        <v>382</v>
      </c>
      <c r="E1508" s="71" t="str">
        <f>MID(D1508,1,2)</f>
        <v>IL</v>
      </c>
      <c r="F1508" s="71" t="s">
        <v>677</v>
      </c>
      <c r="G1508" s="71" t="str">
        <f>MID(F1508,1,2)</f>
        <v>DE</v>
      </c>
      <c r="H1508" s="43" t="s">
        <v>2722</v>
      </c>
      <c r="I1508" s="71" t="s">
        <v>2796</v>
      </c>
      <c r="J1508" s="71" t="s">
        <v>426</v>
      </c>
      <c r="K1508" s="43"/>
      <c r="L1508" s="71" t="s">
        <v>105</v>
      </c>
      <c r="M1508" s="73">
        <v>10</v>
      </c>
      <c r="N1508" s="71" t="s">
        <v>388</v>
      </c>
      <c r="O1508" s="73">
        <v>0.068</v>
      </c>
      <c r="P1508" s="71" t="s">
        <v>389</v>
      </c>
      <c r="Q1508" s="73">
        <v>11.5</v>
      </c>
      <c r="R1508" s="71" t="s">
        <v>388</v>
      </c>
      <c r="S1508" s="73">
        <v>0</v>
      </c>
      <c r="T1508" s="71" t="s">
        <v>390</v>
      </c>
      <c r="U1508" s="74">
        <v>1</v>
      </c>
      <c r="V1508" s="71" t="s">
        <v>446</v>
      </c>
      <c r="W1508" s="130">
        <v>46069.885960648149</v>
      </c>
      <c r="X1508" s="72">
        <v>46070.576388888891</v>
      </c>
      <c r="Y1508" s="72">
        <v>46072.833333333336</v>
      </c>
      <c r="Z1508" s="104" t="s">
        <v>382</v>
      </c>
      <c r="AA1508" s="104" t="s">
        <v>383</v>
      </c>
      <c r="AB1508" s="105">
        <v>46070.994444444441</v>
      </c>
      <c r="AC1508" s="105">
        <v>46071.310416666667</v>
      </c>
    </row>
    <row r="1509" s="70" customFormat="1" ht="11.25" customHeight="1">
      <c r="A1509" s="87"/>
      <c r="C1509" s="43" t="s">
        <v>2795</v>
      </c>
      <c r="D1509" s="71" t="s">
        <v>382</v>
      </c>
      <c r="E1509" s="71" t="str">
        <f>MID(D1509,1,2)</f>
        <v>IL</v>
      </c>
      <c r="F1509" s="71" t="s">
        <v>677</v>
      </c>
      <c r="G1509" s="71" t="str">
        <f>MID(F1509,1,2)</f>
        <v>DE</v>
      </c>
      <c r="H1509" s="43" t="s">
        <v>2722</v>
      </c>
      <c r="I1509" s="71" t="s">
        <v>2796</v>
      </c>
      <c r="J1509" s="71" t="s">
        <v>426</v>
      </c>
      <c r="K1509" s="43"/>
      <c r="L1509" s="71" t="s">
        <v>105</v>
      </c>
      <c r="M1509" s="73">
        <v>10</v>
      </c>
      <c r="N1509" s="71" t="s">
        <v>388</v>
      </c>
      <c r="O1509" s="73">
        <v>0.068</v>
      </c>
      <c r="P1509" s="71" t="s">
        <v>389</v>
      </c>
      <c r="Q1509" s="73">
        <v>11.5</v>
      </c>
      <c r="R1509" s="71" t="s">
        <v>388</v>
      </c>
      <c r="S1509" s="73">
        <v>0</v>
      </c>
      <c r="T1509" s="71" t="s">
        <v>390</v>
      </c>
      <c r="U1509" s="74">
        <v>1</v>
      </c>
      <c r="V1509" s="71" t="s">
        <v>446</v>
      </c>
      <c r="W1509" s="130">
        <v>46069.885960648149</v>
      </c>
      <c r="X1509" s="72">
        <v>46070.576388888891</v>
      </c>
      <c r="Y1509" s="72">
        <v>46072.833333333336</v>
      </c>
      <c r="Z1509" s="104" t="s">
        <v>383</v>
      </c>
      <c r="AA1509" s="104" t="s">
        <v>677</v>
      </c>
      <c r="AB1509" s="105">
        <v>46072.277777777781</v>
      </c>
      <c r="AC1509" s="105">
        <v>46072.454861111109</v>
      </c>
    </row>
    <row r="1510" s="70" customFormat="1" ht="11.25" customHeight="1">
      <c r="A1510" s="87"/>
      <c r="C1510" s="43" t="s">
        <v>2797</v>
      </c>
      <c r="D1510" s="71" t="s">
        <v>382</v>
      </c>
      <c r="E1510" s="71" t="str">
        <f>MID(D1510,1,2)</f>
        <v>IL</v>
      </c>
      <c r="F1510" s="71" t="s">
        <v>496</v>
      </c>
      <c r="G1510" s="71" t="str">
        <f>MID(F1510,1,2)</f>
        <v>RO</v>
      </c>
      <c r="H1510" s="43" t="s">
        <v>2798</v>
      </c>
      <c r="I1510" s="71" t="s">
        <v>2799</v>
      </c>
      <c r="J1510" s="71" t="s">
        <v>400</v>
      </c>
      <c r="K1510" s="43"/>
      <c r="L1510" s="71" t="s">
        <v>105</v>
      </c>
      <c r="M1510" s="73">
        <v>29</v>
      </c>
      <c r="N1510" s="71" t="s">
        <v>388</v>
      </c>
      <c r="O1510" s="73">
        <v>0.708</v>
      </c>
      <c r="P1510" s="71" t="s">
        <v>389</v>
      </c>
      <c r="Q1510" s="73">
        <v>118</v>
      </c>
      <c r="R1510" s="71" t="s">
        <v>388</v>
      </c>
      <c r="S1510" s="73">
        <v>0</v>
      </c>
      <c r="T1510" s="71" t="s">
        <v>390</v>
      </c>
      <c r="U1510" s="74">
        <v>1</v>
      </c>
      <c r="V1510" s="71" t="s">
        <v>391</v>
      </c>
      <c r="W1510" s="130">
        <v>46069.549305555556</v>
      </c>
      <c r="X1510" s="72">
        <v>46071.013888888891</v>
      </c>
      <c r="Y1510" s="72">
        <v>46072.128472222219</v>
      </c>
      <c r="Z1510" s="104" t="s">
        <v>382</v>
      </c>
      <c r="AA1510" s="104" t="s">
        <v>496</v>
      </c>
      <c r="AB1510" s="105">
        <v>46072.263888888891</v>
      </c>
      <c r="AC1510" s="105">
        <v>46072.428472222222</v>
      </c>
    </row>
    <row r="1511" s="70" customFormat="1" ht="11.25" customHeight="1">
      <c r="A1511" s="87"/>
      <c r="C1511" s="43" t="s">
        <v>2800</v>
      </c>
      <c r="D1511" s="71" t="s">
        <v>382</v>
      </c>
      <c r="E1511" s="71" t="str">
        <f>MID(D1511,1,2)</f>
        <v>IL</v>
      </c>
      <c r="F1511" s="71" t="s">
        <v>992</v>
      </c>
      <c r="G1511" s="71" t="str">
        <f>MID(F1511,1,2)</f>
        <v>SK</v>
      </c>
      <c r="H1511" s="43" t="s">
        <v>2801</v>
      </c>
      <c r="I1511" s="71" t="s">
        <v>2802</v>
      </c>
      <c r="J1511" s="71" t="s">
        <v>426</v>
      </c>
      <c r="K1511" s="43"/>
      <c r="L1511" s="71" t="s">
        <v>105</v>
      </c>
      <c r="M1511" s="73">
        <v>112</v>
      </c>
      <c r="N1511" s="71" t="s">
        <v>388</v>
      </c>
      <c r="O1511" s="73">
        <v>0.226</v>
      </c>
      <c r="P1511" s="71" t="s">
        <v>389</v>
      </c>
      <c r="Q1511" s="73">
        <v>112</v>
      </c>
      <c r="R1511" s="71" t="s">
        <v>388</v>
      </c>
      <c r="S1511" s="73">
        <v>0</v>
      </c>
      <c r="T1511" s="71" t="s">
        <v>390</v>
      </c>
      <c r="U1511" s="74">
        <v>1</v>
      </c>
      <c r="V1511" s="71" t="s">
        <v>391</v>
      </c>
      <c r="W1511" s="130">
        <v>46069.750509259262</v>
      </c>
      <c r="X1511" s="72">
        <v>46070.25</v>
      </c>
      <c r="Y1511" s="72">
        <v>46071.604166666664</v>
      </c>
      <c r="Z1511" s="104" t="s">
        <v>382</v>
      </c>
      <c r="AA1511" s="104" t="s">
        <v>595</v>
      </c>
      <c r="AB1511" s="105">
        <v>46070.272222222222</v>
      </c>
      <c r="AC1511" s="105">
        <v>46070.37222222222</v>
      </c>
    </row>
    <row r="1512" s="70" customFormat="1" ht="11.25" customHeight="1">
      <c r="A1512" s="87"/>
      <c r="C1512" s="43" t="s">
        <v>2800</v>
      </c>
      <c r="D1512" s="71" t="s">
        <v>382</v>
      </c>
      <c r="E1512" s="71" t="str">
        <f>MID(D1512,1,2)</f>
        <v>IL</v>
      </c>
      <c r="F1512" s="71" t="s">
        <v>992</v>
      </c>
      <c r="G1512" s="71" t="str">
        <f>MID(F1512,1,2)</f>
        <v>SK</v>
      </c>
      <c r="H1512" s="43" t="s">
        <v>2801</v>
      </c>
      <c r="I1512" s="71" t="s">
        <v>2802</v>
      </c>
      <c r="J1512" s="71" t="s">
        <v>426</v>
      </c>
      <c r="K1512" s="43"/>
      <c r="L1512" s="71" t="s">
        <v>105</v>
      </c>
      <c r="M1512" s="73">
        <v>112</v>
      </c>
      <c r="N1512" s="71" t="s">
        <v>388</v>
      </c>
      <c r="O1512" s="73">
        <v>0.226</v>
      </c>
      <c r="P1512" s="71" t="s">
        <v>389</v>
      </c>
      <c r="Q1512" s="73">
        <v>112</v>
      </c>
      <c r="R1512" s="71" t="s">
        <v>388</v>
      </c>
      <c r="S1512" s="73">
        <v>0</v>
      </c>
      <c r="T1512" s="71" t="s">
        <v>390</v>
      </c>
      <c r="U1512" s="74">
        <v>1</v>
      </c>
      <c r="V1512" s="71" t="s">
        <v>391</v>
      </c>
      <c r="W1512" s="130">
        <v>46069.750509259262</v>
      </c>
      <c r="X1512" s="72">
        <v>46070.25</v>
      </c>
      <c r="Y1512" s="72">
        <v>46071.604166666664</v>
      </c>
      <c r="Z1512" s="104" t="s">
        <v>595</v>
      </c>
      <c r="AA1512" s="104" t="s">
        <v>992</v>
      </c>
      <c r="AB1512" s="105">
        <v>46071.354166666664</v>
      </c>
      <c r="AC1512" s="105">
        <v>46071.40625</v>
      </c>
    </row>
    <row r="1513" s="70" customFormat="1" ht="11.25" customHeight="1">
      <c r="A1513" s="87"/>
      <c r="C1513" s="43" t="s">
        <v>2803</v>
      </c>
      <c r="D1513" s="71" t="s">
        <v>382</v>
      </c>
      <c r="E1513" s="71" t="str">
        <f>MID(D1513,1,2)</f>
        <v>IL</v>
      </c>
      <c r="F1513" s="71" t="s">
        <v>1583</v>
      </c>
      <c r="G1513" s="71" t="str">
        <f>MID(F1513,1,2)</f>
        <v>BR</v>
      </c>
      <c r="H1513" s="43" t="s">
        <v>2675</v>
      </c>
      <c r="I1513" s="71" t="s">
        <v>2804</v>
      </c>
      <c r="J1513" s="71" t="s">
        <v>411</v>
      </c>
      <c r="K1513" s="43"/>
      <c r="L1513" s="71" t="s">
        <v>105</v>
      </c>
      <c r="M1513" s="73">
        <v>26.5</v>
      </c>
      <c r="N1513" s="71" t="s">
        <v>388</v>
      </c>
      <c r="O1513" s="73">
        <v>0.361</v>
      </c>
      <c r="P1513" s="71" t="s">
        <v>389</v>
      </c>
      <c r="Q1513" s="73">
        <v>60.5</v>
      </c>
      <c r="R1513" s="71" t="s">
        <v>388</v>
      </c>
      <c r="S1513" s="73">
        <v>0</v>
      </c>
      <c r="T1513" s="71" t="s">
        <v>390</v>
      </c>
      <c r="U1513" s="74">
        <v>7</v>
      </c>
      <c r="V1513" s="71" t="s">
        <v>391</v>
      </c>
      <c r="W1513" s="130">
        <v>46072.953125</v>
      </c>
      <c r="X1513" s="72">
        <v>46073.572916666664</v>
      </c>
      <c r="Y1513" s="72">
        <v>46084</v>
      </c>
      <c r="Z1513" s="104" t="s">
        <v>382</v>
      </c>
      <c r="AA1513" s="104" t="s">
        <v>383</v>
      </c>
      <c r="AB1513" s="105">
        <v>46073.699305555558</v>
      </c>
      <c r="AC1513" s="105">
        <v>46073.840277777781</v>
      </c>
    </row>
    <row r="1514" s="70" customFormat="1" ht="11.25" customHeight="1">
      <c r="A1514" s="87"/>
      <c r="C1514" s="43" t="s">
        <v>2803</v>
      </c>
      <c r="D1514" s="71" t="s">
        <v>382</v>
      </c>
      <c r="E1514" s="71" t="str">
        <f>MID(D1514,1,2)</f>
        <v>IL</v>
      </c>
      <c r="F1514" s="71" t="s">
        <v>1583</v>
      </c>
      <c r="G1514" s="71" t="str">
        <f>MID(F1514,1,2)</f>
        <v>BR</v>
      </c>
      <c r="H1514" s="43" t="s">
        <v>2675</v>
      </c>
      <c r="I1514" s="71" t="s">
        <v>2804</v>
      </c>
      <c r="J1514" s="71" t="s">
        <v>411</v>
      </c>
      <c r="K1514" s="43"/>
      <c r="L1514" s="71" t="s">
        <v>105</v>
      </c>
      <c r="M1514" s="73">
        <v>26.5</v>
      </c>
      <c r="N1514" s="71" t="s">
        <v>388</v>
      </c>
      <c r="O1514" s="73">
        <v>0.361</v>
      </c>
      <c r="P1514" s="71" t="s">
        <v>389</v>
      </c>
      <c r="Q1514" s="73">
        <v>60.5</v>
      </c>
      <c r="R1514" s="71" t="s">
        <v>388</v>
      </c>
      <c r="S1514" s="73">
        <v>0</v>
      </c>
      <c r="T1514" s="71" t="s">
        <v>390</v>
      </c>
      <c r="U1514" s="74">
        <v>7</v>
      </c>
      <c r="V1514" s="71" t="s">
        <v>391</v>
      </c>
      <c r="W1514" s="130">
        <v>46072.953125</v>
      </c>
      <c r="X1514" s="72">
        <v>46073.572916666664</v>
      </c>
      <c r="Y1514" s="72">
        <v>46084</v>
      </c>
      <c r="Z1514" s="104" t="s">
        <v>383</v>
      </c>
      <c r="AA1514" s="104" t="s">
        <v>1349</v>
      </c>
      <c r="AB1514" s="105">
        <v>46074.524305555555</v>
      </c>
      <c r="AC1514" s="105">
        <v>46074.961111111108</v>
      </c>
    </row>
    <row r="1515" s="70" customFormat="1" ht="11.25" customHeight="1">
      <c r="A1515" s="87"/>
      <c r="C1515" s="43" t="s">
        <v>2803</v>
      </c>
      <c r="D1515" s="71" t="s">
        <v>382</v>
      </c>
      <c r="E1515" s="71" t="str">
        <f>MID(D1515,1,2)</f>
        <v>IL</v>
      </c>
      <c r="F1515" s="71" t="s">
        <v>1583</v>
      </c>
      <c r="G1515" s="71" t="str">
        <f>MID(F1515,1,2)</f>
        <v>BR</v>
      </c>
      <c r="H1515" s="43" t="s">
        <v>2675</v>
      </c>
      <c r="I1515" s="71" t="s">
        <v>2804</v>
      </c>
      <c r="J1515" s="71" t="s">
        <v>411</v>
      </c>
      <c r="K1515" s="43"/>
      <c r="L1515" s="71" t="s">
        <v>105</v>
      </c>
      <c r="M1515" s="73">
        <v>26.5</v>
      </c>
      <c r="N1515" s="71" t="s">
        <v>388</v>
      </c>
      <c r="O1515" s="73">
        <v>0.361</v>
      </c>
      <c r="P1515" s="71" t="s">
        <v>389</v>
      </c>
      <c r="Q1515" s="73">
        <v>60.5</v>
      </c>
      <c r="R1515" s="71" t="s">
        <v>388</v>
      </c>
      <c r="S1515" s="73">
        <v>0</v>
      </c>
      <c r="T1515" s="71" t="s">
        <v>390</v>
      </c>
      <c r="U1515" s="74">
        <v>7</v>
      </c>
      <c r="V1515" s="71" t="s">
        <v>391</v>
      </c>
      <c r="W1515" s="130">
        <v>46072.953125</v>
      </c>
      <c r="X1515" s="72">
        <v>46073.572916666664</v>
      </c>
      <c r="Y1515" s="72">
        <v>46084</v>
      </c>
      <c r="Z1515" s="104" t="s">
        <v>1349</v>
      </c>
      <c r="AA1515" s="104" t="s">
        <v>1583</v>
      </c>
      <c r="AB1515" s="105">
        <v>46079.409722222219</v>
      </c>
      <c r="AC1515" s="105">
        <v>46079.663194444445</v>
      </c>
    </row>
    <row r="1516" s="70" customFormat="1" ht="11.25" customHeight="1">
      <c r="A1516" s="87"/>
      <c r="C1516" s="43" t="s">
        <v>2805</v>
      </c>
      <c r="D1516" s="71" t="s">
        <v>382</v>
      </c>
      <c r="E1516" s="71" t="str">
        <f>MID(D1516,1,2)</f>
        <v>IL</v>
      </c>
      <c r="F1516" s="71" t="s">
        <v>978</v>
      </c>
      <c r="G1516" s="71" t="str">
        <f>MID(F1516,1,2)</f>
        <v>PL</v>
      </c>
      <c r="H1516" s="43" t="s">
        <v>2806</v>
      </c>
      <c r="I1516" s="71" t="s">
        <v>2807</v>
      </c>
      <c r="J1516" s="71" t="s">
        <v>483</v>
      </c>
      <c r="K1516" s="43"/>
      <c r="L1516" s="71" t="s">
        <v>105</v>
      </c>
      <c r="M1516" s="73">
        <v>254</v>
      </c>
      <c r="N1516" s="71" t="s">
        <v>388</v>
      </c>
      <c r="O1516" s="73">
        <v>2.115</v>
      </c>
      <c r="P1516" s="71" t="s">
        <v>389</v>
      </c>
      <c r="Q1516" s="73">
        <v>352.5</v>
      </c>
      <c r="R1516" s="71" t="s">
        <v>388</v>
      </c>
      <c r="S1516" s="73">
        <v>0</v>
      </c>
      <c r="T1516" s="71" t="s">
        <v>390</v>
      </c>
      <c r="U1516" s="74">
        <v>1</v>
      </c>
      <c r="V1516" s="71" t="s">
        <v>391</v>
      </c>
      <c r="W1516" s="130">
        <v>46070.876192129632</v>
      </c>
      <c r="X1516" s="72">
        <v>46073.572916666664</v>
      </c>
      <c r="Y1516" s="72">
        <v>46076.354166666664</v>
      </c>
      <c r="Z1516" s="104" t="s">
        <v>382</v>
      </c>
      <c r="AA1516" s="104" t="s">
        <v>383</v>
      </c>
      <c r="AB1516" s="105">
        <v>46073.555555555555</v>
      </c>
      <c r="AC1516" s="105">
        <v>46073.692361111112</v>
      </c>
    </row>
    <row r="1517" s="70" customFormat="1" ht="11.25" customHeight="1">
      <c r="A1517" s="87"/>
      <c r="C1517" s="43" t="s">
        <v>2805</v>
      </c>
      <c r="D1517" s="71" t="s">
        <v>382</v>
      </c>
      <c r="E1517" s="71" t="str">
        <f>MID(D1517,1,2)</f>
        <v>IL</v>
      </c>
      <c r="F1517" s="71" t="s">
        <v>978</v>
      </c>
      <c r="G1517" s="71" t="str">
        <f>MID(F1517,1,2)</f>
        <v>PL</v>
      </c>
      <c r="H1517" s="43" t="s">
        <v>2806</v>
      </c>
      <c r="I1517" s="71" t="s">
        <v>2807</v>
      </c>
      <c r="J1517" s="71" t="s">
        <v>483</v>
      </c>
      <c r="K1517" s="43"/>
      <c r="L1517" s="71" t="s">
        <v>105</v>
      </c>
      <c r="M1517" s="73">
        <v>254</v>
      </c>
      <c r="N1517" s="71" t="s">
        <v>388</v>
      </c>
      <c r="O1517" s="73">
        <v>2.115</v>
      </c>
      <c r="P1517" s="71" t="s">
        <v>389</v>
      </c>
      <c r="Q1517" s="73">
        <v>352.5</v>
      </c>
      <c r="R1517" s="71" t="s">
        <v>388</v>
      </c>
      <c r="S1517" s="73">
        <v>0</v>
      </c>
      <c r="T1517" s="71" t="s">
        <v>390</v>
      </c>
      <c r="U1517" s="74">
        <v>1</v>
      </c>
      <c r="V1517" s="71" t="s">
        <v>391</v>
      </c>
      <c r="W1517" s="130">
        <v>46070.876192129632</v>
      </c>
      <c r="X1517" s="72">
        <v>46073.572916666664</v>
      </c>
      <c r="Y1517" s="72">
        <v>46076.354166666664</v>
      </c>
      <c r="Z1517" s="104" t="s">
        <v>383</v>
      </c>
      <c r="AA1517" s="104" t="s">
        <v>978</v>
      </c>
      <c r="AB1517" s="105">
        <v>46075.583333333336</v>
      </c>
      <c r="AC1517" s="105">
        <v>46076.291666666664</v>
      </c>
    </row>
    <row r="1518" s="70" customFormat="1" ht="11.25" customHeight="1">
      <c r="A1518" s="87"/>
      <c r="C1518" s="43" t="s">
        <v>2805</v>
      </c>
      <c r="D1518" s="71" t="s">
        <v>382</v>
      </c>
      <c r="E1518" s="71" t="str">
        <f>MID(D1518,1,2)</f>
        <v>IL</v>
      </c>
      <c r="F1518" s="71" t="s">
        <v>978</v>
      </c>
      <c r="G1518" s="71" t="str">
        <f>MID(F1518,1,2)</f>
        <v>PL</v>
      </c>
      <c r="H1518" s="43" t="s">
        <v>2806</v>
      </c>
      <c r="I1518" s="71" t="s">
        <v>2807</v>
      </c>
      <c r="J1518" s="71" t="s">
        <v>483</v>
      </c>
      <c r="K1518" s="43"/>
      <c r="L1518" s="71" t="s">
        <v>105</v>
      </c>
      <c r="M1518" s="73">
        <v>254</v>
      </c>
      <c r="N1518" s="71" t="s">
        <v>388</v>
      </c>
      <c r="O1518" s="73">
        <v>2.115</v>
      </c>
      <c r="P1518" s="71" t="s">
        <v>389</v>
      </c>
      <c r="Q1518" s="73">
        <v>352.5</v>
      </c>
      <c r="R1518" s="71" t="s">
        <v>388</v>
      </c>
      <c r="S1518" s="73">
        <v>0</v>
      </c>
      <c r="T1518" s="71" t="s">
        <v>390</v>
      </c>
      <c r="U1518" s="74">
        <v>1</v>
      </c>
      <c r="V1518" s="71" t="s">
        <v>391</v>
      </c>
      <c r="W1518" s="130">
        <v>46070.876192129632</v>
      </c>
      <c r="X1518" s="72">
        <v>46073.572916666664</v>
      </c>
      <c r="Y1518" s="72">
        <v>46076.354166666664</v>
      </c>
      <c r="Z1518" s="104" t="s">
        <v>978</v>
      </c>
      <c r="AA1518" s="104" t="s">
        <v>2808</v>
      </c>
      <c r="AB1518" s="105">
        <v>46083.5</v>
      </c>
      <c r="AC1518" s="105">
        <v>46084.333333333336</v>
      </c>
    </row>
    <row r="1519" s="70" customFormat="1" ht="11.25" customHeight="1">
      <c r="A1519" s="87"/>
      <c r="C1519" s="43" t="s">
        <v>2809</v>
      </c>
      <c r="D1519" s="71" t="s">
        <v>382</v>
      </c>
      <c r="E1519" s="71" t="str">
        <f>MID(D1519,1,2)</f>
        <v>IL</v>
      </c>
      <c r="F1519" s="71" t="s">
        <v>496</v>
      </c>
      <c r="G1519" s="71" t="str">
        <f>MID(F1519,1,2)</f>
        <v>RO</v>
      </c>
      <c r="H1519" s="43" t="s">
        <v>2810</v>
      </c>
      <c r="I1519" s="71" t="s">
        <v>2811</v>
      </c>
      <c r="J1519" s="71" t="s">
        <v>400</v>
      </c>
      <c r="K1519" s="43"/>
      <c r="L1519" s="71" t="s">
        <v>105</v>
      </c>
      <c r="M1519" s="73">
        <v>9</v>
      </c>
      <c r="N1519" s="71" t="s">
        <v>388</v>
      </c>
      <c r="O1519" s="73">
        <v>0.045</v>
      </c>
      <c r="P1519" s="71" t="s">
        <v>389</v>
      </c>
      <c r="Q1519" s="73">
        <v>9</v>
      </c>
      <c r="R1519" s="71" t="s">
        <v>388</v>
      </c>
      <c r="S1519" s="73">
        <v>0</v>
      </c>
      <c r="T1519" s="71" t="s">
        <v>390</v>
      </c>
      <c r="U1519" s="74">
        <v>1</v>
      </c>
      <c r="V1519" s="71" t="s">
        <v>391</v>
      </c>
      <c r="W1519" s="130">
        <v>46069.555555555555</v>
      </c>
      <c r="X1519" s="72">
        <v>46071.013888888891</v>
      </c>
      <c r="Y1519" s="72">
        <v>46072.128472222219</v>
      </c>
      <c r="Z1519" s="104" t="s">
        <v>382</v>
      </c>
      <c r="AA1519" s="104" t="s">
        <v>496</v>
      </c>
      <c r="AB1519" s="105">
        <v>46072.263888888891</v>
      </c>
      <c r="AC1519" s="105">
        <v>46072.428472222222</v>
      </c>
    </row>
    <row r="1520" s="70" customFormat="1" ht="11.25" customHeight="1">
      <c r="A1520" s="87"/>
      <c r="C1520" s="43" t="s">
        <v>2812</v>
      </c>
      <c r="D1520" s="71" t="s">
        <v>382</v>
      </c>
      <c r="E1520" s="71" t="str">
        <f>MID(D1520,1,2)</f>
        <v>IL</v>
      </c>
      <c r="F1520" s="71" t="s">
        <v>383</v>
      </c>
      <c r="G1520" s="71" t="str">
        <f>MID(F1520,1,2)</f>
        <v>DE</v>
      </c>
      <c r="H1520" s="43" t="s">
        <v>2171</v>
      </c>
      <c r="I1520" s="71" t="s">
        <v>2813</v>
      </c>
      <c r="J1520" s="71" t="s">
        <v>400</v>
      </c>
      <c r="K1520" s="43" t="s">
        <v>1722</v>
      </c>
      <c r="L1520" s="71" t="s">
        <v>105</v>
      </c>
      <c r="M1520" s="73">
        <v>92</v>
      </c>
      <c r="N1520" s="71" t="s">
        <v>388</v>
      </c>
      <c r="O1520" s="73">
        <v>0.97</v>
      </c>
      <c r="P1520" s="71" t="s">
        <v>389</v>
      </c>
      <c r="Q1520" s="73">
        <v>162</v>
      </c>
      <c r="R1520" s="71" t="s">
        <v>388</v>
      </c>
      <c r="S1520" s="73">
        <v>0</v>
      </c>
      <c r="T1520" s="71" t="s">
        <v>390</v>
      </c>
      <c r="U1520" s="74">
        <v>1</v>
      </c>
      <c r="V1520" s="71" t="s">
        <v>391</v>
      </c>
      <c r="W1520" s="130"/>
      <c r="X1520" s="72">
        <v>46074.552083333336</v>
      </c>
      <c r="Y1520" s="72">
        <v>46075.833333333336</v>
      </c>
      <c r="Z1520" s="104" t="s">
        <v>383</v>
      </c>
      <c r="AA1520" s="104" t="s">
        <v>383</v>
      </c>
      <c r="AB1520" s="105">
        <v>46080.729861111111</v>
      </c>
      <c r="AC1520" s="105">
        <v>46080.75</v>
      </c>
    </row>
    <row r="1521" s="70" customFormat="1" ht="11.25" customHeight="1">
      <c r="A1521" s="87"/>
      <c r="C1521" s="43" t="s">
        <v>2812</v>
      </c>
      <c r="D1521" s="71" t="s">
        <v>382</v>
      </c>
      <c r="E1521" s="71" t="str">
        <f>MID(D1521,1,2)</f>
        <v>IL</v>
      </c>
      <c r="F1521" s="71" t="s">
        <v>383</v>
      </c>
      <c r="G1521" s="71" t="str">
        <f>MID(F1521,1,2)</f>
        <v>DE</v>
      </c>
      <c r="H1521" s="43" t="s">
        <v>2171</v>
      </c>
      <c r="I1521" s="71" t="s">
        <v>2813</v>
      </c>
      <c r="J1521" s="71" t="s">
        <v>400</v>
      </c>
      <c r="K1521" s="43" t="s">
        <v>1722</v>
      </c>
      <c r="L1521" s="71" t="s">
        <v>105</v>
      </c>
      <c r="M1521" s="73">
        <v>92</v>
      </c>
      <c r="N1521" s="71" t="s">
        <v>388</v>
      </c>
      <c r="O1521" s="73">
        <v>0.97</v>
      </c>
      <c r="P1521" s="71" t="s">
        <v>389</v>
      </c>
      <c r="Q1521" s="73">
        <v>162</v>
      </c>
      <c r="R1521" s="71" t="s">
        <v>388</v>
      </c>
      <c r="S1521" s="73">
        <v>0</v>
      </c>
      <c r="T1521" s="71" t="s">
        <v>390</v>
      </c>
      <c r="U1521" s="74">
        <v>1</v>
      </c>
      <c r="V1521" s="71" t="s">
        <v>391</v>
      </c>
      <c r="W1521" s="130"/>
      <c r="X1521" s="72">
        <v>46074.552083333336</v>
      </c>
      <c r="Y1521" s="72">
        <v>46075.833333333336</v>
      </c>
      <c r="Z1521" s="104" t="s">
        <v>382</v>
      </c>
      <c r="AA1521" s="104" t="s">
        <v>1117</v>
      </c>
      <c r="AB1521" s="105">
        <v>46074.552083333336</v>
      </c>
      <c r="AC1521" s="105"/>
    </row>
    <row r="1522" s="70" customFormat="1" ht="11.25" customHeight="1">
      <c r="A1522" s="87"/>
      <c r="C1522" s="43" t="s">
        <v>2812</v>
      </c>
      <c r="D1522" s="71" t="s">
        <v>382</v>
      </c>
      <c r="E1522" s="71" t="str">
        <f>MID(D1522,1,2)</f>
        <v>IL</v>
      </c>
      <c r="F1522" s="71" t="s">
        <v>383</v>
      </c>
      <c r="G1522" s="71" t="str">
        <f>MID(F1522,1,2)</f>
        <v>DE</v>
      </c>
      <c r="H1522" s="43" t="s">
        <v>2171</v>
      </c>
      <c r="I1522" s="71" t="s">
        <v>2813</v>
      </c>
      <c r="J1522" s="71" t="s">
        <v>400</v>
      </c>
      <c r="K1522" s="43" t="s">
        <v>1722</v>
      </c>
      <c r="L1522" s="71" t="s">
        <v>105</v>
      </c>
      <c r="M1522" s="73">
        <v>92</v>
      </c>
      <c r="N1522" s="71" t="s">
        <v>388</v>
      </c>
      <c r="O1522" s="73">
        <v>0.97</v>
      </c>
      <c r="P1522" s="71" t="s">
        <v>389</v>
      </c>
      <c r="Q1522" s="73">
        <v>162</v>
      </c>
      <c r="R1522" s="71" t="s">
        <v>388</v>
      </c>
      <c r="S1522" s="73">
        <v>0</v>
      </c>
      <c r="T1522" s="71" t="s">
        <v>390</v>
      </c>
      <c r="U1522" s="74">
        <v>1</v>
      </c>
      <c r="V1522" s="71" t="s">
        <v>391</v>
      </c>
      <c r="W1522" s="130"/>
      <c r="X1522" s="72">
        <v>46074.552083333336</v>
      </c>
      <c r="Y1522" s="72">
        <v>46075.833333333336</v>
      </c>
      <c r="Z1522" s="104" t="s">
        <v>1117</v>
      </c>
      <c r="AA1522" s="104" t="s">
        <v>383</v>
      </c>
      <c r="AB1522" s="105">
        <v>46075.416666666664</v>
      </c>
      <c r="AC1522" s="105">
        <v>46075.603472222225</v>
      </c>
    </row>
    <row r="1523" s="70" customFormat="1" ht="11.25" customHeight="1">
      <c r="A1523" s="87"/>
      <c r="C1523" s="43" t="s">
        <v>2814</v>
      </c>
      <c r="D1523" s="71" t="s">
        <v>382</v>
      </c>
      <c r="E1523" s="71" t="str">
        <f>MID(D1523,1,2)</f>
        <v>IL</v>
      </c>
      <c r="F1523" s="71" t="s">
        <v>689</v>
      </c>
      <c r="G1523" s="71" t="str">
        <f>MID(F1523,1,2)</f>
        <v>MA</v>
      </c>
      <c r="H1523" s="43" t="s">
        <v>2815</v>
      </c>
      <c r="I1523" s="71" t="s">
        <v>2816</v>
      </c>
      <c r="J1523" s="71" t="s">
        <v>400</v>
      </c>
      <c r="K1523" s="43"/>
      <c r="L1523" s="71" t="s">
        <v>105</v>
      </c>
      <c r="M1523" s="73">
        <v>193</v>
      </c>
      <c r="N1523" s="71" t="s">
        <v>388</v>
      </c>
      <c r="O1523" s="73">
        <v>1.333</v>
      </c>
      <c r="P1523" s="71" t="s">
        <v>389</v>
      </c>
      <c r="Q1523" s="73">
        <v>222.5</v>
      </c>
      <c r="R1523" s="71" t="s">
        <v>388</v>
      </c>
      <c r="S1523" s="73">
        <v>0</v>
      </c>
      <c r="T1523" s="71" t="s">
        <v>390</v>
      </c>
      <c r="U1523" s="74">
        <v>2</v>
      </c>
      <c r="V1523" s="71" t="s">
        <v>391</v>
      </c>
      <c r="W1523" s="130">
        <v>46069.708877314813</v>
      </c>
      <c r="X1523" s="72">
        <v>46070.532638888886</v>
      </c>
      <c r="Y1523" s="72">
        <v>46072.503472222219</v>
      </c>
      <c r="Z1523" s="104" t="s">
        <v>382</v>
      </c>
      <c r="AA1523" s="104" t="s">
        <v>383</v>
      </c>
      <c r="AB1523" s="105">
        <v>46071.029861111114</v>
      </c>
      <c r="AC1523" s="105">
        <v>46071.241666666669</v>
      </c>
    </row>
    <row r="1524" s="70" customFormat="1" ht="11.25" customHeight="1">
      <c r="A1524" s="87"/>
      <c r="C1524" s="43" t="s">
        <v>2814</v>
      </c>
      <c r="D1524" s="71" t="s">
        <v>382</v>
      </c>
      <c r="E1524" s="71" t="str">
        <f>MID(D1524,1,2)</f>
        <v>IL</v>
      </c>
      <c r="F1524" s="71" t="s">
        <v>689</v>
      </c>
      <c r="G1524" s="71" t="str">
        <f>MID(F1524,1,2)</f>
        <v>MA</v>
      </c>
      <c r="H1524" s="43" t="s">
        <v>2815</v>
      </c>
      <c r="I1524" s="71" t="s">
        <v>2816</v>
      </c>
      <c r="J1524" s="71" t="s">
        <v>400</v>
      </c>
      <c r="K1524" s="43"/>
      <c r="L1524" s="71" t="s">
        <v>105</v>
      </c>
      <c r="M1524" s="73">
        <v>193</v>
      </c>
      <c r="N1524" s="71" t="s">
        <v>388</v>
      </c>
      <c r="O1524" s="73">
        <v>1.333</v>
      </c>
      <c r="P1524" s="71" t="s">
        <v>389</v>
      </c>
      <c r="Q1524" s="73">
        <v>222.5</v>
      </c>
      <c r="R1524" s="71" t="s">
        <v>388</v>
      </c>
      <c r="S1524" s="73">
        <v>0</v>
      </c>
      <c r="T1524" s="71" t="s">
        <v>390</v>
      </c>
      <c r="U1524" s="74">
        <v>2</v>
      </c>
      <c r="V1524" s="71" t="s">
        <v>391</v>
      </c>
      <c r="W1524" s="130">
        <v>46069.708877314813</v>
      </c>
      <c r="X1524" s="72">
        <v>46070.532638888886</v>
      </c>
      <c r="Y1524" s="72">
        <v>46072.503472222219</v>
      </c>
      <c r="Z1524" s="104" t="s">
        <v>383</v>
      </c>
      <c r="AA1524" s="104" t="s">
        <v>689</v>
      </c>
      <c r="AB1524" s="105">
        <v>46072.354861111111</v>
      </c>
      <c r="AC1524" s="105">
        <v>46072.478472222225</v>
      </c>
    </row>
    <row r="1525" s="70" customFormat="1" ht="11.25" customHeight="1">
      <c r="A1525" s="87"/>
      <c r="C1525" s="43" t="s">
        <v>2817</v>
      </c>
      <c r="D1525" s="71" t="s">
        <v>382</v>
      </c>
      <c r="E1525" s="71" t="str">
        <f>MID(D1525,1,2)</f>
        <v>IL</v>
      </c>
      <c r="F1525" s="71" t="s">
        <v>963</v>
      </c>
      <c r="G1525" s="71" t="str">
        <f>MID(F1525,1,2)</f>
        <v>IN</v>
      </c>
      <c r="H1525" s="43" t="s">
        <v>2818</v>
      </c>
      <c r="I1525" s="71" t="s">
        <v>2819</v>
      </c>
      <c r="J1525" s="71" t="s">
        <v>426</v>
      </c>
      <c r="K1525" s="43"/>
      <c r="L1525" s="71" t="s">
        <v>105</v>
      </c>
      <c r="M1525" s="73">
        <v>26</v>
      </c>
      <c r="N1525" s="71" t="s">
        <v>388</v>
      </c>
      <c r="O1525" s="73">
        <v>0.256</v>
      </c>
      <c r="P1525" s="71" t="s">
        <v>389</v>
      </c>
      <c r="Q1525" s="73">
        <v>43</v>
      </c>
      <c r="R1525" s="71" t="s">
        <v>388</v>
      </c>
      <c r="S1525" s="73">
        <v>0</v>
      </c>
      <c r="T1525" s="71" t="s">
        <v>390</v>
      </c>
      <c r="U1525" s="74">
        <v>1</v>
      </c>
      <c r="V1525" s="71" t="s">
        <v>391</v>
      </c>
      <c r="W1525" s="130">
        <v>46069.677557870367</v>
      </c>
      <c r="X1525" s="72">
        <v>46072.715277777781</v>
      </c>
      <c r="Y1525" s="72">
        <v>46074.129166666666</v>
      </c>
      <c r="Z1525" s="104" t="s">
        <v>382</v>
      </c>
      <c r="AA1525" s="104" t="s">
        <v>667</v>
      </c>
      <c r="AB1525" s="105">
        <v>46072.71875</v>
      </c>
      <c r="AC1525" s="105">
        <v>46072.843055555553</v>
      </c>
    </row>
    <row r="1526" s="70" customFormat="1" ht="11.25" customHeight="1">
      <c r="A1526" s="87"/>
      <c r="C1526" s="43" t="s">
        <v>2817</v>
      </c>
      <c r="D1526" s="71" t="s">
        <v>382</v>
      </c>
      <c r="E1526" s="71" t="str">
        <f>MID(D1526,1,2)</f>
        <v>IL</v>
      </c>
      <c r="F1526" s="71" t="s">
        <v>963</v>
      </c>
      <c r="G1526" s="71" t="str">
        <f>MID(F1526,1,2)</f>
        <v>IN</v>
      </c>
      <c r="H1526" s="43" t="s">
        <v>2818</v>
      </c>
      <c r="I1526" s="71" t="s">
        <v>2819</v>
      </c>
      <c r="J1526" s="71" t="s">
        <v>426</v>
      </c>
      <c r="K1526" s="43"/>
      <c r="L1526" s="71" t="s">
        <v>105</v>
      </c>
      <c r="M1526" s="73">
        <v>26</v>
      </c>
      <c r="N1526" s="71" t="s">
        <v>388</v>
      </c>
      <c r="O1526" s="73">
        <v>0.256</v>
      </c>
      <c r="P1526" s="71" t="s">
        <v>389</v>
      </c>
      <c r="Q1526" s="73">
        <v>43</v>
      </c>
      <c r="R1526" s="71" t="s">
        <v>388</v>
      </c>
      <c r="S1526" s="73">
        <v>0</v>
      </c>
      <c r="T1526" s="71" t="s">
        <v>390</v>
      </c>
      <c r="U1526" s="74">
        <v>1</v>
      </c>
      <c r="V1526" s="71" t="s">
        <v>391</v>
      </c>
      <c r="W1526" s="130">
        <v>46069.677557870367</v>
      </c>
      <c r="X1526" s="72">
        <v>46072.715277777781</v>
      </c>
      <c r="Y1526" s="72">
        <v>46074.129166666666</v>
      </c>
      <c r="Z1526" s="104" t="s">
        <v>667</v>
      </c>
      <c r="AA1526" s="104" t="s">
        <v>963</v>
      </c>
      <c r="AB1526" s="105">
        <v>46073.591666666667</v>
      </c>
      <c r="AC1526" s="105">
        <v>46074.130555555559</v>
      </c>
    </row>
    <row r="1527" s="70" customFormat="1" ht="11.25" customHeight="1">
      <c r="A1527" s="87"/>
      <c r="C1527" s="43" t="s">
        <v>2820</v>
      </c>
      <c r="D1527" s="71" t="s">
        <v>382</v>
      </c>
      <c r="E1527" s="71" t="str">
        <f>MID(D1527,1,2)</f>
        <v>IL</v>
      </c>
      <c r="F1527" s="71" t="s">
        <v>680</v>
      </c>
      <c r="G1527" s="71" t="str">
        <f>MID(F1527,1,2)</f>
        <v>DE</v>
      </c>
      <c r="H1527" s="43" t="s">
        <v>2821</v>
      </c>
      <c r="I1527" s="71"/>
      <c r="J1527" s="71" t="s">
        <v>426</v>
      </c>
      <c r="K1527" s="43"/>
      <c r="L1527" s="71" t="s">
        <v>105</v>
      </c>
      <c r="M1527" s="73">
        <v>98</v>
      </c>
      <c r="N1527" s="71" t="s">
        <v>388</v>
      </c>
      <c r="O1527" s="73">
        <v>0.312</v>
      </c>
      <c r="P1527" s="71" t="s">
        <v>389</v>
      </c>
      <c r="Q1527" s="73">
        <v>100</v>
      </c>
      <c r="R1527" s="71" t="s">
        <v>388</v>
      </c>
      <c r="S1527" s="73">
        <v>0</v>
      </c>
      <c r="T1527" s="71" t="s">
        <v>390</v>
      </c>
      <c r="U1527" s="74">
        <v>1</v>
      </c>
      <c r="V1527" s="71" t="s">
        <v>391</v>
      </c>
      <c r="W1527" s="130">
        <v>46069.934513888889</v>
      </c>
      <c r="X1527" s="72">
        <v>46070.753472222219</v>
      </c>
      <c r="Y1527" s="72">
        <v>46072.253472222219</v>
      </c>
      <c r="Z1527" s="104" t="s">
        <v>382</v>
      </c>
      <c r="AA1527" s="104" t="s">
        <v>748</v>
      </c>
      <c r="AB1527" s="105">
        <v>46070.841666666667</v>
      </c>
      <c r="AC1527" s="105">
        <v>46070.974305555559</v>
      </c>
    </row>
    <row r="1528" s="70" customFormat="1" ht="11.25" customHeight="1">
      <c r="A1528" s="87"/>
      <c r="C1528" s="43" t="s">
        <v>2820</v>
      </c>
      <c r="D1528" s="71" t="s">
        <v>382</v>
      </c>
      <c r="E1528" s="71" t="str">
        <f>MID(D1528,1,2)</f>
        <v>IL</v>
      </c>
      <c r="F1528" s="71" t="s">
        <v>680</v>
      </c>
      <c r="G1528" s="71" t="str">
        <f>MID(F1528,1,2)</f>
        <v>DE</v>
      </c>
      <c r="H1528" s="43" t="s">
        <v>2821</v>
      </c>
      <c r="I1528" s="71"/>
      <c r="J1528" s="71" t="s">
        <v>426</v>
      </c>
      <c r="K1528" s="43"/>
      <c r="L1528" s="71" t="s">
        <v>105</v>
      </c>
      <c r="M1528" s="73">
        <v>98</v>
      </c>
      <c r="N1528" s="71" t="s">
        <v>388</v>
      </c>
      <c r="O1528" s="73">
        <v>0.312</v>
      </c>
      <c r="P1528" s="71" t="s">
        <v>389</v>
      </c>
      <c r="Q1528" s="73">
        <v>100</v>
      </c>
      <c r="R1528" s="71" t="s">
        <v>388</v>
      </c>
      <c r="S1528" s="73">
        <v>0</v>
      </c>
      <c r="T1528" s="71" t="s">
        <v>390</v>
      </c>
      <c r="U1528" s="74">
        <v>1</v>
      </c>
      <c r="V1528" s="71" t="s">
        <v>391</v>
      </c>
      <c r="W1528" s="130">
        <v>46069.934513888889</v>
      </c>
      <c r="X1528" s="72">
        <v>46070.753472222219</v>
      </c>
      <c r="Y1528" s="72">
        <v>46072.253472222219</v>
      </c>
      <c r="Z1528" s="104" t="s">
        <v>748</v>
      </c>
      <c r="AA1528" s="104" t="s">
        <v>680</v>
      </c>
      <c r="AB1528" s="105">
        <v>46071.239583333336</v>
      </c>
      <c r="AC1528" s="105">
        <v>46071.288194444445</v>
      </c>
    </row>
    <row r="1529" s="70" customFormat="1" ht="11.25" customHeight="1">
      <c r="A1529" s="87"/>
      <c r="C1529" s="43" t="s">
        <v>2822</v>
      </c>
      <c r="D1529" s="71" t="s">
        <v>382</v>
      </c>
      <c r="E1529" s="71" t="str">
        <f>MID(D1529,1,2)</f>
        <v>IL</v>
      </c>
      <c r="F1529" s="71" t="s">
        <v>419</v>
      </c>
      <c r="G1529" s="71" t="str">
        <f>MID(F1529,1,2)</f>
        <v>US</v>
      </c>
      <c r="H1529" s="43" t="s">
        <v>2823</v>
      </c>
      <c r="I1529" s="71" t="s">
        <v>2824</v>
      </c>
      <c r="J1529" s="71" t="s">
        <v>426</v>
      </c>
      <c r="K1529" s="43"/>
      <c r="L1529" s="71" t="s">
        <v>105</v>
      </c>
      <c r="M1529" s="73">
        <v>674</v>
      </c>
      <c r="N1529" s="71" t="s">
        <v>388</v>
      </c>
      <c r="O1529" s="73">
        <v>5.52</v>
      </c>
      <c r="P1529" s="71" t="s">
        <v>389</v>
      </c>
      <c r="Q1529" s="73">
        <v>1650</v>
      </c>
      <c r="R1529" s="71" t="s">
        <v>388</v>
      </c>
      <c r="S1529" s="73">
        <v>0</v>
      </c>
      <c r="T1529" s="71" t="s">
        <v>390</v>
      </c>
      <c r="U1529" s="74">
        <v>4</v>
      </c>
      <c r="V1529" s="71" t="s">
        <v>391</v>
      </c>
      <c r="W1529" s="130">
        <v>46071.388888888891</v>
      </c>
      <c r="X1529" s="72">
        <v>46071.965277777781</v>
      </c>
      <c r="Y1529" s="72">
        <v>46073.708333333336</v>
      </c>
      <c r="Z1529" s="104" t="s">
        <v>382</v>
      </c>
      <c r="AA1529" s="104" t="s">
        <v>422</v>
      </c>
      <c r="AB1529" s="105">
        <v>46071.961111111108</v>
      </c>
      <c r="AC1529" s="105">
        <v>46072.161805555559</v>
      </c>
    </row>
    <row r="1530" s="70" customFormat="1" ht="11.25" customHeight="1">
      <c r="A1530" s="87"/>
      <c r="C1530" s="43" t="s">
        <v>2822</v>
      </c>
      <c r="D1530" s="71" t="s">
        <v>382</v>
      </c>
      <c r="E1530" s="71" t="str">
        <f>MID(D1530,1,2)</f>
        <v>IL</v>
      </c>
      <c r="F1530" s="71" t="s">
        <v>419</v>
      </c>
      <c r="G1530" s="71" t="str">
        <f>MID(F1530,1,2)</f>
        <v>US</v>
      </c>
      <c r="H1530" s="43" t="s">
        <v>2823</v>
      </c>
      <c r="I1530" s="71" t="s">
        <v>2824</v>
      </c>
      <c r="J1530" s="71" t="s">
        <v>426</v>
      </c>
      <c r="K1530" s="43"/>
      <c r="L1530" s="71" t="s">
        <v>105</v>
      </c>
      <c r="M1530" s="73">
        <v>674</v>
      </c>
      <c r="N1530" s="71" t="s">
        <v>388</v>
      </c>
      <c r="O1530" s="73">
        <v>5.52</v>
      </c>
      <c r="P1530" s="71" t="s">
        <v>389</v>
      </c>
      <c r="Q1530" s="73">
        <v>1650</v>
      </c>
      <c r="R1530" s="71" t="s">
        <v>388</v>
      </c>
      <c r="S1530" s="73">
        <v>0</v>
      </c>
      <c r="T1530" s="71" t="s">
        <v>390</v>
      </c>
      <c r="U1530" s="74">
        <v>4</v>
      </c>
      <c r="V1530" s="71" t="s">
        <v>391</v>
      </c>
      <c r="W1530" s="130">
        <v>46071.388888888891</v>
      </c>
      <c r="X1530" s="72">
        <v>46071.965277777781</v>
      </c>
      <c r="Y1530" s="72">
        <v>46073.708333333336</v>
      </c>
      <c r="Z1530" s="104" t="s">
        <v>422</v>
      </c>
      <c r="AA1530" s="104" t="s">
        <v>419</v>
      </c>
      <c r="AB1530" s="105">
        <v>46072.856944444444</v>
      </c>
      <c r="AC1530" s="105">
        <v>46073.686805555553</v>
      </c>
    </row>
    <row r="1531" s="70" customFormat="1" ht="11.25" customHeight="1">
      <c r="A1531" s="87"/>
      <c r="C1531" s="43" t="s">
        <v>2825</v>
      </c>
      <c r="D1531" s="71" t="s">
        <v>382</v>
      </c>
      <c r="E1531" s="71" t="str">
        <f>MID(D1531,1,2)</f>
        <v>IL</v>
      </c>
      <c r="F1531" s="71" t="s">
        <v>414</v>
      </c>
      <c r="G1531" s="71" t="str">
        <f>MID(F1531,1,2)</f>
        <v>US</v>
      </c>
      <c r="H1531" s="43" t="s">
        <v>2577</v>
      </c>
      <c r="I1531" s="71" t="s">
        <v>2826</v>
      </c>
      <c r="J1531" s="71" t="s">
        <v>386</v>
      </c>
      <c r="K1531" s="43" t="s">
        <v>759</v>
      </c>
      <c r="L1531" s="71" t="s">
        <v>107</v>
      </c>
      <c r="M1531" s="73">
        <v>15</v>
      </c>
      <c r="N1531" s="71" t="s">
        <v>388</v>
      </c>
      <c r="O1531" s="73">
        <v>0.1</v>
      </c>
      <c r="P1531" s="71" t="s">
        <v>389</v>
      </c>
      <c r="Q1531" s="73">
        <v>17</v>
      </c>
      <c r="R1531" s="71" t="s">
        <v>388</v>
      </c>
      <c r="S1531" s="73">
        <v>0</v>
      </c>
      <c r="T1531" s="71" t="s">
        <v>390</v>
      </c>
      <c r="U1531" s="74">
        <v>1</v>
      </c>
      <c r="V1531" s="71" t="s">
        <v>427</v>
      </c>
      <c r="W1531" s="130">
        <v>46069.597222222219</v>
      </c>
      <c r="X1531" s="72">
        <v>46071.03125</v>
      </c>
      <c r="Y1531" s="72">
        <v>46072.239583333336</v>
      </c>
      <c r="Z1531" s="104" t="s">
        <v>382</v>
      </c>
      <c r="AA1531" s="104" t="s">
        <v>414</v>
      </c>
      <c r="AB1531" s="105">
        <v>46071.546527777777</v>
      </c>
      <c r="AC1531" s="105">
        <v>46071.748611111114</v>
      </c>
    </row>
    <row r="1532" s="70" customFormat="1" ht="11.25" customHeight="1">
      <c r="A1532" s="87"/>
      <c r="C1532" s="43" t="s">
        <v>2827</v>
      </c>
      <c r="D1532" s="71" t="s">
        <v>382</v>
      </c>
      <c r="E1532" s="71" t="str">
        <f>MID(D1532,1,2)</f>
        <v>IL</v>
      </c>
      <c r="F1532" s="71" t="s">
        <v>419</v>
      </c>
      <c r="G1532" s="71" t="str">
        <f>MID(F1532,1,2)</f>
        <v>US</v>
      </c>
      <c r="H1532" s="43" t="s">
        <v>2828</v>
      </c>
      <c r="I1532" s="71" t="s">
        <v>2829</v>
      </c>
      <c r="J1532" s="71" t="s">
        <v>426</v>
      </c>
      <c r="K1532" s="43"/>
      <c r="L1532" s="71" t="s">
        <v>105</v>
      </c>
      <c r="M1532" s="73">
        <v>636</v>
      </c>
      <c r="N1532" s="71" t="s">
        <v>388</v>
      </c>
      <c r="O1532" s="73">
        <v>5.52</v>
      </c>
      <c r="P1532" s="71" t="s">
        <v>389</v>
      </c>
      <c r="Q1532" s="73">
        <v>1650</v>
      </c>
      <c r="R1532" s="71" t="s">
        <v>388</v>
      </c>
      <c r="S1532" s="73">
        <v>0</v>
      </c>
      <c r="T1532" s="71" t="s">
        <v>390</v>
      </c>
      <c r="U1532" s="74">
        <v>4</v>
      </c>
      <c r="V1532" s="71" t="s">
        <v>391</v>
      </c>
      <c r="W1532" s="130">
        <v>46071.36875</v>
      </c>
      <c r="X1532" s="72">
        <v>46071.592361111114</v>
      </c>
      <c r="Y1532" s="72">
        <v>46073.6875</v>
      </c>
      <c r="Z1532" s="104" t="s">
        <v>382</v>
      </c>
      <c r="AA1532" s="104" t="s">
        <v>422</v>
      </c>
      <c r="AB1532" s="105">
        <v>46071.961111111108</v>
      </c>
      <c r="AC1532" s="105">
        <v>46072.161805555559</v>
      </c>
    </row>
    <row r="1533" s="70" customFormat="1" ht="11.25" customHeight="1">
      <c r="A1533" s="87"/>
      <c r="C1533" s="43" t="s">
        <v>2827</v>
      </c>
      <c r="D1533" s="71" t="s">
        <v>382</v>
      </c>
      <c r="E1533" s="71" t="str">
        <f>MID(D1533,1,2)</f>
        <v>IL</v>
      </c>
      <c r="F1533" s="71" t="s">
        <v>419</v>
      </c>
      <c r="G1533" s="71" t="str">
        <f>MID(F1533,1,2)</f>
        <v>US</v>
      </c>
      <c r="H1533" s="43" t="s">
        <v>2828</v>
      </c>
      <c r="I1533" s="71" t="s">
        <v>2829</v>
      </c>
      <c r="J1533" s="71" t="s">
        <v>426</v>
      </c>
      <c r="K1533" s="43"/>
      <c r="L1533" s="71" t="s">
        <v>105</v>
      </c>
      <c r="M1533" s="73">
        <v>636</v>
      </c>
      <c r="N1533" s="71" t="s">
        <v>388</v>
      </c>
      <c r="O1533" s="73">
        <v>5.52</v>
      </c>
      <c r="P1533" s="71" t="s">
        <v>389</v>
      </c>
      <c r="Q1533" s="73">
        <v>1650</v>
      </c>
      <c r="R1533" s="71" t="s">
        <v>388</v>
      </c>
      <c r="S1533" s="73">
        <v>0</v>
      </c>
      <c r="T1533" s="71" t="s">
        <v>390</v>
      </c>
      <c r="U1533" s="74">
        <v>4</v>
      </c>
      <c r="V1533" s="71" t="s">
        <v>391</v>
      </c>
      <c r="W1533" s="130">
        <v>46071.36875</v>
      </c>
      <c r="X1533" s="72">
        <v>46071.592361111114</v>
      </c>
      <c r="Y1533" s="72">
        <v>46073.6875</v>
      </c>
      <c r="Z1533" s="104" t="s">
        <v>422</v>
      </c>
      <c r="AA1533" s="104" t="s">
        <v>419</v>
      </c>
      <c r="AB1533" s="105">
        <v>46072.856944444444</v>
      </c>
      <c r="AC1533" s="105">
        <v>46073.686805555553</v>
      </c>
    </row>
    <row r="1534" s="70" customFormat="1" ht="11.25" customHeight="1">
      <c r="A1534" s="87"/>
      <c r="C1534" s="43" t="s">
        <v>2830</v>
      </c>
      <c r="D1534" s="71" t="s">
        <v>382</v>
      </c>
      <c r="E1534" s="71" t="str">
        <f>MID(D1534,1,2)</f>
        <v>IL</v>
      </c>
      <c r="F1534" s="71" t="s">
        <v>419</v>
      </c>
      <c r="G1534" s="71" t="str">
        <f>MID(F1534,1,2)</f>
        <v>US</v>
      </c>
      <c r="H1534" s="43" t="s">
        <v>2831</v>
      </c>
      <c r="I1534" s="71" t="s">
        <v>2832</v>
      </c>
      <c r="J1534" s="71" t="s">
        <v>426</v>
      </c>
      <c r="K1534" s="43"/>
      <c r="L1534" s="71" t="s">
        <v>105</v>
      </c>
      <c r="M1534" s="73">
        <v>632</v>
      </c>
      <c r="N1534" s="71" t="s">
        <v>388</v>
      </c>
      <c r="O1534" s="73">
        <v>5.52</v>
      </c>
      <c r="P1534" s="71" t="s">
        <v>389</v>
      </c>
      <c r="Q1534" s="73">
        <v>1650</v>
      </c>
      <c r="R1534" s="71" t="s">
        <v>388</v>
      </c>
      <c r="S1534" s="73">
        <v>0</v>
      </c>
      <c r="T1534" s="71" t="s">
        <v>390</v>
      </c>
      <c r="U1534" s="74">
        <v>4</v>
      </c>
      <c r="V1534" s="71" t="s">
        <v>391</v>
      </c>
      <c r="W1534" s="130">
        <v>46071.375694444447</v>
      </c>
      <c r="X1534" s="72">
        <v>46071.965277777781</v>
      </c>
      <c r="Y1534" s="72">
        <v>46074.666666666664</v>
      </c>
      <c r="Z1534" s="104" t="s">
        <v>382</v>
      </c>
      <c r="AA1534" s="104" t="s">
        <v>422</v>
      </c>
      <c r="AB1534" s="105">
        <v>46071.961111111108</v>
      </c>
      <c r="AC1534" s="105">
        <v>46072.161805555559</v>
      </c>
    </row>
    <row r="1535" s="70" customFormat="1" ht="11.25" customHeight="1">
      <c r="A1535" s="87"/>
      <c r="C1535" s="43" t="s">
        <v>2830</v>
      </c>
      <c r="D1535" s="71" t="s">
        <v>382</v>
      </c>
      <c r="E1535" s="71" t="str">
        <f>MID(D1535,1,2)</f>
        <v>IL</v>
      </c>
      <c r="F1535" s="71" t="s">
        <v>419</v>
      </c>
      <c r="G1535" s="71" t="str">
        <f>MID(F1535,1,2)</f>
        <v>US</v>
      </c>
      <c r="H1535" s="43" t="s">
        <v>2831</v>
      </c>
      <c r="I1535" s="71" t="s">
        <v>2832</v>
      </c>
      <c r="J1535" s="71" t="s">
        <v>426</v>
      </c>
      <c r="K1535" s="43"/>
      <c r="L1535" s="71" t="s">
        <v>105</v>
      </c>
      <c r="M1535" s="73">
        <v>632</v>
      </c>
      <c r="N1535" s="71" t="s">
        <v>388</v>
      </c>
      <c r="O1535" s="73">
        <v>5.52</v>
      </c>
      <c r="P1535" s="71" t="s">
        <v>389</v>
      </c>
      <c r="Q1535" s="73">
        <v>1650</v>
      </c>
      <c r="R1535" s="71" t="s">
        <v>388</v>
      </c>
      <c r="S1535" s="73">
        <v>0</v>
      </c>
      <c r="T1535" s="71" t="s">
        <v>390</v>
      </c>
      <c r="U1535" s="74">
        <v>4</v>
      </c>
      <c r="V1535" s="71" t="s">
        <v>391</v>
      </c>
      <c r="W1535" s="130">
        <v>46071.375694444447</v>
      </c>
      <c r="X1535" s="72">
        <v>46071.965277777781</v>
      </c>
      <c r="Y1535" s="72">
        <v>46074.666666666664</v>
      </c>
      <c r="Z1535" s="104" t="s">
        <v>422</v>
      </c>
      <c r="AA1535" s="104" t="s">
        <v>419</v>
      </c>
      <c r="AB1535" s="105">
        <v>46073.844444444447</v>
      </c>
      <c r="AC1535" s="105">
        <v>46074.647916666669</v>
      </c>
    </row>
    <row r="1536" s="70" customFormat="1" ht="11.25" customHeight="1">
      <c r="A1536" s="87"/>
      <c r="C1536" s="43" t="s">
        <v>2833</v>
      </c>
      <c r="D1536" s="71" t="s">
        <v>382</v>
      </c>
      <c r="E1536" s="71" t="str">
        <f>MID(D1536,1,2)</f>
        <v>IL</v>
      </c>
      <c r="F1536" s="71" t="s">
        <v>496</v>
      </c>
      <c r="G1536" s="71" t="str">
        <f>MID(F1536,1,2)</f>
        <v>RO</v>
      </c>
      <c r="H1536" s="43" t="s">
        <v>2798</v>
      </c>
      <c r="I1536" s="71" t="s">
        <v>2834</v>
      </c>
      <c r="J1536" s="71" t="s">
        <v>400</v>
      </c>
      <c r="K1536" s="43"/>
      <c r="L1536" s="71" t="s">
        <v>105</v>
      </c>
      <c r="M1536" s="73">
        <v>53</v>
      </c>
      <c r="N1536" s="71" t="s">
        <v>388</v>
      </c>
      <c r="O1536" s="73">
        <v>0.506</v>
      </c>
      <c r="P1536" s="71" t="s">
        <v>389</v>
      </c>
      <c r="Q1536" s="73">
        <v>84.5</v>
      </c>
      <c r="R1536" s="71" t="s">
        <v>388</v>
      </c>
      <c r="S1536" s="73">
        <v>0</v>
      </c>
      <c r="T1536" s="71" t="s">
        <v>390</v>
      </c>
      <c r="U1536" s="74">
        <v>1</v>
      </c>
      <c r="V1536" s="71" t="s">
        <v>391</v>
      </c>
      <c r="W1536" s="130">
        <v>46069.604861111111</v>
      </c>
      <c r="X1536" s="72">
        <v>46071.013888888891</v>
      </c>
      <c r="Y1536" s="72">
        <v>46072.128472222219</v>
      </c>
      <c r="Z1536" s="104" t="s">
        <v>382</v>
      </c>
      <c r="AA1536" s="104" t="s">
        <v>496</v>
      </c>
      <c r="AB1536" s="105">
        <v>46072.263888888891</v>
      </c>
      <c r="AC1536" s="105">
        <v>46072.428472222222</v>
      </c>
    </row>
    <row r="1537" s="70" customFormat="1" ht="11.25" customHeight="1">
      <c r="A1537" s="87"/>
      <c r="C1537" s="43" t="s">
        <v>2835</v>
      </c>
      <c r="D1537" s="71" t="s">
        <v>382</v>
      </c>
      <c r="E1537" s="71" t="str">
        <f>MID(D1537,1,2)</f>
        <v>IL</v>
      </c>
      <c r="F1537" s="71" t="s">
        <v>496</v>
      </c>
      <c r="G1537" s="71" t="str">
        <f>MID(F1537,1,2)</f>
        <v>RO</v>
      </c>
      <c r="H1537" s="43" t="s">
        <v>2836</v>
      </c>
      <c r="I1537" s="71" t="s">
        <v>2837</v>
      </c>
      <c r="J1537" s="71" t="s">
        <v>400</v>
      </c>
      <c r="K1537" s="43"/>
      <c r="L1537" s="71" t="s">
        <v>105</v>
      </c>
      <c r="M1537" s="73">
        <v>8</v>
      </c>
      <c r="N1537" s="71" t="s">
        <v>388</v>
      </c>
      <c r="O1537" s="73">
        <v>0.061</v>
      </c>
      <c r="P1537" s="71" t="s">
        <v>389</v>
      </c>
      <c r="Q1537" s="73">
        <v>10.5</v>
      </c>
      <c r="R1537" s="71" t="s">
        <v>388</v>
      </c>
      <c r="S1537" s="73">
        <v>0</v>
      </c>
      <c r="T1537" s="71" t="s">
        <v>390</v>
      </c>
      <c r="U1537" s="74">
        <v>1</v>
      </c>
      <c r="V1537" s="71" t="s">
        <v>446</v>
      </c>
      <c r="W1537" s="130">
        <v>46069.6125</v>
      </c>
      <c r="X1537" s="72">
        <v>46071.013888888891</v>
      </c>
      <c r="Y1537" s="72">
        <v>46072.128472222219</v>
      </c>
      <c r="Z1537" s="104" t="s">
        <v>382</v>
      </c>
      <c r="AA1537" s="104" t="s">
        <v>496</v>
      </c>
      <c r="AB1537" s="105">
        <v>46072.263888888891</v>
      </c>
      <c r="AC1537" s="105">
        <v>46072.428472222222</v>
      </c>
    </row>
    <row r="1538" s="70" customFormat="1" ht="11.25" customHeight="1">
      <c r="A1538" s="87"/>
      <c r="C1538" s="43" t="s">
        <v>2838</v>
      </c>
      <c r="D1538" s="71" t="s">
        <v>382</v>
      </c>
      <c r="E1538" s="71" t="str">
        <f>MID(D1538,1,2)</f>
        <v>IL</v>
      </c>
      <c r="F1538" s="71" t="s">
        <v>2839</v>
      </c>
      <c r="G1538" s="71" t="str">
        <f>MID(F1538,1,2)</f>
        <v>BR</v>
      </c>
      <c r="H1538" s="43" t="s">
        <v>2840</v>
      </c>
      <c r="I1538" s="71" t="s">
        <v>2841</v>
      </c>
      <c r="J1538" s="71" t="s">
        <v>400</v>
      </c>
      <c r="K1538" s="43"/>
      <c r="L1538" s="71" t="s">
        <v>105</v>
      </c>
      <c r="M1538" s="73">
        <v>57</v>
      </c>
      <c r="N1538" s="71" t="s">
        <v>388</v>
      </c>
      <c r="O1538" s="73">
        <v>0.506</v>
      </c>
      <c r="P1538" s="71" t="s">
        <v>389</v>
      </c>
      <c r="Q1538" s="73">
        <v>84.5</v>
      </c>
      <c r="R1538" s="71" t="s">
        <v>388</v>
      </c>
      <c r="S1538" s="73">
        <v>0</v>
      </c>
      <c r="T1538" s="71" t="s">
        <v>390</v>
      </c>
      <c r="U1538" s="74">
        <v>1</v>
      </c>
      <c r="V1538" s="71" t="s">
        <v>391</v>
      </c>
      <c r="W1538" s="130">
        <v>46071.890509259261</v>
      </c>
      <c r="X1538" s="72">
        <v>46073.545138888891</v>
      </c>
      <c r="Y1538" s="72">
        <v>46075.291666666664</v>
      </c>
      <c r="Z1538" s="104" t="s">
        <v>382</v>
      </c>
      <c r="AA1538" s="104" t="s">
        <v>383</v>
      </c>
      <c r="AB1538" s="105">
        <v>46073.555555555555</v>
      </c>
      <c r="AC1538" s="105">
        <v>46073.692361111112</v>
      </c>
    </row>
    <row r="1539" s="70" customFormat="1" ht="11.25" customHeight="1">
      <c r="A1539" s="87"/>
      <c r="C1539" s="43" t="s">
        <v>2838</v>
      </c>
      <c r="D1539" s="71" t="s">
        <v>382</v>
      </c>
      <c r="E1539" s="71" t="str">
        <f>MID(D1539,1,2)</f>
        <v>IL</v>
      </c>
      <c r="F1539" s="71" t="s">
        <v>2839</v>
      </c>
      <c r="G1539" s="71" t="str">
        <f>MID(F1539,1,2)</f>
        <v>BR</v>
      </c>
      <c r="H1539" s="43" t="s">
        <v>2840</v>
      </c>
      <c r="I1539" s="71" t="s">
        <v>2841</v>
      </c>
      <c r="J1539" s="71" t="s">
        <v>400</v>
      </c>
      <c r="K1539" s="43"/>
      <c r="L1539" s="71" t="s">
        <v>105</v>
      </c>
      <c r="M1539" s="73">
        <v>57</v>
      </c>
      <c r="N1539" s="71" t="s">
        <v>388</v>
      </c>
      <c r="O1539" s="73">
        <v>0.506</v>
      </c>
      <c r="P1539" s="71" t="s">
        <v>389</v>
      </c>
      <c r="Q1539" s="73">
        <v>84.5</v>
      </c>
      <c r="R1539" s="71" t="s">
        <v>388</v>
      </c>
      <c r="S1539" s="73">
        <v>0</v>
      </c>
      <c r="T1539" s="71" t="s">
        <v>390</v>
      </c>
      <c r="U1539" s="74">
        <v>1</v>
      </c>
      <c r="V1539" s="71" t="s">
        <v>391</v>
      </c>
      <c r="W1539" s="130">
        <v>46071.890509259261</v>
      </c>
      <c r="X1539" s="72">
        <v>46073.545138888891</v>
      </c>
      <c r="Y1539" s="72">
        <v>46075.291666666664</v>
      </c>
      <c r="Z1539" s="104" t="s">
        <v>383</v>
      </c>
      <c r="AA1539" s="104" t="s">
        <v>451</v>
      </c>
      <c r="AB1539" s="105">
        <v>46074.27847222222</v>
      </c>
      <c r="AC1539" s="105">
        <v>46074.344444444447</v>
      </c>
    </row>
    <row r="1540" s="70" customFormat="1" ht="11.25" customHeight="1">
      <c r="A1540" s="87"/>
      <c r="C1540" s="43" t="s">
        <v>2838</v>
      </c>
      <c r="D1540" s="71" t="s">
        <v>382</v>
      </c>
      <c r="E1540" s="71" t="str">
        <f>MID(D1540,1,2)</f>
        <v>IL</v>
      </c>
      <c r="F1540" s="71" t="s">
        <v>2839</v>
      </c>
      <c r="G1540" s="71" t="str">
        <f>MID(F1540,1,2)</f>
        <v>BR</v>
      </c>
      <c r="H1540" s="43" t="s">
        <v>2840</v>
      </c>
      <c r="I1540" s="71" t="s">
        <v>2841</v>
      </c>
      <c r="J1540" s="71" t="s">
        <v>400</v>
      </c>
      <c r="K1540" s="43"/>
      <c r="L1540" s="71" t="s">
        <v>105</v>
      </c>
      <c r="M1540" s="73">
        <v>57</v>
      </c>
      <c r="N1540" s="71" t="s">
        <v>388</v>
      </c>
      <c r="O1540" s="73">
        <v>0.506</v>
      </c>
      <c r="P1540" s="71" t="s">
        <v>389</v>
      </c>
      <c r="Q1540" s="73">
        <v>84.5</v>
      </c>
      <c r="R1540" s="71" t="s">
        <v>388</v>
      </c>
      <c r="S1540" s="73">
        <v>0</v>
      </c>
      <c r="T1540" s="71" t="s">
        <v>390</v>
      </c>
      <c r="U1540" s="74">
        <v>1</v>
      </c>
      <c r="V1540" s="71" t="s">
        <v>391</v>
      </c>
      <c r="W1540" s="130">
        <v>46071.890509259261</v>
      </c>
      <c r="X1540" s="72">
        <v>46073.545138888891</v>
      </c>
      <c r="Y1540" s="72">
        <v>46075.291666666664</v>
      </c>
      <c r="Z1540" s="104" t="s">
        <v>451</v>
      </c>
      <c r="AA1540" s="104" t="s">
        <v>2839</v>
      </c>
      <c r="AB1540" s="105">
        <v>46074.936111111114</v>
      </c>
      <c r="AC1540" s="105">
        <v>46075.25</v>
      </c>
    </row>
    <row r="1541" s="70" customFormat="1" ht="11.25" customHeight="1">
      <c r="A1541" s="87"/>
      <c r="C1541" s="43" t="s">
        <v>2842</v>
      </c>
      <c r="D1541" s="71" t="s">
        <v>382</v>
      </c>
      <c r="E1541" s="71" t="str">
        <f>MID(D1541,1,2)</f>
        <v>IL</v>
      </c>
      <c r="F1541" s="71" t="s">
        <v>590</v>
      </c>
      <c r="G1541" s="71" t="str">
        <f>MID(F1541,1,2)</f>
        <v>ES</v>
      </c>
      <c r="H1541" s="43" t="s">
        <v>2843</v>
      </c>
      <c r="I1541" s="71"/>
      <c r="J1541" s="71" t="s">
        <v>411</v>
      </c>
      <c r="K1541" s="43"/>
      <c r="L1541" s="71" t="s">
        <v>105</v>
      </c>
      <c r="M1541" s="73">
        <v>2</v>
      </c>
      <c r="N1541" s="71" t="s">
        <v>388</v>
      </c>
      <c r="O1541" s="73">
        <v>0.048</v>
      </c>
      <c r="P1541" s="71" t="s">
        <v>389</v>
      </c>
      <c r="Q1541" s="73">
        <v>8</v>
      </c>
      <c r="R1541" s="71" t="s">
        <v>388</v>
      </c>
      <c r="S1541" s="73">
        <v>0</v>
      </c>
      <c r="T1541" s="71" t="s">
        <v>390</v>
      </c>
      <c r="U1541" s="74">
        <v>2</v>
      </c>
      <c r="V1541" s="71" t="s">
        <v>390</v>
      </c>
      <c r="W1541" s="130"/>
      <c r="X1541" s="72">
        <v>46072.545138888891</v>
      </c>
      <c r="Y1541" s="72">
        <v>46072.606944444444</v>
      </c>
      <c r="Z1541" s="104" t="s">
        <v>382</v>
      </c>
      <c r="AA1541" s="104" t="s">
        <v>667</v>
      </c>
      <c r="AB1541" s="105">
        <v>46071.711805555555</v>
      </c>
      <c r="AC1541" s="105">
        <v>46071.849305555559</v>
      </c>
    </row>
    <row r="1542" s="70" customFormat="1" ht="11.25" customHeight="1">
      <c r="A1542" s="87"/>
      <c r="C1542" s="43" t="s">
        <v>2842</v>
      </c>
      <c r="D1542" s="71" t="s">
        <v>382</v>
      </c>
      <c r="E1542" s="71" t="str">
        <f>MID(D1542,1,2)</f>
        <v>IL</v>
      </c>
      <c r="F1542" s="71" t="s">
        <v>590</v>
      </c>
      <c r="G1542" s="71" t="str">
        <f>MID(F1542,1,2)</f>
        <v>ES</v>
      </c>
      <c r="H1542" s="43" t="s">
        <v>2843</v>
      </c>
      <c r="I1542" s="71"/>
      <c r="J1542" s="71" t="s">
        <v>411</v>
      </c>
      <c r="K1542" s="43"/>
      <c r="L1542" s="71" t="s">
        <v>105</v>
      </c>
      <c r="M1542" s="73">
        <v>2</v>
      </c>
      <c r="N1542" s="71" t="s">
        <v>388</v>
      </c>
      <c r="O1542" s="73">
        <v>0.048</v>
      </c>
      <c r="P1542" s="71" t="s">
        <v>389</v>
      </c>
      <c r="Q1542" s="73">
        <v>8</v>
      </c>
      <c r="R1542" s="71" t="s">
        <v>388</v>
      </c>
      <c r="S1542" s="73">
        <v>0</v>
      </c>
      <c r="T1542" s="71" t="s">
        <v>390</v>
      </c>
      <c r="U1542" s="74">
        <v>2</v>
      </c>
      <c r="V1542" s="71" t="s">
        <v>390</v>
      </c>
      <c r="W1542" s="130"/>
      <c r="X1542" s="72">
        <v>46072.545138888891</v>
      </c>
      <c r="Y1542" s="72">
        <v>46072.606944444444</v>
      </c>
      <c r="Z1542" s="104" t="s">
        <v>667</v>
      </c>
      <c r="AA1542" s="104" t="s">
        <v>590</v>
      </c>
      <c r="AB1542" s="105">
        <v>46072.3625</v>
      </c>
      <c r="AC1542" s="105">
        <v>46072.465277777781</v>
      </c>
    </row>
    <row r="1543" s="70" customFormat="1" ht="11.25" customHeight="1">
      <c r="A1543" s="87"/>
      <c r="C1543" s="43" t="s">
        <v>2844</v>
      </c>
      <c r="D1543" s="71" t="s">
        <v>382</v>
      </c>
      <c r="E1543" s="71" t="str">
        <f>MID(D1543,1,2)</f>
        <v>IL</v>
      </c>
      <c r="F1543" s="71" t="s">
        <v>414</v>
      </c>
      <c r="G1543" s="71" t="str">
        <f>MID(F1543,1,2)</f>
        <v>US</v>
      </c>
      <c r="H1543" s="43" t="s">
        <v>2577</v>
      </c>
      <c r="I1543" s="71" t="s">
        <v>2845</v>
      </c>
      <c r="J1543" s="71" t="s">
        <v>426</v>
      </c>
      <c r="K1543" s="43" t="s">
        <v>431</v>
      </c>
      <c r="L1543" s="71" t="s">
        <v>105</v>
      </c>
      <c r="M1543" s="73">
        <v>2</v>
      </c>
      <c r="N1543" s="71" t="s">
        <v>388</v>
      </c>
      <c r="O1543" s="73">
        <v>0.022</v>
      </c>
      <c r="P1543" s="71" t="s">
        <v>389</v>
      </c>
      <c r="Q1543" s="73">
        <v>4</v>
      </c>
      <c r="R1543" s="71" t="s">
        <v>388</v>
      </c>
      <c r="S1543" s="73">
        <v>0</v>
      </c>
      <c r="T1543" s="71" t="s">
        <v>390</v>
      </c>
      <c r="U1543" s="74">
        <v>1</v>
      </c>
      <c r="V1543" s="71" t="s">
        <v>427</v>
      </c>
      <c r="W1543" s="130">
        <v>46069.611805555556</v>
      </c>
      <c r="X1543" s="72">
        <v>46071.03125</v>
      </c>
      <c r="Y1543" s="72">
        <v>46072.239583333336</v>
      </c>
      <c r="Z1543" s="104" t="s">
        <v>382</v>
      </c>
      <c r="AA1543" s="104" t="s">
        <v>414</v>
      </c>
      <c r="AB1543" s="105">
        <v>46071.546527777777</v>
      </c>
      <c r="AC1543" s="105">
        <v>46071.748611111114</v>
      </c>
    </row>
    <row r="1544" s="70" customFormat="1" ht="11.25" customHeight="1">
      <c r="A1544" s="87"/>
      <c r="C1544" s="43" t="s">
        <v>2846</v>
      </c>
      <c r="D1544" s="71" t="s">
        <v>382</v>
      </c>
      <c r="E1544" s="71" t="str">
        <f>MID(D1544,1,2)</f>
        <v>IL</v>
      </c>
      <c r="F1544" s="71" t="s">
        <v>414</v>
      </c>
      <c r="G1544" s="71" t="str">
        <f>MID(F1544,1,2)</f>
        <v>US</v>
      </c>
      <c r="H1544" s="43" t="s">
        <v>2847</v>
      </c>
      <c r="I1544" s="71" t="s">
        <v>2848</v>
      </c>
      <c r="J1544" s="71" t="s">
        <v>454</v>
      </c>
      <c r="K1544" s="43" t="s">
        <v>759</v>
      </c>
      <c r="L1544" s="71" t="s">
        <v>107</v>
      </c>
      <c r="M1544" s="73">
        <v>20</v>
      </c>
      <c r="N1544" s="71" t="s">
        <v>388</v>
      </c>
      <c r="O1544" s="73">
        <v>0.294</v>
      </c>
      <c r="P1544" s="71" t="s">
        <v>389</v>
      </c>
      <c r="Q1544" s="73">
        <v>49</v>
      </c>
      <c r="R1544" s="71" t="s">
        <v>388</v>
      </c>
      <c r="S1544" s="73">
        <v>0</v>
      </c>
      <c r="T1544" s="71" t="s">
        <v>390</v>
      </c>
      <c r="U1544" s="74">
        <v>3</v>
      </c>
      <c r="V1544" s="71" t="s">
        <v>391</v>
      </c>
      <c r="W1544" s="130">
        <v>46069.631944444445</v>
      </c>
      <c r="X1544" s="72">
        <v>46073.03125</v>
      </c>
      <c r="Y1544" s="72">
        <v>46073.239583333336</v>
      </c>
      <c r="Z1544" s="104" t="s">
        <v>382</v>
      </c>
      <c r="AA1544" s="104" t="s">
        <v>414</v>
      </c>
      <c r="AB1544" s="105">
        <v>46073.040277777778</v>
      </c>
      <c r="AC1544" s="105">
        <v>46073.227083333331</v>
      </c>
    </row>
    <row r="1545" s="70" customFormat="1" ht="11.25" customHeight="1">
      <c r="A1545" s="87"/>
      <c r="C1545" s="43" t="s">
        <v>2849</v>
      </c>
      <c r="D1545" s="71" t="s">
        <v>382</v>
      </c>
      <c r="E1545" s="71" t="str">
        <f>MID(D1545,1,2)</f>
        <v>IL</v>
      </c>
      <c r="F1545" s="71" t="s">
        <v>1117</v>
      </c>
      <c r="G1545" s="71" t="str">
        <f>MID(F1545,1,2)</f>
        <v>BE</v>
      </c>
      <c r="H1545" s="43" t="s">
        <v>2745</v>
      </c>
      <c r="I1545" s="71" t="s">
        <v>2850</v>
      </c>
      <c r="J1545" s="71" t="s">
        <v>426</v>
      </c>
      <c r="K1545" s="43"/>
      <c r="L1545" s="71" t="s">
        <v>105</v>
      </c>
      <c r="M1545" s="73">
        <v>8</v>
      </c>
      <c r="N1545" s="71" t="s">
        <v>388</v>
      </c>
      <c r="O1545" s="73">
        <v>0.07</v>
      </c>
      <c r="P1545" s="71" t="s">
        <v>389</v>
      </c>
      <c r="Q1545" s="73">
        <v>12</v>
      </c>
      <c r="R1545" s="71" t="s">
        <v>388</v>
      </c>
      <c r="S1545" s="73">
        <v>0</v>
      </c>
      <c r="T1545" s="71" t="s">
        <v>390</v>
      </c>
      <c r="U1545" s="74">
        <v>1</v>
      </c>
      <c r="V1545" s="71" t="s">
        <v>427</v>
      </c>
      <c r="W1545" s="130">
        <v>46069.625694444447</v>
      </c>
      <c r="X1545" s="72">
        <v>46072.013888888891</v>
      </c>
      <c r="Y1545" s="72">
        <v>46073.729166666664</v>
      </c>
      <c r="Z1545" s="104" t="s">
        <v>382</v>
      </c>
      <c r="AA1545" s="104" t="s">
        <v>496</v>
      </c>
      <c r="AB1545" s="105">
        <v>46073.013888888891</v>
      </c>
      <c r="AC1545" s="105">
        <v>46073.128472222219</v>
      </c>
    </row>
    <row r="1546" s="70" customFormat="1" ht="11.25" customHeight="1">
      <c r="A1546" s="87"/>
      <c r="C1546" s="43" t="s">
        <v>2849</v>
      </c>
      <c r="D1546" s="71" t="s">
        <v>382</v>
      </c>
      <c r="E1546" s="71" t="str">
        <f>MID(D1546,1,2)</f>
        <v>IL</v>
      </c>
      <c r="F1546" s="71" t="s">
        <v>1117</v>
      </c>
      <c r="G1546" s="71" t="str">
        <f>MID(F1546,1,2)</f>
        <v>BE</v>
      </c>
      <c r="H1546" s="43" t="s">
        <v>2745</v>
      </c>
      <c r="I1546" s="71" t="s">
        <v>2850</v>
      </c>
      <c r="J1546" s="71" t="s">
        <v>426</v>
      </c>
      <c r="K1546" s="43"/>
      <c r="L1546" s="71" t="s">
        <v>105</v>
      </c>
      <c r="M1546" s="73">
        <v>8</v>
      </c>
      <c r="N1546" s="71" t="s">
        <v>388</v>
      </c>
      <c r="O1546" s="73">
        <v>0.07</v>
      </c>
      <c r="P1546" s="71" t="s">
        <v>389</v>
      </c>
      <c r="Q1546" s="73">
        <v>12</v>
      </c>
      <c r="R1546" s="71" t="s">
        <v>388</v>
      </c>
      <c r="S1546" s="73">
        <v>0</v>
      </c>
      <c r="T1546" s="71" t="s">
        <v>390</v>
      </c>
      <c r="U1546" s="74">
        <v>1</v>
      </c>
      <c r="V1546" s="71" t="s">
        <v>427</v>
      </c>
      <c r="W1546" s="130">
        <v>46069.625694444447</v>
      </c>
      <c r="X1546" s="72">
        <v>46072.013888888891</v>
      </c>
      <c r="Y1546" s="72">
        <v>46073.729166666664</v>
      </c>
      <c r="Z1546" s="104" t="s">
        <v>496</v>
      </c>
      <c r="AA1546" s="104" t="s">
        <v>1117</v>
      </c>
      <c r="AB1546" s="105">
        <v>46073.652777777781</v>
      </c>
      <c r="AC1546" s="105">
        <v>46073.850694444445</v>
      </c>
    </row>
    <row r="1547" s="70" customFormat="1" ht="11.25" customHeight="1">
      <c r="A1547" s="87"/>
      <c r="C1547" s="43" t="s">
        <v>2851</v>
      </c>
      <c r="D1547" s="71" t="s">
        <v>382</v>
      </c>
      <c r="E1547" s="71" t="str">
        <f>MID(D1547,1,2)</f>
        <v>IL</v>
      </c>
      <c r="F1547" s="71" t="s">
        <v>468</v>
      </c>
      <c r="G1547" s="71" t="str">
        <f>MID(F1547,1,2)</f>
        <v>US</v>
      </c>
      <c r="H1547" s="43" t="s">
        <v>2534</v>
      </c>
      <c r="I1547" s="71" t="s">
        <v>2852</v>
      </c>
      <c r="J1547" s="71" t="s">
        <v>454</v>
      </c>
      <c r="K1547" s="43"/>
      <c r="L1547" s="71" t="s">
        <v>107</v>
      </c>
      <c r="M1547" s="73">
        <v>5</v>
      </c>
      <c r="N1547" s="71" t="s">
        <v>388</v>
      </c>
      <c r="O1547" s="73">
        <v>0.084</v>
      </c>
      <c r="P1547" s="71" t="s">
        <v>389</v>
      </c>
      <c r="Q1547" s="73">
        <v>14</v>
      </c>
      <c r="R1547" s="71" t="s">
        <v>388</v>
      </c>
      <c r="S1547" s="73">
        <v>0</v>
      </c>
      <c r="T1547" s="71" t="s">
        <v>390</v>
      </c>
      <c r="U1547" s="74">
        <v>1</v>
      </c>
      <c r="V1547" s="71" t="s">
        <v>446</v>
      </c>
      <c r="W1547" s="130"/>
      <c r="X1547" s="72">
        <v>46071.965277777781</v>
      </c>
      <c r="Y1547" s="72">
        <v>46073.676388888889</v>
      </c>
      <c r="Z1547" s="104" t="s">
        <v>382</v>
      </c>
      <c r="AA1547" s="104" t="s">
        <v>422</v>
      </c>
      <c r="AB1547" s="105">
        <v>46072.961111111108</v>
      </c>
      <c r="AC1547" s="105">
        <v>46073.151388888888</v>
      </c>
    </row>
    <row r="1548" s="70" customFormat="1" ht="11.25" customHeight="1">
      <c r="A1548" s="87"/>
      <c r="C1548" s="43" t="s">
        <v>2851</v>
      </c>
      <c r="D1548" s="71" t="s">
        <v>382</v>
      </c>
      <c r="E1548" s="71" t="str">
        <f>MID(D1548,1,2)</f>
        <v>IL</v>
      </c>
      <c r="F1548" s="71" t="s">
        <v>468</v>
      </c>
      <c r="G1548" s="71" t="str">
        <f>MID(F1548,1,2)</f>
        <v>US</v>
      </c>
      <c r="H1548" s="43" t="s">
        <v>2534</v>
      </c>
      <c r="I1548" s="71" t="s">
        <v>2852</v>
      </c>
      <c r="J1548" s="71" t="s">
        <v>454</v>
      </c>
      <c r="K1548" s="43"/>
      <c r="L1548" s="71" t="s">
        <v>107</v>
      </c>
      <c r="M1548" s="73">
        <v>5</v>
      </c>
      <c r="N1548" s="71" t="s">
        <v>388</v>
      </c>
      <c r="O1548" s="73">
        <v>0.084</v>
      </c>
      <c r="P1548" s="71" t="s">
        <v>389</v>
      </c>
      <c r="Q1548" s="73">
        <v>14</v>
      </c>
      <c r="R1548" s="71" t="s">
        <v>388</v>
      </c>
      <c r="S1548" s="73">
        <v>0</v>
      </c>
      <c r="T1548" s="71" t="s">
        <v>390</v>
      </c>
      <c r="U1548" s="74">
        <v>1</v>
      </c>
      <c r="V1548" s="71" t="s">
        <v>446</v>
      </c>
      <c r="W1548" s="130"/>
      <c r="X1548" s="72">
        <v>46071.965277777781</v>
      </c>
      <c r="Y1548" s="72">
        <v>46073.676388888889</v>
      </c>
      <c r="Z1548" s="104" t="s">
        <v>422</v>
      </c>
      <c r="AA1548" s="104" t="s">
        <v>468</v>
      </c>
      <c r="AB1548" s="105">
        <v>46073.538888888892</v>
      </c>
      <c r="AC1548" s="105">
        <v>46073.668055555558</v>
      </c>
    </row>
    <row r="1549" s="70" customFormat="1" ht="11.25" customHeight="1">
      <c r="A1549" s="87"/>
      <c r="C1549" s="43" t="s">
        <v>2853</v>
      </c>
      <c r="D1549" s="71" t="s">
        <v>382</v>
      </c>
      <c r="E1549" s="71" t="str">
        <f>MID(D1549,1,2)</f>
        <v>IL</v>
      </c>
      <c r="F1549" s="71" t="s">
        <v>422</v>
      </c>
      <c r="G1549" s="71" t="str">
        <f>MID(F1549,1,2)</f>
        <v>US</v>
      </c>
      <c r="H1549" s="43" t="s">
        <v>2854</v>
      </c>
      <c r="I1549" s="71"/>
      <c r="J1549" s="71" t="s">
        <v>426</v>
      </c>
      <c r="K1549" s="43"/>
      <c r="L1549" s="71" t="s">
        <v>105</v>
      </c>
      <c r="M1549" s="73">
        <v>12917</v>
      </c>
      <c r="N1549" s="71" t="s">
        <v>388</v>
      </c>
      <c r="O1549" s="73">
        <v>45.012</v>
      </c>
      <c r="P1549" s="71" t="s">
        <v>389</v>
      </c>
      <c r="Q1549" s="73">
        <v>12917</v>
      </c>
      <c r="R1549" s="71" t="s">
        <v>388</v>
      </c>
      <c r="S1549" s="73">
        <v>0</v>
      </c>
      <c r="T1549" s="71" t="s">
        <v>390</v>
      </c>
      <c r="U1549" s="74">
        <v>29</v>
      </c>
      <c r="V1549" s="71" t="s">
        <v>391</v>
      </c>
      <c r="W1549" s="130">
        <v>46069.666666666664</v>
      </c>
      <c r="X1549" s="72">
        <v>46071.03125</v>
      </c>
      <c r="Y1549" s="72">
        <v>46071.25</v>
      </c>
      <c r="Z1549" s="104" t="s">
        <v>382</v>
      </c>
      <c r="AA1549" s="104" t="s">
        <v>422</v>
      </c>
      <c r="AB1549" s="105">
        <v>46071.05</v>
      </c>
      <c r="AC1549" s="105">
        <v>46071.238194444442</v>
      </c>
    </row>
    <row r="1550" s="70" customFormat="1" ht="11.25" customHeight="1">
      <c r="A1550" s="87"/>
      <c r="C1550" s="43" t="s">
        <v>2855</v>
      </c>
      <c r="D1550" s="71" t="s">
        <v>382</v>
      </c>
      <c r="E1550" s="71" t="str">
        <f>MID(D1550,1,2)</f>
        <v>IL</v>
      </c>
      <c r="F1550" s="71" t="s">
        <v>496</v>
      </c>
      <c r="G1550" s="71" t="str">
        <f>MID(F1550,1,2)</f>
        <v>RO</v>
      </c>
      <c r="H1550" s="43" t="s">
        <v>2856</v>
      </c>
      <c r="I1550" s="71" t="s">
        <v>2857</v>
      </c>
      <c r="J1550" s="71" t="s">
        <v>386</v>
      </c>
      <c r="K1550" s="43"/>
      <c r="L1550" s="71" t="s">
        <v>107</v>
      </c>
      <c r="M1550" s="73">
        <v>128</v>
      </c>
      <c r="N1550" s="71" t="s">
        <v>388</v>
      </c>
      <c r="O1550" s="73">
        <v>0.68</v>
      </c>
      <c r="P1550" s="71" t="s">
        <v>389</v>
      </c>
      <c r="Q1550" s="73">
        <v>128</v>
      </c>
      <c r="R1550" s="71" t="s">
        <v>388</v>
      </c>
      <c r="S1550" s="73">
        <v>0</v>
      </c>
      <c r="T1550" s="71" t="s">
        <v>390</v>
      </c>
      <c r="U1550" s="74">
        <v>1</v>
      </c>
      <c r="V1550" s="71" t="s">
        <v>391</v>
      </c>
      <c r="W1550" s="130">
        <v>46070.546238425923</v>
      </c>
      <c r="X1550" s="72">
        <v>46071.652777777781</v>
      </c>
      <c r="Y1550" s="72">
        <v>46072.521527777775</v>
      </c>
      <c r="Z1550" s="104" t="s">
        <v>382</v>
      </c>
      <c r="AA1550" s="104" t="s">
        <v>595</v>
      </c>
      <c r="AB1550" s="105">
        <v>46071.659722222219</v>
      </c>
      <c r="AC1550" s="105">
        <v>46071.769444444442</v>
      </c>
    </row>
    <row r="1551" s="70" customFormat="1" ht="11.25" customHeight="1">
      <c r="A1551" s="87"/>
      <c r="C1551" s="43" t="s">
        <v>2855</v>
      </c>
      <c r="D1551" s="71" t="s">
        <v>382</v>
      </c>
      <c r="E1551" s="71" t="str">
        <f>MID(D1551,1,2)</f>
        <v>IL</v>
      </c>
      <c r="F1551" s="71" t="s">
        <v>496</v>
      </c>
      <c r="G1551" s="71" t="str">
        <f>MID(F1551,1,2)</f>
        <v>RO</v>
      </c>
      <c r="H1551" s="43" t="s">
        <v>2856</v>
      </c>
      <c r="I1551" s="71" t="s">
        <v>2857</v>
      </c>
      <c r="J1551" s="71" t="s">
        <v>386</v>
      </c>
      <c r="K1551" s="43"/>
      <c r="L1551" s="71" t="s">
        <v>107</v>
      </c>
      <c r="M1551" s="73">
        <v>128</v>
      </c>
      <c r="N1551" s="71" t="s">
        <v>388</v>
      </c>
      <c r="O1551" s="73">
        <v>0.68</v>
      </c>
      <c r="P1551" s="71" t="s">
        <v>389</v>
      </c>
      <c r="Q1551" s="73">
        <v>128</v>
      </c>
      <c r="R1551" s="71" t="s">
        <v>388</v>
      </c>
      <c r="S1551" s="73">
        <v>0</v>
      </c>
      <c r="T1551" s="71" t="s">
        <v>390</v>
      </c>
      <c r="U1551" s="74">
        <v>1</v>
      </c>
      <c r="V1551" s="71" t="s">
        <v>391</v>
      </c>
      <c r="W1551" s="130">
        <v>46070.546238425923</v>
      </c>
      <c r="X1551" s="72">
        <v>46071.652777777781</v>
      </c>
      <c r="Y1551" s="72">
        <v>46072.521527777775</v>
      </c>
      <c r="Z1551" s="104" t="s">
        <v>595</v>
      </c>
      <c r="AA1551" s="104" t="s">
        <v>496</v>
      </c>
      <c r="AB1551" s="105">
        <v>46072.427083333336</v>
      </c>
      <c r="AC1551" s="105">
        <v>46072.513194444444</v>
      </c>
    </row>
    <row r="1552" s="70" customFormat="1" ht="11.25" customHeight="1">
      <c r="A1552" s="87"/>
      <c r="C1552" s="43" t="s">
        <v>2858</v>
      </c>
      <c r="D1552" s="71" t="s">
        <v>382</v>
      </c>
      <c r="E1552" s="71" t="str">
        <f>MID(D1552,1,2)</f>
        <v>IL</v>
      </c>
      <c r="F1552" s="71" t="s">
        <v>465</v>
      </c>
      <c r="G1552" s="71" t="str">
        <f>MID(F1552,1,2)</f>
        <v>AZ</v>
      </c>
      <c r="H1552" s="43" t="s">
        <v>2859</v>
      </c>
      <c r="I1552" s="71" t="s">
        <v>2860</v>
      </c>
      <c r="J1552" s="71" t="s">
        <v>426</v>
      </c>
      <c r="K1552" s="43"/>
      <c r="L1552" s="71" t="s">
        <v>105</v>
      </c>
      <c r="M1552" s="73">
        <v>63</v>
      </c>
      <c r="N1552" s="71" t="s">
        <v>388</v>
      </c>
      <c r="O1552" s="73">
        <v>0.827</v>
      </c>
      <c r="P1552" s="71" t="s">
        <v>389</v>
      </c>
      <c r="Q1552" s="73">
        <v>138</v>
      </c>
      <c r="R1552" s="71" t="s">
        <v>388</v>
      </c>
      <c r="S1552" s="73">
        <v>0</v>
      </c>
      <c r="T1552" s="71" t="s">
        <v>390</v>
      </c>
      <c r="U1552" s="74">
        <v>2</v>
      </c>
      <c r="V1552" s="71" t="s">
        <v>446</v>
      </c>
      <c r="W1552" s="130"/>
      <c r="X1552" s="72">
        <v>46073.590277777781</v>
      </c>
      <c r="Y1552" s="72">
        <v>46074.138888888891</v>
      </c>
      <c r="Z1552" s="104" t="s">
        <v>382</v>
      </c>
      <c r="AA1552" s="104" t="s">
        <v>465</v>
      </c>
      <c r="AB1552" s="105">
        <v>46074.193055555559</v>
      </c>
      <c r="AC1552" s="105">
        <v>46074.4125</v>
      </c>
    </row>
    <row r="1553" s="70" customFormat="1" ht="11.25" customHeight="1">
      <c r="A1553" s="87"/>
      <c r="C1553" s="43" t="s">
        <v>2861</v>
      </c>
      <c r="D1553" s="71" t="s">
        <v>382</v>
      </c>
      <c r="E1553" s="71" t="str">
        <f>MID(D1553,1,2)</f>
        <v>IL</v>
      </c>
      <c r="F1553" s="71" t="s">
        <v>978</v>
      </c>
      <c r="G1553" s="71" t="str">
        <f>MID(F1553,1,2)</f>
        <v>PL</v>
      </c>
      <c r="H1553" s="43" t="s">
        <v>2862</v>
      </c>
      <c r="I1553" s="71" t="s">
        <v>2863</v>
      </c>
      <c r="J1553" s="71" t="s">
        <v>386</v>
      </c>
      <c r="K1553" s="43"/>
      <c r="L1553" s="71" t="s">
        <v>107</v>
      </c>
      <c r="M1553" s="73">
        <v>735</v>
      </c>
      <c r="N1553" s="71" t="s">
        <v>388</v>
      </c>
      <c r="O1553" s="73">
        <v>3.6</v>
      </c>
      <c r="P1553" s="71" t="s">
        <v>389</v>
      </c>
      <c r="Q1553" s="73">
        <v>735</v>
      </c>
      <c r="R1553" s="71" t="s">
        <v>388</v>
      </c>
      <c r="S1553" s="73">
        <v>0</v>
      </c>
      <c r="T1553" s="71" t="s">
        <v>390</v>
      </c>
      <c r="U1553" s="74">
        <v>3</v>
      </c>
      <c r="V1553" s="71" t="s">
        <v>391</v>
      </c>
      <c r="W1553" s="130">
        <v>46070.706018518518</v>
      </c>
      <c r="X1553" s="72">
        <v>46072.777777777781</v>
      </c>
      <c r="Y1553" s="72">
        <v>46074.215277777781</v>
      </c>
      <c r="Z1553" s="104" t="s">
        <v>382</v>
      </c>
      <c r="AA1553" s="104" t="s">
        <v>748</v>
      </c>
      <c r="AB1553" s="105">
        <v>46071.836805555555</v>
      </c>
      <c r="AC1553" s="105">
        <v>46072.010416666664</v>
      </c>
    </row>
    <row r="1554" s="70" customFormat="1" ht="11.25" customHeight="1">
      <c r="A1554" s="87"/>
      <c r="C1554" s="43" t="s">
        <v>2861</v>
      </c>
      <c r="D1554" s="71" t="s">
        <v>382</v>
      </c>
      <c r="E1554" s="71" t="str">
        <f>MID(D1554,1,2)</f>
        <v>IL</v>
      </c>
      <c r="F1554" s="71" t="s">
        <v>978</v>
      </c>
      <c r="G1554" s="71" t="str">
        <f>MID(F1554,1,2)</f>
        <v>PL</v>
      </c>
      <c r="H1554" s="43" t="s">
        <v>2862</v>
      </c>
      <c r="I1554" s="71" t="s">
        <v>2863</v>
      </c>
      <c r="J1554" s="71" t="s">
        <v>386</v>
      </c>
      <c r="K1554" s="43"/>
      <c r="L1554" s="71" t="s">
        <v>107</v>
      </c>
      <c r="M1554" s="73">
        <v>735</v>
      </c>
      <c r="N1554" s="71" t="s">
        <v>388</v>
      </c>
      <c r="O1554" s="73">
        <v>3.6</v>
      </c>
      <c r="P1554" s="71" t="s">
        <v>389</v>
      </c>
      <c r="Q1554" s="73">
        <v>735</v>
      </c>
      <c r="R1554" s="71" t="s">
        <v>388</v>
      </c>
      <c r="S1554" s="73">
        <v>0</v>
      </c>
      <c r="T1554" s="71" t="s">
        <v>390</v>
      </c>
      <c r="U1554" s="74">
        <v>3</v>
      </c>
      <c r="V1554" s="71" t="s">
        <v>391</v>
      </c>
      <c r="W1554" s="130">
        <v>46070.706018518518</v>
      </c>
      <c r="X1554" s="72">
        <v>46072.777777777781</v>
      </c>
      <c r="Y1554" s="72">
        <v>46074.215277777781</v>
      </c>
      <c r="Z1554" s="104" t="s">
        <v>748</v>
      </c>
      <c r="AA1554" s="104" t="s">
        <v>978</v>
      </c>
      <c r="AB1554" s="105">
        <v>46072.786111111112</v>
      </c>
      <c r="AC1554" s="105">
        <v>46073.395833333336</v>
      </c>
    </row>
    <row r="1555" s="70" customFormat="1" ht="11.25" customHeight="1">
      <c r="A1555" s="87"/>
      <c r="C1555" s="43" t="s">
        <v>2861</v>
      </c>
      <c r="D1555" s="71" t="s">
        <v>382</v>
      </c>
      <c r="E1555" s="71" t="str">
        <f>MID(D1555,1,2)</f>
        <v>IL</v>
      </c>
      <c r="F1555" s="71" t="s">
        <v>978</v>
      </c>
      <c r="G1555" s="71" t="str">
        <f>MID(F1555,1,2)</f>
        <v>PL</v>
      </c>
      <c r="H1555" s="43" t="s">
        <v>2862</v>
      </c>
      <c r="I1555" s="71" t="s">
        <v>2863</v>
      </c>
      <c r="J1555" s="71" t="s">
        <v>386</v>
      </c>
      <c r="K1555" s="43"/>
      <c r="L1555" s="71" t="s">
        <v>107</v>
      </c>
      <c r="M1555" s="73">
        <v>735</v>
      </c>
      <c r="N1555" s="71" t="s">
        <v>388</v>
      </c>
      <c r="O1555" s="73">
        <v>3.6</v>
      </c>
      <c r="P1555" s="71" t="s">
        <v>389</v>
      </c>
      <c r="Q1555" s="73">
        <v>735</v>
      </c>
      <c r="R1555" s="71" t="s">
        <v>388</v>
      </c>
      <c r="S1555" s="73">
        <v>0</v>
      </c>
      <c r="T1555" s="71" t="s">
        <v>390</v>
      </c>
      <c r="U1555" s="74">
        <v>3</v>
      </c>
      <c r="V1555" s="71" t="s">
        <v>391</v>
      </c>
      <c r="W1555" s="130">
        <v>46070.706018518518</v>
      </c>
      <c r="X1555" s="72">
        <v>46072.777777777781</v>
      </c>
      <c r="Y1555" s="72">
        <v>46074.215277777781</v>
      </c>
      <c r="Z1555" s="104" t="s">
        <v>978</v>
      </c>
      <c r="AA1555" s="104" t="s">
        <v>1428</v>
      </c>
      <c r="AB1555" s="105">
        <v>46077.541666666664</v>
      </c>
      <c r="AC1555" s="105">
        <v>46077.625</v>
      </c>
    </row>
    <row r="1556" s="70" customFormat="1" ht="11.25" customHeight="1">
      <c r="A1556" s="87"/>
      <c r="C1556" s="43" t="s">
        <v>2864</v>
      </c>
      <c r="D1556" s="71" t="s">
        <v>382</v>
      </c>
      <c r="E1556" s="71" t="str">
        <f>MID(D1556,1,2)</f>
        <v>IL</v>
      </c>
      <c r="F1556" s="71" t="s">
        <v>546</v>
      </c>
      <c r="G1556" s="71" t="str">
        <f>MID(F1556,1,2)</f>
        <v>GB</v>
      </c>
      <c r="H1556" s="43" t="s">
        <v>2865</v>
      </c>
      <c r="I1556" s="71" t="s">
        <v>2866</v>
      </c>
      <c r="J1556" s="71" t="s">
        <v>400</v>
      </c>
      <c r="K1556" s="43"/>
      <c r="L1556" s="71" t="s">
        <v>105</v>
      </c>
      <c r="M1556" s="73">
        <v>48</v>
      </c>
      <c r="N1556" s="71" t="s">
        <v>388</v>
      </c>
      <c r="O1556" s="73">
        <v>0.234</v>
      </c>
      <c r="P1556" s="71" t="s">
        <v>389</v>
      </c>
      <c r="Q1556" s="73">
        <v>100</v>
      </c>
      <c r="R1556" s="71" t="s">
        <v>388</v>
      </c>
      <c r="S1556" s="73">
        <v>0</v>
      </c>
      <c r="T1556" s="71" t="s">
        <v>390</v>
      </c>
      <c r="U1556" s="74">
        <v>1</v>
      </c>
      <c r="V1556" s="71" t="s">
        <v>391</v>
      </c>
      <c r="W1556" s="130">
        <v>46069.80625</v>
      </c>
      <c r="X1556" s="72">
        <v>46071.708333333336</v>
      </c>
      <c r="Y1556" s="72">
        <v>46071.852083333331</v>
      </c>
      <c r="Z1556" s="104" t="s">
        <v>560</v>
      </c>
      <c r="AA1556" s="104" t="s">
        <v>561</v>
      </c>
      <c r="AB1556" s="105"/>
      <c r="AC1556" s="105"/>
    </row>
    <row r="1557" s="70" customFormat="1" ht="11.25" customHeight="1">
      <c r="A1557" s="87"/>
      <c r="C1557" s="43" t="s">
        <v>2864</v>
      </c>
      <c r="D1557" s="71" t="s">
        <v>382</v>
      </c>
      <c r="E1557" s="71" t="str">
        <f>MID(D1557,1,2)</f>
        <v>IL</v>
      </c>
      <c r="F1557" s="71" t="s">
        <v>546</v>
      </c>
      <c r="G1557" s="71" t="str">
        <f>MID(F1557,1,2)</f>
        <v>GB</v>
      </c>
      <c r="H1557" s="43" t="s">
        <v>2865</v>
      </c>
      <c r="I1557" s="71" t="s">
        <v>2866</v>
      </c>
      <c r="J1557" s="71" t="s">
        <v>400</v>
      </c>
      <c r="K1557" s="43"/>
      <c r="L1557" s="71" t="s">
        <v>105</v>
      </c>
      <c r="M1557" s="73">
        <v>48</v>
      </c>
      <c r="N1557" s="71" t="s">
        <v>388</v>
      </c>
      <c r="O1557" s="73">
        <v>0.234</v>
      </c>
      <c r="P1557" s="71" t="s">
        <v>389</v>
      </c>
      <c r="Q1557" s="73">
        <v>100</v>
      </c>
      <c r="R1557" s="71" t="s">
        <v>388</v>
      </c>
      <c r="S1557" s="73">
        <v>0</v>
      </c>
      <c r="T1557" s="71" t="s">
        <v>390</v>
      </c>
      <c r="U1557" s="74">
        <v>1</v>
      </c>
      <c r="V1557" s="71" t="s">
        <v>391</v>
      </c>
      <c r="W1557" s="130">
        <v>46069.80625</v>
      </c>
      <c r="X1557" s="72">
        <v>46071.708333333336</v>
      </c>
      <c r="Y1557" s="72">
        <v>46071.852083333331</v>
      </c>
      <c r="Z1557" s="104" t="s">
        <v>382</v>
      </c>
      <c r="AA1557" s="104" t="s">
        <v>546</v>
      </c>
      <c r="AB1557" s="105">
        <v>46071.704861111109</v>
      </c>
      <c r="AC1557" s="105">
        <v>46071.838194444441</v>
      </c>
    </row>
    <row r="1558" s="70" customFormat="1" ht="11.25" customHeight="1">
      <c r="A1558" s="87"/>
      <c r="C1558" s="43" t="s">
        <v>2867</v>
      </c>
      <c r="D1558" s="71" t="s">
        <v>382</v>
      </c>
      <c r="E1558" s="71" t="str">
        <f>MID(D1558,1,2)</f>
        <v>IL</v>
      </c>
      <c r="F1558" s="71" t="s">
        <v>403</v>
      </c>
      <c r="G1558" s="71" t="str">
        <f>MID(F1558,1,2)</f>
        <v>HK</v>
      </c>
      <c r="H1558" s="43" t="s">
        <v>2868</v>
      </c>
      <c r="I1558" s="71"/>
      <c r="J1558" s="71" t="s">
        <v>435</v>
      </c>
      <c r="K1558" s="43"/>
      <c r="L1558" s="71" t="s">
        <v>105</v>
      </c>
      <c r="M1558" s="73">
        <v>1100</v>
      </c>
      <c r="N1558" s="71" t="s">
        <v>388</v>
      </c>
      <c r="O1558" s="73">
        <v>7</v>
      </c>
      <c r="P1558" s="71" t="s">
        <v>389</v>
      </c>
      <c r="Q1558" s="73">
        <v>1167</v>
      </c>
      <c r="R1558" s="71" t="s">
        <v>388</v>
      </c>
      <c r="S1558" s="73">
        <v>0</v>
      </c>
      <c r="T1558" s="71" t="s">
        <v>390</v>
      </c>
      <c r="U1558" s="74">
        <v>5</v>
      </c>
      <c r="V1558" s="71" t="s">
        <v>391</v>
      </c>
      <c r="W1558" s="130">
        <v>46071.465277777781</v>
      </c>
      <c r="X1558" s="72">
        <v>46076.145833333336</v>
      </c>
      <c r="Y1558" s="72">
        <v>46076.65625</v>
      </c>
      <c r="Z1558" s="104" t="s">
        <v>382</v>
      </c>
      <c r="AA1558" s="104" t="s">
        <v>403</v>
      </c>
      <c r="AB1558" s="105">
        <v>46076.303472222222</v>
      </c>
      <c r="AC1558" s="105">
        <v>46076.96875</v>
      </c>
    </row>
    <row r="1559" s="70" customFormat="1" ht="11.25" customHeight="1">
      <c r="A1559" s="87"/>
      <c r="C1559" s="43" t="s">
        <v>2869</v>
      </c>
      <c r="D1559" s="71" t="s">
        <v>382</v>
      </c>
      <c r="E1559" s="71" t="str">
        <f>MID(D1559,1,2)</f>
        <v>IL</v>
      </c>
      <c r="F1559" s="71" t="s">
        <v>422</v>
      </c>
      <c r="G1559" s="71" t="str">
        <f>MID(F1559,1,2)</f>
        <v>US</v>
      </c>
      <c r="H1559" s="43" t="s">
        <v>2870</v>
      </c>
      <c r="I1559" s="71" t="s">
        <v>2871</v>
      </c>
      <c r="J1559" s="71" t="s">
        <v>386</v>
      </c>
      <c r="K1559" s="43"/>
      <c r="L1559" s="71" t="s">
        <v>107</v>
      </c>
      <c r="M1559" s="73">
        <v>125</v>
      </c>
      <c r="N1559" s="71" t="s">
        <v>388</v>
      </c>
      <c r="O1559" s="73">
        <v>1.92</v>
      </c>
      <c r="P1559" s="71" t="s">
        <v>389</v>
      </c>
      <c r="Q1559" s="73">
        <v>320</v>
      </c>
      <c r="R1559" s="71" t="s">
        <v>388</v>
      </c>
      <c r="S1559" s="73">
        <v>0</v>
      </c>
      <c r="T1559" s="71" t="s">
        <v>390</v>
      </c>
      <c r="U1559" s="74">
        <v>1</v>
      </c>
      <c r="V1559" s="71" t="s">
        <v>391</v>
      </c>
      <c r="W1559" s="130">
        <v>46071.002083333333</v>
      </c>
      <c r="X1559" s="72">
        <v>46072.458333333336</v>
      </c>
      <c r="Y1559" s="72">
        <v>46073.690972222219</v>
      </c>
      <c r="Z1559" s="104" t="s">
        <v>382</v>
      </c>
      <c r="AA1559" s="104" t="s">
        <v>422</v>
      </c>
      <c r="AB1559" s="105">
        <v>46073.47152777778</v>
      </c>
      <c r="AC1559" s="105">
        <v>46073.686111111114</v>
      </c>
    </row>
    <row r="1560" s="70" customFormat="1" ht="11.25" customHeight="1">
      <c r="A1560" s="87"/>
      <c r="C1560" s="43" t="s">
        <v>2872</v>
      </c>
      <c r="D1560" s="71" t="s">
        <v>382</v>
      </c>
      <c r="E1560" s="71" t="str">
        <f>MID(D1560,1,2)</f>
        <v>IL</v>
      </c>
      <c r="F1560" s="71" t="s">
        <v>422</v>
      </c>
      <c r="G1560" s="71" t="str">
        <f>MID(F1560,1,2)</f>
        <v>US</v>
      </c>
      <c r="H1560" s="43" t="s">
        <v>2870</v>
      </c>
      <c r="I1560" s="71" t="s">
        <v>2873</v>
      </c>
      <c r="J1560" s="71" t="s">
        <v>435</v>
      </c>
      <c r="K1560" s="43"/>
      <c r="L1560" s="71" t="s">
        <v>105</v>
      </c>
      <c r="M1560" s="73">
        <v>114</v>
      </c>
      <c r="N1560" s="71" t="s">
        <v>388</v>
      </c>
      <c r="O1560" s="73">
        <v>1.248</v>
      </c>
      <c r="P1560" s="71" t="s">
        <v>389</v>
      </c>
      <c r="Q1560" s="73">
        <v>208</v>
      </c>
      <c r="R1560" s="71" t="s">
        <v>388</v>
      </c>
      <c r="S1560" s="73">
        <v>0</v>
      </c>
      <c r="T1560" s="71" t="s">
        <v>390</v>
      </c>
      <c r="U1560" s="74">
        <v>1</v>
      </c>
      <c r="V1560" s="71" t="s">
        <v>391</v>
      </c>
      <c r="W1560" s="130">
        <v>46070.34097222222</v>
      </c>
      <c r="X1560" s="72">
        <v>46072.458333333336</v>
      </c>
      <c r="Y1560" s="72">
        <v>46073.690972222219</v>
      </c>
      <c r="Z1560" s="104" t="s">
        <v>382</v>
      </c>
      <c r="AA1560" s="104" t="s">
        <v>422</v>
      </c>
      <c r="AB1560" s="105">
        <v>46073.47152777778</v>
      </c>
      <c r="AC1560" s="105">
        <v>46073.686111111114</v>
      </c>
    </row>
    <row r="1561" s="70" customFormat="1" ht="11.25" customHeight="1">
      <c r="A1561" s="87"/>
      <c r="C1561" s="43" t="s">
        <v>2874</v>
      </c>
      <c r="D1561" s="71" t="s">
        <v>382</v>
      </c>
      <c r="E1561" s="71" t="str">
        <f>MID(D1561,1,2)</f>
        <v>IL</v>
      </c>
      <c r="F1561" s="71" t="s">
        <v>667</v>
      </c>
      <c r="G1561" s="71" t="str">
        <f>MID(F1561,1,2)</f>
        <v>DE</v>
      </c>
      <c r="H1561" s="43" t="s">
        <v>2875</v>
      </c>
      <c r="I1561" s="71" t="s">
        <v>2876</v>
      </c>
      <c r="J1561" s="71" t="s">
        <v>559</v>
      </c>
      <c r="K1561" s="43"/>
      <c r="L1561" s="71" t="s">
        <v>107</v>
      </c>
      <c r="M1561" s="73">
        <v>24</v>
      </c>
      <c r="N1561" s="71" t="s">
        <v>388</v>
      </c>
      <c r="O1561" s="73">
        <v>0.192</v>
      </c>
      <c r="P1561" s="71" t="s">
        <v>389</v>
      </c>
      <c r="Q1561" s="73">
        <v>32</v>
      </c>
      <c r="R1561" s="71" t="s">
        <v>388</v>
      </c>
      <c r="S1561" s="73">
        <v>0</v>
      </c>
      <c r="T1561" s="71" t="s">
        <v>390</v>
      </c>
      <c r="U1561" s="74">
        <v>1</v>
      </c>
      <c r="V1561" s="71" t="s">
        <v>391</v>
      </c>
      <c r="W1561" s="130">
        <v>46070.914375</v>
      </c>
      <c r="X1561" s="72">
        <v>46071.586111111108</v>
      </c>
      <c r="Y1561" s="72">
        <v>46080.541666666664</v>
      </c>
      <c r="Z1561" s="104" t="s">
        <v>667</v>
      </c>
      <c r="AA1561" s="104" t="s">
        <v>1006</v>
      </c>
      <c r="AB1561" s="105"/>
      <c r="AC1561" s="105"/>
    </row>
    <row r="1562" s="70" customFormat="1" ht="11.25" customHeight="1">
      <c r="A1562" s="87"/>
      <c r="C1562" s="43" t="s">
        <v>2874</v>
      </c>
      <c r="D1562" s="71" t="s">
        <v>382</v>
      </c>
      <c r="E1562" s="71" t="str">
        <f>MID(D1562,1,2)</f>
        <v>IL</v>
      </c>
      <c r="F1562" s="71" t="s">
        <v>667</v>
      </c>
      <c r="G1562" s="71" t="str">
        <f>MID(F1562,1,2)</f>
        <v>DE</v>
      </c>
      <c r="H1562" s="43" t="s">
        <v>2875</v>
      </c>
      <c r="I1562" s="71" t="s">
        <v>2876</v>
      </c>
      <c r="J1562" s="71" t="s">
        <v>559</v>
      </c>
      <c r="K1562" s="43"/>
      <c r="L1562" s="71" t="s">
        <v>107</v>
      </c>
      <c r="M1562" s="73">
        <v>24</v>
      </c>
      <c r="N1562" s="71" t="s">
        <v>388</v>
      </c>
      <c r="O1562" s="73">
        <v>0.192</v>
      </c>
      <c r="P1562" s="71" t="s">
        <v>389</v>
      </c>
      <c r="Q1562" s="73">
        <v>32</v>
      </c>
      <c r="R1562" s="71" t="s">
        <v>388</v>
      </c>
      <c r="S1562" s="73">
        <v>0</v>
      </c>
      <c r="T1562" s="71" t="s">
        <v>390</v>
      </c>
      <c r="U1562" s="74">
        <v>1</v>
      </c>
      <c r="V1562" s="71" t="s">
        <v>391</v>
      </c>
      <c r="W1562" s="130">
        <v>46070.914375</v>
      </c>
      <c r="X1562" s="72">
        <v>46071.586111111108</v>
      </c>
      <c r="Y1562" s="72">
        <v>46080.541666666664</v>
      </c>
      <c r="Z1562" s="104" t="s">
        <v>382</v>
      </c>
      <c r="AA1562" s="104" t="s">
        <v>748</v>
      </c>
      <c r="AB1562" s="105">
        <v>46072.829861111109</v>
      </c>
      <c r="AC1562" s="105"/>
    </row>
    <row r="1563" s="70" customFormat="1" ht="11.25" customHeight="1">
      <c r="A1563" s="87"/>
      <c r="C1563" s="43" t="s">
        <v>2874</v>
      </c>
      <c r="D1563" s="71" t="s">
        <v>382</v>
      </c>
      <c r="E1563" s="71" t="str">
        <f>MID(D1563,1,2)</f>
        <v>IL</v>
      </c>
      <c r="F1563" s="71" t="s">
        <v>667</v>
      </c>
      <c r="G1563" s="71" t="str">
        <f>MID(F1563,1,2)</f>
        <v>DE</v>
      </c>
      <c r="H1563" s="43" t="s">
        <v>2875</v>
      </c>
      <c r="I1563" s="71" t="s">
        <v>2876</v>
      </c>
      <c r="J1563" s="71" t="s">
        <v>559</v>
      </c>
      <c r="K1563" s="43"/>
      <c r="L1563" s="71" t="s">
        <v>107</v>
      </c>
      <c r="M1563" s="73">
        <v>24</v>
      </c>
      <c r="N1563" s="71" t="s">
        <v>388</v>
      </c>
      <c r="O1563" s="73">
        <v>0.192</v>
      </c>
      <c r="P1563" s="71" t="s">
        <v>389</v>
      </c>
      <c r="Q1563" s="73">
        <v>32</v>
      </c>
      <c r="R1563" s="71" t="s">
        <v>388</v>
      </c>
      <c r="S1563" s="73">
        <v>0</v>
      </c>
      <c r="T1563" s="71" t="s">
        <v>390</v>
      </c>
      <c r="U1563" s="74">
        <v>1</v>
      </c>
      <c r="V1563" s="71" t="s">
        <v>391</v>
      </c>
      <c r="W1563" s="130">
        <v>46070.914375</v>
      </c>
      <c r="X1563" s="72">
        <v>46071.586111111108</v>
      </c>
      <c r="Y1563" s="72">
        <v>46080.541666666664</v>
      </c>
      <c r="Z1563" s="104" t="s">
        <v>748</v>
      </c>
      <c r="AA1563" s="104" t="s">
        <v>667</v>
      </c>
      <c r="AB1563" s="105">
        <v>46077.51458333333</v>
      </c>
      <c r="AC1563" s="105">
        <v>46077.897222222222</v>
      </c>
    </row>
    <row r="1564" s="70" customFormat="1" ht="11.25" customHeight="1">
      <c r="A1564" s="87"/>
      <c r="C1564" s="43" t="s">
        <v>2877</v>
      </c>
      <c r="D1564" s="71" t="s">
        <v>382</v>
      </c>
      <c r="E1564" s="71" t="str">
        <f>MID(D1564,1,2)</f>
        <v>IL</v>
      </c>
      <c r="F1564" s="71" t="s">
        <v>403</v>
      </c>
      <c r="G1564" s="71" t="str">
        <f>MID(F1564,1,2)</f>
        <v>HK</v>
      </c>
      <c r="H1564" s="43" t="s">
        <v>2878</v>
      </c>
      <c r="I1564" s="71" t="s">
        <v>2879</v>
      </c>
      <c r="J1564" s="71" t="s">
        <v>400</v>
      </c>
      <c r="K1564" s="43"/>
      <c r="L1564" s="71" t="s">
        <v>105</v>
      </c>
      <c r="M1564" s="73">
        <v>408</v>
      </c>
      <c r="N1564" s="71" t="s">
        <v>388</v>
      </c>
      <c r="O1564" s="73">
        <v>3.571</v>
      </c>
      <c r="P1564" s="71" t="s">
        <v>389</v>
      </c>
      <c r="Q1564" s="73">
        <v>595.5</v>
      </c>
      <c r="R1564" s="71" t="s">
        <v>388</v>
      </c>
      <c r="S1564" s="73">
        <v>0</v>
      </c>
      <c r="T1564" s="71" t="s">
        <v>390</v>
      </c>
      <c r="U1564" s="74">
        <v>2</v>
      </c>
      <c r="V1564" s="71" t="s">
        <v>391</v>
      </c>
      <c r="W1564" s="130">
        <v>46072.731238425928</v>
      </c>
      <c r="X1564" s="72">
        <v>46076.145833333336</v>
      </c>
      <c r="Y1564" s="72">
        <v>46076.979166666664</v>
      </c>
      <c r="Z1564" s="104" t="s">
        <v>382</v>
      </c>
      <c r="AA1564" s="104" t="s">
        <v>403</v>
      </c>
      <c r="AB1564" s="105">
        <v>46076.303472222222</v>
      </c>
      <c r="AC1564" s="105">
        <v>46076.931944444441</v>
      </c>
    </row>
    <row r="1565" s="70" customFormat="1" ht="11.25" customHeight="1">
      <c r="A1565" s="87"/>
      <c r="C1565" s="43" t="s">
        <v>2880</v>
      </c>
      <c r="D1565" s="71" t="s">
        <v>382</v>
      </c>
      <c r="E1565" s="71" t="str">
        <f>MID(D1565,1,2)</f>
        <v>IL</v>
      </c>
      <c r="F1565" s="71" t="s">
        <v>405</v>
      </c>
      <c r="G1565" s="71" t="str">
        <f>MID(F1565,1,2)</f>
        <v>CA</v>
      </c>
      <c r="H1565" s="43" t="s">
        <v>2881</v>
      </c>
      <c r="I1565" s="71" t="s">
        <v>2882</v>
      </c>
      <c r="J1565" s="71" t="s">
        <v>386</v>
      </c>
      <c r="K1565" s="43"/>
      <c r="L1565" s="71" t="s">
        <v>107</v>
      </c>
      <c r="M1565" s="73">
        <v>18</v>
      </c>
      <c r="N1565" s="71" t="s">
        <v>388</v>
      </c>
      <c r="O1565" s="73">
        <v>0.223</v>
      </c>
      <c r="P1565" s="71" t="s">
        <v>389</v>
      </c>
      <c r="Q1565" s="73">
        <v>37.5</v>
      </c>
      <c r="R1565" s="71" t="s">
        <v>388</v>
      </c>
      <c r="S1565" s="73">
        <v>0</v>
      </c>
      <c r="T1565" s="71" t="s">
        <v>390</v>
      </c>
      <c r="U1565" s="74">
        <v>1</v>
      </c>
      <c r="V1565" s="71" t="s">
        <v>417</v>
      </c>
      <c r="W1565" s="130">
        <v>46070.527777777781</v>
      </c>
      <c r="X1565" s="72">
        <v>46071.458333333336</v>
      </c>
      <c r="Y1565" s="72">
        <v>46071.711805555555</v>
      </c>
      <c r="Z1565" s="104" t="s">
        <v>382</v>
      </c>
      <c r="AA1565" s="104" t="s">
        <v>405</v>
      </c>
      <c r="AB1565" s="105">
        <v>46071.491666666669</v>
      </c>
      <c r="AC1565" s="105">
        <v>46071.7</v>
      </c>
    </row>
    <row r="1566" s="70" customFormat="1" ht="11.25" customHeight="1">
      <c r="A1566" s="87"/>
      <c r="C1566" s="43" t="s">
        <v>2883</v>
      </c>
      <c r="D1566" s="71" t="s">
        <v>382</v>
      </c>
      <c r="E1566" s="71" t="str">
        <f>MID(D1566,1,2)</f>
        <v>IL</v>
      </c>
      <c r="F1566" s="71" t="s">
        <v>433</v>
      </c>
      <c r="G1566" s="71" t="str">
        <f>MID(F1566,1,2)</f>
        <v>US</v>
      </c>
      <c r="H1566" s="43" t="s">
        <v>2884</v>
      </c>
      <c r="I1566" s="71" t="s">
        <v>2885</v>
      </c>
      <c r="J1566" s="71" t="s">
        <v>386</v>
      </c>
      <c r="K1566" s="43"/>
      <c r="L1566" s="71" t="s">
        <v>107</v>
      </c>
      <c r="M1566" s="73">
        <v>26</v>
      </c>
      <c r="N1566" s="71" t="s">
        <v>388</v>
      </c>
      <c r="O1566" s="73">
        <v>0.192</v>
      </c>
      <c r="P1566" s="71" t="s">
        <v>389</v>
      </c>
      <c r="Q1566" s="73">
        <v>32</v>
      </c>
      <c r="R1566" s="71" t="s">
        <v>388</v>
      </c>
      <c r="S1566" s="73">
        <v>0</v>
      </c>
      <c r="T1566" s="71" t="s">
        <v>390</v>
      </c>
      <c r="U1566" s="74">
        <v>1</v>
      </c>
      <c r="V1566" s="71" t="s">
        <v>391</v>
      </c>
      <c r="W1566" s="130">
        <v>46070.423611111109</v>
      </c>
      <c r="X1566" s="72">
        <v>46072.041666666664</v>
      </c>
      <c r="Y1566" s="72">
        <v>46072.414583333331</v>
      </c>
      <c r="Z1566" s="104" t="s">
        <v>382</v>
      </c>
      <c r="AA1566" s="104" t="s">
        <v>433</v>
      </c>
      <c r="AB1566" s="105">
        <v>46072.058333333334</v>
      </c>
      <c r="AC1566" s="105">
        <v>46072.341666666667</v>
      </c>
    </row>
    <row r="1567" s="70" customFormat="1" ht="11.25" customHeight="1">
      <c r="A1567" s="87"/>
      <c r="C1567" s="43" t="s">
        <v>2886</v>
      </c>
      <c r="D1567" s="71" t="s">
        <v>382</v>
      </c>
      <c r="E1567" s="71" t="str">
        <f>MID(D1567,1,2)</f>
        <v>IL</v>
      </c>
      <c r="F1567" s="71" t="s">
        <v>414</v>
      </c>
      <c r="G1567" s="71" t="str">
        <f>MID(F1567,1,2)</f>
        <v>US</v>
      </c>
      <c r="H1567" s="43" t="s">
        <v>2887</v>
      </c>
      <c r="I1567" s="71" t="s">
        <v>2888</v>
      </c>
      <c r="J1567" s="71" t="s">
        <v>400</v>
      </c>
      <c r="K1567" s="43"/>
      <c r="L1567" s="71" t="s">
        <v>105</v>
      </c>
      <c r="M1567" s="73">
        <v>18</v>
      </c>
      <c r="N1567" s="71" t="s">
        <v>388</v>
      </c>
      <c r="O1567" s="73">
        <v>0.389</v>
      </c>
      <c r="P1567" s="71" t="s">
        <v>389</v>
      </c>
      <c r="Q1567" s="73">
        <v>100</v>
      </c>
      <c r="R1567" s="71" t="s">
        <v>388</v>
      </c>
      <c r="S1567" s="73">
        <v>0</v>
      </c>
      <c r="T1567" s="71" t="s">
        <v>390</v>
      </c>
      <c r="U1567" s="74">
        <v>1</v>
      </c>
      <c r="V1567" s="71" t="s">
        <v>427</v>
      </c>
      <c r="W1567" s="130">
        <v>46070.4375</v>
      </c>
      <c r="X1567" s="72">
        <v>46070.03125</v>
      </c>
      <c r="Y1567" s="72">
        <v>46071.239583333336</v>
      </c>
      <c r="Z1567" s="104" t="s">
        <v>382</v>
      </c>
      <c r="AA1567" s="104" t="s">
        <v>414</v>
      </c>
      <c r="AB1567" s="105">
        <v>46071.033333333333</v>
      </c>
      <c r="AC1567" s="105">
        <v>46071.227083333331</v>
      </c>
    </row>
    <row r="1568" s="70" customFormat="1" ht="11.25" customHeight="1">
      <c r="A1568" s="87"/>
      <c r="C1568" s="43" t="s">
        <v>2889</v>
      </c>
      <c r="D1568" s="71" t="s">
        <v>382</v>
      </c>
      <c r="E1568" s="71" t="str">
        <f>MID(D1568,1,2)</f>
        <v>IL</v>
      </c>
      <c r="F1568" s="71" t="s">
        <v>597</v>
      </c>
      <c r="G1568" s="71" t="str">
        <f>MID(F1568,1,2)</f>
        <v>NL</v>
      </c>
      <c r="H1568" s="43" t="s">
        <v>2890</v>
      </c>
      <c r="I1568" s="71"/>
      <c r="J1568" s="71" t="s">
        <v>435</v>
      </c>
      <c r="K1568" s="43"/>
      <c r="L1568" s="71" t="s">
        <v>105</v>
      </c>
      <c r="M1568" s="73">
        <v>51</v>
      </c>
      <c r="N1568" s="71" t="s">
        <v>388</v>
      </c>
      <c r="O1568" s="73">
        <v>0.12</v>
      </c>
      <c r="P1568" s="71" t="s">
        <v>389</v>
      </c>
      <c r="Q1568" s="73">
        <v>51</v>
      </c>
      <c r="R1568" s="71" t="s">
        <v>388</v>
      </c>
      <c r="S1568" s="73">
        <v>0</v>
      </c>
      <c r="T1568" s="71" t="s">
        <v>390</v>
      </c>
      <c r="U1568" s="74">
        <v>1</v>
      </c>
      <c r="V1568" s="71" t="s">
        <v>391</v>
      </c>
      <c r="W1568" s="130"/>
      <c r="X1568" s="72">
        <v>46063.40347222222</v>
      </c>
      <c r="Y1568" s="72">
        <v>46063.40347222222</v>
      </c>
      <c r="Z1568" s="104" t="s">
        <v>382</v>
      </c>
      <c r="AA1568" s="104" t="s">
        <v>597</v>
      </c>
      <c r="AB1568" s="105">
        <v>46063.49722222222</v>
      </c>
      <c r="AC1568" s="105">
        <v>46063.49722222222</v>
      </c>
    </row>
    <row r="1569" s="70" customFormat="1" ht="11.25" customHeight="1">
      <c r="A1569" s="87"/>
      <c r="C1569" s="43" t="s">
        <v>2891</v>
      </c>
      <c r="D1569" s="71" t="s">
        <v>382</v>
      </c>
      <c r="E1569" s="71" t="str">
        <f>MID(D1569,1,2)</f>
        <v>IL</v>
      </c>
      <c r="F1569" s="71" t="s">
        <v>414</v>
      </c>
      <c r="G1569" s="71" t="str">
        <f>MID(F1569,1,2)</f>
        <v>US</v>
      </c>
      <c r="H1569" s="43" t="s">
        <v>2892</v>
      </c>
      <c r="I1569" s="71" t="s">
        <v>2893</v>
      </c>
      <c r="J1569" s="71" t="s">
        <v>426</v>
      </c>
      <c r="K1569" s="43"/>
      <c r="L1569" s="71" t="s">
        <v>105</v>
      </c>
      <c r="M1569" s="73">
        <v>41</v>
      </c>
      <c r="N1569" s="71" t="s">
        <v>388</v>
      </c>
      <c r="O1569" s="73">
        <v>0.227</v>
      </c>
      <c r="P1569" s="71" t="s">
        <v>389</v>
      </c>
      <c r="Q1569" s="73">
        <v>100</v>
      </c>
      <c r="R1569" s="71" t="s">
        <v>388</v>
      </c>
      <c r="S1569" s="73">
        <v>0</v>
      </c>
      <c r="T1569" s="71" t="s">
        <v>390</v>
      </c>
      <c r="U1569" s="74">
        <v>1</v>
      </c>
      <c r="V1569" s="71" t="s">
        <v>391</v>
      </c>
      <c r="W1569" s="130">
        <v>46070.51458333333</v>
      </c>
      <c r="X1569" s="72">
        <v>46073.003472222219</v>
      </c>
      <c r="Y1569" s="72">
        <v>46073.270833333336</v>
      </c>
      <c r="Z1569" s="104" t="s">
        <v>382</v>
      </c>
      <c r="AA1569" s="104" t="s">
        <v>414</v>
      </c>
      <c r="AB1569" s="105">
        <v>46073.040277777778</v>
      </c>
      <c r="AC1569" s="105">
        <v>46073.227083333331</v>
      </c>
    </row>
    <row r="1570" s="70" customFormat="1" ht="11.25" customHeight="1">
      <c r="A1570" s="87"/>
      <c r="C1570" s="43" t="s">
        <v>2894</v>
      </c>
      <c r="D1570" s="71" t="s">
        <v>382</v>
      </c>
      <c r="E1570" s="71" t="str">
        <f>MID(D1570,1,2)</f>
        <v>IL</v>
      </c>
      <c r="F1570" s="71" t="s">
        <v>414</v>
      </c>
      <c r="G1570" s="71" t="str">
        <f>MID(F1570,1,2)</f>
        <v>US</v>
      </c>
      <c r="H1570" s="43" t="s">
        <v>2847</v>
      </c>
      <c r="I1570" s="71" t="s">
        <v>2895</v>
      </c>
      <c r="J1570" s="71" t="s">
        <v>386</v>
      </c>
      <c r="K1570" s="43" t="s">
        <v>759</v>
      </c>
      <c r="L1570" s="71" t="s">
        <v>107</v>
      </c>
      <c r="M1570" s="73">
        <v>15</v>
      </c>
      <c r="N1570" s="71" t="s">
        <v>388</v>
      </c>
      <c r="O1570" s="73">
        <v>0.1</v>
      </c>
      <c r="P1570" s="71" t="s">
        <v>389</v>
      </c>
      <c r="Q1570" s="73">
        <v>17</v>
      </c>
      <c r="R1570" s="71" t="s">
        <v>388</v>
      </c>
      <c r="S1570" s="73">
        <v>0</v>
      </c>
      <c r="T1570" s="71" t="s">
        <v>390</v>
      </c>
      <c r="U1570" s="74">
        <v>1</v>
      </c>
      <c r="V1570" s="71" t="s">
        <v>427</v>
      </c>
      <c r="W1570" s="130">
        <v>46070.417361111111</v>
      </c>
      <c r="X1570" s="72">
        <v>46073.03125</v>
      </c>
      <c r="Y1570" s="72">
        <v>46073.239583333336</v>
      </c>
      <c r="Z1570" s="104" t="s">
        <v>382</v>
      </c>
      <c r="AA1570" s="104" t="s">
        <v>414</v>
      </c>
      <c r="AB1570" s="105">
        <v>46073.040277777778</v>
      </c>
      <c r="AC1570" s="105">
        <v>46073.227083333331</v>
      </c>
    </row>
    <row r="1571" s="70" customFormat="1" ht="11.25" customHeight="1">
      <c r="A1571" s="87"/>
      <c r="C1571" s="43" t="s">
        <v>2896</v>
      </c>
      <c r="D1571" s="71" t="s">
        <v>382</v>
      </c>
      <c r="E1571" s="71" t="str">
        <f>MID(D1571,1,2)</f>
        <v>IL</v>
      </c>
      <c r="F1571" s="71" t="s">
        <v>414</v>
      </c>
      <c r="G1571" s="71" t="str">
        <f>MID(F1571,1,2)</f>
        <v>US</v>
      </c>
      <c r="H1571" s="43" t="s">
        <v>2897</v>
      </c>
      <c r="I1571" s="71" t="s">
        <v>2898</v>
      </c>
      <c r="J1571" s="71" t="s">
        <v>400</v>
      </c>
      <c r="K1571" s="43"/>
      <c r="L1571" s="71" t="s">
        <v>105</v>
      </c>
      <c r="M1571" s="73">
        <v>2</v>
      </c>
      <c r="N1571" s="71" t="s">
        <v>388</v>
      </c>
      <c r="O1571" s="73">
        <v>0.216</v>
      </c>
      <c r="P1571" s="71" t="s">
        <v>389</v>
      </c>
      <c r="Q1571" s="73">
        <v>100</v>
      </c>
      <c r="R1571" s="71" t="s">
        <v>388</v>
      </c>
      <c r="S1571" s="73">
        <v>0</v>
      </c>
      <c r="T1571" s="71" t="s">
        <v>390</v>
      </c>
      <c r="U1571" s="74">
        <v>1</v>
      </c>
      <c r="V1571" s="71" t="s">
        <v>427</v>
      </c>
      <c r="W1571" s="130">
        <v>46070.543171296296</v>
      </c>
      <c r="X1571" s="72">
        <v>46070.03125</v>
      </c>
      <c r="Y1571" s="72">
        <v>46071.239583333336</v>
      </c>
      <c r="Z1571" s="104" t="s">
        <v>382</v>
      </c>
      <c r="AA1571" s="104" t="s">
        <v>414</v>
      </c>
      <c r="AB1571" s="105">
        <v>46071.033333333333</v>
      </c>
      <c r="AC1571" s="105">
        <v>46071.227083333331</v>
      </c>
    </row>
    <row r="1572" s="70" customFormat="1" ht="11.25" customHeight="1">
      <c r="A1572" s="87"/>
      <c r="C1572" s="43" t="s">
        <v>2899</v>
      </c>
      <c r="D1572" s="71" t="s">
        <v>382</v>
      </c>
      <c r="E1572" s="71" t="str">
        <f>MID(D1572,1,2)</f>
        <v>IL</v>
      </c>
      <c r="F1572" s="71" t="s">
        <v>595</v>
      </c>
      <c r="G1572" s="71" t="str">
        <f>MID(F1572,1,2)</f>
        <v>AT</v>
      </c>
      <c r="H1572" s="43" t="s">
        <v>2900</v>
      </c>
      <c r="I1572" s="71" t="s">
        <v>2901</v>
      </c>
      <c r="J1572" s="71" t="s">
        <v>426</v>
      </c>
      <c r="K1572" s="43"/>
      <c r="L1572" s="71" t="s">
        <v>105</v>
      </c>
      <c r="M1572" s="73">
        <v>64</v>
      </c>
      <c r="N1572" s="71" t="s">
        <v>388</v>
      </c>
      <c r="O1572" s="73">
        <v>0.672</v>
      </c>
      <c r="P1572" s="71" t="s">
        <v>389</v>
      </c>
      <c r="Q1572" s="73">
        <v>112</v>
      </c>
      <c r="R1572" s="71" t="s">
        <v>388</v>
      </c>
      <c r="S1572" s="73">
        <v>0</v>
      </c>
      <c r="T1572" s="71" t="s">
        <v>390</v>
      </c>
      <c r="U1572" s="74">
        <v>1</v>
      </c>
      <c r="V1572" s="71" t="s">
        <v>391</v>
      </c>
      <c r="W1572" s="130">
        <v>46070.423611111109</v>
      </c>
      <c r="X1572" s="72">
        <v>46072.270833333336</v>
      </c>
      <c r="Y1572" s="72">
        <v>46072.419444444444</v>
      </c>
      <c r="Z1572" s="104" t="s">
        <v>382</v>
      </c>
      <c r="AA1572" s="104" t="s">
        <v>595</v>
      </c>
      <c r="AB1572" s="105">
        <v>46072.276388888888</v>
      </c>
      <c r="AC1572" s="105">
        <v>46072.395833333336</v>
      </c>
    </row>
    <row r="1573" s="70" customFormat="1" ht="11.25" customHeight="1">
      <c r="A1573" s="87"/>
      <c r="C1573" s="43" t="s">
        <v>2902</v>
      </c>
      <c r="D1573" s="71" t="s">
        <v>382</v>
      </c>
      <c r="E1573" s="71" t="str">
        <f>MID(D1573,1,2)</f>
        <v>IL</v>
      </c>
      <c r="F1573" s="71" t="s">
        <v>597</v>
      </c>
      <c r="G1573" s="71" t="str">
        <f>MID(F1573,1,2)</f>
        <v>NL</v>
      </c>
      <c r="H1573" s="43" t="s">
        <v>2903</v>
      </c>
      <c r="I1573" s="71" t="s">
        <v>2904</v>
      </c>
      <c r="J1573" s="71" t="s">
        <v>811</v>
      </c>
      <c r="K1573" s="43"/>
      <c r="L1573" s="71" t="s">
        <v>105</v>
      </c>
      <c r="M1573" s="73">
        <v>121</v>
      </c>
      <c r="N1573" s="71" t="s">
        <v>388</v>
      </c>
      <c r="O1573" s="73">
        <v>0.247</v>
      </c>
      <c r="P1573" s="71" t="s">
        <v>389</v>
      </c>
      <c r="Q1573" s="73">
        <v>121</v>
      </c>
      <c r="R1573" s="71" t="s">
        <v>388</v>
      </c>
      <c r="S1573" s="73">
        <v>0</v>
      </c>
      <c r="T1573" s="71" t="s">
        <v>390</v>
      </c>
      <c r="U1573" s="74">
        <v>4</v>
      </c>
      <c r="V1573" s="71" t="s">
        <v>391</v>
      </c>
      <c r="W1573" s="130">
        <v>46070.701388888891</v>
      </c>
      <c r="X1573" s="72">
        <v>46073.159722222219</v>
      </c>
      <c r="Y1573" s="72">
        <v>46073.336805555555</v>
      </c>
      <c r="Z1573" s="104" t="s">
        <v>382</v>
      </c>
      <c r="AA1573" s="104" t="s">
        <v>597</v>
      </c>
      <c r="AB1573" s="105">
        <v>46073.168055555558</v>
      </c>
      <c r="AC1573" s="105">
        <v>46073.327777777777</v>
      </c>
    </row>
    <row r="1574" s="70" customFormat="1" ht="11.25" customHeight="1">
      <c r="A1574" s="87"/>
      <c r="C1574" s="43" t="s">
        <v>2905</v>
      </c>
      <c r="D1574" s="71" t="s">
        <v>382</v>
      </c>
      <c r="E1574" s="71" t="str">
        <f>MID(D1574,1,2)</f>
        <v>IL</v>
      </c>
      <c r="F1574" s="71" t="s">
        <v>667</v>
      </c>
      <c r="G1574" s="71" t="str">
        <f>MID(F1574,1,2)</f>
        <v>DE</v>
      </c>
      <c r="H1574" s="43" t="s">
        <v>2875</v>
      </c>
      <c r="I1574" s="71" t="s">
        <v>2906</v>
      </c>
      <c r="J1574" s="71" t="s">
        <v>386</v>
      </c>
      <c r="K1574" s="43"/>
      <c r="L1574" s="71" t="s">
        <v>107</v>
      </c>
      <c r="M1574" s="73">
        <v>36</v>
      </c>
      <c r="N1574" s="71" t="s">
        <v>388</v>
      </c>
      <c r="O1574" s="73">
        <v>0.288</v>
      </c>
      <c r="P1574" s="71" t="s">
        <v>389</v>
      </c>
      <c r="Q1574" s="73">
        <v>100</v>
      </c>
      <c r="R1574" s="71" t="s">
        <v>388</v>
      </c>
      <c r="S1574" s="73">
        <v>0</v>
      </c>
      <c r="T1574" s="71" t="s">
        <v>390</v>
      </c>
      <c r="U1574" s="74">
        <v>1</v>
      </c>
      <c r="V1574" s="71" t="s">
        <v>391</v>
      </c>
      <c r="W1574" s="130"/>
      <c r="X1574" s="72">
        <v>46072.829861111109</v>
      </c>
      <c r="Y1574" s="72">
        <v>46077.225694444445</v>
      </c>
      <c r="Z1574" s="104" t="s">
        <v>382</v>
      </c>
      <c r="AA1574" s="104" t="s">
        <v>748</v>
      </c>
      <c r="AB1574" s="105">
        <v>46072.829861111109</v>
      </c>
      <c r="AC1574" s="105"/>
    </row>
    <row r="1575" s="70" customFormat="1" ht="11.25" customHeight="1">
      <c r="A1575" s="87"/>
      <c r="C1575" s="43" t="s">
        <v>2905</v>
      </c>
      <c r="D1575" s="71" t="s">
        <v>382</v>
      </c>
      <c r="E1575" s="71" t="str">
        <f>MID(D1575,1,2)</f>
        <v>IL</v>
      </c>
      <c r="F1575" s="71" t="s">
        <v>667</v>
      </c>
      <c r="G1575" s="71" t="str">
        <f>MID(F1575,1,2)</f>
        <v>DE</v>
      </c>
      <c r="H1575" s="43" t="s">
        <v>2875</v>
      </c>
      <c r="I1575" s="71" t="s">
        <v>2906</v>
      </c>
      <c r="J1575" s="71" t="s">
        <v>386</v>
      </c>
      <c r="K1575" s="43"/>
      <c r="L1575" s="71" t="s">
        <v>107</v>
      </c>
      <c r="M1575" s="73">
        <v>36</v>
      </c>
      <c r="N1575" s="71" t="s">
        <v>388</v>
      </c>
      <c r="O1575" s="73">
        <v>0.288</v>
      </c>
      <c r="P1575" s="71" t="s">
        <v>389</v>
      </c>
      <c r="Q1575" s="73">
        <v>100</v>
      </c>
      <c r="R1575" s="71" t="s">
        <v>388</v>
      </c>
      <c r="S1575" s="73">
        <v>0</v>
      </c>
      <c r="T1575" s="71" t="s">
        <v>390</v>
      </c>
      <c r="U1575" s="74">
        <v>1</v>
      </c>
      <c r="V1575" s="71" t="s">
        <v>391</v>
      </c>
      <c r="W1575" s="130"/>
      <c r="X1575" s="72">
        <v>46072.829861111109</v>
      </c>
      <c r="Y1575" s="72">
        <v>46077.225694444445</v>
      </c>
      <c r="Z1575" s="104" t="s">
        <v>748</v>
      </c>
      <c r="AA1575" s="104" t="s">
        <v>667</v>
      </c>
      <c r="AB1575" s="105">
        <v>46077.51458333333</v>
      </c>
      <c r="AC1575" s="105">
        <v>46077.897222222222</v>
      </c>
    </row>
    <row r="1576" s="70" customFormat="1" ht="11.25" customHeight="1">
      <c r="A1576" s="87"/>
      <c r="C1576" s="43" t="s">
        <v>2907</v>
      </c>
      <c r="D1576" s="71" t="s">
        <v>382</v>
      </c>
      <c r="E1576" s="71" t="str">
        <f>MID(D1576,1,2)</f>
        <v>IL</v>
      </c>
      <c r="F1576" s="71" t="s">
        <v>963</v>
      </c>
      <c r="G1576" s="71" t="str">
        <f>MID(F1576,1,2)</f>
        <v>IN</v>
      </c>
      <c r="H1576" s="43" t="s">
        <v>2818</v>
      </c>
      <c r="I1576" s="71" t="s">
        <v>2908</v>
      </c>
      <c r="J1576" s="71" t="s">
        <v>426</v>
      </c>
      <c r="K1576" s="43"/>
      <c r="L1576" s="71" t="s">
        <v>105</v>
      </c>
      <c r="M1576" s="73">
        <v>106</v>
      </c>
      <c r="N1576" s="71" t="s">
        <v>388</v>
      </c>
      <c r="O1576" s="73">
        <v>1.021</v>
      </c>
      <c r="P1576" s="71" t="s">
        <v>389</v>
      </c>
      <c r="Q1576" s="73">
        <v>170.5</v>
      </c>
      <c r="R1576" s="71" t="s">
        <v>388</v>
      </c>
      <c r="S1576" s="73">
        <v>0</v>
      </c>
      <c r="T1576" s="71" t="s">
        <v>390</v>
      </c>
      <c r="U1576" s="74">
        <v>1</v>
      </c>
      <c r="V1576" s="71" t="s">
        <v>391</v>
      </c>
      <c r="W1576" s="130">
        <v>46070.664305555554</v>
      </c>
      <c r="X1576" s="72">
        <v>46072.715277777781</v>
      </c>
      <c r="Y1576" s="72">
        <v>46074.129166666666</v>
      </c>
      <c r="Z1576" s="104" t="s">
        <v>382</v>
      </c>
      <c r="AA1576" s="104" t="s">
        <v>667</v>
      </c>
      <c r="AB1576" s="105">
        <v>46072.71875</v>
      </c>
      <c r="AC1576" s="105">
        <v>46072.843055555553</v>
      </c>
    </row>
    <row r="1577" s="70" customFormat="1" ht="11.25" customHeight="1">
      <c r="A1577" s="87"/>
      <c r="C1577" s="43" t="s">
        <v>2907</v>
      </c>
      <c r="D1577" s="71" t="s">
        <v>382</v>
      </c>
      <c r="E1577" s="71" t="str">
        <f>MID(D1577,1,2)</f>
        <v>IL</v>
      </c>
      <c r="F1577" s="71" t="s">
        <v>963</v>
      </c>
      <c r="G1577" s="71" t="str">
        <f>MID(F1577,1,2)</f>
        <v>IN</v>
      </c>
      <c r="H1577" s="43" t="s">
        <v>2818</v>
      </c>
      <c r="I1577" s="71" t="s">
        <v>2908</v>
      </c>
      <c r="J1577" s="71" t="s">
        <v>426</v>
      </c>
      <c r="K1577" s="43"/>
      <c r="L1577" s="71" t="s">
        <v>105</v>
      </c>
      <c r="M1577" s="73">
        <v>106</v>
      </c>
      <c r="N1577" s="71" t="s">
        <v>388</v>
      </c>
      <c r="O1577" s="73">
        <v>1.021</v>
      </c>
      <c r="P1577" s="71" t="s">
        <v>389</v>
      </c>
      <c r="Q1577" s="73">
        <v>170.5</v>
      </c>
      <c r="R1577" s="71" t="s">
        <v>388</v>
      </c>
      <c r="S1577" s="73">
        <v>0</v>
      </c>
      <c r="T1577" s="71" t="s">
        <v>390</v>
      </c>
      <c r="U1577" s="74">
        <v>1</v>
      </c>
      <c r="V1577" s="71" t="s">
        <v>391</v>
      </c>
      <c r="W1577" s="130">
        <v>46070.664305555554</v>
      </c>
      <c r="X1577" s="72">
        <v>46072.715277777781</v>
      </c>
      <c r="Y1577" s="72">
        <v>46074.129166666666</v>
      </c>
      <c r="Z1577" s="104" t="s">
        <v>667</v>
      </c>
      <c r="AA1577" s="104" t="s">
        <v>963</v>
      </c>
      <c r="AB1577" s="105">
        <v>46073.591666666667</v>
      </c>
      <c r="AC1577" s="105">
        <v>46074.130555555559</v>
      </c>
    </row>
    <row r="1578" s="70" customFormat="1" ht="11.25" customHeight="1">
      <c r="A1578" s="87"/>
      <c r="C1578" s="43" t="s">
        <v>2909</v>
      </c>
      <c r="D1578" s="71" t="s">
        <v>382</v>
      </c>
      <c r="E1578" s="71" t="str">
        <f>MID(D1578,1,2)</f>
        <v>IL</v>
      </c>
      <c r="F1578" s="71" t="s">
        <v>1169</v>
      </c>
      <c r="G1578" s="71" t="str">
        <f>MID(F1578,1,2)</f>
        <v>HU</v>
      </c>
      <c r="H1578" s="43" t="s">
        <v>2910</v>
      </c>
      <c r="I1578" s="71" t="s">
        <v>2911</v>
      </c>
      <c r="J1578" s="71" t="s">
        <v>811</v>
      </c>
      <c r="K1578" s="43"/>
      <c r="L1578" s="71" t="s">
        <v>105</v>
      </c>
      <c r="M1578" s="73">
        <v>60</v>
      </c>
      <c r="N1578" s="71" t="s">
        <v>388</v>
      </c>
      <c r="O1578" s="73">
        <v>0.374</v>
      </c>
      <c r="P1578" s="71" t="s">
        <v>389</v>
      </c>
      <c r="Q1578" s="73">
        <v>100</v>
      </c>
      <c r="R1578" s="71" t="s">
        <v>388</v>
      </c>
      <c r="S1578" s="73">
        <v>0</v>
      </c>
      <c r="T1578" s="71" t="s">
        <v>390</v>
      </c>
      <c r="U1578" s="74">
        <v>1</v>
      </c>
      <c r="V1578" s="71" t="s">
        <v>391</v>
      </c>
      <c r="W1578" s="130">
        <v>46071.667361111111</v>
      </c>
      <c r="X1578" s="72">
        <v>46072.295138888891</v>
      </c>
      <c r="Y1578" s="72">
        <v>46072.428472222222</v>
      </c>
      <c r="Z1578" s="104" t="s">
        <v>382</v>
      </c>
      <c r="AA1578" s="104" t="s">
        <v>1169</v>
      </c>
      <c r="AB1578" s="105">
        <v>46072.308333333334</v>
      </c>
      <c r="AC1578" s="105">
        <v>46072.416666666664</v>
      </c>
    </row>
    <row r="1579" s="70" customFormat="1" ht="11.25" customHeight="1">
      <c r="A1579" s="87"/>
      <c r="C1579" s="43" t="s">
        <v>2912</v>
      </c>
      <c r="D1579" s="71" t="s">
        <v>382</v>
      </c>
      <c r="E1579" s="71" t="str">
        <f>MID(D1579,1,2)</f>
        <v>IL</v>
      </c>
      <c r="F1579" s="71" t="s">
        <v>422</v>
      </c>
      <c r="G1579" s="71" t="str">
        <f>MID(F1579,1,2)</f>
        <v>US</v>
      </c>
      <c r="H1579" s="43" t="s">
        <v>2913</v>
      </c>
      <c r="I1579" s="71" t="s">
        <v>2914</v>
      </c>
      <c r="J1579" s="71" t="s">
        <v>386</v>
      </c>
      <c r="K1579" s="43"/>
      <c r="L1579" s="71" t="s">
        <v>107</v>
      </c>
      <c r="M1579" s="73">
        <v>88</v>
      </c>
      <c r="N1579" s="71" t="s">
        <v>388</v>
      </c>
      <c r="O1579" s="73">
        <v>1.01</v>
      </c>
      <c r="P1579" s="71" t="s">
        <v>389</v>
      </c>
      <c r="Q1579" s="73">
        <v>168.5</v>
      </c>
      <c r="R1579" s="71" t="s">
        <v>388</v>
      </c>
      <c r="S1579" s="73">
        <v>0</v>
      </c>
      <c r="T1579" s="71" t="s">
        <v>390</v>
      </c>
      <c r="U1579" s="74">
        <v>1</v>
      </c>
      <c r="V1579" s="71" t="s">
        <v>391</v>
      </c>
      <c r="W1579" s="130">
        <v>46070.452777777777</v>
      </c>
      <c r="X1579" s="72">
        <v>46072.965277777781</v>
      </c>
      <c r="Y1579" s="72">
        <v>46074.177083333336</v>
      </c>
      <c r="Z1579" s="104" t="s">
        <v>382</v>
      </c>
      <c r="AA1579" s="104" t="s">
        <v>422</v>
      </c>
      <c r="AB1579" s="105">
        <v>46073.47152777778</v>
      </c>
      <c r="AC1579" s="105">
        <v>46073.68125</v>
      </c>
    </row>
    <row r="1580" s="70" customFormat="1" ht="11.25" customHeight="1">
      <c r="A1580" s="87"/>
      <c r="C1580" s="43" t="s">
        <v>2915</v>
      </c>
      <c r="D1580" s="71" t="s">
        <v>382</v>
      </c>
      <c r="E1580" s="71" t="str">
        <f>MID(D1580,1,2)</f>
        <v>IL</v>
      </c>
      <c r="F1580" s="71" t="s">
        <v>414</v>
      </c>
      <c r="G1580" s="71" t="str">
        <f>MID(F1580,1,2)</f>
        <v>US</v>
      </c>
      <c r="H1580" s="43" t="s">
        <v>2847</v>
      </c>
      <c r="I1580" s="71" t="s">
        <v>2916</v>
      </c>
      <c r="J1580" s="71" t="s">
        <v>426</v>
      </c>
      <c r="K1580" s="43" t="s">
        <v>759</v>
      </c>
      <c r="L1580" s="71" t="s">
        <v>105</v>
      </c>
      <c r="M1580" s="73">
        <v>3</v>
      </c>
      <c r="N1580" s="71" t="s">
        <v>388</v>
      </c>
      <c r="O1580" s="73">
        <v>0.074</v>
      </c>
      <c r="P1580" s="71" t="s">
        <v>389</v>
      </c>
      <c r="Q1580" s="73">
        <v>12.5</v>
      </c>
      <c r="R1580" s="71" t="s">
        <v>388</v>
      </c>
      <c r="S1580" s="73">
        <v>0</v>
      </c>
      <c r="T1580" s="71" t="s">
        <v>390</v>
      </c>
      <c r="U1580" s="74">
        <v>1</v>
      </c>
      <c r="V1580" s="71" t="s">
        <v>427</v>
      </c>
      <c r="W1580" s="130">
        <v>46070.445138888892</v>
      </c>
      <c r="X1580" s="72">
        <v>46073.03125</v>
      </c>
      <c r="Y1580" s="72">
        <v>46073.239583333336</v>
      </c>
      <c r="Z1580" s="104" t="s">
        <v>382</v>
      </c>
      <c r="AA1580" s="104" t="s">
        <v>414</v>
      </c>
      <c r="AB1580" s="105">
        <v>46073.040277777778</v>
      </c>
      <c r="AC1580" s="105">
        <v>46073.227083333331</v>
      </c>
    </row>
    <row r="1581" s="70" customFormat="1" ht="11.25" customHeight="1">
      <c r="A1581" s="87"/>
      <c r="C1581" s="43" t="s">
        <v>2917</v>
      </c>
      <c r="D1581" s="71" t="s">
        <v>382</v>
      </c>
      <c r="E1581" s="71" t="str">
        <f>MID(D1581,1,2)</f>
        <v>IL</v>
      </c>
      <c r="F1581" s="71" t="s">
        <v>397</v>
      </c>
      <c r="G1581" s="71" t="str">
        <f>MID(F1581,1,2)</f>
        <v>IN</v>
      </c>
      <c r="H1581" s="43" t="s">
        <v>2918</v>
      </c>
      <c r="I1581" s="71" t="s">
        <v>2919</v>
      </c>
      <c r="J1581" s="71" t="s">
        <v>811</v>
      </c>
      <c r="K1581" s="43"/>
      <c r="L1581" s="71" t="s">
        <v>105</v>
      </c>
      <c r="M1581" s="73">
        <v>24</v>
      </c>
      <c r="N1581" s="71" t="s">
        <v>388</v>
      </c>
      <c r="O1581" s="73">
        <v>0.062</v>
      </c>
      <c r="P1581" s="71" t="s">
        <v>389</v>
      </c>
      <c r="Q1581" s="73">
        <v>100</v>
      </c>
      <c r="R1581" s="71" t="s">
        <v>388</v>
      </c>
      <c r="S1581" s="73">
        <v>0</v>
      </c>
      <c r="T1581" s="71" t="s">
        <v>390</v>
      </c>
      <c r="U1581" s="74">
        <v>1</v>
      </c>
      <c r="V1581" s="71" t="s">
        <v>391</v>
      </c>
      <c r="W1581" s="130">
        <v>46070.85833333333</v>
      </c>
      <c r="X1581" s="72">
        <v>46070.701388888891</v>
      </c>
      <c r="Y1581" s="72">
        <v>46074.701388888891</v>
      </c>
      <c r="Z1581" s="104" t="s">
        <v>382</v>
      </c>
      <c r="AA1581" s="104" t="s">
        <v>833</v>
      </c>
      <c r="AB1581" s="105">
        <v>46071.897222222222</v>
      </c>
      <c r="AC1581" s="105">
        <v>46072.55625</v>
      </c>
    </row>
    <row r="1582" s="70" customFormat="1" ht="11.25" customHeight="1">
      <c r="A1582" s="87"/>
      <c r="C1582" s="43" t="s">
        <v>2917</v>
      </c>
      <c r="D1582" s="71" t="s">
        <v>382</v>
      </c>
      <c r="E1582" s="71" t="str">
        <f>MID(D1582,1,2)</f>
        <v>IL</v>
      </c>
      <c r="F1582" s="71" t="s">
        <v>397</v>
      </c>
      <c r="G1582" s="71" t="str">
        <f>MID(F1582,1,2)</f>
        <v>IN</v>
      </c>
      <c r="H1582" s="43" t="s">
        <v>2918</v>
      </c>
      <c r="I1582" s="71" t="s">
        <v>2919</v>
      </c>
      <c r="J1582" s="71" t="s">
        <v>811</v>
      </c>
      <c r="K1582" s="43"/>
      <c r="L1582" s="71" t="s">
        <v>105</v>
      </c>
      <c r="M1582" s="73">
        <v>24</v>
      </c>
      <c r="N1582" s="71" t="s">
        <v>388</v>
      </c>
      <c r="O1582" s="73">
        <v>0.062</v>
      </c>
      <c r="P1582" s="71" t="s">
        <v>389</v>
      </c>
      <c r="Q1582" s="73">
        <v>100</v>
      </c>
      <c r="R1582" s="71" t="s">
        <v>388</v>
      </c>
      <c r="S1582" s="73">
        <v>0</v>
      </c>
      <c r="T1582" s="71" t="s">
        <v>390</v>
      </c>
      <c r="U1582" s="74">
        <v>1</v>
      </c>
      <c r="V1582" s="71" t="s">
        <v>391</v>
      </c>
      <c r="W1582" s="130">
        <v>46070.85833333333</v>
      </c>
      <c r="X1582" s="72">
        <v>46070.701388888891</v>
      </c>
      <c r="Y1582" s="72">
        <v>46074.701388888891</v>
      </c>
      <c r="Z1582" s="104" t="s">
        <v>833</v>
      </c>
      <c r="AA1582" s="104" t="s">
        <v>397</v>
      </c>
      <c r="AB1582" s="105">
        <v>46073.907638888886</v>
      </c>
      <c r="AC1582" s="105">
        <v>46073.982638888891</v>
      </c>
    </row>
    <row r="1583" s="70" customFormat="1" ht="11.25" customHeight="1">
      <c r="A1583" s="87"/>
      <c r="C1583" s="43" t="s">
        <v>2920</v>
      </c>
      <c r="D1583" s="71" t="s">
        <v>382</v>
      </c>
      <c r="E1583" s="71" t="str">
        <f>MID(D1583,1,2)</f>
        <v>IL</v>
      </c>
      <c r="F1583" s="71" t="s">
        <v>414</v>
      </c>
      <c r="G1583" s="71" t="str">
        <f>MID(F1583,1,2)</f>
        <v>US</v>
      </c>
      <c r="H1583" s="43" t="s">
        <v>2847</v>
      </c>
      <c r="I1583" s="71" t="s">
        <v>2921</v>
      </c>
      <c r="J1583" s="71" t="s">
        <v>454</v>
      </c>
      <c r="K1583" s="43" t="s">
        <v>759</v>
      </c>
      <c r="L1583" s="71" t="s">
        <v>107</v>
      </c>
      <c r="M1583" s="73">
        <v>5</v>
      </c>
      <c r="N1583" s="71" t="s">
        <v>388</v>
      </c>
      <c r="O1583" s="73">
        <v>0.052</v>
      </c>
      <c r="P1583" s="71" t="s">
        <v>389</v>
      </c>
      <c r="Q1583" s="73">
        <v>9</v>
      </c>
      <c r="R1583" s="71" t="s">
        <v>388</v>
      </c>
      <c r="S1583" s="73">
        <v>0</v>
      </c>
      <c r="T1583" s="71" t="s">
        <v>390</v>
      </c>
      <c r="U1583" s="74">
        <v>1</v>
      </c>
      <c r="V1583" s="71" t="s">
        <v>427</v>
      </c>
      <c r="W1583" s="130">
        <v>46070.46597222222</v>
      </c>
      <c r="X1583" s="72">
        <v>46073.03125</v>
      </c>
      <c r="Y1583" s="72">
        <v>46073.239583333336</v>
      </c>
      <c r="Z1583" s="104" t="s">
        <v>382</v>
      </c>
      <c r="AA1583" s="104" t="s">
        <v>414</v>
      </c>
      <c r="AB1583" s="105">
        <v>46073.040277777778</v>
      </c>
      <c r="AC1583" s="105">
        <v>46073.227083333331</v>
      </c>
    </row>
    <row r="1584" s="70" customFormat="1" ht="11.25" customHeight="1">
      <c r="A1584" s="87"/>
      <c r="C1584" s="43" t="s">
        <v>2922</v>
      </c>
      <c r="D1584" s="71" t="s">
        <v>382</v>
      </c>
      <c r="E1584" s="71" t="str">
        <f>MID(D1584,1,2)</f>
        <v>IL</v>
      </c>
      <c r="F1584" s="71" t="s">
        <v>809</v>
      </c>
      <c r="G1584" s="71" t="str">
        <f>MID(F1584,1,2)</f>
        <v>IN</v>
      </c>
      <c r="H1584" s="43" t="s">
        <v>2923</v>
      </c>
      <c r="I1584" s="71" t="s">
        <v>2924</v>
      </c>
      <c r="J1584" s="71" t="s">
        <v>811</v>
      </c>
      <c r="K1584" s="43"/>
      <c r="L1584" s="71" t="s">
        <v>105</v>
      </c>
      <c r="M1584" s="73">
        <v>40</v>
      </c>
      <c r="N1584" s="71" t="s">
        <v>388</v>
      </c>
      <c r="O1584" s="73">
        <v>0.374</v>
      </c>
      <c r="P1584" s="71" t="s">
        <v>389</v>
      </c>
      <c r="Q1584" s="73">
        <v>100</v>
      </c>
      <c r="R1584" s="71" t="s">
        <v>388</v>
      </c>
      <c r="S1584" s="73">
        <v>0</v>
      </c>
      <c r="T1584" s="71" t="s">
        <v>390</v>
      </c>
      <c r="U1584" s="74">
        <v>1</v>
      </c>
      <c r="V1584" s="71" t="s">
        <v>391</v>
      </c>
      <c r="W1584" s="130"/>
      <c r="X1584" s="72">
        <v>46070.459722222222</v>
      </c>
      <c r="Y1584" s="72">
        <v>46073.666666666664</v>
      </c>
      <c r="Z1584" s="104" t="s">
        <v>382</v>
      </c>
      <c r="AA1584" s="104" t="s">
        <v>1175</v>
      </c>
      <c r="AB1584" s="105">
        <v>46071.541666666664</v>
      </c>
      <c r="AC1584" s="105">
        <v>46071.761111111111</v>
      </c>
    </row>
    <row r="1585" s="70" customFormat="1" ht="11.25" customHeight="1">
      <c r="A1585" s="87"/>
      <c r="C1585" s="43" t="s">
        <v>2922</v>
      </c>
      <c r="D1585" s="71" t="s">
        <v>382</v>
      </c>
      <c r="E1585" s="71" t="str">
        <f>MID(D1585,1,2)</f>
        <v>IL</v>
      </c>
      <c r="F1585" s="71" t="s">
        <v>809</v>
      </c>
      <c r="G1585" s="71" t="str">
        <f>MID(F1585,1,2)</f>
        <v>IN</v>
      </c>
      <c r="H1585" s="43" t="s">
        <v>2923</v>
      </c>
      <c r="I1585" s="71" t="s">
        <v>2924</v>
      </c>
      <c r="J1585" s="71" t="s">
        <v>811</v>
      </c>
      <c r="K1585" s="43"/>
      <c r="L1585" s="71" t="s">
        <v>105</v>
      </c>
      <c r="M1585" s="73">
        <v>40</v>
      </c>
      <c r="N1585" s="71" t="s">
        <v>388</v>
      </c>
      <c r="O1585" s="73">
        <v>0.374</v>
      </c>
      <c r="P1585" s="71" t="s">
        <v>389</v>
      </c>
      <c r="Q1585" s="73">
        <v>100</v>
      </c>
      <c r="R1585" s="71" t="s">
        <v>388</v>
      </c>
      <c r="S1585" s="73">
        <v>0</v>
      </c>
      <c r="T1585" s="71" t="s">
        <v>390</v>
      </c>
      <c r="U1585" s="74">
        <v>1</v>
      </c>
      <c r="V1585" s="71" t="s">
        <v>391</v>
      </c>
      <c r="W1585" s="130"/>
      <c r="X1585" s="72">
        <v>46070.459722222222</v>
      </c>
      <c r="Y1585" s="72">
        <v>46073.666666666664</v>
      </c>
      <c r="Z1585" s="104" t="s">
        <v>1175</v>
      </c>
      <c r="AA1585" s="104" t="s">
        <v>809</v>
      </c>
      <c r="AB1585" s="105">
        <v>46072.98125</v>
      </c>
      <c r="AC1585" s="105">
        <v>46073.222222222219</v>
      </c>
    </row>
    <row r="1586" s="70" customFormat="1" ht="11.25" customHeight="1">
      <c r="A1586" s="87"/>
      <c r="C1586" s="43" t="s">
        <v>2925</v>
      </c>
      <c r="D1586" s="71" t="s">
        <v>382</v>
      </c>
      <c r="E1586" s="71" t="str">
        <f>MID(D1586,1,2)</f>
        <v>IL</v>
      </c>
      <c r="F1586" s="71" t="s">
        <v>1163</v>
      </c>
      <c r="G1586" s="71" t="str">
        <f>MID(F1586,1,2)</f>
        <v>AR</v>
      </c>
      <c r="H1586" s="43" t="s">
        <v>2926</v>
      </c>
      <c r="I1586" s="71" t="s">
        <v>2927</v>
      </c>
      <c r="J1586" s="71" t="s">
        <v>811</v>
      </c>
      <c r="K1586" s="43"/>
      <c r="L1586" s="71" t="s">
        <v>105</v>
      </c>
      <c r="M1586" s="73">
        <v>221</v>
      </c>
      <c r="N1586" s="71" t="s">
        <v>388</v>
      </c>
      <c r="O1586" s="73">
        <v>0.967</v>
      </c>
      <c r="P1586" s="71" t="s">
        <v>389</v>
      </c>
      <c r="Q1586" s="73">
        <v>221</v>
      </c>
      <c r="R1586" s="71" t="s">
        <v>388</v>
      </c>
      <c r="S1586" s="73">
        <v>0</v>
      </c>
      <c r="T1586" s="71" t="s">
        <v>390</v>
      </c>
      <c r="U1586" s="74">
        <v>1</v>
      </c>
      <c r="V1586" s="71" t="s">
        <v>391</v>
      </c>
      <c r="W1586" s="130"/>
      <c r="X1586" s="72">
        <v>46073.464583333334</v>
      </c>
      <c r="Y1586" s="72">
        <v>46080.427083333336</v>
      </c>
      <c r="Z1586" s="104" t="s">
        <v>382</v>
      </c>
      <c r="AA1586" s="104" t="s">
        <v>414</v>
      </c>
      <c r="AB1586" s="105">
        <v>46073.47152777778</v>
      </c>
      <c r="AC1586" s="105">
        <v>46073.706944444442</v>
      </c>
    </row>
    <row r="1587" s="70" customFormat="1" ht="11.25" customHeight="1">
      <c r="A1587" s="87"/>
      <c r="C1587" s="43" t="s">
        <v>2925</v>
      </c>
      <c r="D1587" s="71" t="s">
        <v>382</v>
      </c>
      <c r="E1587" s="71" t="str">
        <f>MID(D1587,1,2)</f>
        <v>IL</v>
      </c>
      <c r="F1587" s="71" t="s">
        <v>1163</v>
      </c>
      <c r="G1587" s="71" t="str">
        <f>MID(F1587,1,2)</f>
        <v>AR</v>
      </c>
      <c r="H1587" s="43" t="s">
        <v>2926</v>
      </c>
      <c r="I1587" s="71" t="s">
        <v>2927</v>
      </c>
      <c r="J1587" s="71" t="s">
        <v>811</v>
      </c>
      <c r="K1587" s="43"/>
      <c r="L1587" s="71" t="s">
        <v>105</v>
      </c>
      <c r="M1587" s="73">
        <v>221</v>
      </c>
      <c r="N1587" s="71" t="s">
        <v>388</v>
      </c>
      <c r="O1587" s="73">
        <v>0.967</v>
      </c>
      <c r="P1587" s="71" t="s">
        <v>389</v>
      </c>
      <c r="Q1587" s="73">
        <v>221</v>
      </c>
      <c r="R1587" s="71" t="s">
        <v>388</v>
      </c>
      <c r="S1587" s="73">
        <v>0</v>
      </c>
      <c r="T1587" s="71" t="s">
        <v>390</v>
      </c>
      <c r="U1587" s="74">
        <v>1</v>
      </c>
      <c r="V1587" s="71" t="s">
        <v>391</v>
      </c>
      <c r="W1587" s="130"/>
      <c r="X1587" s="72">
        <v>46073.464583333334</v>
      </c>
      <c r="Y1587" s="72">
        <v>46080.427083333336</v>
      </c>
      <c r="Z1587" s="104" t="s">
        <v>414</v>
      </c>
      <c r="AA1587" s="104" t="s">
        <v>1163</v>
      </c>
      <c r="AB1587" s="105">
        <v>46079.930555555555</v>
      </c>
      <c r="AC1587" s="105">
        <v>46080.466666666667</v>
      </c>
    </row>
    <row r="1588" s="70" customFormat="1" ht="11.25" customHeight="1">
      <c r="A1588" s="87"/>
      <c r="C1588" s="43" t="s">
        <v>2928</v>
      </c>
      <c r="D1588" s="71" t="s">
        <v>382</v>
      </c>
      <c r="E1588" s="71" t="str">
        <f>MID(D1588,1,2)</f>
        <v>IL</v>
      </c>
      <c r="F1588" s="71" t="s">
        <v>383</v>
      </c>
      <c r="G1588" s="71" t="str">
        <f>MID(F1588,1,2)</f>
        <v>DE</v>
      </c>
      <c r="H1588" s="43" t="s">
        <v>2929</v>
      </c>
      <c r="I1588" s="71" t="s">
        <v>2930</v>
      </c>
      <c r="J1588" s="71" t="s">
        <v>435</v>
      </c>
      <c r="K1588" s="43"/>
      <c r="L1588" s="71" t="s">
        <v>105</v>
      </c>
      <c r="M1588" s="73">
        <v>82</v>
      </c>
      <c r="N1588" s="71" t="s">
        <v>388</v>
      </c>
      <c r="O1588" s="73">
        <v>0.366</v>
      </c>
      <c r="P1588" s="71" t="s">
        <v>389</v>
      </c>
      <c r="Q1588" s="73">
        <v>100</v>
      </c>
      <c r="R1588" s="71" t="s">
        <v>388</v>
      </c>
      <c r="S1588" s="73">
        <v>0</v>
      </c>
      <c r="T1588" s="71" t="s">
        <v>390</v>
      </c>
      <c r="U1588" s="74">
        <v>1</v>
      </c>
      <c r="V1588" s="71" t="s">
        <v>391</v>
      </c>
      <c r="W1588" s="130">
        <v>46070.494166666664</v>
      </c>
      <c r="X1588" s="72">
        <v>46071.041666666664</v>
      </c>
      <c r="Y1588" s="72">
        <v>46071.84375</v>
      </c>
      <c r="Z1588" s="104" t="s">
        <v>382</v>
      </c>
      <c r="AA1588" s="104" t="s">
        <v>383</v>
      </c>
      <c r="AB1588" s="105">
        <v>46071.700694444444</v>
      </c>
      <c r="AC1588" s="105">
        <v>46071.843055555553</v>
      </c>
    </row>
    <row r="1589" s="70" customFormat="1" ht="11.25" customHeight="1">
      <c r="A1589" s="87"/>
      <c r="C1589" s="43" t="s">
        <v>2931</v>
      </c>
      <c r="D1589" s="71" t="s">
        <v>382</v>
      </c>
      <c r="E1589" s="71" t="str">
        <f>MID(D1589,1,2)</f>
        <v>IL</v>
      </c>
      <c r="F1589" s="71" t="s">
        <v>510</v>
      </c>
      <c r="G1589" s="71" t="str">
        <f>MID(F1589,1,2)</f>
        <v>US</v>
      </c>
      <c r="H1589" s="43" t="s">
        <v>2932</v>
      </c>
      <c r="I1589" s="71" t="s">
        <v>2933</v>
      </c>
      <c r="J1589" s="71" t="s">
        <v>483</v>
      </c>
      <c r="K1589" s="43"/>
      <c r="L1589" s="71" t="s">
        <v>105</v>
      </c>
      <c r="M1589" s="73">
        <v>400</v>
      </c>
      <c r="N1589" s="71" t="s">
        <v>388</v>
      </c>
      <c r="O1589" s="73">
        <v>1.92</v>
      </c>
      <c r="P1589" s="71" t="s">
        <v>389</v>
      </c>
      <c r="Q1589" s="73">
        <v>400</v>
      </c>
      <c r="R1589" s="71" t="s">
        <v>388</v>
      </c>
      <c r="S1589" s="73">
        <v>0</v>
      </c>
      <c r="T1589" s="71" t="s">
        <v>390</v>
      </c>
      <c r="U1589" s="74">
        <v>4</v>
      </c>
      <c r="V1589" s="71" t="s">
        <v>391</v>
      </c>
      <c r="W1589" s="130">
        <v>46070.535416666666</v>
      </c>
      <c r="X1589" s="72">
        <v>46073.993055555555</v>
      </c>
      <c r="Y1589" s="72">
        <v>46084.5</v>
      </c>
      <c r="Z1589" s="104" t="s">
        <v>382</v>
      </c>
      <c r="AA1589" s="104" t="s">
        <v>465</v>
      </c>
      <c r="AB1589" s="105">
        <v>46074.193055555559</v>
      </c>
      <c r="AC1589" s="105">
        <v>46074.416666666664</v>
      </c>
    </row>
    <row r="1590" s="70" customFormat="1" ht="11.25" customHeight="1">
      <c r="A1590" s="87"/>
      <c r="C1590" s="43" t="s">
        <v>2931</v>
      </c>
      <c r="D1590" s="71" t="s">
        <v>382</v>
      </c>
      <c r="E1590" s="71" t="str">
        <f>MID(D1590,1,2)</f>
        <v>IL</v>
      </c>
      <c r="F1590" s="71" t="s">
        <v>510</v>
      </c>
      <c r="G1590" s="71" t="str">
        <f>MID(F1590,1,2)</f>
        <v>US</v>
      </c>
      <c r="H1590" s="43" t="s">
        <v>2932</v>
      </c>
      <c r="I1590" s="71" t="s">
        <v>2933</v>
      </c>
      <c r="J1590" s="71" t="s">
        <v>483</v>
      </c>
      <c r="K1590" s="43"/>
      <c r="L1590" s="71" t="s">
        <v>105</v>
      </c>
      <c r="M1590" s="73">
        <v>400</v>
      </c>
      <c r="N1590" s="71" t="s">
        <v>388</v>
      </c>
      <c r="O1590" s="73">
        <v>1.92</v>
      </c>
      <c r="P1590" s="71" t="s">
        <v>389</v>
      </c>
      <c r="Q1590" s="73">
        <v>400</v>
      </c>
      <c r="R1590" s="71" t="s">
        <v>388</v>
      </c>
      <c r="S1590" s="73">
        <v>0</v>
      </c>
      <c r="T1590" s="71" t="s">
        <v>390</v>
      </c>
      <c r="U1590" s="74">
        <v>4</v>
      </c>
      <c r="V1590" s="71" t="s">
        <v>391</v>
      </c>
      <c r="W1590" s="130">
        <v>46070.535416666666</v>
      </c>
      <c r="X1590" s="72">
        <v>46073.993055555555</v>
      </c>
      <c r="Y1590" s="72">
        <v>46084.5</v>
      </c>
      <c r="Z1590" s="104" t="s">
        <v>465</v>
      </c>
      <c r="AA1590" s="104" t="s">
        <v>471</v>
      </c>
      <c r="AB1590" s="105">
        <v>46080.2625</v>
      </c>
      <c r="AC1590" s="105">
        <v>46080.045138888891</v>
      </c>
    </row>
    <row r="1591" s="70" customFormat="1" ht="11.25" customHeight="1">
      <c r="A1591" s="87"/>
      <c r="C1591" s="43" t="s">
        <v>2931</v>
      </c>
      <c r="D1591" s="71" t="s">
        <v>382</v>
      </c>
      <c r="E1591" s="71" t="str">
        <f>MID(D1591,1,2)</f>
        <v>IL</v>
      </c>
      <c r="F1591" s="71" t="s">
        <v>510</v>
      </c>
      <c r="G1591" s="71" t="str">
        <f>MID(F1591,1,2)</f>
        <v>US</v>
      </c>
      <c r="H1591" s="43" t="s">
        <v>2932</v>
      </c>
      <c r="I1591" s="71" t="s">
        <v>2933</v>
      </c>
      <c r="J1591" s="71" t="s">
        <v>483</v>
      </c>
      <c r="K1591" s="43"/>
      <c r="L1591" s="71" t="s">
        <v>105</v>
      </c>
      <c r="M1591" s="73">
        <v>400</v>
      </c>
      <c r="N1591" s="71" t="s">
        <v>388</v>
      </c>
      <c r="O1591" s="73">
        <v>1.92</v>
      </c>
      <c r="P1591" s="71" t="s">
        <v>389</v>
      </c>
      <c r="Q1591" s="73">
        <v>400</v>
      </c>
      <c r="R1591" s="71" t="s">
        <v>388</v>
      </c>
      <c r="S1591" s="73">
        <v>0</v>
      </c>
      <c r="T1591" s="71" t="s">
        <v>390</v>
      </c>
      <c r="U1591" s="74">
        <v>4</v>
      </c>
      <c r="V1591" s="71" t="s">
        <v>391</v>
      </c>
      <c r="W1591" s="130">
        <v>46070.535416666666</v>
      </c>
      <c r="X1591" s="72">
        <v>46073.993055555555</v>
      </c>
      <c r="Y1591" s="72">
        <v>46084.5</v>
      </c>
      <c r="Z1591" s="104" t="s">
        <v>471</v>
      </c>
      <c r="AA1591" s="104" t="s">
        <v>510</v>
      </c>
      <c r="AB1591" s="105">
        <v>46081.789583333331</v>
      </c>
      <c r="AC1591" s="105">
        <v>46084.399305555555</v>
      </c>
    </row>
    <row r="1592" s="70" customFormat="1" ht="11.25" customHeight="1">
      <c r="A1592" s="87"/>
      <c r="C1592" s="43" t="s">
        <v>2934</v>
      </c>
      <c r="D1592" s="71" t="s">
        <v>382</v>
      </c>
      <c r="E1592" s="71" t="str">
        <f>MID(D1592,1,2)</f>
        <v>IL</v>
      </c>
      <c r="F1592" s="71" t="s">
        <v>383</v>
      </c>
      <c r="G1592" s="71" t="str">
        <f>MID(F1592,1,2)</f>
        <v>DE</v>
      </c>
      <c r="H1592" s="43" t="s">
        <v>2935</v>
      </c>
      <c r="I1592" s="71"/>
      <c r="J1592" s="71" t="s">
        <v>426</v>
      </c>
      <c r="K1592" s="43"/>
      <c r="L1592" s="71" t="s">
        <v>105</v>
      </c>
      <c r="M1592" s="73">
        <v>442</v>
      </c>
      <c r="N1592" s="71" t="s">
        <v>388</v>
      </c>
      <c r="O1592" s="73">
        <v>5.523</v>
      </c>
      <c r="P1592" s="71" t="s">
        <v>389</v>
      </c>
      <c r="Q1592" s="73">
        <v>920.5</v>
      </c>
      <c r="R1592" s="71" t="s">
        <v>388</v>
      </c>
      <c r="S1592" s="73">
        <v>0</v>
      </c>
      <c r="T1592" s="71" t="s">
        <v>390</v>
      </c>
      <c r="U1592" s="74">
        <v>2</v>
      </c>
      <c r="V1592" s="71" t="s">
        <v>391</v>
      </c>
      <c r="W1592" s="130"/>
      <c r="X1592" s="72">
        <v>46076.003472222219</v>
      </c>
      <c r="Y1592" s="72">
        <v>46078.28125</v>
      </c>
      <c r="Z1592" s="104" t="s">
        <v>382</v>
      </c>
      <c r="AA1592" s="104" t="s">
        <v>383</v>
      </c>
      <c r="AB1592" s="105">
        <v>46075.982638888891</v>
      </c>
      <c r="AC1592" s="105">
        <v>46076.271527777775</v>
      </c>
    </row>
    <row r="1593" s="70" customFormat="1" ht="11.25" customHeight="1">
      <c r="A1593" s="87"/>
      <c r="C1593" s="43" t="s">
        <v>2936</v>
      </c>
      <c r="D1593" s="71" t="s">
        <v>382</v>
      </c>
      <c r="E1593" s="71" t="str">
        <f>MID(D1593,1,2)</f>
        <v>IL</v>
      </c>
      <c r="F1593" s="71" t="s">
        <v>414</v>
      </c>
      <c r="G1593" s="71" t="str">
        <f>MID(F1593,1,2)</f>
        <v>US</v>
      </c>
      <c r="H1593" s="43" t="s">
        <v>2847</v>
      </c>
      <c r="I1593" s="71" t="s">
        <v>2937</v>
      </c>
      <c r="J1593" s="71" t="s">
        <v>483</v>
      </c>
      <c r="K1593" s="43"/>
      <c r="L1593" s="71" t="s">
        <v>105</v>
      </c>
      <c r="M1593" s="73">
        <v>1</v>
      </c>
      <c r="N1593" s="71" t="s">
        <v>388</v>
      </c>
      <c r="O1593" s="73">
        <v>0.009</v>
      </c>
      <c r="P1593" s="71" t="s">
        <v>389</v>
      </c>
      <c r="Q1593" s="73">
        <v>1.5</v>
      </c>
      <c r="R1593" s="71" t="s">
        <v>388</v>
      </c>
      <c r="S1593" s="73">
        <v>0</v>
      </c>
      <c r="T1593" s="71" t="s">
        <v>390</v>
      </c>
      <c r="U1593" s="74">
        <v>1</v>
      </c>
      <c r="V1593" s="71" t="s">
        <v>427</v>
      </c>
      <c r="W1593" s="130">
        <v>46070.486111111109</v>
      </c>
      <c r="X1593" s="72">
        <v>46073.03125</v>
      </c>
      <c r="Y1593" s="72">
        <v>46073.239583333336</v>
      </c>
      <c r="Z1593" s="104" t="s">
        <v>382</v>
      </c>
      <c r="AA1593" s="104" t="s">
        <v>414</v>
      </c>
      <c r="AB1593" s="105">
        <v>46073.040277777778</v>
      </c>
      <c r="AC1593" s="105">
        <v>46073.227083333331</v>
      </c>
    </row>
    <row r="1594" s="70" customFormat="1" ht="11.25" customHeight="1">
      <c r="A1594" s="87"/>
      <c r="C1594" s="43" t="s">
        <v>2938</v>
      </c>
      <c r="D1594" s="71" t="s">
        <v>382</v>
      </c>
      <c r="E1594" s="71" t="str">
        <f>MID(D1594,1,2)</f>
        <v>IL</v>
      </c>
      <c r="F1594" s="71" t="s">
        <v>405</v>
      </c>
      <c r="G1594" s="71" t="str">
        <f>MID(F1594,1,2)</f>
        <v>CA</v>
      </c>
      <c r="H1594" s="43" t="s">
        <v>2939</v>
      </c>
      <c r="I1594" s="71" t="s">
        <v>2940</v>
      </c>
      <c r="J1594" s="71" t="s">
        <v>386</v>
      </c>
      <c r="K1594" s="43"/>
      <c r="L1594" s="71" t="s">
        <v>107</v>
      </c>
      <c r="M1594" s="73">
        <v>1393</v>
      </c>
      <c r="N1594" s="71" t="s">
        <v>388</v>
      </c>
      <c r="O1594" s="73">
        <v>2.188</v>
      </c>
      <c r="P1594" s="71" t="s">
        <v>389</v>
      </c>
      <c r="Q1594" s="73">
        <v>1393</v>
      </c>
      <c r="R1594" s="71" t="s">
        <v>388</v>
      </c>
      <c r="S1594" s="73">
        <v>0</v>
      </c>
      <c r="T1594" s="71" t="s">
        <v>390</v>
      </c>
      <c r="U1594" s="74">
        <v>7</v>
      </c>
      <c r="V1594" s="71" t="s">
        <v>417</v>
      </c>
      <c r="W1594" s="130">
        <v>46070.625</v>
      </c>
      <c r="X1594" s="72">
        <v>46071.458333333336</v>
      </c>
      <c r="Y1594" s="72">
        <v>46071.711805555555</v>
      </c>
      <c r="Z1594" s="104" t="s">
        <v>382</v>
      </c>
      <c r="AA1594" s="104" t="s">
        <v>405</v>
      </c>
      <c r="AB1594" s="105">
        <v>46071.491666666669</v>
      </c>
      <c r="AC1594" s="105">
        <v>46071.7</v>
      </c>
    </row>
    <row r="1595" s="70" customFormat="1" ht="11.25" customHeight="1">
      <c r="A1595" s="87"/>
      <c r="C1595" s="43" t="s">
        <v>2941</v>
      </c>
      <c r="D1595" s="71" t="s">
        <v>382</v>
      </c>
      <c r="E1595" s="71" t="str">
        <f>MID(D1595,1,2)</f>
        <v>IL</v>
      </c>
      <c r="F1595" s="71" t="s">
        <v>419</v>
      </c>
      <c r="G1595" s="71" t="str">
        <f>MID(F1595,1,2)</f>
        <v>US</v>
      </c>
      <c r="H1595" s="43" t="s">
        <v>2942</v>
      </c>
      <c r="I1595" s="71" t="s">
        <v>2943</v>
      </c>
      <c r="J1595" s="71" t="s">
        <v>426</v>
      </c>
      <c r="K1595" s="43"/>
      <c r="L1595" s="71" t="s">
        <v>105</v>
      </c>
      <c r="M1595" s="73">
        <v>6868</v>
      </c>
      <c r="N1595" s="71" t="s">
        <v>388</v>
      </c>
      <c r="O1595" s="73">
        <v>40.02</v>
      </c>
      <c r="P1595" s="71" t="s">
        <v>389</v>
      </c>
      <c r="Q1595" s="73">
        <v>6868</v>
      </c>
      <c r="R1595" s="71" t="s">
        <v>388</v>
      </c>
      <c r="S1595" s="73">
        <v>0</v>
      </c>
      <c r="T1595" s="71" t="s">
        <v>390</v>
      </c>
      <c r="U1595" s="74">
        <v>29</v>
      </c>
      <c r="V1595" s="71" t="s">
        <v>391</v>
      </c>
      <c r="W1595" s="130">
        <v>46076.375</v>
      </c>
      <c r="X1595" s="72">
        <v>46079.61875</v>
      </c>
      <c r="Y1595" s="72">
        <v>46085.20416666667</v>
      </c>
      <c r="Z1595" s="104" t="s">
        <v>382</v>
      </c>
      <c r="AA1595" s="104" t="s">
        <v>414</v>
      </c>
      <c r="AB1595" s="105">
        <v>46085.021527777775</v>
      </c>
      <c r="AC1595" s="105">
        <v>46085.20416666667</v>
      </c>
    </row>
    <row r="1596" s="70" customFormat="1" ht="11.25" customHeight="1">
      <c r="A1596" s="87"/>
      <c r="C1596" s="43" t="s">
        <v>2944</v>
      </c>
      <c r="D1596" s="71" t="s">
        <v>382</v>
      </c>
      <c r="E1596" s="71" t="str">
        <f>MID(D1596,1,2)</f>
        <v>IL</v>
      </c>
      <c r="F1596" s="71" t="s">
        <v>414</v>
      </c>
      <c r="G1596" s="71" t="str">
        <f>MID(F1596,1,2)</f>
        <v>US</v>
      </c>
      <c r="H1596" s="43" t="s">
        <v>2847</v>
      </c>
      <c r="I1596" s="71" t="s">
        <v>2945</v>
      </c>
      <c r="J1596" s="71" t="s">
        <v>386</v>
      </c>
      <c r="K1596" s="43" t="s">
        <v>759</v>
      </c>
      <c r="L1596" s="71" t="s">
        <v>107</v>
      </c>
      <c r="M1596" s="73">
        <v>1</v>
      </c>
      <c r="N1596" s="71" t="s">
        <v>388</v>
      </c>
      <c r="O1596" s="73">
        <v>0.009</v>
      </c>
      <c r="P1596" s="71" t="s">
        <v>389</v>
      </c>
      <c r="Q1596" s="73">
        <v>1.5</v>
      </c>
      <c r="R1596" s="71" t="s">
        <v>388</v>
      </c>
      <c r="S1596" s="73">
        <v>0</v>
      </c>
      <c r="T1596" s="71" t="s">
        <v>390</v>
      </c>
      <c r="U1596" s="74">
        <v>1</v>
      </c>
      <c r="V1596" s="71" t="s">
        <v>427</v>
      </c>
      <c r="W1596" s="130">
        <v>46070.500694444447</v>
      </c>
      <c r="X1596" s="72">
        <v>46073.03125</v>
      </c>
      <c r="Y1596" s="72">
        <v>46073.239583333336</v>
      </c>
      <c r="Z1596" s="104" t="s">
        <v>382</v>
      </c>
      <c r="AA1596" s="104" t="s">
        <v>414</v>
      </c>
      <c r="AB1596" s="105">
        <v>46073.040277777778</v>
      </c>
      <c r="AC1596" s="105">
        <v>46073.227083333331</v>
      </c>
    </row>
    <row r="1597" s="70" customFormat="1" ht="11.25" customHeight="1">
      <c r="A1597" s="87"/>
      <c r="C1597" s="43" t="s">
        <v>2946</v>
      </c>
      <c r="D1597" s="71" t="s">
        <v>382</v>
      </c>
      <c r="E1597" s="71" t="str">
        <f>MID(D1597,1,2)</f>
        <v>IL</v>
      </c>
      <c r="F1597" s="71" t="s">
        <v>496</v>
      </c>
      <c r="G1597" s="71" t="str">
        <f>MID(F1597,1,2)</f>
        <v>RO</v>
      </c>
      <c r="H1597" s="43" t="s">
        <v>2947</v>
      </c>
      <c r="I1597" s="71" t="s">
        <v>2948</v>
      </c>
      <c r="J1597" s="71" t="s">
        <v>386</v>
      </c>
      <c r="K1597" s="43"/>
      <c r="L1597" s="71" t="s">
        <v>107</v>
      </c>
      <c r="M1597" s="73">
        <v>1182</v>
      </c>
      <c r="N1597" s="71" t="s">
        <v>388</v>
      </c>
      <c r="O1597" s="73">
        <v>4.789</v>
      </c>
      <c r="P1597" s="71" t="s">
        <v>389</v>
      </c>
      <c r="Q1597" s="73">
        <v>1182</v>
      </c>
      <c r="R1597" s="71" t="s">
        <v>388</v>
      </c>
      <c r="S1597" s="73">
        <v>0</v>
      </c>
      <c r="T1597" s="71" t="s">
        <v>390</v>
      </c>
      <c r="U1597" s="74">
        <v>4</v>
      </c>
      <c r="V1597" s="71" t="s">
        <v>391</v>
      </c>
      <c r="W1597" s="130">
        <v>46071.758344907408</v>
      </c>
      <c r="X1597" s="72">
        <v>46073.198611111111</v>
      </c>
      <c r="Y1597" s="72">
        <v>46076.302083333336</v>
      </c>
      <c r="Z1597" s="104" t="s">
        <v>382</v>
      </c>
      <c r="AA1597" s="104" t="s">
        <v>748</v>
      </c>
      <c r="AB1597" s="105">
        <v>46072.829861111109</v>
      </c>
      <c r="AC1597" s="105">
        <v>46073.143055555556</v>
      </c>
    </row>
    <row r="1598" s="70" customFormat="1" ht="11.25" customHeight="1">
      <c r="A1598" s="87"/>
      <c r="C1598" s="43" t="s">
        <v>2946</v>
      </c>
      <c r="D1598" s="71" t="s">
        <v>382</v>
      </c>
      <c r="E1598" s="71" t="str">
        <f>MID(D1598,1,2)</f>
        <v>IL</v>
      </c>
      <c r="F1598" s="71" t="s">
        <v>496</v>
      </c>
      <c r="G1598" s="71" t="str">
        <f>MID(F1598,1,2)</f>
        <v>RO</v>
      </c>
      <c r="H1598" s="43" t="s">
        <v>2947</v>
      </c>
      <c r="I1598" s="71" t="s">
        <v>2948</v>
      </c>
      <c r="J1598" s="71" t="s">
        <v>386</v>
      </c>
      <c r="K1598" s="43"/>
      <c r="L1598" s="71" t="s">
        <v>107</v>
      </c>
      <c r="M1598" s="73">
        <v>1182</v>
      </c>
      <c r="N1598" s="71" t="s">
        <v>388</v>
      </c>
      <c r="O1598" s="73">
        <v>4.789</v>
      </c>
      <c r="P1598" s="71" t="s">
        <v>389</v>
      </c>
      <c r="Q1598" s="73">
        <v>1182</v>
      </c>
      <c r="R1598" s="71" t="s">
        <v>388</v>
      </c>
      <c r="S1598" s="73">
        <v>0</v>
      </c>
      <c r="T1598" s="71" t="s">
        <v>390</v>
      </c>
      <c r="U1598" s="74">
        <v>4</v>
      </c>
      <c r="V1598" s="71" t="s">
        <v>391</v>
      </c>
      <c r="W1598" s="130">
        <v>46071.758344907408</v>
      </c>
      <c r="X1598" s="72">
        <v>46073.198611111111</v>
      </c>
      <c r="Y1598" s="72">
        <v>46076.302083333336</v>
      </c>
      <c r="Z1598" s="104" t="s">
        <v>748</v>
      </c>
      <c r="AA1598" s="104" t="s">
        <v>496</v>
      </c>
      <c r="AB1598" s="105">
        <v>46076.17083333333</v>
      </c>
      <c r="AC1598" s="105"/>
    </row>
    <row r="1599" s="70" customFormat="1" ht="11.25" customHeight="1">
      <c r="A1599" s="87"/>
      <c r="C1599" s="43" t="s">
        <v>2949</v>
      </c>
      <c r="D1599" s="71" t="s">
        <v>382</v>
      </c>
      <c r="E1599" s="71" t="str">
        <f>MID(D1599,1,2)</f>
        <v>IL</v>
      </c>
      <c r="F1599" s="71" t="s">
        <v>496</v>
      </c>
      <c r="G1599" s="71" t="str">
        <f>MID(F1599,1,2)</f>
        <v>RO</v>
      </c>
      <c r="H1599" s="43" t="s">
        <v>2950</v>
      </c>
      <c r="I1599" s="71" t="s">
        <v>2951</v>
      </c>
      <c r="J1599" s="71" t="s">
        <v>811</v>
      </c>
      <c r="K1599" s="43"/>
      <c r="L1599" s="71" t="s">
        <v>105</v>
      </c>
      <c r="M1599" s="73">
        <v>6</v>
      </c>
      <c r="N1599" s="71" t="s">
        <v>388</v>
      </c>
      <c r="O1599" s="73">
        <v>0.027</v>
      </c>
      <c r="P1599" s="71" t="s">
        <v>389</v>
      </c>
      <c r="Q1599" s="73">
        <v>6</v>
      </c>
      <c r="R1599" s="71" t="s">
        <v>388</v>
      </c>
      <c r="S1599" s="73">
        <v>0</v>
      </c>
      <c r="T1599" s="71" t="s">
        <v>390</v>
      </c>
      <c r="U1599" s="74">
        <v>1</v>
      </c>
      <c r="V1599" s="71" t="s">
        <v>391</v>
      </c>
      <c r="W1599" s="130">
        <v>46070.61875</v>
      </c>
      <c r="X1599" s="72">
        <v>46071.243055555555</v>
      </c>
      <c r="Y1599" s="72">
        <v>46096.572916666664</v>
      </c>
      <c r="Z1599" s="104" t="s">
        <v>382</v>
      </c>
      <c r="AA1599" s="104" t="s">
        <v>496</v>
      </c>
      <c r="AB1599" s="105">
        <v>46096.452777777777</v>
      </c>
      <c r="AC1599" s="105">
        <v>46096.5625</v>
      </c>
    </row>
    <row r="1600" s="70" customFormat="1" ht="11.25" customHeight="1">
      <c r="A1600" s="87"/>
      <c r="C1600" s="43" t="s">
        <v>2952</v>
      </c>
      <c r="D1600" s="71" t="s">
        <v>382</v>
      </c>
      <c r="E1600" s="71" t="str">
        <f>MID(D1600,1,2)</f>
        <v>IL</v>
      </c>
      <c r="F1600" s="71" t="s">
        <v>597</v>
      </c>
      <c r="G1600" s="71" t="str">
        <f>MID(F1600,1,2)</f>
        <v>NL</v>
      </c>
      <c r="H1600" s="43" t="s">
        <v>2953</v>
      </c>
      <c r="I1600" s="71" t="s">
        <v>2954</v>
      </c>
      <c r="J1600" s="71" t="s">
        <v>811</v>
      </c>
      <c r="K1600" s="43"/>
      <c r="L1600" s="71" t="s">
        <v>105</v>
      </c>
      <c r="M1600" s="73">
        <v>259</v>
      </c>
      <c r="N1600" s="71" t="s">
        <v>388</v>
      </c>
      <c r="O1600" s="73">
        <v>2.74</v>
      </c>
      <c r="P1600" s="71" t="s">
        <v>389</v>
      </c>
      <c r="Q1600" s="73">
        <v>457</v>
      </c>
      <c r="R1600" s="71" t="s">
        <v>388</v>
      </c>
      <c r="S1600" s="73">
        <v>0</v>
      </c>
      <c r="T1600" s="71" t="s">
        <v>390</v>
      </c>
      <c r="U1600" s="74">
        <v>1</v>
      </c>
      <c r="V1600" s="71" t="s">
        <v>391</v>
      </c>
      <c r="W1600" s="130"/>
      <c r="X1600" s="72">
        <v>46071.490972222222</v>
      </c>
      <c r="Y1600" s="72">
        <v>46073.473611111112</v>
      </c>
      <c r="Z1600" s="104" t="s">
        <v>382</v>
      </c>
      <c r="AA1600" s="104" t="s">
        <v>383</v>
      </c>
      <c r="AB1600" s="105">
        <v>46071.977083333331</v>
      </c>
      <c r="AC1600" s="105">
        <v>46072.288194444445</v>
      </c>
    </row>
    <row r="1601" s="70" customFormat="1" ht="11.25" customHeight="1">
      <c r="A1601" s="87"/>
      <c r="C1601" s="43" t="s">
        <v>2952</v>
      </c>
      <c r="D1601" s="71" t="s">
        <v>382</v>
      </c>
      <c r="E1601" s="71" t="str">
        <f>MID(D1601,1,2)</f>
        <v>IL</v>
      </c>
      <c r="F1601" s="71" t="s">
        <v>597</v>
      </c>
      <c r="G1601" s="71" t="str">
        <f>MID(F1601,1,2)</f>
        <v>NL</v>
      </c>
      <c r="H1601" s="43" t="s">
        <v>2953</v>
      </c>
      <c r="I1601" s="71" t="s">
        <v>2954</v>
      </c>
      <c r="J1601" s="71" t="s">
        <v>811</v>
      </c>
      <c r="K1601" s="43"/>
      <c r="L1601" s="71" t="s">
        <v>105</v>
      </c>
      <c r="M1601" s="73">
        <v>259</v>
      </c>
      <c r="N1601" s="71" t="s">
        <v>388</v>
      </c>
      <c r="O1601" s="73">
        <v>2.74</v>
      </c>
      <c r="P1601" s="71" t="s">
        <v>389</v>
      </c>
      <c r="Q1601" s="73">
        <v>457</v>
      </c>
      <c r="R1601" s="71" t="s">
        <v>388</v>
      </c>
      <c r="S1601" s="73">
        <v>0</v>
      </c>
      <c r="T1601" s="71" t="s">
        <v>390</v>
      </c>
      <c r="U1601" s="74">
        <v>1</v>
      </c>
      <c r="V1601" s="71" t="s">
        <v>391</v>
      </c>
      <c r="W1601" s="130"/>
      <c r="X1601" s="72">
        <v>46071.490972222222</v>
      </c>
      <c r="Y1601" s="72">
        <v>46073.473611111112</v>
      </c>
      <c r="Z1601" s="104" t="s">
        <v>383</v>
      </c>
      <c r="AA1601" s="104" t="s">
        <v>597</v>
      </c>
      <c r="AB1601" s="105">
        <v>46073.15</v>
      </c>
      <c r="AC1601" s="105">
        <v>46073.500694444447</v>
      </c>
    </row>
    <row r="1602" s="70" customFormat="1" ht="11.25" customHeight="1">
      <c r="A1602" s="87"/>
      <c r="C1602" s="43" t="s">
        <v>2955</v>
      </c>
      <c r="D1602" s="71" t="s">
        <v>382</v>
      </c>
      <c r="E1602" s="71" t="str">
        <f>MID(D1602,1,2)</f>
        <v>IL</v>
      </c>
      <c r="F1602" s="71" t="s">
        <v>1175</v>
      </c>
      <c r="G1602" s="71" t="str">
        <f>MID(F1602,1,2)</f>
        <v>AE</v>
      </c>
      <c r="H1602" s="43" t="s">
        <v>2956</v>
      </c>
      <c r="I1602" s="71" t="s">
        <v>2957</v>
      </c>
      <c r="J1602" s="71" t="s">
        <v>811</v>
      </c>
      <c r="K1602" s="43"/>
      <c r="L1602" s="71" t="s">
        <v>105</v>
      </c>
      <c r="M1602" s="73">
        <v>48</v>
      </c>
      <c r="N1602" s="71" t="s">
        <v>388</v>
      </c>
      <c r="O1602" s="73">
        <v>0.226</v>
      </c>
      <c r="P1602" s="71" t="s">
        <v>389</v>
      </c>
      <c r="Q1602" s="73">
        <v>100</v>
      </c>
      <c r="R1602" s="71" t="s">
        <v>388</v>
      </c>
      <c r="S1602" s="73">
        <v>0</v>
      </c>
      <c r="T1602" s="71" t="s">
        <v>390</v>
      </c>
      <c r="U1602" s="74">
        <v>1</v>
      </c>
      <c r="V1602" s="71" t="s">
        <v>391</v>
      </c>
      <c r="W1602" s="130"/>
      <c r="X1602" s="72">
        <v>46071.459722222222</v>
      </c>
      <c r="Y1602" s="72">
        <v>46071.75</v>
      </c>
      <c r="Z1602" s="104" t="s">
        <v>382</v>
      </c>
      <c r="AA1602" s="104" t="s">
        <v>1175</v>
      </c>
      <c r="AB1602" s="105">
        <v>46071.541666666664</v>
      </c>
      <c r="AC1602" s="105">
        <v>46071.761111111111</v>
      </c>
    </row>
    <row r="1603" s="70" customFormat="1" ht="11.25" customHeight="1">
      <c r="A1603" s="87"/>
      <c r="C1603" s="43" t="s">
        <v>2958</v>
      </c>
      <c r="D1603" s="71" t="s">
        <v>382</v>
      </c>
      <c r="E1603" s="71" t="str">
        <f>MID(D1603,1,2)</f>
        <v>IL</v>
      </c>
      <c r="F1603" s="71" t="s">
        <v>414</v>
      </c>
      <c r="G1603" s="71" t="str">
        <f>MID(F1603,1,2)</f>
        <v>US</v>
      </c>
      <c r="H1603" s="43" t="s">
        <v>2847</v>
      </c>
      <c r="I1603" s="71" t="s">
        <v>2959</v>
      </c>
      <c r="J1603" s="71" t="s">
        <v>483</v>
      </c>
      <c r="K1603" s="43" t="s">
        <v>759</v>
      </c>
      <c r="L1603" s="71" t="s">
        <v>105</v>
      </c>
      <c r="M1603" s="73">
        <v>8</v>
      </c>
      <c r="N1603" s="71" t="s">
        <v>388</v>
      </c>
      <c r="O1603" s="73">
        <v>0.042</v>
      </c>
      <c r="P1603" s="71" t="s">
        <v>389</v>
      </c>
      <c r="Q1603" s="73">
        <v>8</v>
      </c>
      <c r="R1603" s="71" t="s">
        <v>388</v>
      </c>
      <c r="S1603" s="73">
        <v>0</v>
      </c>
      <c r="T1603" s="71" t="s">
        <v>390</v>
      </c>
      <c r="U1603" s="74">
        <v>1</v>
      </c>
      <c r="V1603" s="71" t="s">
        <v>427</v>
      </c>
      <c r="W1603" s="130">
        <v>46070.506944444445</v>
      </c>
      <c r="X1603" s="72">
        <v>46073.03125</v>
      </c>
      <c r="Y1603" s="72">
        <v>46073.239583333336</v>
      </c>
      <c r="Z1603" s="104" t="s">
        <v>382</v>
      </c>
      <c r="AA1603" s="104" t="s">
        <v>414</v>
      </c>
      <c r="AB1603" s="105">
        <v>46073.040277777778</v>
      </c>
      <c r="AC1603" s="105">
        <v>46073.227083333331</v>
      </c>
    </row>
    <row r="1604" s="70" customFormat="1" ht="11.25" customHeight="1">
      <c r="A1604" s="87"/>
      <c r="C1604" s="43" t="s">
        <v>2960</v>
      </c>
      <c r="D1604" s="71" t="s">
        <v>382</v>
      </c>
      <c r="E1604" s="71" t="str">
        <f>MID(D1604,1,2)</f>
        <v>IL</v>
      </c>
      <c r="F1604" s="71" t="s">
        <v>1175</v>
      </c>
      <c r="G1604" s="71" t="str">
        <f>MID(F1604,1,2)</f>
        <v>AE</v>
      </c>
      <c r="H1604" s="43" t="s">
        <v>2961</v>
      </c>
      <c r="I1604" s="71" t="s">
        <v>2962</v>
      </c>
      <c r="J1604" s="71" t="s">
        <v>811</v>
      </c>
      <c r="K1604" s="43"/>
      <c r="L1604" s="71" t="s">
        <v>105</v>
      </c>
      <c r="M1604" s="73">
        <v>41</v>
      </c>
      <c r="N1604" s="71" t="s">
        <v>388</v>
      </c>
      <c r="O1604" s="73">
        <v>0.226</v>
      </c>
      <c r="P1604" s="71" t="s">
        <v>389</v>
      </c>
      <c r="Q1604" s="73">
        <v>100</v>
      </c>
      <c r="R1604" s="71" t="s">
        <v>388</v>
      </c>
      <c r="S1604" s="73">
        <v>0</v>
      </c>
      <c r="T1604" s="71" t="s">
        <v>390</v>
      </c>
      <c r="U1604" s="74">
        <v>1</v>
      </c>
      <c r="V1604" s="71" t="s">
        <v>391</v>
      </c>
      <c r="W1604" s="130"/>
      <c r="X1604" s="72">
        <v>46071.459722222222</v>
      </c>
      <c r="Y1604" s="72">
        <v>46071.75</v>
      </c>
      <c r="Z1604" s="104" t="s">
        <v>382</v>
      </c>
      <c r="AA1604" s="104" t="s">
        <v>1175</v>
      </c>
      <c r="AB1604" s="105">
        <v>46071.541666666664</v>
      </c>
      <c r="AC1604" s="105">
        <v>46071.761111111111</v>
      </c>
    </row>
    <row r="1605" s="70" customFormat="1" ht="11.25" customHeight="1">
      <c r="A1605" s="87"/>
      <c r="C1605" s="43" t="s">
        <v>2963</v>
      </c>
      <c r="D1605" s="71" t="s">
        <v>382</v>
      </c>
      <c r="E1605" s="71" t="str">
        <f>MID(D1605,1,2)</f>
        <v>IL</v>
      </c>
      <c r="F1605" s="71" t="s">
        <v>2453</v>
      </c>
      <c r="G1605" s="71" t="str">
        <f>MID(F1605,1,2)</f>
        <v>GE</v>
      </c>
      <c r="H1605" s="43" t="s">
        <v>2964</v>
      </c>
      <c r="I1605" s="71" t="s">
        <v>2965</v>
      </c>
      <c r="J1605" s="71" t="s">
        <v>426</v>
      </c>
      <c r="K1605" s="43"/>
      <c r="L1605" s="71" t="s">
        <v>105</v>
      </c>
      <c r="M1605" s="73">
        <v>30</v>
      </c>
      <c r="N1605" s="71" t="s">
        <v>388</v>
      </c>
      <c r="O1605" s="73">
        <v>0.054</v>
      </c>
      <c r="P1605" s="71" t="s">
        <v>389</v>
      </c>
      <c r="Q1605" s="73">
        <v>100</v>
      </c>
      <c r="R1605" s="71" t="s">
        <v>388</v>
      </c>
      <c r="S1605" s="73">
        <v>0</v>
      </c>
      <c r="T1605" s="71" t="s">
        <v>390</v>
      </c>
      <c r="U1605" s="74">
        <v>1</v>
      </c>
      <c r="V1605" s="71" t="s">
        <v>391</v>
      </c>
      <c r="W1605" s="130">
        <v>46070.520833333336</v>
      </c>
      <c r="X1605" s="72">
        <v>46073.243055555555</v>
      </c>
      <c r="Y1605" s="72">
        <v>46073.438194444447</v>
      </c>
      <c r="Z1605" s="104" t="s">
        <v>382</v>
      </c>
      <c r="AA1605" s="104" t="s">
        <v>2453</v>
      </c>
      <c r="AB1605" s="105">
        <v>46073.244444444441</v>
      </c>
      <c r="AC1605" s="105">
        <v>46073.426388888889</v>
      </c>
    </row>
    <row r="1606" s="70" customFormat="1" ht="11.25" customHeight="1">
      <c r="A1606" s="87"/>
      <c r="C1606" s="43" t="s">
        <v>2966</v>
      </c>
      <c r="D1606" s="71" t="s">
        <v>382</v>
      </c>
      <c r="E1606" s="71" t="str">
        <f>MID(D1606,1,2)</f>
        <v>IL</v>
      </c>
      <c r="F1606" s="71" t="s">
        <v>443</v>
      </c>
      <c r="G1606" s="71" t="str">
        <f>MID(F1606,1,2)</f>
        <v>US</v>
      </c>
      <c r="H1606" s="43" t="s">
        <v>2967</v>
      </c>
      <c r="I1606" s="71" t="s">
        <v>2968</v>
      </c>
      <c r="J1606" s="71" t="s">
        <v>386</v>
      </c>
      <c r="K1606" s="43"/>
      <c r="L1606" s="71" t="s">
        <v>107</v>
      </c>
      <c r="M1606" s="73">
        <v>235</v>
      </c>
      <c r="N1606" s="71" t="s">
        <v>388</v>
      </c>
      <c r="O1606" s="73">
        <v>3.6</v>
      </c>
      <c r="P1606" s="71" t="s">
        <v>389</v>
      </c>
      <c r="Q1606" s="73">
        <v>600</v>
      </c>
      <c r="R1606" s="71" t="s">
        <v>388</v>
      </c>
      <c r="S1606" s="73">
        <v>0</v>
      </c>
      <c r="T1606" s="71" t="s">
        <v>390</v>
      </c>
      <c r="U1606" s="74">
        <v>4</v>
      </c>
      <c r="V1606" s="71" t="s">
        <v>536</v>
      </c>
      <c r="W1606" s="130"/>
      <c r="X1606" s="72">
        <v>46075.458333333336</v>
      </c>
      <c r="Y1606" s="72">
        <v>46081.450694444444</v>
      </c>
      <c r="Z1606" s="104" t="s">
        <v>382</v>
      </c>
      <c r="AA1606" s="104" t="s">
        <v>414</v>
      </c>
      <c r="AB1606" s="105">
        <v>46080.476388888892</v>
      </c>
      <c r="AC1606" s="105">
        <v>46080.698611111111</v>
      </c>
    </row>
    <row r="1607" s="70" customFormat="1" ht="11.25" customHeight="1">
      <c r="A1607" s="87"/>
      <c r="C1607" s="43" t="s">
        <v>2966</v>
      </c>
      <c r="D1607" s="71" t="s">
        <v>382</v>
      </c>
      <c r="E1607" s="71" t="str">
        <f>MID(D1607,1,2)</f>
        <v>IL</v>
      </c>
      <c r="F1607" s="71" t="s">
        <v>443</v>
      </c>
      <c r="G1607" s="71" t="str">
        <f>MID(F1607,1,2)</f>
        <v>US</v>
      </c>
      <c r="H1607" s="43" t="s">
        <v>2967</v>
      </c>
      <c r="I1607" s="71" t="s">
        <v>2968</v>
      </c>
      <c r="J1607" s="71" t="s">
        <v>386</v>
      </c>
      <c r="K1607" s="43"/>
      <c r="L1607" s="71" t="s">
        <v>107</v>
      </c>
      <c r="M1607" s="73">
        <v>235</v>
      </c>
      <c r="N1607" s="71" t="s">
        <v>388</v>
      </c>
      <c r="O1607" s="73">
        <v>3.6</v>
      </c>
      <c r="P1607" s="71" t="s">
        <v>389</v>
      </c>
      <c r="Q1607" s="73">
        <v>600</v>
      </c>
      <c r="R1607" s="71" t="s">
        <v>388</v>
      </c>
      <c r="S1607" s="73">
        <v>0</v>
      </c>
      <c r="T1607" s="71" t="s">
        <v>390</v>
      </c>
      <c r="U1607" s="74">
        <v>4</v>
      </c>
      <c r="V1607" s="71" t="s">
        <v>536</v>
      </c>
      <c r="W1607" s="130"/>
      <c r="X1607" s="72">
        <v>46075.458333333336</v>
      </c>
      <c r="Y1607" s="72">
        <v>46081.450694444444</v>
      </c>
      <c r="Z1607" s="104" t="s">
        <v>414</v>
      </c>
      <c r="AA1607" s="104" t="s">
        <v>443</v>
      </c>
      <c r="AB1607" s="105">
        <v>46081.286805555559</v>
      </c>
      <c r="AC1607" s="105">
        <v>46081.45416666667</v>
      </c>
    </row>
    <row r="1608" s="70" customFormat="1" ht="11.25" customHeight="1">
      <c r="A1608" s="87"/>
      <c r="C1608" s="43" t="s">
        <v>2969</v>
      </c>
      <c r="D1608" s="71" t="s">
        <v>382</v>
      </c>
      <c r="E1608" s="71" t="str">
        <f>MID(D1608,1,2)</f>
        <v>IL</v>
      </c>
      <c r="F1608" s="71" t="s">
        <v>680</v>
      </c>
      <c r="G1608" s="71" t="str">
        <f>MID(F1608,1,2)</f>
        <v>DE</v>
      </c>
      <c r="H1608" s="43" t="s">
        <v>2970</v>
      </c>
      <c r="I1608" s="71" t="s">
        <v>2971</v>
      </c>
      <c r="J1608" s="71" t="s">
        <v>454</v>
      </c>
      <c r="K1608" s="43"/>
      <c r="L1608" s="71" t="s">
        <v>107</v>
      </c>
      <c r="M1608" s="73">
        <v>42</v>
      </c>
      <c r="N1608" s="71" t="s">
        <v>388</v>
      </c>
      <c r="O1608" s="73">
        <v>0.218</v>
      </c>
      <c r="P1608" s="71" t="s">
        <v>389</v>
      </c>
      <c r="Q1608" s="73">
        <v>100</v>
      </c>
      <c r="R1608" s="71" t="s">
        <v>388</v>
      </c>
      <c r="S1608" s="73">
        <v>0</v>
      </c>
      <c r="T1608" s="71" t="s">
        <v>390</v>
      </c>
      <c r="U1608" s="74">
        <v>1</v>
      </c>
      <c r="V1608" s="71" t="s">
        <v>391</v>
      </c>
      <c r="W1608" s="130">
        <v>46070.837962962964</v>
      </c>
      <c r="X1608" s="72">
        <v>46071.690972222219</v>
      </c>
      <c r="Y1608" s="72">
        <v>46073.556944444441</v>
      </c>
      <c r="Z1608" s="104" t="s">
        <v>382</v>
      </c>
      <c r="AA1608" s="104" t="s">
        <v>383</v>
      </c>
      <c r="AB1608" s="105">
        <v>46071.700694444444</v>
      </c>
      <c r="AC1608" s="105">
        <v>46071.843055555553</v>
      </c>
    </row>
    <row r="1609" s="70" customFormat="1" ht="11.25" customHeight="1">
      <c r="A1609" s="87"/>
      <c r="C1609" s="43" t="s">
        <v>2969</v>
      </c>
      <c r="D1609" s="71" t="s">
        <v>382</v>
      </c>
      <c r="E1609" s="71" t="str">
        <f>MID(D1609,1,2)</f>
        <v>IL</v>
      </c>
      <c r="F1609" s="71" t="s">
        <v>680</v>
      </c>
      <c r="G1609" s="71" t="str">
        <f>MID(F1609,1,2)</f>
        <v>DE</v>
      </c>
      <c r="H1609" s="43" t="s">
        <v>2970</v>
      </c>
      <c r="I1609" s="71" t="s">
        <v>2971</v>
      </c>
      <c r="J1609" s="71" t="s">
        <v>454</v>
      </c>
      <c r="K1609" s="43"/>
      <c r="L1609" s="71" t="s">
        <v>107</v>
      </c>
      <c r="M1609" s="73">
        <v>42</v>
      </c>
      <c r="N1609" s="71" t="s">
        <v>388</v>
      </c>
      <c r="O1609" s="73">
        <v>0.218</v>
      </c>
      <c r="P1609" s="71" t="s">
        <v>389</v>
      </c>
      <c r="Q1609" s="73">
        <v>100</v>
      </c>
      <c r="R1609" s="71" t="s">
        <v>388</v>
      </c>
      <c r="S1609" s="73">
        <v>0</v>
      </c>
      <c r="T1609" s="71" t="s">
        <v>390</v>
      </c>
      <c r="U1609" s="74">
        <v>1</v>
      </c>
      <c r="V1609" s="71" t="s">
        <v>391</v>
      </c>
      <c r="W1609" s="130">
        <v>46070.837962962964</v>
      </c>
      <c r="X1609" s="72">
        <v>46071.690972222219</v>
      </c>
      <c r="Y1609" s="72">
        <v>46073.556944444441</v>
      </c>
      <c r="Z1609" s="104" t="s">
        <v>383</v>
      </c>
      <c r="AA1609" s="104" t="s">
        <v>680</v>
      </c>
      <c r="AB1609" s="105">
        <v>46073.417361111111</v>
      </c>
      <c r="AC1609" s="105">
        <v>46073.585416666669</v>
      </c>
    </row>
    <row r="1610" s="70" customFormat="1" ht="11.25" customHeight="1">
      <c r="A1610" s="87"/>
      <c r="C1610" s="43" t="s">
        <v>2972</v>
      </c>
      <c r="D1610" s="71" t="s">
        <v>382</v>
      </c>
      <c r="E1610" s="71" t="str">
        <f>MID(D1610,1,2)</f>
        <v>IL</v>
      </c>
      <c r="F1610" s="71" t="s">
        <v>546</v>
      </c>
      <c r="G1610" s="71" t="str">
        <f>MID(F1610,1,2)</f>
        <v>GB</v>
      </c>
      <c r="H1610" s="43" t="s">
        <v>2973</v>
      </c>
      <c r="I1610" s="71"/>
      <c r="J1610" s="71" t="s">
        <v>426</v>
      </c>
      <c r="K1610" s="43"/>
      <c r="L1610" s="71" t="s">
        <v>105</v>
      </c>
      <c r="M1610" s="73">
        <v>27</v>
      </c>
      <c r="N1610" s="71" t="s">
        <v>388</v>
      </c>
      <c r="O1610" s="73">
        <v>0.107</v>
      </c>
      <c r="P1610" s="71" t="s">
        <v>389</v>
      </c>
      <c r="Q1610" s="73">
        <v>100</v>
      </c>
      <c r="R1610" s="71" t="s">
        <v>388</v>
      </c>
      <c r="S1610" s="73">
        <v>0</v>
      </c>
      <c r="T1610" s="71" t="s">
        <v>390</v>
      </c>
      <c r="U1610" s="74">
        <v>1</v>
      </c>
      <c r="V1610" s="71" t="s">
        <v>391</v>
      </c>
      <c r="W1610" s="130">
        <v>46070.549305555556</v>
      </c>
      <c r="X1610" s="72">
        <v>46071.522916666669</v>
      </c>
      <c r="Y1610" s="72">
        <v>46072.524305555555</v>
      </c>
      <c r="Z1610" s="104" t="s">
        <v>382</v>
      </c>
      <c r="AA1610" s="104" t="s">
        <v>546</v>
      </c>
      <c r="AB1610" s="105">
        <v>46072.380555555559</v>
      </c>
      <c r="AC1610" s="105">
        <v>46072.510416666664</v>
      </c>
    </row>
    <row r="1611" s="70" customFormat="1" ht="11.25" customHeight="1">
      <c r="A1611" s="87"/>
      <c r="C1611" s="43" t="s">
        <v>2974</v>
      </c>
      <c r="D1611" s="71" t="s">
        <v>382</v>
      </c>
      <c r="E1611" s="71" t="str">
        <f>MID(D1611,1,2)</f>
        <v>IL</v>
      </c>
      <c r="F1611" s="71" t="s">
        <v>414</v>
      </c>
      <c r="G1611" s="71" t="str">
        <f>MID(F1611,1,2)</f>
        <v>US</v>
      </c>
      <c r="H1611" s="43" t="s">
        <v>2847</v>
      </c>
      <c r="I1611" s="71" t="s">
        <v>2975</v>
      </c>
      <c r="J1611" s="71" t="s">
        <v>426</v>
      </c>
      <c r="K1611" s="43" t="s">
        <v>759</v>
      </c>
      <c r="L1611" s="71" t="s">
        <v>105</v>
      </c>
      <c r="M1611" s="73">
        <v>2</v>
      </c>
      <c r="N1611" s="71" t="s">
        <v>388</v>
      </c>
      <c r="O1611" s="73">
        <v>0.042</v>
      </c>
      <c r="P1611" s="71" t="s">
        <v>389</v>
      </c>
      <c r="Q1611" s="73">
        <v>7</v>
      </c>
      <c r="R1611" s="71" t="s">
        <v>388</v>
      </c>
      <c r="S1611" s="73">
        <v>0</v>
      </c>
      <c r="T1611" s="71" t="s">
        <v>390</v>
      </c>
      <c r="U1611" s="74">
        <v>1</v>
      </c>
      <c r="V1611" s="71" t="s">
        <v>427</v>
      </c>
      <c r="W1611" s="130">
        <v>46070.8833912037</v>
      </c>
      <c r="X1611" s="72">
        <v>46073.03125</v>
      </c>
      <c r="Y1611" s="72">
        <v>46073.239583333336</v>
      </c>
      <c r="Z1611" s="104" t="s">
        <v>382</v>
      </c>
      <c r="AA1611" s="104" t="s">
        <v>414</v>
      </c>
      <c r="AB1611" s="105">
        <v>46073.040277777778</v>
      </c>
      <c r="AC1611" s="105">
        <v>46073.227083333331</v>
      </c>
    </row>
    <row r="1612" s="70" customFormat="1" ht="11.25" customHeight="1">
      <c r="A1612" s="87"/>
      <c r="C1612" s="43" t="s">
        <v>2976</v>
      </c>
      <c r="D1612" s="71" t="s">
        <v>382</v>
      </c>
      <c r="E1612" s="71" t="str">
        <f>MID(D1612,1,2)</f>
        <v>IL</v>
      </c>
      <c r="F1612" s="71" t="s">
        <v>468</v>
      </c>
      <c r="G1612" s="71" t="str">
        <f>MID(F1612,1,2)</f>
        <v>US</v>
      </c>
      <c r="H1612" s="43" t="s">
        <v>2534</v>
      </c>
      <c r="I1612" s="71" t="s">
        <v>2977</v>
      </c>
      <c r="J1612" s="71" t="s">
        <v>454</v>
      </c>
      <c r="K1612" s="43"/>
      <c r="L1612" s="71" t="s">
        <v>107</v>
      </c>
      <c r="M1612" s="73">
        <v>2</v>
      </c>
      <c r="N1612" s="71" t="s">
        <v>388</v>
      </c>
      <c r="O1612" s="73">
        <v>0.025</v>
      </c>
      <c r="P1612" s="71" t="s">
        <v>389</v>
      </c>
      <c r="Q1612" s="73">
        <v>4.5</v>
      </c>
      <c r="R1612" s="71" t="s">
        <v>388</v>
      </c>
      <c r="S1612" s="73">
        <v>0</v>
      </c>
      <c r="T1612" s="71" t="s">
        <v>390</v>
      </c>
      <c r="U1612" s="74">
        <v>1</v>
      </c>
      <c r="V1612" s="71" t="s">
        <v>446</v>
      </c>
      <c r="W1612" s="130"/>
      <c r="X1612" s="72">
        <v>46071.965277777781</v>
      </c>
      <c r="Y1612" s="72">
        <v>46072.676388888889</v>
      </c>
      <c r="Z1612" s="104" t="s">
        <v>382</v>
      </c>
      <c r="AA1612" s="104" t="s">
        <v>422</v>
      </c>
      <c r="AB1612" s="105">
        <v>46072.961111111108</v>
      </c>
      <c r="AC1612" s="105">
        <v>46073.151388888888</v>
      </c>
    </row>
    <row r="1613" s="70" customFormat="1" ht="11.25" customHeight="1">
      <c r="A1613" s="87"/>
      <c r="C1613" s="43" t="s">
        <v>2976</v>
      </c>
      <c r="D1613" s="71" t="s">
        <v>382</v>
      </c>
      <c r="E1613" s="71" t="str">
        <f>MID(D1613,1,2)</f>
        <v>IL</v>
      </c>
      <c r="F1613" s="71" t="s">
        <v>468</v>
      </c>
      <c r="G1613" s="71" t="str">
        <f>MID(F1613,1,2)</f>
        <v>US</v>
      </c>
      <c r="H1613" s="43" t="s">
        <v>2534</v>
      </c>
      <c r="I1613" s="71" t="s">
        <v>2977</v>
      </c>
      <c r="J1613" s="71" t="s">
        <v>454</v>
      </c>
      <c r="K1613" s="43"/>
      <c r="L1613" s="71" t="s">
        <v>107</v>
      </c>
      <c r="M1613" s="73">
        <v>2</v>
      </c>
      <c r="N1613" s="71" t="s">
        <v>388</v>
      </c>
      <c r="O1613" s="73">
        <v>0.025</v>
      </c>
      <c r="P1613" s="71" t="s">
        <v>389</v>
      </c>
      <c r="Q1613" s="73">
        <v>4.5</v>
      </c>
      <c r="R1613" s="71" t="s">
        <v>388</v>
      </c>
      <c r="S1613" s="73">
        <v>0</v>
      </c>
      <c r="T1613" s="71" t="s">
        <v>390</v>
      </c>
      <c r="U1613" s="74">
        <v>1</v>
      </c>
      <c r="V1613" s="71" t="s">
        <v>446</v>
      </c>
      <c r="W1613" s="130"/>
      <c r="X1613" s="72">
        <v>46071.965277777781</v>
      </c>
      <c r="Y1613" s="72">
        <v>46072.676388888889</v>
      </c>
      <c r="Z1613" s="104" t="s">
        <v>422</v>
      </c>
      <c r="AA1613" s="104" t="s">
        <v>468</v>
      </c>
      <c r="AB1613" s="105">
        <v>46073.538888888892</v>
      </c>
      <c r="AC1613" s="105">
        <v>46073.668055555558</v>
      </c>
    </row>
    <row r="1614" s="70" customFormat="1" ht="11.25" customHeight="1">
      <c r="A1614" s="87"/>
      <c r="C1614" s="43" t="s">
        <v>2978</v>
      </c>
      <c r="D1614" s="71" t="s">
        <v>382</v>
      </c>
      <c r="E1614" s="71" t="str">
        <f>MID(D1614,1,2)</f>
        <v>IL</v>
      </c>
      <c r="F1614" s="71" t="s">
        <v>963</v>
      </c>
      <c r="G1614" s="71" t="str">
        <f>MID(F1614,1,2)</f>
        <v>IN</v>
      </c>
      <c r="H1614" s="43" t="s">
        <v>2818</v>
      </c>
      <c r="I1614" s="71" t="s">
        <v>2979</v>
      </c>
      <c r="J1614" s="71" t="s">
        <v>400</v>
      </c>
      <c r="K1614" s="43"/>
      <c r="L1614" s="71" t="s">
        <v>105</v>
      </c>
      <c r="M1614" s="73">
        <v>12</v>
      </c>
      <c r="N1614" s="71" t="s">
        <v>388</v>
      </c>
      <c r="O1614" s="73">
        <v>0.045</v>
      </c>
      <c r="P1614" s="71" t="s">
        <v>389</v>
      </c>
      <c r="Q1614" s="73">
        <v>12</v>
      </c>
      <c r="R1614" s="71" t="s">
        <v>388</v>
      </c>
      <c r="S1614" s="73">
        <v>0</v>
      </c>
      <c r="T1614" s="71" t="s">
        <v>390</v>
      </c>
      <c r="U1614" s="74">
        <v>1</v>
      </c>
      <c r="V1614" s="71" t="s">
        <v>391</v>
      </c>
      <c r="W1614" s="130">
        <v>46070.664398148147</v>
      </c>
      <c r="X1614" s="72">
        <v>46072.715277777781</v>
      </c>
      <c r="Y1614" s="72">
        <v>46074.129166666666</v>
      </c>
      <c r="Z1614" s="104" t="s">
        <v>382</v>
      </c>
      <c r="AA1614" s="104" t="s">
        <v>667</v>
      </c>
      <c r="AB1614" s="105">
        <v>46072.71875</v>
      </c>
      <c r="AC1614" s="105">
        <v>46072.843055555553</v>
      </c>
    </row>
    <row r="1615" s="70" customFormat="1" ht="11.25" customHeight="1">
      <c r="A1615" s="87"/>
      <c r="C1615" s="43" t="s">
        <v>2978</v>
      </c>
      <c r="D1615" s="71" t="s">
        <v>382</v>
      </c>
      <c r="E1615" s="71" t="str">
        <f>MID(D1615,1,2)</f>
        <v>IL</v>
      </c>
      <c r="F1615" s="71" t="s">
        <v>963</v>
      </c>
      <c r="G1615" s="71" t="str">
        <f>MID(F1615,1,2)</f>
        <v>IN</v>
      </c>
      <c r="H1615" s="43" t="s">
        <v>2818</v>
      </c>
      <c r="I1615" s="71" t="s">
        <v>2979</v>
      </c>
      <c r="J1615" s="71" t="s">
        <v>400</v>
      </c>
      <c r="K1615" s="43"/>
      <c r="L1615" s="71" t="s">
        <v>105</v>
      </c>
      <c r="M1615" s="73">
        <v>12</v>
      </c>
      <c r="N1615" s="71" t="s">
        <v>388</v>
      </c>
      <c r="O1615" s="73">
        <v>0.045</v>
      </c>
      <c r="P1615" s="71" t="s">
        <v>389</v>
      </c>
      <c r="Q1615" s="73">
        <v>12</v>
      </c>
      <c r="R1615" s="71" t="s">
        <v>388</v>
      </c>
      <c r="S1615" s="73">
        <v>0</v>
      </c>
      <c r="T1615" s="71" t="s">
        <v>390</v>
      </c>
      <c r="U1615" s="74">
        <v>1</v>
      </c>
      <c r="V1615" s="71" t="s">
        <v>391</v>
      </c>
      <c r="W1615" s="130">
        <v>46070.664398148147</v>
      </c>
      <c r="X1615" s="72">
        <v>46072.715277777781</v>
      </c>
      <c r="Y1615" s="72">
        <v>46074.129166666666</v>
      </c>
      <c r="Z1615" s="104" t="s">
        <v>667</v>
      </c>
      <c r="AA1615" s="104" t="s">
        <v>963</v>
      </c>
      <c r="AB1615" s="105">
        <v>46073.591666666667</v>
      </c>
      <c r="AC1615" s="105">
        <v>46074.130555555559</v>
      </c>
    </row>
    <row r="1616" s="70" customFormat="1" ht="11.25" customHeight="1">
      <c r="A1616" s="87"/>
      <c r="C1616" s="43" t="s">
        <v>2980</v>
      </c>
      <c r="D1616" s="71" t="s">
        <v>382</v>
      </c>
      <c r="E1616" s="71" t="str">
        <f>MID(D1616,1,2)</f>
        <v>IL</v>
      </c>
      <c r="F1616" s="71" t="s">
        <v>978</v>
      </c>
      <c r="G1616" s="71" t="str">
        <f>MID(F1616,1,2)</f>
        <v>PL</v>
      </c>
      <c r="H1616" s="43" t="s">
        <v>2981</v>
      </c>
      <c r="I1616" s="71" t="s">
        <v>2982</v>
      </c>
      <c r="J1616" s="71" t="s">
        <v>454</v>
      </c>
      <c r="K1616" s="43"/>
      <c r="L1616" s="71" t="s">
        <v>107</v>
      </c>
      <c r="M1616" s="73">
        <v>2666</v>
      </c>
      <c r="N1616" s="71" t="s">
        <v>388</v>
      </c>
      <c r="O1616" s="73">
        <v>8.712</v>
      </c>
      <c r="P1616" s="71" t="s">
        <v>389</v>
      </c>
      <c r="Q1616" s="73">
        <v>2666</v>
      </c>
      <c r="R1616" s="71" t="s">
        <v>388</v>
      </c>
      <c r="S1616" s="73">
        <v>0</v>
      </c>
      <c r="T1616" s="71" t="s">
        <v>390</v>
      </c>
      <c r="U1616" s="74">
        <v>6</v>
      </c>
      <c r="V1616" s="71" t="s">
        <v>391</v>
      </c>
      <c r="W1616" s="130">
        <v>46072.505115740743</v>
      </c>
      <c r="X1616" s="72">
        <v>46074.972222222219</v>
      </c>
      <c r="Y1616" s="72">
        <v>46077.729861111111</v>
      </c>
      <c r="Z1616" s="104" t="s">
        <v>382</v>
      </c>
      <c r="AA1616" s="104" t="s">
        <v>383</v>
      </c>
      <c r="AB1616" s="105">
        <v>46077.563194444447</v>
      </c>
      <c r="AC1616" s="105">
        <v>46077.720138888886</v>
      </c>
    </row>
    <row r="1617" s="70" customFormat="1" ht="11.25" customHeight="1">
      <c r="A1617" s="87"/>
      <c r="C1617" s="43" t="s">
        <v>2980</v>
      </c>
      <c r="D1617" s="71" t="s">
        <v>382</v>
      </c>
      <c r="E1617" s="71" t="str">
        <f>MID(D1617,1,2)</f>
        <v>IL</v>
      </c>
      <c r="F1617" s="71" t="s">
        <v>978</v>
      </c>
      <c r="G1617" s="71" t="str">
        <f>MID(F1617,1,2)</f>
        <v>PL</v>
      </c>
      <c r="H1617" s="43" t="s">
        <v>2981</v>
      </c>
      <c r="I1617" s="71" t="s">
        <v>2982</v>
      </c>
      <c r="J1617" s="71" t="s">
        <v>454</v>
      </c>
      <c r="K1617" s="43"/>
      <c r="L1617" s="71" t="s">
        <v>107</v>
      </c>
      <c r="M1617" s="73">
        <v>2666</v>
      </c>
      <c r="N1617" s="71" t="s">
        <v>388</v>
      </c>
      <c r="O1617" s="73">
        <v>8.712</v>
      </c>
      <c r="P1617" s="71" t="s">
        <v>389</v>
      </c>
      <c r="Q1617" s="73">
        <v>2666</v>
      </c>
      <c r="R1617" s="71" t="s">
        <v>388</v>
      </c>
      <c r="S1617" s="73">
        <v>0</v>
      </c>
      <c r="T1617" s="71" t="s">
        <v>390</v>
      </c>
      <c r="U1617" s="74">
        <v>6</v>
      </c>
      <c r="V1617" s="71" t="s">
        <v>391</v>
      </c>
      <c r="W1617" s="130">
        <v>46072.505115740743</v>
      </c>
      <c r="X1617" s="72">
        <v>46074.972222222219</v>
      </c>
      <c r="Y1617" s="72">
        <v>46077.729861111111</v>
      </c>
      <c r="Z1617" s="104" t="s">
        <v>383</v>
      </c>
      <c r="AA1617" s="104" t="s">
        <v>2983</v>
      </c>
      <c r="AB1617" s="105">
        <v>46081.705555555556</v>
      </c>
      <c r="AC1617" s="105">
        <v>46083.5</v>
      </c>
    </row>
    <row r="1618" s="70" customFormat="1" ht="11.25" customHeight="1">
      <c r="A1618" s="87"/>
      <c r="C1618" s="43" t="s">
        <v>2984</v>
      </c>
      <c r="D1618" s="71" t="s">
        <v>382</v>
      </c>
      <c r="E1618" s="71" t="str">
        <f>MID(D1618,1,2)</f>
        <v>IL</v>
      </c>
      <c r="F1618" s="71" t="s">
        <v>1117</v>
      </c>
      <c r="G1618" s="71" t="str">
        <f>MID(F1618,1,2)</f>
        <v>BE</v>
      </c>
      <c r="H1618" s="43" t="s">
        <v>2745</v>
      </c>
      <c r="I1618" s="71" t="s">
        <v>2985</v>
      </c>
      <c r="J1618" s="71" t="s">
        <v>426</v>
      </c>
      <c r="K1618" s="43"/>
      <c r="L1618" s="71" t="s">
        <v>105</v>
      </c>
      <c r="M1618" s="73">
        <v>8</v>
      </c>
      <c r="N1618" s="71" t="s">
        <v>388</v>
      </c>
      <c r="O1618" s="73">
        <v>0.034</v>
      </c>
      <c r="P1618" s="71" t="s">
        <v>389</v>
      </c>
      <c r="Q1618" s="73">
        <v>8</v>
      </c>
      <c r="R1618" s="71" t="s">
        <v>388</v>
      </c>
      <c r="S1618" s="73">
        <v>0</v>
      </c>
      <c r="T1618" s="71" t="s">
        <v>390</v>
      </c>
      <c r="U1618" s="74">
        <v>1</v>
      </c>
      <c r="V1618" s="71" t="s">
        <v>446</v>
      </c>
      <c r="W1618" s="130">
        <v>46070.800092592595</v>
      </c>
      <c r="X1618" s="72">
        <v>46072.013888888891</v>
      </c>
      <c r="Y1618" s="72">
        <v>46073.729166666664</v>
      </c>
      <c r="Z1618" s="104" t="s">
        <v>382</v>
      </c>
      <c r="AA1618" s="104" t="s">
        <v>496</v>
      </c>
      <c r="AB1618" s="105">
        <v>46073.013888888891</v>
      </c>
      <c r="AC1618" s="105">
        <v>46073.128472222219</v>
      </c>
    </row>
    <row r="1619" s="70" customFormat="1" ht="11.25" customHeight="1">
      <c r="A1619" s="87"/>
      <c r="C1619" s="43" t="s">
        <v>2984</v>
      </c>
      <c r="D1619" s="71" t="s">
        <v>382</v>
      </c>
      <c r="E1619" s="71" t="str">
        <f>MID(D1619,1,2)</f>
        <v>IL</v>
      </c>
      <c r="F1619" s="71" t="s">
        <v>1117</v>
      </c>
      <c r="G1619" s="71" t="str">
        <f>MID(F1619,1,2)</f>
        <v>BE</v>
      </c>
      <c r="H1619" s="43" t="s">
        <v>2745</v>
      </c>
      <c r="I1619" s="71" t="s">
        <v>2985</v>
      </c>
      <c r="J1619" s="71" t="s">
        <v>426</v>
      </c>
      <c r="K1619" s="43"/>
      <c r="L1619" s="71" t="s">
        <v>105</v>
      </c>
      <c r="M1619" s="73">
        <v>8</v>
      </c>
      <c r="N1619" s="71" t="s">
        <v>388</v>
      </c>
      <c r="O1619" s="73">
        <v>0.034</v>
      </c>
      <c r="P1619" s="71" t="s">
        <v>389</v>
      </c>
      <c r="Q1619" s="73">
        <v>8</v>
      </c>
      <c r="R1619" s="71" t="s">
        <v>388</v>
      </c>
      <c r="S1619" s="73">
        <v>0</v>
      </c>
      <c r="T1619" s="71" t="s">
        <v>390</v>
      </c>
      <c r="U1619" s="74">
        <v>1</v>
      </c>
      <c r="V1619" s="71" t="s">
        <v>446</v>
      </c>
      <c r="W1619" s="130">
        <v>46070.800092592595</v>
      </c>
      <c r="X1619" s="72">
        <v>46072.013888888891</v>
      </c>
      <c r="Y1619" s="72">
        <v>46073.729166666664</v>
      </c>
      <c r="Z1619" s="104" t="s">
        <v>496</v>
      </c>
      <c r="AA1619" s="104" t="s">
        <v>1117</v>
      </c>
      <c r="AB1619" s="105">
        <v>46073.652777777781</v>
      </c>
      <c r="AC1619" s="105">
        <v>46073.850694444445</v>
      </c>
    </row>
    <row r="1620" s="70" customFormat="1" ht="11.25" customHeight="1">
      <c r="A1620" s="87"/>
      <c r="C1620" s="43" t="s">
        <v>2986</v>
      </c>
      <c r="D1620" s="71" t="s">
        <v>382</v>
      </c>
      <c r="E1620" s="71" t="str">
        <f>MID(D1620,1,2)</f>
        <v>IL</v>
      </c>
      <c r="F1620" s="71" t="s">
        <v>1428</v>
      </c>
      <c r="G1620" s="71" t="str">
        <f>MID(F1620,1,2)</f>
        <v>PL</v>
      </c>
      <c r="H1620" s="43" t="s">
        <v>2171</v>
      </c>
      <c r="I1620" s="71" t="s">
        <v>2987</v>
      </c>
      <c r="J1620" s="71" t="s">
        <v>386</v>
      </c>
      <c r="K1620" s="43"/>
      <c r="L1620" s="71" t="s">
        <v>107</v>
      </c>
      <c r="M1620" s="73">
        <v>252</v>
      </c>
      <c r="N1620" s="71" t="s">
        <v>388</v>
      </c>
      <c r="O1620" s="73">
        <v>1.795</v>
      </c>
      <c r="P1620" s="71" t="s">
        <v>389</v>
      </c>
      <c r="Q1620" s="73">
        <v>299.5</v>
      </c>
      <c r="R1620" s="71" t="s">
        <v>388</v>
      </c>
      <c r="S1620" s="73">
        <v>0</v>
      </c>
      <c r="T1620" s="71" t="s">
        <v>390</v>
      </c>
      <c r="U1620" s="74">
        <v>1</v>
      </c>
      <c r="V1620" s="71" t="s">
        <v>391</v>
      </c>
      <c r="W1620" s="130"/>
      <c r="X1620" s="72">
        <v>46074.552083333336</v>
      </c>
      <c r="Y1620" s="72">
        <v>46086.25</v>
      </c>
      <c r="Z1620" s="104" t="s">
        <v>382</v>
      </c>
      <c r="AA1620" s="104" t="s">
        <v>1117</v>
      </c>
      <c r="AB1620" s="105">
        <v>46074.552083333336</v>
      </c>
      <c r="AC1620" s="105"/>
    </row>
    <row r="1621" s="70" customFormat="1" ht="11.25" customHeight="1">
      <c r="A1621" s="87"/>
      <c r="C1621" s="43" t="s">
        <v>2986</v>
      </c>
      <c r="D1621" s="71" t="s">
        <v>382</v>
      </c>
      <c r="E1621" s="71" t="str">
        <f>MID(D1621,1,2)</f>
        <v>IL</v>
      </c>
      <c r="F1621" s="71" t="s">
        <v>1428</v>
      </c>
      <c r="G1621" s="71" t="str">
        <f>MID(F1621,1,2)</f>
        <v>PL</v>
      </c>
      <c r="H1621" s="43" t="s">
        <v>2171</v>
      </c>
      <c r="I1621" s="71" t="s">
        <v>2987</v>
      </c>
      <c r="J1621" s="71" t="s">
        <v>386</v>
      </c>
      <c r="K1621" s="43"/>
      <c r="L1621" s="71" t="s">
        <v>107</v>
      </c>
      <c r="M1621" s="73">
        <v>252</v>
      </c>
      <c r="N1621" s="71" t="s">
        <v>388</v>
      </c>
      <c r="O1621" s="73">
        <v>1.795</v>
      </c>
      <c r="P1621" s="71" t="s">
        <v>389</v>
      </c>
      <c r="Q1621" s="73">
        <v>299.5</v>
      </c>
      <c r="R1621" s="71" t="s">
        <v>388</v>
      </c>
      <c r="S1621" s="73">
        <v>0</v>
      </c>
      <c r="T1621" s="71" t="s">
        <v>390</v>
      </c>
      <c r="U1621" s="74">
        <v>1</v>
      </c>
      <c r="V1621" s="71" t="s">
        <v>391</v>
      </c>
      <c r="W1621" s="130"/>
      <c r="X1621" s="72">
        <v>46074.552083333336</v>
      </c>
      <c r="Y1621" s="72">
        <v>46086.25</v>
      </c>
      <c r="Z1621" s="104" t="s">
        <v>1117</v>
      </c>
      <c r="AA1621" s="104" t="s">
        <v>383</v>
      </c>
      <c r="AB1621" s="105">
        <v>46075.416666666664</v>
      </c>
      <c r="AC1621" s="105">
        <v>46075.603472222225</v>
      </c>
    </row>
    <row r="1622" s="70" customFormat="1" ht="11.25" customHeight="1">
      <c r="A1622" s="87"/>
      <c r="C1622" s="43" t="s">
        <v>2986</v>
      </c>
      <c r="D1622" s="71" t="s">
        <v>382</v>
      </c>
      <c r="E1622" s="71" t="str">
        <f>MID(D1622,1,2)</f>
        <v>IL</v>
      </c>
      <c r="F1622" s="71" t="s">
        <v>1428</v>
      </c>
      <c r="G1622" s="71" t="str">
        <f>MID(F1622,1,2)</f>
        <v>PL</v>
      </c>
      <c r="H1622" s="43" t="s">
        <v>2171</v>
      </c>
      <c r="I1622" s="71" t="s">
        <v>2987</v>
      </c>
      <c r="J1622" s="71" t="s">
        <v>386</v>
      </c>
      <c r="K1622" s="43"/>
      <c r="L1622" s="71" t="s">
        <v>107</v>
      </c>
      <c r="M1622" s="73">
        <v>252</v>
      </c>
      <c r="N1622" s="71" t="s">
        <v>388</v>
      </c>
      <c r="O1622" s="73">
        <v>1.795</v>
      </c>
      <c r="P1622" s="71" t="s">
        <v>389</v>
      </c>
      <c r="Q1622" s="73">
        <v>299.5</v>
      </c>
      <c r="R1622" s="71" t="s">
        <v>388</v>
      </c>
      <c r="S1622" s="73">
        <v>0</v>
      </c>
      <c r="T1622" s="71" t="s">
        <v>390</v>
      </c>
      <c r="U1622" s="74">
        <v>1</v>
      </c>
      <c r="V1622" s="71" t="s">
        <v>391</v>
      </c>
      <c r="W1622" s="130"/>
      <c r="X1622" s="72">
        <v>46074.552083333336</v>
      </c>
      <c r="Y1622" s="72">
        <v>46086.25</v>
      </c>
      <c r="Z1622" s="104" t="s">
        <v>383</v>
      </c>
      <c r="AA1622" s="104" t="s">
        <v>1428</v>
      </c>
      <c r="AB1622" s="105">
        <v>46085.87222222222</v>
      </c>
      <c r="AC1622" s="105">
        <v>46086.25</v>
      </c>
    </row>
    <row r="1623" s="70" customFormat="1" ht="11.25" customHeight="1">
      <c r="A1623" s="87"/>
      <c r="C1623" s="43" t="s">
        <v>2988</v>
      </c>
      <c r="D1623" s="71" t="s">
        <v>382</v>
      </c>
      <c r="E1623" s="71" t="str">
        <f>MID(D1623,1,2)</f>
        <v>IL</v>
      </c>
      <c r="F1623" s="71" t="s">
        <v>1976</v>
      </c>
      <c r="G1623" s="71" t="str">
        <f>MID(F1623,1,2)</f>
        <v>SE</v>
      </c>
      <c r="H1623" s="43" t="s">
        <v>2989</v>
      </c>
      <c r="I1623" s="71" t="s">
        <v>2990</v>
      </c>
      <c r="J1623" s="71" t="s">
        <v>386</v>
      </c>
      <c r="K1623" s="43"/>
      <c r="L1623" s="71" t="s">
        <v>107</v>
      </c>
      <c r="M1623" s="73">
        <v>557</v>
      </c>
      <c r="N1623" s="71" t="s">
        <v>388</v>
      </c>
      <c r="O1623" s="73">
        <v>7.152</v>
      </c>
      <c r="P1623" s="71" t="s">
        <v>389</v>
      </c>
      <c r="Q1623" s="73">
        <v>1192</v>
      </c>
      <c r="R1623" s="71" t="s">
        <v>388</v>
      </c>
      <c r="S1623" s="73">
        <v>0</v>
      </c>
      <c r="T1623" s="71" t="s">
        <v>390</v>
      </c>
      <c r="U1623" s="74">
        <v>4</v>
      </c>
      <c r="V1623" s="71" t="s">
        <v>391</v>
      </c>
      <c r="W1623" s="130">
        <v>46072.491493055553</v>
      </c>
      <c r="X1623" s="72">
        <v>46073.572916666664</v>
      </c>
      <c r="Y1623" s="72">
        <v>46079.331944444442</v>
      </c>
      <c r="Z1623" s="104" t="s">
        <v>382</v>
      </c>
      <c r="AA1623" s="104" t="s">
        <v>383</v>
      </c>
      <c r="AB1623" s="105">
        <v>46077.563194444447</v>
      </c>
      <c r="AC1623" s="105">
        <v>46077.720138888886</v>
      </c>
    </row>
    <row r="1624" s="70" customFormat="1" ht="11.25" customHeight="1">
      <c r="A1624" s="87"/>
      <c r="C1624" s="43" t="s">
        <v>2988</v>
      </c>
      <c r="D1624" s="71" t="s">
        <v>382</v>
      </c>
      <c r="E1624" s="71" t="str">
        <f>MID(D1624,1,2)</f>
        <v>IL</v>
      </c>
      <c r="F1624" s="71" t="s">
        <v>1976</v>
      </c>
      <c r="G1624" s="71" t="str">
        <f>MID(F1624,1,2)</f>
        <v>SE</v>
      </c>
      <c r="H1624" s="43" t="s">
        <v>2989</v>
      </c>
      <c r="I1624" s="71" t="s">
        <v>2990</v>
      </c>
      <c r="J1624" s="71" t="s">
        <v>386</v>
      </c>
      <c r="K1624" s="43"/>
      <c r="L1624" s="71" t="s">
        <v>107</v>
      </c>
      <c r="M1624" s="73">
        <v>557</v>
      </c>
      <c r="N1624" s="71" t="s">
        <v>388</v>
      </c>
      <c r="O1624" s="73">
        <v>7.152</v>
      </c>
      <c r="P1624" s="71" t="s">
        <v>389</v>
      </c>
      <c r="Q1624" s="73">
        <v>1192</v>
      </c>
      <c r="R1624" s="71" t="s">
        <v>388</v>
      </c>
      <c r="S1624" s="73">
        <v>0</v>
      </c>
      <c r="T1624" s="71" t="s">
        <v>390</v>
      </c>
      <c r="U1624" s="74">
        <v>4</v>
      </c>
      <c r="V1624" s="71" t="s">
        <v>391</v>
      </c>
      <c r="W1624" s="130">
        <v>46072.491493055553</v>
      </c>
      <c r="X1624" s="72">
        <v>46073.572916666664</v>
      </c>
      <c r="Y1624" s="72">
        <v>46079.331944444442</v>
      </c>
      <c r="Z1624" s="104" t="s">
        <v>383</v>
      </c>
      <c r="AA1624" s="104" t="s">
        <v>1976</v>
      </c>
      <c r="AB1624" s="105">
        <v>46078.529166666667</v>
      </c>
      <c r="AC1624" s="105">
        <v>46079.257638888892</v>
      </c>
    </row>
    <row r="1625" s="70" customFormat="1" ht="11.25" customHeight="1">
      <c r="A1625" s="87"/>
      <c r="C1625" s="43" t="s">
        <v>2991</v>
      </c>
      <c r="D1625" s="71" t="s">
        <v>382</v>
      </c>
      <c r="E1625" s="71" t="str">
        <f>MID(D1625,1,2)</f>
        <v>IL</v>
      </c>
      <c r="F1625" s="71" t="s">
        <v>978</v>
      </c>
      <c r="G1625" s="71" t="str">
        <f>MID(F1625,1,2)</f>
        <v>PL</v>
      </c>
      <c r="H1625" s="43" t="s">
        <v>2806</v>
      </c>
      <c r="I1625" s="71" t="s">
        <v>2992</v>
      </c>
      <c r="J1625" s="71" t="s">
        <v>386</v>
      </c>
      <c r="K1625" s="43"/>
      <c r="L1625" s="71" t="s">
        <v>107</v>
      </c>
      <c r="M1625" s="73">
        <v>98</v>
      </c>
      <c r="N1625" s="71" t="s">
        <v>388</v>
      </c>
      <c r="O1625" s="73">
        <v>0.574</v>
      </c>
      <c r="P1625" s="71" t="s">
        <v>389</v>
      </c>
      <c r="Q1625" s="73">
        <v>100</v>
      </c>
      <c r="R1625" s="71" t="s">
        <v>388</v>
      </c>
      <c r="S1625" s="73">
        <v>0</v>
      </c>
      <c r="T1625" s="71" t="s">
        <v>390</v>
      </c>
      <c r="U1625" s="74">
        <v>12</v>
      </c>
      <c r="V1625" s="71" t="s">
        <v>417</v>
      </c>
      <c r="W1625" s="130"/>
      <c r="X1625" s="72">
        <v>46073.572916666664</v>
      </c>
      <c r="Y1625" s="72">
        <v>46076.354166666664</v>
      </c>
      <c r="Z1625" s="104" t="s">
        <v>382</v>
      </c>
      <c r="AA1625" s="104" t="s">
        <v>383</v>
      </c>
      <c r="AB1625" s="105">
        <v>46073.555555555555</v>
      </c>
      <c r="AC1625" s="105">
        <v>46073.692361111112</v>
      </c>
    </row>
    <row r="1626" s="70" customFormat="1" ht="11.25" customHeight="1">
      <c r="A1626" s="87"/>
      <c r="C1626" s="43" t="s">
        <v>2991</v>
      </c>
      <c r="D1626" s="71" t="s">
        <v>382</v>
      </c>
      <c r="E1626" s="71" t="str">
        <f>MID(D1626,1,2)</f>
        <v>IL</v>
      </c>
      <c r="F1626" s="71" t="s">
        <v>978</v>
      </c>
      <c r="G1626" s="71" t="str">
        <f>MID(F1626,1,2)</f>
        <v>PL</v>
      </c>
      <c r="H1626" s="43" t="s">
        <v>2806</v>
      </c>
      <c r="I1626" s="71" t="s">
        <v>2992</v>
      </c>
      <c r="J1626" s="71" t="s">
        <v>386</v>
      </c>
      <c r="K1626" s="43"/>
      <c r="L1626" s="71" t="s">
        <v>107</v>
      </c>
      <c r="M1626" s="73">
        <v>98</v>
      </c>
      <c r="N1626" s="71" t="s">
        <v>388</v>
      </c>
      <c r="O1626" s="73">
        <v>0.574</v>
      </c>
      <c r="P1626" s="71" t="s">
        <v>389</v>
      </c>
      <c r="Q1626" s="73">
        <v>100</v>
      </c>
      <c r="R1626" s="71" t="s">
        <v>388</v>
      </c>
      <c r="S1626" s="73">
        <v>0</v>
      </c>
      <c r="T1626" s="71" t="s">
        <v>390</v>
      </c>
      <c r="U1626" s="74">
        <v>12</v>
      </c>
      <c r="V1626" s="71" t="s">
        <v>417</v>
      </c>
      <c r="W1626" s="130"/>
      <c r="X1626" s="72">
        <v>46073.572916666664</v>
      </c>
      <c r="Y1626" s="72">
        <v>46076.354166666664</v>
      </c>
      <c r="Z1626" s="104" t="s">
        <v>383</v>
      </c>
      <c r="AA1626" s="104" t="s">
        <v>978</v>
      </c>
      <c r="AB1626" s="105">
        <v>46075.583333333336</v>
      </c>
      <c r="AC1626" s="105">
        <v>46076.291666666664</v>
      </c>
    </row>
    <row r="1627" s="70" customFormat="1" ht="11.25" customHeight="1">
      <c r="A1627" s="87"/>
      <c r="C1627" s="43" t="s">
        <v>2993</v>
      </c>
      <c r="D1627" s="71" t="s">
        <v>382</v>
      </c>
      <c r="E1627" s="71" t="str">
        <f>MID(D1627,1,2)</f>
        <v>IL</v>
      </c>
      <c r="F1627" s="71" t="s">
        <v>2453</v>
      </c>
      <c r="G1627" s="71" t="str">
        <f>MID(F1627,1,2)</f>
        <v>GE</v>
      </c>
      <c r="H1627" s="43" t="s">
        <v>2994</v>
      </c>
      <c r="I1627" s="71" t="s">
        <v>2995</v>
      </c>
      <c r="J1627" s="71" t="s">
        <v>400</v>
      </c>
      <c r="K1627" s="43"/>
      <c r="L1627" s="71" t="s">
        <v>105</v>
      </c>
      <c r="M1627" s="73">
        <v>155</v>
      </c>
      <c r="N1627" s="71" t="s">
        <v>388</v>
      </c>
      <c r="O1627" s="73">
        <v>1.171</v>
      </c>
      <c r="P1627" s="71" t="s">
        <v>389</v>
      </c>
      <c r="Q1627" s="73">
        <v>195.5</v>
      </c>
      <c r="R1627" s="71" t="s">
        <v>388</v>
      </c>
      <c r="S1627" s="73">
        <v>0</v>
      </c>
      <c r="T1627" s="71" t="s">
        <v>390</v>
      </c>
      <c r="U1627" s="74">
        <v>2</v>
      </c>
      <c r="V1627" s="71" t="s">
        <v>391</v>
      </c>
      <c r="W1627" s="130">
        <v>46070.625</v>
      </c>
      <c r="X1627" s="72">
        <v>46072.21875</v>
      </c>
      <c r="Y1627" s="72">
        <v>46073.438194444447</v>
      </c>
      <c r="Z1627" s="104" t="s">
        <v>382</v>
      </c>
      <c r="AA1627" s="104" t="s">
        <v>2453</v>
      </c>
      <c r="AB1627" s="105">
        <v>46073.244444444441</v>
      </c>
      <c r="AC1627" s="105">
        <v>46073.426388888889</v>
      </c>
    </row>
    <row r="1628" s="70" customFormat="1" ht="11.25" customHeight="1">
      <c r="A1628" s="87"/>
      <c r="C1628" s="43" t="s">
        <v>2996</v>
      </c>
      <c r="D1628" s="71" t="s">
        <v>382</v>
      </c>
      <c r="E1628" s="71" t="str">
        <f>MID(D1628,1,2)</f>
        <v>IL</v>
      </c>
      <c r="F1628" s="71" t="s">
        <v>465</v>
      </c>
      <c r="G1628" s="71" t="str">
        <f>MID(F1628,1,2)</f>
        <v>AZ</v>
      </c>
      <c r="H1628" s="43" t="s">
        <v>2997</v>
      </c>
      <c r="I1628" s="71"/>
      <c r="J1628" s="71" t="s">
        <v>426</v>
      </c>
      <c r="K1628" s="43"/>
      <c r="L1628" s="71" t="s">
        <v>105</v>
      </c>
      <c r="M1628" s="73">
        <v>5</v>
      </c>
      <c r="N1628" s="71" t="s">
        <v>388</v>
      </c>
      <c r="O1628" s="73">
        <v>0.032</v>
      </c>
      <c r="P1628" s="71" t="s">
        <v>389</v>
      </c>
      <c r="Q1628" s="73">
        <v>5.5</v>
      </c>
      <c r="R1628" s="71" t="s">
        <v>388</v>
      </c>
      <c r="S1628" s="73">
        <v>0</v>
      </c>
      <c r="T1628" s="71" t="s">
        <v>390</v>
      </c>
      <c r="U1628" s="74">
        <v>1</v>
      </c>
      <c r="V1628" s="71" t="s">
        <v>391</v>
      </c>
      <c r="W1628" s="130"/>
      <c r="X1628" s="72">
        <v>46070.069444444445</v>
      </c>
      <c r="Y1628" s="72">
        <v>46071.25</v>
      </c>
      <c r="Z1628" s="104" t="s">
        <v>382</v>
      </c>
      <c r="AA1628" s="104" t="s">
        <v>465</v>
      </c>
      <c r="AB1628" s="105">
        <v>46071.370833333334</v>
      </c>
      <c r="AC1628" s="105">
        <v>46071.51875</v>
      </c>
    </row>
    <row r="1629" s="70" customFormat="1" ht="11.25" customHeight="1">
      <c r="A1629" s="87"/>
      <c r="C1629" s="43" t="s">
        <v>2998</v>
      </c>
      <c r="D1629" s="71" t="s">
        <v>382</v>
      </c>
      <c r="E1629" s="71" t="str">
        <f>MID(D1629,1,2)</f>
        <v>IL</v>
      </c>
      <c r="F1629" s="71" t="s">
        <v>2453</v>
      </c>
      <c r="G1629" s="71" t="str">
        <f>MID(F1629,1,2)</f>
        <v>GE</v>
      </c>
      <c r="H1629" s="43" t="s">
        <v>2999</v>
      </c>
      <c r="I1629" s="71" t="s">
        <v>3000</v>
      </c>
      <c r="J1629" s="71" t="s">
        <v>426</v>
      </c>
      <c r="K1629" s="43"/>
      <c r="L1629" s="71" t="s">
        <v>105</v>
      </c>
      <c r="M1629" s="73">
        <v>782</v>
      </c>
      <c r="N1629" s="71" t="s">
        <v>388</v>
      </c>
      <c r="O1629" s="73">
        <v>6.422</v>
      </c>
      <c r="P1629" s="71" t="s">
        <v>389</v>
      </c>
      <c r="Q1629" s="73">
        <v>1070.5</v>
      </c>
      <c r="R1629" s="71" t="s">
        <v>388</v>
      </c>
      <c r="S1629" s="73">
        <v>0</v>
      </c>
      <c r="T1629" s="71" t="s">
        <v>390</v>
      </c>
      <c r="U1629" s="74">
        <v>23</v>
      </c>
      <c r="V1629" s="71" t="s">
        <v>391</v>
      </c>
      <c r="W1629" s="130">
        <v>46070.65347222222</v>
      </c>
      <c r="X1629" s="72">
        <v>46071.895833333336</v>
      </c>
      <c r="Y1629" s="72">
        <v>46071.993055555555</v>
      </c>
      <c r="Z1629" s="104" t="s">
        <v>382</v>
      </c>
      <c r="AA1629" s="104" t="s">
        <v>2453</v>
      </c>
      <c r="AB1629" s="105">
        <v>46071.88958333333</v>
      </c>
      <c r="AC1629" s="105">
        <v>46072.01458333333</v>
      </c>
    </row>
    <row r="1630" s="70" customFormat="1" ht="11.25" customHeight="1">
      <c r="A1630" s="87"/>
      <c r="C1630" s="43" t="s">
        <v>3001</v>
      </c>
      <c r="D1630" s="71" t="s">
        <v>382</v>
      </c>
      <c r="E1630" s="71" t="str">
        <f>MID(D1630,1,2)</f>
        <v>IL</v>
      </c>
      <c r="F1630" s="71" t="s">
        <v>422</v>
      </c>
      <c r="G1630" s="71" t="str">
        <f>MID(F1630,1,2)</f>
        <v>US</v>
      </c>
      <c r="H1630" s="43" t="s">
        <v>3002</v>
      </c>
      <c r="I1630" s="71"/>
      <c r="J1630" s="71" t="s">
        <v>426</v>
      </c>
      <c r="K1630" s="43"/>
      <c r="L1630" s="71" t="s">
        <v>105</v>
      </c>
      <c r="M1630" s="73">
        <v>2653</v>
      </c>
      <c r="N1630" s="71" t="s">
        <v>388</v>
      </c>
      <c r="O1630" s="73">
        <v>16.26</v>
      </c>
      <c r="P1630" s="71" t="s">
        <v>389</v>
      </c>
      <c r="Q1630" s="73">
        <v>2710</v>
      </c>
      <c r="R1630" s="71" t="s">
        <v>388</v>
      </c>
      <c r="S1630" s="73">
        <v>0</v>
      </c>
      <c r="T1630" s="71" t="s">
        <v>390</v>
      </c>
      <c r="U1630" s="74">
        <v>16</v>
      </c>
      <c r="V1630" s="71" t="s">
        <v>391</v>
      </c>
      <c r="W1630" s="130">
        <v>46070.709027777775</v>
      </c>
      <c r="X1630" s="72">
        <v>46072.003472222219</v>
      </c>
      <c r="Y1630" s="72">
        <v>46072.217361111114</v>
      </c>
      <c r="Z1630" s="104" t="s">
        <v>382</v>
      </c>
      <c r="AA1630" s="104" t="s">
        <v>422</v>
      </c>
      <c r="AB1630" s="105">
        <v>46072.006944444445</v>
      </c>
      <c r="AC1630" s="105">
        <v>46072.213194444441</v>
      </c>
    </row>
    <row r="1631" s="70" customFormat="1" ht="11.25" customHeight="1">
      <c r="A1631" s="87"/>
      <c r="C1631" s="43" t="s">
        <v>3003</v>
      </c>
      <c r="D1631" s="71" t="s">
        <v>382</v>
      </c>
      <c r="E1631" s="71" t="str">
        <f>MID(D1631,1,2)</f>
        <v>IL</v>
      </c>
      <c r="F1631" s="71" t="s">
        <v>468</v>
      </c>
      <c r="G1631" s="71" t="str">
        <f>MID(F1631,1,2)</f>
        <v>US</v>
      </c>
      <c r="H1631" s="43" t="s">
        <v>1617</v>
      </c>
      <c r="I1631" s="71" t="s">
        <v>3004</v>
      </c>
      <c r="J1631" s="71" t="s">
        <v>386</v>
      </c>
      <c r="K1631" s="43"/>
      <c r="L1631" s="71" t="s">
        <v>107</v>
      </c>
      <c r="M1631" s="73">
        <v>2</v>
      </c>
      <c r="N1631" s="71" t="s">
        <v>388</v>
      </c>
      <c r="O1631" s="73">
        <v>0.042</v>
      </c>
      <c r="P1631" s="71" t="s">
        <v>389</v>
      </c>
      <c r="Q1631" s="73">
        <v>7</v>
      </c>
      <c r="R1631" s="71" t="s">
        <v>388</v>
      </c>
      <c r="S1631" s="73">
        <v>0</v>
      </c>
      <c r="T1631" s="71" t="s">
        <v>390</v>
      </c>
      <c r="U1631" s="74">
        <v>1</v>
      </c>
      <c r="V1631" s="71" t="s">
        <v>446</v>
      </c>
      <c r="W1631" s="130">
        <v>46070.709027777775</v>
      </c>
      <c r="X1631" s="72">
        <v>46074.9375</v>
      </c>
      <c r="Y1631" s="72">
        <v>46104.416666666664</v>
      </c>
      <c r="Z1631" s="104" t="s">
        <v>382</v>
      </c>
      <c r="AA1631" s="104" t="s">
        <v>422</v>
      </c>
      <c r="AB1631" s="105">
        <v>46075.472222222219</v>
      </c>
      <c r="AC1631" s="105">
        <v>46075.679861111108</v>
      </c>
    </row>
    <row r="1632" s="70" customFormat="1" ht="11.25" customHeight="1">
      <c r="A1632" s="87"/>
      <c r="C1632" s="43" t="s">
        <v>3003</v>
      </c>
      <c r="D1632" s="71" t="s">
        <v>382</v>
      </c>
      <c r="E1632" s="71" t="str">
        <f>MID(D1632,1,2)</f>
        <v>IL</v>
      </c>
      <c r="F1632" s="71" t="s">
        <v>468</v>
      </c>
      <c r="G1632" s="71" t="str">
        <f>MID(F1632,1,2)</f>
        <v>US</v>
      </c>
      <c r="H1632" s="43" t="s">
        <v>1617</v>
      </c>
      <c r="I1632" s="71" t="s">
        <v>3004</v>
      </c>
      <c r="J1632" s="71" t="s">
        <v>386</v>
      </c>
      <c r="K1632" s="43"/>
      <c r="L1632" s="71" t="s">
        <v>107</v>
      </c>
      <c r="M1632" s="73">
        <v>2</v>
      </c>
      <c r="N1632" s="71" t="s">
        <v>388</v>
      </c>
      <c r="O1632" s="73">
        <v>0.042</v>
      </c>
      <c r="P1632" s="71" t="s">
        <v>389</v>
      </c>
      <c r="Q1632" s="73">
        <v>7</v>
      </c>
      <c r="R1632" s="71" t="s">
        <v>388</v>
      </c>
      <c r="S1632" s="73">
        <v>0</v>
      </c>
      <c r="T1632" s="71" t="s">
        <v>390</v>
      </c>
      <c r="U1632" s="74">
        <v>1</v>
      </c>
      <c r="V1632" s="71" t="s">
        <v>446</v>
      </c>
      <c r="W1632" s="130">
        <v>46070.709027777775</v>
      </c>
      <c r="X1632" s="72">
        <v>46074.9375</v>
      </c>
      <c r="Y1632" s="72">
        <v>46104.416666666664</v>
      </c>
      <c r="Z1632" s="104" t="s">
        <v>422</v>
      </c>
      <c r="AA1632" s="104" t="s">
        <v>468</v>
      </c>
      <c r="AB1632" s="105"/>
      <c r="AC1632" s="105"/>
    </row>
    <row r="1633" s="70" customFormat="1" ht="11.25" customHeight="1">
      <c r="A1633" s="87"/>
      <c r="C1633" s="43" t="s">
        <v>3005</v>
      </c>
      <c r="D1633" s="71" t="s">
        <v>382</v>
      </c>
      <c r="E1633" s="71" t="str">
        <f>MID(D1633,1,2)</f>
        <v>IL</v>
      </c>
      <c r="F1633" s="71" t="s">
        <v>468</v>
      </c>
      <c r="G1633" s="71" t="str">
        <f>MID(F1633,1,2)</f>
        <v>US</v>
      </c>
      <c r="H1633" s="43" t="s">
        <v>1617</v>
      </c>
      <c r="I1633" s="71" t="s">
        <v>3006</v>
      </c>
      <c r="J1633" s="71" t="s">
        <v>386</v>
      </c>
      <c r="K1633" s="43"/>
      <c r="L1633" s="71" t="s">
        <v>107</v>
      </c>
      <c r="M1633" s="73">
        <v>2</v>
      </c>
      <c r="N1633" s="71" t="s">
        <v>388</v>
      </c>
      <c r="O1633" s="73">
        <v>0.042</v>
      </c>
      <c r="P1633" s="71" t="s">
        <v>389</v>
      </c>
      <c r="Q1633" s="73">
        <v>7</v>
      </c>
      <c r="R1633" s="71" t="s">
        <v>388</v>
      </c>
      <c r="S1633" s="73">
        <v>0</v>
      </c>
      <c r="T1633" s="71" t="s">
        <v>390</v>
      </c>
      <c r="U1633" s="74">
        <v>1</v>
      </c>
      <c r="V1633" s="71" t="s">
        <v>446</v>
      </c>
      <c r="W1633" s="130">
        <v>46070.729861111111</v>
      </c>
      <c r="X1633" s="72">
        <v>46074.9375</v>
      </c>
      <c r="Y1633" s="72">
        <v>46104.416666666664</v>
      </c>
      <c r="Z1633" s="104" t="s">
        <v>382</v>
      </c>
      <c r="AA1633" s="104" t="s">
        <v>422</v>
      </c>
      <c r="AB1633" s="105">
        <v>46075.472222222219</v>
      </c>
      <c r="AC1633" s="105">
        <v>46075.679861111108</v>
      </c>
    </row>
    <row r="1634" s="70" customFormat="1" ht="11.25" customHeight="1">
      <c r="A1634" s="87"/>
      <c r="C1634" s="43" t="s">
        <v>3005</v>
      </c>
      <c r="D1634" s="71" t="s">
        <v>382</v>
      </c>
      <c r="E1634" s="71" t="str">
        <f>MID(D1634,1,2)</f>
        <v>IL</v>
      </c>
      <c r="F1634" s="71" t="s">
        <v>468</v>
      </c>
      <c r="G1634" s="71" t="str">
        <f>MID(F1634,1,2)</f>
        <v>US</v>
      </c>
      <c r="H1634" s="43" t="s">
        <v>1617</v>
      </c>
      <c r="I1634" s="71" t="s">
        <v>3006</v>
      </c>
      <c r="J1634" s="71" t="s">
        <v>386</v>
      </c>
      <c r="K1634" s="43"/>
      <c r="L1634" s="71" t="s">
        <v>107</v>
      </c>
      <c r="M1634" s="73">
        <v>2</v>
      </c>
      <c r="N1634" s="71" t="s">
        <v>388</v>
      </c>
      <c r="O1634" s="73">
        <v>0.042</v>
      </c>
      <c r="P1634" s="71" t="s">
        <v>389</v>
      </c>
      <c r="Q1634" s="73">
        <v>7</v>
      </c>
      <c r="R1634" s="71" t="s">
        <v>388</v>
      </c>
      <c r="S1634" s="73">
        <v>0</v>
      </c>
      <c r="T1634" s="71" t="s">
        <v>390</v>
      </c>
      <c r="U1634" s="74">
        <v>1</v>
      </c>
      <c r="V1634" s="71" t="s">
        <v>446</v>
      </c>
      <c r="W1634" s="130">
        <v>46070.729861111111</v>
      </c>
      <c r="X1634" s="72">
        <v>46074.9375</v>
      </c>
      <c r="Y1634" s="72">
        <v>46104.416666666664</v>
      </c>
      <c r="Z1634" s="104" t="s">
        <v>422</v>
      </c>
      <c r="AA1634" s="104" t="s">
        <v>468</v>
      </c>
      <c r="AB1634" s="105"/>
      <c r="AC1634" s="105"/>
    </row>
    <row r="1635" s="70" customFormat="1" ht="11.25" customHeight="1">
      <c r="A1635" s="87"/>
      <c r="C1635" s="43" t="s">
        <v>3007</v>
      </c>
      <c r="D1635" s="71" t="s">
        <v>382</v>
      </c>
      <c r="E1635" s="71" t="str">
        <f>MID(D1635,1,2)</f>
        <v>IL</v>
      </c>
      <c r="F1635" s="71" t="s">
        <v>476</v>
      </c>
      <c r="G1635" s="71" t="str">
        <f>MID(F1635,1,2)</f>
        <v>SG</v>
      </c>
      <c r="H1635" s="43" t="s">
        <v>3008</v>
      </c>
      <c r="I1635" s="71" t="s">
        <v>3009</v>
      </c>
      <c r="J1635" s="71" t="s">
        <v>400</v>
      </c>
      <c r="K1635" s="43"/>
      <c r="L1635" s="71" t="s">
        <v>105</v>
      </c>
      <c r="M1635" s="73">
        <v>93</v>
      </c>
      <c r="N1635" s="71" t="s">
        <v>388</v>
      </c>
      <c r="O1635" s="73">
        <v>1.104</v>
      </c>
      <c r="P1635" s="71" t="s">
        <v>389</v>
      </c>
      <c r="Q1635" s="73">
        <v>184</v>
      </c>
      <c r="R1635" s="71" t="s">
        <v>388</v>
      </c>
      <c r="S1635" s="73">
        <v>0</v>
      </c>
      <c r="T1635" s="71" t="s">
        <v>390</v>
      </c>
      <c r="U1635" s="74">
        <v>1</v>
      </c>
      <c r="V1635" s="71" t="s">
        <v>391</v>
      </c>
      <c r="W1635" s="130">
        <v>46070.674305555556</v>
      </c>
      <c r="X1635" s="72">
        <v>46072.6625</v>
      </c>
      <c r="Y1635" s="72">
        <v>46074.46875</v>
      </c>
      <c r="Z1635" s="104" t="s">
        <v>382</v>
      </c>
      <c r="AA1635" s="104" t="s">
        <v>833</v>
      </c>
      <c r="AB1635" s="105">
        <v>46072.89166666667</v>
      </c>
      <c r="AC1635" s="105">
        <v>46073.561805555553</v>
      </c>
    </row>
    <row r="1636" s="70" customFormat="1" ht="11.25" customHeight="1">
      <c r="A1636" s="87"/>
      <c r="C1636" s="43" t="s">
        <v>3007</v>
      </c>
      <c r="D1636" s="71" t="s">
        <v>382</v>
      </c>
      <c r="E1636" s="71" t="str">
        <f>MID(D1636,1,2)</f>
        <v>IL</v>
      </c>
      <c r="F1636" s="71" t="s">
        <v>476</v>
      </c>
      <c r="G1636" s="71" t="str">
        <f>MID(F1636,1,2)</f>
        <v>SG</v>
      </c>
      <c r="H1636" s="43" t="s">
        <v>3008</v>
      </c>
      <c r="I1636" s="71" t="s">
        <v>3009</v>
      </c>
      <c r="J1636" s="71" t="s">
        <v>400</v>
      </c>
      <c r="K1636" s="43"/>
      <c r="L1636" s="71" t="s">
        <v>105</v>
      </c>
      <c r="M1636" s="73">
        <v>93</v>
      </c>
      <c r="N1636" s="71" t="s">
        <v>388</v>
      </c>
      <c r="O1636" s="73">
        <v>1.104</v>
      </c>
      <c r="P1636" s="71" t="s">
        <v>389</v>
      </c>
      <c r="Q1636" s="73">
        <v>184</v>
      </c>
      <c r="R1636" s="71" t="s">
        <v>388</v>
      </c>
      <c r="S1636" s="73">
        <v>0</v>
      </c>
      <c r="T1636" s="71" t="s">
        <v>390</v>
      </c>
      <c r="U1636" s="74">
        <v>1</v>
      </c>
      <c r="V1636" s="71" t="s">
        <v>391</v>
      </c>
      <c r="W1636" s="130">
        <v>46070.674305555556</v>
      </c>
      <c r="X1636" s="72">
        <v>46072.6625</v>
      </c>
      <c r="Y1636" s="72">
        <v>46074.46875</v>
      </c>
      <c r="Z1636" s="104" t="s">
        <v>833</v>
      </c>
      <c r="AA1636" s="104" t="s">
        <v>476</v>
      </c>
      <c r="AB1636" s="105">
        <v>46074.336805555555</v>
      </c>
      <c r="AC1636" s="105">
        <v>46074.474305555559</v>
      </c>
    </row>
    <row r="1637" s="70" customFormat="1" ht="11.25" customHeight="1">
      <c r="A1637" s="87"/>
      <c r="C1637" s="43" t="s">
        <v>3010</v>
      </c>
      <c r="D1637" s="71" t="s">
        <v>382</v>
      </c>
      <c r="E1637" s="71" t="str">
        <f>MID(D1637,1,2)</f>
        <v>IL</v>
      </c>
      <c r="F1637" s="71" t="s">
        <v>1976</v>
      </c>
      <c r="G1637" s="71" t="str">
        <f>MID(F1637,1,2)</f>
        <v>SE</v>
      </c>
      <c r="H1637" s="43" t="s">
        <v>2989</v>
      </c>
      <c r="I1637" s="71" t="s">
        <v>3011</v>
      </c>
      <c r="J1637" s="71" t="s">
        <v>386</v>
      </c>
      <c r="K1637" s="43"/>
      <c r="L1637" s="71" t="s">
        <v>107</v>
      </c>
      <c r="M1637" s="73">
        <v>64</v>
      </c>
      <c r="N1637" s="71" t="s">
        <v>388</v>
      </c>
      <c r="O1637" s="73">
        <v>0.768</v>
      </c>
      <c r="P1637" s="71" t="s">
        <v>389</v>
      </c>
      <c r="Q1637" s="73">
        <v>128</v>
      </c>
      <c r="R1637" s="71" t="s">
        <v>388</v>
      </c>
      <c r="S1637" s="73">
        <v>0</v>
      </c>
      <c r="T1637" s="71" t="s">
        <v>390</v>
      </c>
      <c r="U1637" s="74">
        <v>1</v>
      </c>
      <c r="V1637" s="71" t="s">
        <v>391</v>
      </c>
      <c r="W1637" s="130">
        <v>46072.491689814815</v>
      </c>
      <c r="X1637" s="72">
        <v>46073.572916666664</v>
      </c>
      <c r="Y1637" s="72">
        <v>46079.331944444442</v>
      </c>
      <c r="Z1637" s="104" t="s">
        <v>382</v>
      </c>
      <c r="AA1637" s="104" t="s">
        <v>383</v>
      </c>
      <c r="AB1637" s="105">
        <v>46077.563194444447</v>
      </c>
      <c r="AC1637" s="105">
        <v>46077.720138888886</v>
      </c>
    </row>
    <row r="1638" s="70" customFormat="1" ht="11.25" customHeight="1">
      <c r="A1638" s="87"/>
      <c r="C1638" s="43" t="s">
        <v>3010</v>
      </c>
      <c r="D1638" s="71" t="s">
        <v>382</v>
      </c>
      <c r="E1638" s="71" t="str">
        <f>MID(D1638,1,2)</f>
        <v>IL</v>
      </c>
      <c r="F1638" s="71" t="s">
        <v>1976</v>
      </c>
      <c r="G1638" s="71" t="str">
        <f>MID(F1638,1,2)</f>
        <v>SE</v>
      </c>
      <c r="H1638" s="43" t="s">
        <v>2989</v>
      </c>
      <c r="I1638" s="71" t="s">
        <v>3011</v>
      </c>
      <c r="J1638" s="71" t="s">
        <v>386</v>
      </c>
      <c r="K1638" s="43"/>
      <c r="L1638" s="71" t="s">
        <v>107</v>
      </c>
      <c r="M1638" s="73">
        <v>64</v>
      </c>
      <c r="N1638" s="71" t="s">
        <v>388</v>
      </c>
      <c r="O1638" s="73">
        <v>0.768</v>
      </c>
      <c r="P1638" s="71" t="s">
        <v>389</v>
      </c>
      <c r="Q1638" s="73">
        <v>128</v>
      </c>
      <c r="R1638" s="71" t="s">
        <v>388</v>
      </c>
      <c r="S1638" s="73">
        <v>0</v>
      </c>
      <c r="T1638" s="71" t="s">
        <v>390</v>
      </c>
      <c r="U1638" s="74">
        <v>1</v>
      </c>
      <c r="V1638" s="71" t="s">
        <v>391</v>
      </c>
      <c r="W1638" s="130">
        <v>46072.491689814815</v>
      </c>
      <c r="X1638" s="72">
        <v>46073.572916666664</v>
      </c>
      <c r="Y1638" s="72">
        <v>46079.331944444442</v>
      </c>
      <c r="Z1638" s="104" t="s">
        <v>383</v>
      </c>
      <c r="AA1638" s="104" t="s">
        <v>1976</v>
      </c>
      <c r="AB1638" s="105">
        <v>46078.529166666667</v>
      </c>
      <c r="AC1638" s="105">
        <v>46079.257638888892</v>
      </c>
    </row>
    <row r="1639" s="70" customFormat="1" ht="11.25" customHeight="1">
      <c r="A1639" s="87"/>
      <c r="C1639" s="43" t="s">
        <v>3012</v>
      </c>
      <c r="D1639" s="71" t="s">
        <v>382</v>
      </c>
      <c r="E1639" s="71" t="str">
        <f>MID(D1639,1,2)</f>
        <v>IL</v>
      </c>
      <c r="F1639" s="71" t="s">
        <v>414</v>
      </c>
      <c r="G1639" s="71" t="str">
        <f>MID(F1639,1,2)</f>
        <v>US</v>
      </c>
      <c r="H1639" s="43" t="s">
        <v>2847</v>
      </c>
      <c r="I1639" s="71" t="s">
        <v>3013</v>
      </c>
      <c r="J1639" s="71" t="s">
        <v>400</v>
      </c>
      <c r="K1639" s="43" t="s">
        <v>3014</v>
      </c>
      <c r="L1639" s="71" t="s">
        <v>105</v>
      </c>
      <c r="M1639" s="73">
        <v>2</v>
      </c>
      <c r="N1639" s="71" t="s">
        <v>388</v>
      </c>
      <c r="O1639" s="73">
        <v>0.014</v>
      </c>
      <c r="P1639" s="71" t="s">
        <v>389</v>
      </c>
      <c r="Q1639" s="73">
        <v>2.5</v>
      </c>
      <c r="R1639" s="71" t="s">
        <v>388</v>
      </c>
      <c r="S1639" s="73">
        <v>0</v>
      </c>
      <c r="T1639" s="71" t="s">
        <v>390</v>
      </c>
      <c r="U1639" s="74">
        <v>1</v>
      </c>
      <c r="V1639" s="71" t="s">
        <v>427</v>
      </c>
      <c r="W1639" s="130">
        <v>46070.68125</v>
      </c>
      <c r="X1639" s="72">
        <v>46073.03125</v>
      </c>
      <c r="Y1639" s="72">
        <v>46073.239583333336</v>
      </c>
      <c r="Z1639" s="104" t="s">
        <v>382</v>
      </c>
      <c r="AA1639" s="104" t="s">
        <v>414</v>
      </c>
      <c r="AB1639" s="105">
        <v>46073.040277777778</v>
      </c>
      <c r="AC1639" s="105">
        <v>46073.227083333331</v>
      </c>
    </row>
    <row r="1640" s="70" customFormat="1" ht="11.25" customHeight="1">
      <c r="A1640" s="87"/>
      <c r="C1640" s="43" t="s">
        <v>3015</v>
      </c>
      <c r="D1640" s="71" t="s">
        <v>382</v>
      </c>
      <c r="E1640" s="71" t="str">
        <f>MID(D1640,1,2)</f>
        <v>IL</v>
      </c>
      <c r="F1640" s="71" t="s">
        <v>414</v>
      </c>
      <c r="G1640" s="71" t="str">
        <f>MID(F1640,1,2)</f>
        <v>US</v>
      </c>
      <c r="H1640" s="43" t="s">
        <v>2847</v>
      </c>
      <c r="I1640" s="71" t="s">
        <v>3016</v>
      </c>
      <c r="J1640" s="71" t="s">
        <v>483</v>
      </c>
      <c r="K1640" s="43"/>
      <c r="L1640" s="71" t="s">
        <v>105</v>
      </c>
      <c r="M1640" s="73">
        <v>4</v>
      </c>
      <c r="N1640" s="71" t="s">
        <v>388</v>
      </c>
      <c r="O1640" s="73">
        <v>0.047</v>
      </c>
      <c r="P1640" s="71" t="s">
        <v>389</v>
      </c>
      <c r="Q1640" s="73">
        <v>8</v>
      </c>
      <c r="R1640" s="71" t="s">
        <v>388</v>
      </c>
      <c r="S1640" s="73">
        <v>0</v>
      </c>
      <c r="T1640" s="71" t="s">
        <v>390</v>
      </c>
      <c r="U1640" s="74">
        <v>1</v>
      </c>
      <c r="V1640" s="71" t="s">
        <v>427</v>
      </c>
      <c r="W1640" s="130">
        <v>46070.688194444447</v>
      </c>
      <c r="X1640" s="72">
        <v>46073.03125</v>
      </c>
      <c r="Y1640" s="72">
        <v>46073.239583333336</v>
      </c>
      <c r="Z1640" s="104" t="s">
        <v>382</v>
      </c>
      <c r="AA1640" s="104" t="s">
        <v>414</v>
      </c>
      <c r="AB1640" s="105">
        <v>46073.040277777778</v>
      </c>
      <c r="AC1640" s="105">
        <v>46073.227083333331</v>
      </c>
    </row>
    <row r="1641" s="70" customFormat="1" ht="11.25" customHeight="1">
      <c r="A1641" s="87"/>
      <c r="C1641" s="43" t="s">
        <v>3017</v>
      </c>
      <c r="D1641" s="71" t="s">
        <v>382</v>
      </c>
      <c r="E1641" s="71" t="str">
        <f>MID(D1641,1,2)</f>
        <v>IL</v>
      </c>
      <c r="F1641" s="71" t="s">
        <v>414</v>
      </c>
      <c r="G1641" s="71" t="str">
        <f>MID(F1641,1,2)</f>
        <v>US</v>
      </c>
      <c r="H1641" s="43" t="s">
        <v>2847</v>
      </c>
      <c r="I1641" s="71" t="s">
        <v>3018</v>
      </c>
      <c r="J1641" s="71" t="s">
        <v>483</v>
      </c>
      <c r="K1641" s="43"/>
      <c r="L1641" s="71" t="s">
        <v>105</v>
      </c>
      <c r="M1641" s="73">
        <v>2</v>
      </c>
      <c r="N1641" s="71" t="s">
        <v>388</v>
      </c>
      <c r="O1641" s="73">
        <v>0.023</v>
      </c>
      <c r="P1641" s="71" t="s">
        <v>389</v>
      </c>
      <c r="Q1641" s="73">
        <v>4</v>
      </c>
      <c r="R1641" s="71" t="s">
        <v>388</v>
      </c>
      <c r="S1641" s="73">
        <v>0</v>
      </c>
      <c r="T1641" s="71" t="s">
        <v>390</v>
      </c>
      <c r="U1641" s="74">
        <v>1</v>
      </c>
      <c r="V1641" s="71" t="s">
        <v>427</v>
      </c>
      <c r="W1641" s="130">
        <v>46070.694444444445</v>
      </c>
      <c r="X1641" s="72">
        <v>46073.03125</v>
      </c>
      <c r="Y1641" s="72">
        <v>46073.239583333336</v>
      </c>
      <c r="Z1641" s="104" t="s">
        <v>382</v>
      </c>
      <c r="AA1641" s="104" t="s">
        <v>414</v>
      </c>
      <c r="AB1641" s="105">
        <v>46073.040277777778</v>
      </c>
      <c r="AC1641" s="105">
        <v>46073.227083333331</v>
      </c>
    </row>
    <row r="1642" s="70" customFormat="1" ht="11.25" customHeight="1">
      <c r="A1642" s="87"/>
      <c r="C1642" s="43" t="s">
        <v>3019</v>
      </c>
      <c r="D1642" s="71" t="s">
        <v>382</v>
      </c>
      <c r="E1642" s="71" t="str">
        <f>MID(D1642,1,2)</f>
        <v>IL</v>
      </c>
      <c r="F1642" s="71" t="s">
        <v>414</v>
      </c>
      <c r="G1642" s="71" t="str">
        <f>MID(F1642,1,2)</f>
        <v>US</v>
      </c>
      <c r="H1642" s="43" t="s">
        <v>2847</v>
      </c>
      <c r="I1642" s="71" t="s">
        <v>3020</v>
      </c>
      <c r="J1642" s="71" t="s">
        <v>386</v>
      </c>
      <c r="K1642" s="43" t="s">
        <v>759</v>
      </c>
      <c r="L1642" s="71" t="s">
        <v>107</v>
      </c>
      <c r="M1642" s="73">
        <v>2</v>
      </c>
      <c r="N1642" s="71" t="s">
        <v>388</v>
      </c>
      <c r="O1642" s="73">
        <v>0.022</v>
      </c>
      <c r="P1642" s="71" t="s">
        <v>389</v>
      </c>
      <c r="Q1642" s="73">
        <v>4</v>
      </c>
      <c r="R1642" s="71" t="s">
        <v>388</v>
      </c>
      <c r="S1642" s="73">
        <v>0</v>
      </c>
      <c r="T1642" s="71" t="s">
        <v>390</v>
      </c>
      <c r="U1642" s="74">
        <v>1</v>
      </c>
      <c r="V1642" s="71" t="s">
        <v>427</v>
      </c>
      <c r="W1642" s="130">
        <v>46070.701388888891</v>
      </c>
      <c r="X1642" s="72">
        <v>46073.03125</v>
      </c>
      <c r="Y1642" s="72">
        <v>46073.239583333336</v>
      </c>
      <c r="Z1642" s="104" t="s">
        <v>382</v>
      </c>
      <c r="AA1642" s="104" t="s">
        <v>414</v>
      </c>
      <c r="AB1642" s="105">
        <v>46073.040277777778</v>
      </c>
      <c r="AC1642" s="105">
        <v>46073.227083333331</v>
      </c>
    </row>
    <row r="1643" s="70" customFormat="1" ht="11.25" customHeight="1">
      <c r="A1643" s="87"/>
      <c r="C1643" s="43" t="s">
        <v>3021</v>
      </c>
      <c r="D1643" s="71" t="s">
        <v>382</v>
      </c>
      <c r="E1643" s="71" t="str">
        <f>MID(D1643,1,2)</f>
        <v>IL</v>
      </c>
      <c r="F1643" s="71" t="s">
        <v>702</v>
      </c>
      <c r="G1643" s="71" t="str">
        <f>MID(F1643,1,2)</f>
        <v>JP</v>
      </c>
      <c r="H1643" s="43" t="s">
        <v>3022</v>
      </c>
      <c r="I1643" s="71" t="s">
        <v>3023</v>
      </c>
      <c r="J1643" s="71" t="s">
        <v>386</v>
      </c>
      <c r="K1643" s="43"/>
      <c r="L1643" s="71" t="s">
        <v>107</v>
      </c>
      <c r="M1643" s="73">
        <v>1394</v>
      </c>
      <c r="N1643" s="71" t="s">
        <v>388</v>
      </c>
      <c r="O1643" s="73">
        <v>7.2</v>
      </c>
      <c r="P1643" s="71" t="s">
        <v>389</v>
      </c>
      <c r="Q1643" s="73">
        <v>1394</v>
      </c>
      <c r="R1643" s="71" t="s">
        <v>388</v>
      </c>
      <c r="S1643" s="73">
        <v>0</v>
      </c>
      <c r="T1643" s="71" t="s">
        <v>390</v>
      </c>
      <c r="U1643" s="74">
        <v>5</v>
      </c>
      <c r="V1643" s="71" t="s">
        <v>391</v>
      </c>
      <c r="W1643" s="130">
        <v>46071.549305555556</v>
      </c>
      <c r="X1643" s="72">
        <v>46074.464583333334</v>
      </c>
      <c r="Y1643" s="72">
        <v>46075.673611111109</v>
      </c>
      <c r="Z1643" s="104" t="s">
        <v>382</v>
      </c>
      <c r="AA1643" s="104" t="s">
        <v>702</v>
      </c>
      <c r="AB1643" s="105">
        <v>46074.897222222222</v>
      </c>
      <c r="AC1643" s="105">
        <v>46075.636805555558</v>
      </c>
    </row>
    <row r="1644" s="70" customFormat="1" ht="11.25" customHeight="1">
      <c r="A1644" s="87"/>
      <c r="C1644" s="43" t="s">
        <v>3024</v>
      </c>
      <c r="D1644" s="71" t="s">
        <v>382</v>
      </c>
      <c r="E1644" s="71" t="str">
        <f>MID(D1644,1,2)</f>
        <v>IL</v>
      </c>
      <c r="F1644" s="71" t="s">
        <v>963</v>
      </c>
      <c r="G1644" s="71" t="str">
        <f>MID(F1644,1,2)</f>
        <v>IN</v>
      </c>
      <c r="H1644" s="43" t="s">
        <v>3025</v>
      </c>
      <c r="I1644" s="71" t="s">
        <v>3026</v>
      </c>
      <c r="J1644" s="71" t="s">
        <v>426</v>
      </c>
      <c r="K1644" s="43"/>
      <c r="L1644" s="71" t="s">
        <v>105</v>
      </c>
      <c r="M1644" s="73">
        <v>51</v>
      </c>
      <c r="N1644" s="71" t="s">
        <v>388</v>
      </c>
      <c r="O1644" s="73">
        <v>0.25</v>
      </c>
      <c r="P1644" s="71" t="s">
        <v>389</v>
      </c>
      <c r="Q1644" s="73">
        <v>51</v>
      </c>
      <c r="R1644" s="71" t="s">
        <v>388</v>
      </c>
      <c r="S1644" s="73">
        <v>0</v>
      </c>
      <c r="T1644" s="71" t="s">
        <v>390</v>
      </c>
      <c r="U1644" s="74">
        <v>1</v>
      </c>
      <c r="V1644" s="71" t="s">
        <v>391</v>
      </c>
      <c r="W1644" s="130">
        <v>46070.736111111109</v>
      </c>
      <c r="X1644" s="72">
        <v>46074.895833333336</v>
      </c>
      <c r="Y1644" s="72">
        <v>46078.024305555555</v>
      </c>
      <c r="Z1644" s="104" t="s">
        <v>382</v>
      </c>
      <c r="AA1644" s="104" t="s">
        <v>833</v>
      </c>
      <c r="AB1644" s="105">
        <v>46074.890972222223</v>
      </c>
      <c r="AC1644" s="105">
        <v>46075.548611111109</v>
      </c>
    </row>
    <row r="1645" s="70" customFormat="1" ht="11.25" customHeight="1">
      <c r="A1645" s="87"/>
      <c r="C1645" s="43" t="s">
        <v>3024</v>
      </c>
      <c r="D1645" s="71" t="s">
        <v>382</v>
      </c>
      <c r="E1645" s="71" t="str">
        <f>MID(D1645,1,2)</f>
        <v>IL</v>
      </c>
      <c r="F1645" s="71" t="s">
        <v>963</v>
      </c>
      <c r="G1645" s="71" t="str">
        <f>MID(F1645,1,2)</f>
        <v>IN</v>
      </c>
      <c r="H1645" s="43" t="s">
        <v>3025</v>
      </c>
      <c r="I1645" s="71" t="s">
        <v>3026</v>
      </c>
      <c r="J1645" s="71" t="s">
        <v>426</v>
      </c>
      <c r="K1645" s="43"/>
      <c r="L1645" s="71" t="s">
        <v>105</v>
      </c>
      <c r="M1645" s="73">
        <v>51</v>
      </c>
      <c r="N1645" s="71" t="s">
        <v>388</v>
      </c>
      <c r="O1645" s="73">
        <v>0.25</v>
      </c>
      <c r="P1645" s="71" t="s">
        <v>389</v>
      </c>
      <c r="Q1645" s="73">
        <v>51</v>
      </c>
      <c r="R1645" s="71" t="s">
        <v>388</v>
      </c>
      <c r="S1645" s="73">
        <v>0</v>
      </c>
      <c r="T1645" s="71" t="s">
        <v>390</v>
      </c>
      <c r="U1645" s="74">
        <v>1</v>
      </c>
      <c r="V1645" s="71" t="s">
        <v>391</v>
      </c>
      <c r="W1645" s="130">
        <v>46070.736111111109</v>
      </c>
      <c r="X1645" s="72">
        <v>46074.895833333336</v>
      </c>
      <c r="Y1645" s="72">
        <v>46078.024305555555</v>
      </c>
      <c r="Z1645" s="104" t="s">
        <v>833</v>
      </c>
      <c r="AA1645" s="104" t="s">
        <v>963</v>
      </c>
      <c r="AB1645" s="105">
        <v>46077.920138888891</v>
      </c>
      <c r="AC1645" s="105">
        <v>46078.165277777778</v>
      </c>
    </row>
    <row r="1646" s="70" customFormat="1" ht="11.25" customHeight="1">
      <c r="A1646" s="87"/>
      <c r="C1646" s="43" t="s">
        <v>3027</v>
      </c>
      <c r="D1646" s="71" t="s">
        <v>382</v>
      </c>
      <c r="E1646" s="71" t="str">
        <f>MID(D1646,1,2)</f>
        <v>IL</v>
      </c>
      <c r="F1646" s="71" t="s">
        <v>468</v>
      </c>
      <c r="G1646" s="71" t="str">
        <f>MID(F1646,1,2)</f>
        <v>US</v>
      </c>
      <c r="H1646" s="43" t="s">
        <v>1617</v>
      </c>
      <c r="I1646" s="71" t="s">
        <v>3028</v>
      </c>
      <c r="J1646" s="71" t="s">
        <v>386</v>
      </c>
      <c r="K1646" s="43"/>
      <c r="L1646" s="71" t="s">
        <v>107</v>
      </c>
      <c r="M1646" s="73">
        <v>3</v>
      </c>
      <c r="N1646" s="71" t="s">
        <v>388</v>
      </c>
      <c r="O1646" s="73">
        <v>0.033</v>
      </c>
      <c r="P1646" s="71" t="s">
        <v>389</v>
      </c>
      <c r="Q1646" s="73">
        <v>5.5</v>
      </c>
      <c r="R1646" s="71" t="s">
        <v>388</v>
      </c>
      <c r="S1646" s="73">
        <v>0</v>
      </c>
      <c r="T1646" s="71" t="s">
        <v>390</v>
      </c>
      <c r="U1646" s="74">
        <v>1</v>
      </c>
      <c r="V1646" s="71" t="s">
        <v>446</v>
      </c>
      <c r="W1646" s="130">
        <v>46072.661724537036</v>
      </c>
      <c r="X1646" s="72">
        <v>46074.965277777781</v>
      </c>
      <c r="Y1646" s="72">
        <v>46104.416666666664</v>
      </c>
      <c r="Z1646" s="104" t="s">
        <v>382</v>
      </c>
      <c r="AA1646" s="104" t="s">
        <v>422</v>
      </c>
      <c r="AB1646" s="105">
        <v>46075.472222222219</v>
      </c>
      <c r="AC1646" s="105">
        <v>46075.679861111108</v>
      </c>
    </row>
    <row r="1647" s="70" customFormat="1" ht="11.25" customHeight="1">
      <c r="A1647" s="87"/>
      <c r="C1647" s="43" t="s">
        <v>3027</v>
      </c>
      <c r="D1647" s="71" t="s">
        <v>382</v>
      </c>
      <c r="E1647" s="71" t="str">
        <f>MID(D1647,1,2)</f>
        <v>IL</v>
      </c>
      <c r="F1647" s="71" t="s">
        <v>468</v>
      </c>
      <c r="G1647" s="71" t="str">
        <f>MID(F1647,1,2)</f>
        <v>US</v>
      </c>
      <c r="H1647" s="43" t="s">
        <v>1617</v>
      </c>
      <c r="I1647" s="71" t="s">
        <v>3028</v>
      </c>
      <c r="J1647" s="71" t="s">
        <v>386</v>
      </c>
      <c r="K1647" s="43"/>
      <c r="L1647" s="71" t="s">
        <v>107</v>
      </c>
      <c r="M1647" s="73">
        <v>3</v>
      </c>
      <c r="N1647" s="71" t="s">
        <v>388</v>
      </c>
      <c r="O1647" s="73">
        <v>0.033</v>
      </c>
      <c r="P1647" s="71" t="s">
        <v>389</v>
      </c>
      <c r="Q1647" s="73">
        <v>5.5</v>
      </c>
      <c r="R1647" s="71" t="s">
        <v>388</v>
      </c>
      <c r="S1647" s="73">
        <v>0</v>
      </c>
      <c r="T1647" s="71" t="s">
        <v>390</v>
      </c>
      <c r="U1647" s="74">
        <v>1</v>
      </c>
      <c r="V1647" s="71" t="s">
        <v>446</v>
      </c>
      <c r="W1647" s="130">
        <v>46072.661724537036</v>
      </c>
      <c r="X1647" s="72">
        <v>46074.965277777781</v>
      </c>
      <c r="Y1647" s="72">
        <v>46104.416666666664</v>
      </c>
      <c r="Z1647" s="104" t="s">
        <v>422</v>
      </c>
      <c r="AA1647" s="104" t="s">
        <v>468</v>
      </c>
      <c r="AB1647" s="105"/>
      <c r="AC1647" s="105"/>
    </row>
    <row r="1648" s="70" customFormat="1" ht="11.25" customHeight="1">
      <c r="A1648" s="87"/>
      <c r="C1648" s="43" t="s">
        <v>3029</v>
      </c>
      <c r="D1648" s="71" t="s">
        <v>382</v>
      </c>
      <c r="E1648" s="71" t="str">
        <f>MID(D1648,1,2)</f>
        <v>IL</v>
      </c>
      <c r="F1648" s="71" t="s">
        <v>468</v>
      </c>
      <c r="G1648" s="71" t="str">
        <f>MID(F1648,1,2)</f>
        <v>US</v>
      </c>
      <c r="H1648" s="43" t="s">
        <v>1617</v>
      </c>
      <c r="I1648" s="71" t="s">
        <v>3030</v>
      </c>
      <c r="J1648" s="71" t="s">
        <v>386</v>
      </c>
      <c r="K1648" s="43"/>
      <c r="L1648" s="71" t="s">
        <v>107</v>
      </c>
      <c r="M1648" s="73">
        <v>36</v>
      </c>
      <c r="N1648" s="71" t="s">
        <v>388</v>
      </c>
      <c r="O1648" s="73">
        <v>0.358</v>
      </c>
      <c r="P1648" s="71" t="s">
        <v>389</v>
      </c>
      <c r="Q1648" s="73">
        <v>60</v>
      </c>
      <c r="R1648" s="71" t="s">
        <v>388</v>
      </c>
      <c r="S1648" s="73">
        <v>0</v>
      </c>
      <c r="T1648" s="71" t="s">
        <v>390</v>
      </c>
      <c r="U1648" s="74">
        <v>1</v>
      </c>
      <c r="V1648" s="71" t="s">
        <v>446</v>
      </c>
      <c r="W1648" s="130">
        <v>46072.527777777781</v>
      </c>
      <c r="X1648" s="72">
        <v>46074.965277777781</v>
      </c>
      <c r="Y1648" s="72">
        <v>46104.416666666664</v>
      </c>
      <c r="Z1648" s="104" t="s">
        <v>382</v>
      </c>
      <c r="AA1648" s="104" t="s">
        <v>422</v>
      </c>
      <c r="AB1648" s="105">
        <v>46075.472222222219</v>
      </c>
      <c r="AC1648" s="105">
        <v>46075.679861111108</v>
      </c>
    </row>
    <row r="1649" s="70" customFormat="1" ht="11.25" customHeight="1">
      <c r="A1649" s="87"/>
      <c r="C1649" s="43" t="s">
        <v>3029</v>
      </c>
      <c r="D1649" s="71" t="s">
        <v>382</v>
      </c>
      <c r="E1649" s="71" t="str">
        <f>MID(D1649,1,2)</f>
        <v>IL</v>
      </c>
      <c r="F1649" s="71" t="s">
        <v>468</v>
      </c>
      <c r="G1649" s="71" t="str">
        <f>MID(F1649,1,2)</f>
        <v>US</v>
      </c>
      <c r="H1649" s="43" t="s">
        <v>1617</v>
      </c>
      <c r="I1649" s="71" t="s">
        <v>3030</v>
      </c>
      <c r="J1649" s="71" t="s">
        <v>386</v>
      </c>
      <c r="K1649" s="43"/>
      <c r="L1649" s="71" t="s">
        <v>107</v>
      </c>
      <c r="M1649" s="73">
        <v>36</v>
      </c>
      <c r="N1649" s="71" t="s">
        <v>388</v>
      </c>
      <c r="O1649" s="73">
        <v>0.358</v>
      </c>
      <c r="P1649" s="71" t="s">
        <v>389</v>
      </c>
      <c r="Q1649" s="73">
        <v>60</v>
      </c>
      <c r="R1649" s="71" t="s">
        <v>388</v>
      </c>
      <c r="S1649" s="73">
        <v>0</v>
      </c>
      <c r="T1649" s="71" t="s">
        <v>390</v>
      </c>
      <c r="U1649" s="74">
        <v>1</v>
      </c>
      <c r="V1649" s="71" t="s">
        <v>446</v>
      </c>
      <c r="W1649" s="130">
        <v>46072.527777777781</v>
      </c>
      <c r="X1649" s="72">
        <v>46074.965277777781</v>
      </c>
      <c r="Y1649" s="72">
        <v>46104.416666666664</v>
      </c>
      <c r="Z1649" s="104" t="s">
        <v>422</v>
      </c>
      <c r="AA1649" s="104" t="s">
        <v>468</v>
      </c>
      <c r="AB1649" s="105"/>
      <c r="AC1649" s="105"/>
    </row>
    <row r="1650" s="70" customFormat="1" ht="11.25" customHeight="1">
      <c r="A1650" s="87"/>
      <c r="C1650" s="43" t="s">
        <v>3031</v>
      </c>
      <c r="D1650" s="71" t="s">
        <v>382</v>
      </c>
      <c r="E1650" s="71" t="str">
        <f>MID(D1650,1,2)</f>
        <v>IL</v>
      </c>
      <c r="F1650" s="71" t="s">
        <v>471</v>
      </c>
      <c r="G1650" s="71" t="str">
        <f>MID(F1650,1,2)</f>
        <v>US</v>
      </c>
      <c r="H1650" s="43" t="s">
        <v>3032</v>
      </c>
      <c r="I1650" s="71" t="s">
        <v>3033</v>
      </c>
      <c r="J1650" s="71" t="s">
        <v>400</v>
      </c>
      <c r="K1650" s="43"/>
      <c r="L1650" s="71" t="s">
        <v>105</v>
      </c>
      <c r="M1650" s="73">
        <v>116</v>
      </c>
      <c r="N1650" s="71" t="s">
        <v>388</v>
      </c>
      <c r="O1650" s="73">
        <v>1.064</v>
      </c>
      <c r="P1650" s="71" t="s">
        <v>389</v>
      </c>
      <c r="Q1650" s="73">
        <v>177.5</v>
      </c>
      <c r="R1650" s="71" t="s">
        <v>388</v>
      </c>
      <c r="S1650" s="73">
        <v>0</v>
      </c>
      <c r="T1650" s="71" t="s">
        <v>390</v>
      </c>
      <c r="U1650" s="74">
        <v>1</v>
      </c>
      <c r="V1650" s="71" t="s">
        <v>391</v>
      </c>
      <c r="W1650" s="130">
        <v>46072.4390625</v>
      </c>
      <c r="X1650" s="72">
        <v>46076.473611111112</v>
      </c>
      <c r="Y1650" s="72">
        <v>46077.9375</v>
      </c>
      <c r="Z1650" s="104" t="s">
        <v>382</v>
      </c>
      <c r="AA1650" s="104" t="s">
        <v>383</v>
      </c>
      <c r="AB1650" s="105">
        <v>46076.554861111108</v>
      </c>
      <c r="AC1650" s="105">
        <v>46076.714583333334</v>
      </c>
    </row>
    <row r="1651" s="70" customFormat="1" ht="11.25" customHeight="1">
      <c r="A1651" s="87"/>
      <c r="C1651" s="43" t="s">
        <v>3031</v>
      </c>
      <c r="D1651" s="71" t="s">
        <v>382</v>
      </c>
      <c r="E1651" s="71" t="str">
        <f>MID(D1651,1,2)</f>
        <v>IL</v>
      </c>
      <c r="F1651" s="71" t="s">
        <v>471</v>
      </c>
      <c r="G1651" s="71" t="str">
        <f>MID(F1651,1,2)</f>
        <v>US</v>
      </c>
      <c r="H1651" s="43" t="s">
        <v>3032</v>
      </c>
      <c r="I1651" s="71" t="s">
        <v>3033</v>
      </c>
      <c r="J1651" s="71" t="s">
        <v>400</v>
      </c>
      <c r="K1651" s="43"/>
      <c r="L1651" s="71" t="s">
        <v>105</v>
      </c>
      <c r="M1651" s="73">
        <v>116</v>
      </c>
      <c r="N1651" s="71" t="s">
        <v>388</v>
      </c>
      <c r="O1651" s="73">
        <v>1.064</v>
      </c>
      <c r="P1651" s="71" t="s">
        <v>389</v>
      </c>
      <c r="Q1651" s="73">
        <v>177.5</v>
      </c>
      <c r="R1651" s="71" t="s">
        <v>388</v>
      </c>
      <c r="S1651" s="73">
        <v>0</v>
      </c>
      <c r="T1651" s="71" t="s">
        <v>390</v>
      </c>
      <c r="U1651" s="74">
        <v>1</v>
      </c>
      <c r="V1651" s="71" t="s">
        <v>391</v>
      </c>
      <c r="W1651" s="130">
        <v>46072.4390625</v>
      </c>
      <c r="X1651" s="72">
        <v>46076.473611111112</v>
      </c>
      <c r="Y1651" s="72">
        <v>46077.9375</v>
      </c>
      <c r="Z1651" s="104" t="s">
        <v>383</v>
      </c>
      <c r="AA1651" s="104" t="s">
        <v>471</v>
      </c>
      <c r="AB1651" s="105">
        <v>46077.83125</v>
      </c>
      <c r="AC1651" s="105">
        <v>46077.913888888892</v>
      </c>
    </row>
    <row r="1652" s="70" customFormat="1" ht="11.25" customHeight="1">
      <c r="A1652" s="87"/>
      <c r="C1652" s="43" t="s">
        <v>3034</v>
      </c>
      <c r="D1652" s="71" t="s">
        <v>382</v>
      </c>
      <c r="E1652" s="71" t="str">
        <f>MID(D1652,1,2)</f>
        <v>IL</v>
      </c>
      <c r="F1652" s="71" t="s">
        <v>597</v>
      </c>
      <c r="G1652" s="71" t="str">
        <f>MID(F1652,1,2)</f>
        <v>NL</v>
      </c>
      <c r="H1652" s="43" t="s">
        <v>3035</v>
      </c>
      <c r="I1652" s="71"/>
      <c r="J1652" s="71" t="s">
        <v>426</v>
      </c>
      <c r="K1652" s="43"/>
      <c r="L1652" s="71" t="s">
        <v>105</v>
      </c>
      <c r="M1652" s="73">
        <v>20</v>
      </c>
      <c r="N1652" s="71" t="s">
        <v>388</v>
      </c>
      <c r="O1652" s="73">
        <v>0.054</v>
      </c>
      <c r="P1652" s="71" t="s">
        <v>389</v>
      </c>
      <c r="Q1652" s="73">
        <v>20</v>
      </c>
      <c r="R1652" s="71" t="s">
        <v>388</v>
      </c>
      <c r="S1652" s="73">
        <v>0</v>
      </c>
      <c r="T1652" s="71" t="s">
        <v>390</v>
      </c>
      <c r="U1652" s="74">
        <v>1</v>
      </c>
      <c r="V1652" s="71" t="s">
        <v>391</v>
      </c>
      <c r="W1652" s="130">
        <v>46071.424305555556</v>
      </c>
      <c r="X1652" s="72">
        <v>46073.159722222219</v>
      </c>
      <c r="Y1652" s="72">
        <v>46073.336805555555</v>
      </c>
      <c r="Z1652" s="104" t="s">
        <v>382</v>
      </c>
      <c r="AA1652" s="104" t="s">
        <v>597</v>
      </c>
      <c r="AB1652" s="105">
        <v>46073.168055555558</v>
      </c>
      <c r="AC1652" s="105">
        <v>46073.327777777777</v>
      </c>
    </row>
    <row r="1653" s="70" customFormat="1" ht="11.25" customHeight="1">
      <c r="A1653" s="87"/>
      <c r="C1653" s="43" t="s">
        <v>3036</v>
      </c>
      <c r="D1653" s="71" t="s">
        <v>382</v>
      </c>
      <c r="E1653" s="71" t="str">
        <f>MID(D1653,1,2)</f>
        <v>IL</v>
      </c>
      <c r="F1653" s="71" t="s">
        <v>496</v>
      </c>
      <c r="G1653" s="71" t="str">
        <f>MID(F1653,1,2)</f>
        <v>RO</v>
      </c>
      <c r="H1653" s="43" t="s">
        <v>3037</v>
      </c>
      <c r="I1653" s="71" t="s">
        <v>3038</v>
      </c>
      <c r="J1653" s="71" t="s">
        <v>400</v>
      </c>
      <c r="K1653" s="43"/>
      <c r="L1653" s="71" t="s">
        <v>105</v>
      </c>
      <c r="M1653" s="73">
        <v>18</v>
      </c>
      <c r="N1653" s="71" t="s">
        <v>388</v>
      </c>
      <c r="O1653" s="73">
        <v>0.389</v>
      </c>
      <c r="P1653" s="71" t="s">
        <v>389</v>
      </c>
      <c r="Q1653" s="73">
        <v>65</v>
      </c>
      <c r="R1653" s="71" t="s">
        <v>388</v>
      </c>
      <c r="S1653" s="73">
        <v>0</v>
      </c>
      <c r="T1653" s="71" t="s">
        <v>390</v>
      </c>
      <c r="U1653" s="74">
        <v>1</v>
      </c>
      <c r="V1653" s="71" t="s">
        <v>391</v>
      </c>
      <c r="W1653" s="130">
        <v>46071.382638888892</v>
      </c>
      <c r="X1653" s="72">
        <v>46073.013888888891</v>
      </c>
      <c r="Y1653" s="72">
        <v>46076.111111111109</v>
      </c>
      <c r="Z1653" s="104" t="s">
        <v>382</v>
      </c>
      <c r="AA1653" s="104" t="s">
        <v>496</v>
      </c>
      <c r="AB1653" s="105">
        <v>46075.996527777781</v>
      </c>
      <c r="AC1653" s="105">
        <v>46076.14166666667</v>
      </c>
    </row>
    <row r="1654" s="70" customFormat="1" ht="11.25" customHeight="1">
      <c r="A1654" s="87"/>
      <c r="C1654" s="43" t="s">
        <v>3039</v>
      </c>
      <c r="D1654" s="71" t="s">
        <v>382</v>
      </c>
      <c r="E1654" s="71" t="str">
        <f>MID(D1654,1,2)</f>
        <v>IL</v>
      </c>
      <c r="F1654" s="71" t="s">
        <v>597</v>
      </c>
      <c r="G1654" s="71" t="str">
        <f>MID(F1654,1,2)</f>
        <v>NL</v>
      </c>
      <c r="H1654" s="43" t="s">
        <v>3040</v>
      </c>
      <c r="I1654" s="71"/>
      <c r="J1654" s="71" t="s">
        <v>426</v>
      </c>
      <c r="K1654" s="43"/>
      <c r="L1654" s="71" t="s">
        <v>105</v>
      </c>
      <c r="M1654" s="73">
        <v>11</v>
      </c>
      <c r="N1654" s="71" t="s">
        <v>388</v>
      </c>
      <c r="O1654" s="73">
        <v>0.054</v>
      </c>
      <c r="P1654" s="71" t="s">
        <v>389</v>
      </c>
      <c r="Q1654" s="73">
        <v>11</v>
      </c>
      <c r="R1654" s="71" t="s">
        <v>388</v>
      </c>
      <c r="S1654" s="73">
        <v>0</v>
      </c>
      <c r="T1654" s="71" t="s">
        <v>390</v>
      </c>
      <c r="U1654" s="74">
        <v>1</v>
      </c>
      <c r="V1654" s="71" t="s">
        <v>391</v>
      </c>
      <c r="W1654" s="130">
        <v>46071.424305555556</v>
      </c>
      <c r="X1654" s="72">
        <v>46073.159722222219</v>
      </c>
      <c r="Y1654" s="72">
        <v>46073.336805555555</v>
      </c>
      <c r="Z1654" s="104" t="s">
        <v>382</v>
      </c>
      <c r="AA1654" s="104" t="s">
        <v>597</v>
      </c>
      <c r="AB1654" s="105">
        <v>46073.168055555558</v>
      </c>
      <c r="AC1654" s="105">
        <v>46073.327777777777</v>
      </c>
    </row>
    <row r="1655" s="70" customFormat="1" ht="11.25" customHeight="1">
      <c r="A1655" s="87"/>
      <c r="C1655" s="43" t="s">
        <v>3041</v>
      </c>
      <c r="D1655" s="71" t="s">
        <v>382</v>
      </c>
      <c r="E1655" s="71" t="str">
        <f>MID(D1655,1,2)</f>
        <v>IL</v>
      </c>
      <c r="F1655" s="71" t="s">
        <v>597</v>
      </c>
      <c r="G1655" s="71" t="str">
        <f>MID(F1655,1,2)</f>
        <v>NL</v>
      </c>
      <c r="H1655" s="43" t="s">
        <v>3042</v>
      </c>
      <c r="I1655" s="71"/>
      <c r="J1655" s="71" t="s">
        <v>426</v>
      </c>
      <c r="K1655" s="43"/>
      <c r="L1655" s="71" t="s">
        <v>105</v>
      </c>
      <c r="M1655" s="73">
        <v>11</v>
      </c>
      <c r="N1655" s="71" t="s">
        <v>388</v>
      </c>
      <c r="O1655" s="73">
        <v>0.054</v>
      </c>
      <c r="P1655" s="71" t="s">
        <v>389</v>
      </c>
      <c r="Q1655" s="73">
        <v>11</v>
      </c>
      <c r="R1655" s="71" t="s">
        <v>388</v>
      </c>
      <c r="S1655" s="73">
        <v>0</v>
      </c>
      <c r="T1655" s="71" t="s">
        <v>390</v>
      </c>
      <c r="U1655" s="74">
        <v>1</v>
      </c>
      <c r="V1655" s="71" t="s">
        <v>391</v>
      </c>
      <c r="W1655" s="130">
        <v>46071.430555555555</v>
      </c>
      <c r="X1655" s="72">
        <v>46073.159722222219</v>
      </c>
      <c r="Y1655" s="72">
        <v>46073.336805555555</v>
      </c>
      <c r="Z1655" s="104" t="s">
        <v>382</v>
      </c>
      <c r="AA1655" s="104" t="s">
        <v>597</v>
      </c>
      <c r="AB1655" s="105">
        <v>46073.168055555558</v>
      </c>
      <c r="AC1655" s="105">
        <v>46073.327777777777</v>
      </c>
    </row>
    <row r="1656" s="70" customFormat="1" ht="11.25" customHeight="1">
      <c r="A1656" s="87"/>
      <c r="C1656" s="43" t="s">
        <v>3043</v>
      </c>
      <c r="D1656" s="71" t="s">
        <v>382</v>
      </c>
      <c r="E1656" s="71" t="str">
        <f>MID(D1656,1,2)</f>
        <v>IL</v>
      </c>
      <c r="F1656" s="71" t="s">
        <v>597</v>
      </c>
      <c r="G1656" s="71" t="str">
        <f>MID(F1656,1,2)</f>
        <v>NL</v>
      </c>
      <c r="H1656" s="43" t="s">
        <v>3044</v>
      </c>
      <c r="I1656" s="71"/>
      <c r="J1656" s="71" t="s">
        <v>426</v>
      </c>
      <c r="K1656" s="43"/>
      <c r="L1656" s="71" t="s">
        <v>105</v>
      </c>
      <c r="M1656" s="73">
        <v>15</v>
      </c>
      <c r="N1656" s="71" t="s">
        <v>388</v>
      </c>
      <c r="O1656" s="73">
        <v>0.054</v>
      </c>
      <c r="P1656" s="71" t="s">
        <v>389</v>
      </c>
      <c r="Q1656" s="73">
        <v>15</v>
      </c>
      <c r="R1656" s="71" t="s">
        <v>388</v>
      </c>
      <c r="S1656" s="73">
        <v>0</v>
      </c>
      <c r="T1656" s="71" t="s">
        <v>390</v>
      </c>
      <c r="U1656" s="74">
        <v>1</v>
      </c>
      <c r="V1656" s="71" t="s">
        <v>391</v>
      </c>
      <c r="W1656" s="130">
        <v>46071.430555555555</v>
      </c>
      <c r="X1656" s="72">
        <v>46073.159722222219</v>
      </c>
      <c r="Y1656" s="72">
        <v>46073.336805555555</v>
      </c>
      <c r="Z1656" s="104" t="s">
        <v>382</v>
      </c>
      <c r="AA1656" s="104" t="s">
        <v>597</v>
      </c>
      <c r="AB1656" s="105">
        <v>46073.168055555558</v>
      </c>
      <c r="AC1656" s="105">
        <v>46073.327777777777</v>
      </c>
    </row>
    <row r="1657" s="70" customFormat="1" ht="11.25" customHeight="1">
      <c r="A1657" s="87"/>
      <c r="C1657" s="43" t="s">
        <v>3045</v>
      </c>
      <c r="D1657" s="71" t="s">
        <v>382</v>
      </c>
      <c r="E1657" s="71" t="str">
        <f>MID(D1657,1,2)</f>
        <v>IL</v>
      </c>
      <c r="F1657" s="71" t="s">
        <v>597</v>
      </c>
      <c r="G1657" s="71" t="str">
        <f>MID(F1657,1,2)</f>
        <v>NL</v>
      </c>
      <c r="H1657" s="43" t="s">
        <v>3046</v>
      </c>
      <c r="I1657" s="71"/>
      <c r="J1657" s="71" t="s">
        <v>426</v>
      </c>
      <c r="K1657" s="43"/>
      <c r="L1657" s="71" t="s">
        <v>105</v>
      </c>
      <c r="M1657" s="73">
        <v>13</v>
      </c>
      <c r="N1657" s="71" t="s">
        <v>388</v>
      </c>
      <c r="O1657" s="73">
        <v>0.054</v>
      </c>
      <c r="P1657" s="71" t="s">
        <v>389</v>
      </c>
      <c r="Q1657" s="73">
        <v>13</v>
      </c>
      <c r="R1657" s="71" t="s">
        <v>388</v>
      </c>
      <c r="S1657" s="73">
        <v>0</v>
      </c>
      <c r="T1657" s="71" t="s">
        <v>390</v>
      </c>
      <c r="U1657" s="74">
        <v>1</v>
      </c>
      <c r="V1657" s="71" t="s">
        <v>391</v>
      </c>
      <c r="W1657" s="130">
        <v>46071.438194444447</v>
      </c>
      <c r="X1657" s="72">
        <v>46073.159722222219</v>
      </c>
      <c r="Y1657" s="72">
        <v>46073.336805555555</v>
      </c>
      <c r="Z1657" s="104" t="s">
        <v>382</v>
      </c>
      <c r="AA1657" s="104" t="s">
        <v>597</v>
      </c>
      <c r="AB1657" s="105">
        <v>46073.168055555558</v>
      </c>
      <c r="AC1657" s="105">
        <v>46073.327777777777</v>
      </c>
    </row>
    <row r="1658" s="70" customFormat="1" ht="11.25" customHeight="1">
      <c r="A1658" s="87"/>
      <c r="C1658" s="43" t="s">
        <v>3047</v>
      </c>
      <c r="D1658" s="71" t="s">
        <v>382</v>
      </c>
      <c r="E1658" s="71" t="str">
        <f>MID(D1658,1,2)</f>
        <v>IL</v>
      </c>
      <c r="F1658" s="71" t="s">
        <v>1538</v>
      </c>
      <c r="G1658" s="71" t="str">
        <f>MID(F1658,1,2)</f>
        <v>KR</v>
      </c>
      <c r="H1658" s="43" t="s">
        <v>3048</v>
      </c>
      <c r="I1658" s="71" t="s">
        <v>3049</v>
      </c>
      <c r="J1658" s="71" t="s">
        <v>454</v>
      </c>
      <c r="K1658" s="43"/>
      <c r="L1658" s="71" t="s">
        <v>107</v>
      </c>
      <c r="M1658" s="73">
        <v>4</v>
      </c>
      <c r="N1658" s="71" t="s">
        <v>388</v>
      </c>
      <c r="O1658" s="73">
        <v>0.031</v>
      </c>
      <c r="P1658" s="71" t="s">
        <v>389</v>
      </c>
      <c r="Q1658" s="73">
        <v>5.5</v>
      </c>
      <c r="R1658" s="71" t="s">
        <v>388</v>
      </c>
      <c r="S1658" s="73">
        <v>0</v>
      </c>
      <c r="T1658" s="71" t="s">
        <v>390</v>
      </c>
      <c r="U1658" s="74">
        <v>1</v>
      </c>
      <c r="V1658" s="71" t="s">
        <v>391</v>
      </c>
      <c r="W1658" s="130">
        <v>46071.435347222221</v>
      </c>
      <c r="X1658" s="72">
        <v>46072.715277777781</v>
      </c>
      <c r="Y1658" s="72">
        <v>46074.958333333336</v>
      </c>
      <c r="Z1658" s="104" t="s">
        <v>382</v>
      </c>
      <c r="AA1658" s="104" t="s">
        <v>667</v>
      </c>
      <c r="AB1658" s="105">
        <v>46072.71875</v>
      </c>
      <c r="AC1658" s="105">
        <v>46072.843055555553</v>
      </c>
    </row>
    <row r="1659" s="70" customFormat="1" ht="11.25" customHeight="1">
      <c r="A1659" s="87"/>
      <c r="C1659" s="43" t="s">
        <v>3047</v>
      </c>
      <c r="D1659" s="71" t="s">
        <v>382</v>
      </c>
      <c r="E1659" s="71" t="str">
        <f>MID(D1659,1,2)</f>
        <v>IL</v>
      </c>
      <c r="F1659" s="71" t="s">
        <v>1538</v>
      </c>
      <c r="G1659" s="71" t="str">
        <f>MID(F1659,1,2)</f>
        <v>KR</v>
      </c>
      <c r="H1659" s="43" t="s">
        <v>3048</v>
      </c>
      <c r="I1659" s="71" t="s">
        <v>3049</v>
      </c>
      <c r="J1659" s="71" t="s">
        <v>454</v>
      </c>
      <c r="K1659" s="43"/>
      <c r="L1659" s="71" t="s">
        <v>107</v>
      </c>
      <c r="M1659" s="73">
        <v>4</v>
      </c>
      <c r="N1659" s="71" t="s">
        <v>388</v>
      </c>
      <c r="O1659" s="73">
        <v>0.031</v>
      </c>
      <c r="P1659" s="71" t="s">
        <v>389</v>
      </c>
      <c r="Q1659" s="73">
        <v>5.5</v>
      </c>
      <c r="R1659" s="71" t="s">
        <v>388</v>
      </c>
      <c r="S1659" s="73">
        <v>0</v>
      </c>
      <c r="T1659" s="71" t="s">
        <v>390</v>
      </c>
      <c r="U1659" s="74">
        <v>1</v>
      </c>
      <c r="V1659" s="71" t="s">
        <v>391</v>
      </c>
      <c r="W1659" s="130">
        <v>46071.435347222221</v>
      </c>
      <c r="X1659" s="72">
        <v>46072.715277777781</v>
      </c>
      <c r="Y1659" s="72">
        <v>46074.958333333336</v>
      </c>
      <c r="Z1659" s="104" t="s">
        <v>667</v>
      </c>
      <c r="AA1659" s="104" t="s">
        <v>383</v>
      </c>
      <c r="AB1659" s="105">
        <v>46073.347916666666</v>
      </c>
      <c r="AC1659" s="105">
        <v>46073.401388888888</v>
      </c>
    </row>
    <row r="1660" s="70" customFormat="1" ht="11.25" customHeight="1">
      <c r="A1660" s="87"/>
      <c r="C1660" s="43" t="s">
        <v>3047</v>
      </c>
      <c r="D1660" s="71" t="s">
        <v>382</v>
      </c>
      <c r="E1660" s="71" t="str">
        <f>MID(D1660,1,2)</f>
        <v>IL</v>
      </c>
      <c r="F1660" s="71" t="s">
        <v>1538</v>
      </c>
      <c r="G1660" s="71" t="str">
        <f>MID(F1660,1,2)</f>
        <v>KR</v>
      </c>
      <c r="H1660" s="43" t="s">
        <v>3048</v>
      </c>
      <c r="I1660" s="71" t="s">
        <v>3049</v>
      </c>
      <c r="J1660" s="71" t="s">
        <v>454</v>
      </c>
      <c r="K1660" s="43"/>
      <c r="L1660" s="71" t="s">
        <v>107</v>
      </c>
      <c r="M1660" s="73">
        <v>4</v>
      </c>
      <c r="N1660" s="71" t="s">
        <v>388</v>
      </c>
      <c r="O1660" s="73">
        <v>0.031</v>
      </c>
      <c r="P1660" s="71" t="s">
        <v>389</v>
      </c>
      <c r="Q1660" s="73">
        <v>5.5</v>
      </c>
      <c r="R1660" s="71" t="s">
        <v>388</v>
      </c>
      <c r="S1660" s="73">
        <v>0</v>
      </c>
      <c r="T1660" s="71" t="s">
        <v>390</v>
      </c>
      <c r="U1660" s="74">
        <v>1</v>
      </c>
      <c r="V1660" s="71" t="s">
        <v>391</v>
      </c>
      <c r="W1660" s="130">
        <v>46071.435347222221</v>
      </c>
      <c r="X1660" s="72">
        <v>46072.715277777781</v>
      </c>
      <c r="Y1660" s="72">
        <v>46074.958333333336</v>
      </c>
      <c r="Z1660" s="104" t="s">
        <v>383</v>
      </c>
      <c r="AA1660" s="104" t="s">
        <v>1538</v>
      </c>
      <c r="AB1660" s="105">
        <v>46073.911111111112</v>
      </c>
      <c r="AC1660" s="105">
        <v>46074.95625</v>
      </c>
    </row>
    <row r="1661" s="70" customFormat="1" ht="11.25" customHeight="1">
      <c r="A1661" s="87"/>
      <c r="C1661" s="43" t="s">
        <v>3050</v>
      </c>
      <c r="D1661" s="71" t="s">
        <v>382</v>
      </c>
      <c r="E1661" s="71" t="str">
        <f>MID(D1661,1,2)</f>
        <v>IL</v>
      </c>
      <c r="F1661" s="71" t="s">
        <v>496</v>
      </c>
      <c r="G1661" s="71" t="str">
        <f>MID(F1661,1,2)</f>
        <v>RO</v>
      </c>
      <c r="H1661" s="43" t="s">
        <v>3037</v>
      </c>
      <c r="I1661" s="71" t="s">
        <v>3051</v>
      </c>
      <c r="J1661" s="71" t="s">
        <v>400</v>
      </c>
      <c r="K1661" s="43"/>
      <c r="L1661" s="71" t="s">
        <v>105</v>
      </c>
      <c r="M1661" s="73">
        <v>10</v>
      </c>
      <c r="N1661" s="71" t="s">
        <v>388</v>
      </c>
      <c r="O1661" s="73">
        <v>0.15</v>
      </c>
      <c r="P1661" s="71" t="s">
        <v>389</v>
      </c>
      <c r="Q1661" s="73">
        <v>25</v>
      </c>
      <c r="R1661" s="71" t="s">
        <v>388</v>
      </c>
      <c r="S1661" s="73">
        <v>0</v>
      </c>
      <c r="T1661" s="71" t="s">
        <v>390</v>
      </c>
      <c r="U1661" s="74">
        <v>1</v>
      </c>
      <c r="V1661" s="71" t="s">
        <v>391</v>
      </c>
      <c r="W1661" s="130">
        <v>46071.375694444447</v>
      </c>
      <c r="X1661" s="72">
        <v>46073.013888888891</v>
      </c>
      <c r="Y1661" s="72">
        <v>46076.111111111109</v>
      </c>
      <c r="Z1661" s="104" t="s">
        <v>382</v>
      </c>
      <c r="AA1661" s="104" t="s">
        <v>496</v>
      </c>
      <c r="AB1661" s="105">
        <v>46075.996527777781</v>
      </c>
      <c r="AC1661" s="105">
        <v>46076.14166666667</v>
      </c>
    </row>
    <row r="1662" s="70" customFormat="1" ht="11.25" customHeight="1">
      <c r="A1662" s="87"/>
      <c r="C1662" s="43" t="s">
        <v>3052</v>
      </c>
      <c r="D1662" s="71" t="s">
        <v>382</v>
      </c>
      <c r="E1662" s="71" t="str">
        <f>MID(D1662,1,2)</f>
        <v>IL</v>
      </c>
      <c r="F1662" s="71" t="s">
        <v>383</v>
      </c>
      <c r="G1662" s="71" t="str">
        <f>MID(F1662,1,2)</f>
        <v>DE</v>
      </c>
      <c r="H1662" s="43" t="s">
        <v>2171</v>
      </c>
      <c r="I1662" s="71" t="s">
        <v>3053</v>
      </c>
      <c r="J1662" s="71" t="s">
        <v>386</v>
      </c>
      <c r="K1662" s="43"/>
      <c r="L1662" s="71" t="s">
        <v>107</v>
      </c>
      <c r="M1662" s="73">
        <v>706</v>
      </c>
      <c r="N1662" s="71" t="s">
        <v>388</v>
      </c>
      <c r="O1662" s="73">
        <v>6.339</v>
      </c>
      <c r="P1662" s="71" t="s">
        <v>389</v>
      </c>
      <c r="Q1662" s="73">
        <v>1056.5</v>
      </c>
      <c r="R1662" s="71" t="s">
        <v>388</v>
      </c>
      <c r="S1662" s="73">
        <v>0</v>
      </c>
      <c r="T1662" s="71" t="s">
        <v>390</v>
      </c>
      <c r="U1662" s="74">
        <v>4</v>
      </c>
      <c r="V1662" s="71" t="s">
        <v>391</v>
      </c>
      <c r="W1662" s="130">
        <v>46072.994768518518</v>
      </c>
      <c r="X1662" s="72">
        <v>46074.552083333336</v>
      </c>
      <c r="Y1662" s="72">
        <v>46086.333333333336</v>
      </c>
      <c r="Z1662" s="104" t="s">
        <v>383</v>
      </c>
      <c r="AA1662" s="104" t="s">
        <v>667</v>
      </c>
      <c r="AB1662" s="105">
        <v>46082.279861111114</v>
      </c>
      <c r="AC1662" s="105"/>
    </row>
    <row r="1663" s="70" customFormat="1" ht="11.25" customHeight="1">
      <c r="A1663" s="87"/>
      <c r="C1663" s="43" t="s">
        <v>3052</v>
      </c>
      <c r="D1663" s="71" t="s">
        <v>382</v>
      </c>
      <c r="E1663" s="71" t="str">
        <f>MID(D1663,1,2)</f>
        <v>IL</v>
      </c>
      <c r="F1663" s="71" t="s">
        <v>383</v>
      </c>
      <c r="G1663" s="71" t="str">
        <f>MID(F1663,1,2)</f>
        <v>DE</v>
      </c>
      <c r="H1663" s="43" t="s">
        <v>2171</v>
      </c>
      <c r="I1663" s="71" t="s">
        <v>3053</v>
      </c>
      <c r="J1663" s="71" t="s">
        <v>386</v>
      </c>
      <c r="K1663" s="43"/>
      <c r="L1663" s="71" t="s">
        <v>107</v>
      </c>
      <c r="M1663" s="73">
        <v>706</v>
      </c>
      <c r="N1663" s="71" t="s">
        <v>388</v>
      </c>
      <c r="O1663" s="73">
        <v>6.339</v>
      </c>
      <c r="P1663" s="71" t="s">
        <v>389</v>
      </c>
      <c r="Q1663" s="73">
        <v>1056.5</v>
      </c>
      <c r="R1663" s="71" t="s">
        <v>388</v>
      </c>
      <c r="S1663" s="73">
        <v>0</v>
      </c>
      <c r="T1663" s="71" t="s">
        <v>390</v>
      </c>
      <c r="U1663" s="74">
        <v>4</v>
      </c>
      <c r="V1663" s="71" t="s">
        <v>391</v>
      </c>
      <c r="W1663" s="130">
        <v>46072.994768518518</v>
      </c>
      <c r="X1663" s="72">
        <v>46074.552083333336</v>
      </c>
      <c r="Y1663" s="72">
        <v>46086.333333333336</v>
      </c>
      <c r="Z1663" s="104" t="s">
        <v>383</v>
      </c>
      <c r="AA1663" s="104" t="s">
        <v>667</v>
      </c>
      <c r="AB1663" s="105">
        <v>46085.919444444444</v>
      </c>
      <c r="AC1663" s="105"/>
    </row>
    <row r="1664" s="70" customFormat="1" ht="11.25" customHeight="1">
      <c r="A1664" s="87"/>
      <c r="C1664" s="43" t="s">
        <v>3052</v>
      </c>
      <c r="D1664" s="71" t="s">
        <v>382</v>
      </c>
      <c r="E1664" s="71" t="str">
        <f>MID(D1664,1,2)</f>
        <v>IL</v>
      </c>
      <c r="F1664" s="71" t="s">
        <v>383</v>
      </c>
      <c r="G1664" s="71" t="str">
        <f>MID(F1664,1,2)</f>
        <v>DE</v>
      </c>
      <c r="H1664" s="43" t="s">
        <v>2171</v>
      </c>
      <c r="I1664" s="71" t="s">
        <v>3053</v>
      </c>
      <c r="J1664" s="71" t="s">
        <v>386</v>
      </c>
      <c r="K1664" s="43"/>
      <c r="L1664" s="71" t="s">
        <v>107</v>
      </c>
      <c r="M1664" s="73">
        <v>706</v>
      </c>
      <c r="N1664" s="71" t="s">
        <v>388</v>
      </c>
      <c r="O1664" s="73">
        <v>6.339</v>
      </c>
      <c r="P1664" s="71" t="s">
        <v>389</v>
      </c>
      <c r="Q1664" s="73">
        <v>1056.5</v>
      </c>
      <c r="R1664" s="71" t="s">
        <v>388</v>
      </c>
      <c r="S1664" s="73">
        <v>0</v>
      </c>
      <c r="T1664" s="71" t="s">
        <v>390</v>
      </c>
      <c r="U1664" s="74">
        <v>4</v>
      </c>
      <c r="V1664" s="71" t="s">
        <v>391</v>
      </c>
      <c r="W1664" s="130">
        <v>46072.994768518518</v>
      </c>
      <c r="X1664" s="72">
        <v>46074.552083333336</v>
      </c>
      <c r="Y1664" s="72">
        <v>46086.333333333336</v>
      </c>
      <c r="Z1664" s="104" t="s">
        <v>382</v>
      </c>
      <c r="AA1664" s="104" t="s">
        <v>1117</v>
      </c>
      <c r="AB1664" s="105">
        <v>46074.552083333336</v>
      </c>
      <c r="AC1664" s="105"/>
    </row>
    <row r="1665" s="70" customFormat="1" ht="11.25" customHeight="1">
      <c r="A1665" s="87"/>
      <c r="C1665" s="43" t="s">
        <v>3052</v>
      </c>
      <c r="D1665" s="71" t="s">
        <v>382</v>
      </c>
      <c r="E1665" s="71" t="str">
        <f>MID(D1665,1,2)</f>
        <v>IL</v>
      </c>
      <c r="F1665" s="71" t="s">
        <v>383</v>
      </c>
      <c r="G1665" s="71" t="str">
        <f>MID(F1665,1,2)</f>
        <v>DE</v>
      </c>
      <c r="H1665" s="43" t="s">
        <v>2171</v>
      </c>
      <c r="I1665" s="71" t="s">
        <v>3053</v>
      </c>
      <c r="J1665" s="71" t="s">
        <v>386</v>
      </c>
      <c r="K1665" s="43"/>
      <c r="L1665" s="71" t="s">
        <v>107</v>
      </c>
      <c r="M1665" s="73">
        <v>706</v>
      </c>
      <c r="N1665" s="71" t="s">
        <v>388</v>
      </c>
      <c r="O1665" s="73">
        <v>6.339</v>
      </c>
      <c r="P1665" s="71" t="s">
        <v>389</v>
      </c>
      <c r="Q1665" s="73">
        <v>1056.5</v>
      </c>
      <c r="R1665" s="71" t="s">
        <v>388</v>
      </c>
      <c r="S1665" s="73">
        <v>0</v>
      </c>
      <c r="T1665" s="71" t="s">
        <v>390</v>
      </c>
      <c r="U1665" s="74">
        <v>4</v>
      </c>
      <c r="V1665" s="71" t="s">
        <v>391</v>
      </c>
      <c r="W1665" s="130">
        <v>46072.994768518518</v>
      </c>
      <c r="X1665" s="72">
        <v>46074.552083333336</v>
      </c>
      <c r="Y1665" s="72">
        <v>46086.333333333336</v>
      </c>
      <c r="Z1665" s="104" t="s">
        <v>1117</v>
      </c>
      <c r="AA1665" s="104" t="s">
        <v>383</v>
      </c>
      <c r="AB1665" s="105">
        <v>46075.416666666664</v>
      </c>
      <c r="AC1665" s="105">
        <v>46075.603472222225</v>
      </c>
    </row>
    <row r="1666" s="70" customFormat="1" ht="11.25" customHeight="1">
      <c r="A1666" s="87"/>
      <c r="C1666" s="43" t="s">
        <v>3054</v>
      </c>
      <c r="D1666" s="71" t="s">
        <v>382</v>
      </c>
      <c r="E1666" s="71" t="str">
        <f>MID(D1666,1,2)</f>
        <v>IL</v>
      </c>
      <c r="F1666" s="71" t="s">
        <v>496</v>
      </c>
      <c r="G1666" s="71" t="str">
        <f>MID(F1666,1,2)</f>
        <v>RO</v>
      </c>
      <c r="H1666" s="43" t="s">
        <v>3037</v>
      </c>
      <c r="I1666" s="71" t="s">
        <v>3055</v>
      </c>
      <c r="J1666" s="71" t="s">
        <v>400</v>
      </c>
      <c r="K1666" s="43"/>
      <c r="L1666" s="71" t="s">
        <v>105</v>
      </c>
      <c r="M1666" s="73">
        <v>1</v>
      </c>
      <c r="N1666" s="71" t="s">
        <v>388</v>
      </c>
      <c r="O1666" s="73">
        <v>0.022</v>
      </c>
      <c r="P1666" s="71" t="s">
        <v>389</v>
      </c>
      <c r="Q1666" s="73">
        <v>4</v>
      </c>
      <c r="R1666" s="71" t="s">
        <v>388</v>
      </c>
      <c r="S1666" s="73">
        <v>0</v>
      </c>
      <c r="T1666" s="71" t="s">
        <v>390</v>
      </c>
      <c r="U1666" s="74">
        <v>1</v>
      </c>
      <c r="V1666" s="71" t="s">
        <v>391</v>
      </c>
      <c r="W1666" s="130">
        <v>46071.388888888891</v>
      </c>
      <c r="X1666" s="72">
        <v>46073.013888888891</v>
      </c>
      <c r="Y1666" s="72">
        <v>46076.111111111109</v>
      </c>
      <c r="Z1666" s="104" t="s">
        <v>382</v>
      </c>
      <c r="AA1666" s="104" t="s">
        <v>496</v>
      </c>
      <c r="AB1666" s="105">
        <v>46075.996527777781</v>
      </c>
      <c r="AC1666" s="105">
        <v>46076.14166666667</v>
      </c>
    </row>
    <row r="1667" s="70" customFormat="1" ht="11.25" customHeight="1">
      <c r="A1667" s="87"/>
      <c r="C1667" s="43" t="s">
        <v>3056</v>
      </c>
      <c r="D1667" s="71" t="s">
        <v>382</v>
      </c>
      <c r="E1667" s="71" t="str">
        <f>MID(D1667,1,2)</f>
        <v>IL</v>
      </c>
      <c r="F1667" s="71" t="s">
        <v>522</v>
      </c>
      <c r="G1667" s="71" t="str">
        <f>MID(F1667,1,2)</f>
        <v>CZ</v>
      </c>
      <c r="H1667" s="43" t="s">
        <v>3057</v>
      </c>
      <c r="I1667" s="71" t="s">
        <v>3058</v>
      </c>
      <c r="J1667" s="71" t="s">
        <v>386</v>
      </c>
      <c r="K1667" s="43"/>
      <c r="L1667" s="71" t="s">
        <v>107</v>
      </c>
      <c r="M1667" s="73">
        <v>3</v>
      </c>
      <c r="N1667" s="71" t="s">
        <v>388</v>
      </c>
      <c r="O1667" s="73">
        <v>0.012</v>
      </c>
      <c r="P1667" s="71" t="s">
        <v>389</v>
      </c>
      <c r="Q1667" s="73">
        <v>3</v>
      </c>
      <c r="R1667" s="71" t="s">
        <v>388</v>
      </c>
      <c r="S1667" s="73">
        <v>0</v>
      </c>
      <c r="T1667" s="71" t="s">
        <v>390</v>
      </c>
      <c r="U1667" s="74">
        <v>1</v>
      </c>
      <c r="V1667" s="71" t="s">
        <v>391</v>
      </c>
      <c r="W1667" s="130">
        <v>46071.654618055552</v>
      </c>
      <c r="X1667" s="72">
        <v>46073.013888888891</v>
      </c>
      <c r="Y1667" s="72">
        <v>46073.364583333336</v>
      </c>
      <c r="Z1667" s="104" t="s">
        <v>382</v>
      </c>
      <c r="AA1667" s="104" t="s">
        <v>496</v>
      </c>
      <c r="AB1667" s="105">
        <v>46073.013888888891</v>
      </c>
      <c r="AC1667" s="105"/>
    </row>
    <row r="1668" s="70" customFormat="1" ht="11.25" customHeight="1">
      <c r="A1668" s="87"/>
      <c r="C1668" s="43" t="s">
        <v>3056</v>
      </c>
      <c r="D1668" s="71" t="s">
        <v>382</v>
      </c>
      <c r="E1668" s="71" t="str">
        <f>MID(D1668,1,2)</f>
        <v>IL</v>
      </c>
      <c r="F1668" s="71" t="s">
        <v>522</v>
      </c>
      <c r="G1668" s="71" t="str">
        <f>MID(F1668,1,2)</f>
        <v>CZ</v>
      </c>
      <c r="H1668" s="43" t="s">
        <v>3057</v>
      </c>
      <c r="I1668" s="71" t="s">
        <v>3058</v>
      </c>
      <c r="J1668" s="71" t="s">
        <v>386</v>
      </c>
      <c r="K1668" s="43"/>
      <c r="L1668" s="71" t="s">
        <v>107</v>
      </c>
      <c r="M1668" s="73">
        <v>3</v>
      </c>
      <c r="N1668" s="71" t="s">
        <v>388</v>
      </c>
      <c r="O1668" s="73">
        <v>0.012</v>
      </c>
      <c r="P1668" s="71" t="s">
        <v>389</v>
      </c>
      <c r="Q1668" s="73">
        <v>3</v>
      </c>
      <c r="R1668" s="71" t="s">
        <v>388</v>
      </c>
      <c r="S1668" s="73">
        <v>0</v>
      </c>
      <c r="T1668" s="71" t="s">
        <v>390</v>
      </c>
      <c r="U1668" s="74">
        <v>1</v>
      </c>
      <c r="V1668" s="71" t="s">
        <v>391</v>
      </c>
      <c r="W1668" s="130">
        <v>46071.654618055552</v>
      </c>
      <c r="X1668" s="72">
        <v>46073.013888888891</v>
      </c>
      <c r="Y1668" s="72">
        <v>46073.364583333336</v>
      </c>
      <c r="Z1668" s="104" t="s">
        <v>496</v>
      </c>
      <c r="AA1668" s="104" t="s">
        <v>522</v>
      </c>
      <c r="AB1668" s="105">
        <v>46073.326388888891</v>
      </c>
      <c r="AC1668" s="105">
        <v>46073.378472222219</v>
      </c>
    </row>
    <row r="1669" s="70" customFormat="1" ht="11.25" customHeight="1">
      <c r="A1669" s="87"/>
      <c r="C1669" s="43" t="s">
        <v>3059</v>
      </c>
      <c r="D1669" s="71" t="s">
        <v>382</v>
      </c>
      <c r="E1669" s="71" t="str">
        <f>MID(D1669,1,2)</f>
        <v>IL</v>
      </c>
      <c r="F1669" s="71" t="s">
        <v>496</v>
      </c>
      <c r="G1669" s="71" t="str">
        <f>MID(F1669,1,2)</f>
        <v>RO</v>
      </c>
      <c r="H1669" s="43" t="s">
        <v>3060</v>
      </c>
      <c r="I1669" s="71" t="s">
        <v>3061</v>
      </c>
      <c r="J1669" s="71" t="s">
        <v>400</v>
      </c>
      <c r="K1669" s="43"/>
      <c r="L1669" s="71" t="s">
        <v>105</v>
      </c>
      <c r="M1669" s="73">
        <v>205</v>
      </c>
      <c r="N1669" s="71" t="s">
        <v>388</v>
      </c>
      <c r="O1669" s="73">
        <v>2.266</v>
      </c>
      <c r="P1669" s="71" t="s">
        <v>389</v>
      </c>
      <c r="Q1669" s="73">
        <v>378</v>
      </c>
      <c r="R1669" s="71" t="s">
        <v>388</v>
      </c>
      <c r="S1669" s="73">
        <v>0</v>
      </c>
      <c r="T1669" s="71" t="s">
        <v>390</v>
      </c>
      <c r="U1669" s="74">
        <v>4</v>
      </c>
      <c r="V1669" s="71" t="s">
        <v>391</v>
      </c>
      <c r="W1669" s="130">
        <v>46071.409722222219</v>
      </c>
      <c r="X1669" s="72">
        <v>46072.243055555555</v>
      </c>
      <c r="Y1669" s="72">
        <v>46073.415972222225</v>
      </c>
      <c r="Z1669" s="104" t="s">
        <v>382</v>
      </c>
      <c r="AA1669" s="104" t="s">
        <v>496</v>
      </c>
      <c r="AB1669" s="105">
        <v>46073.296527777777</v>
      </c>
      <c r="AC1669" s="105">
        <v>46073.397916666669</v>
      </c>
    </row>
    <row r="1670" s="70" customFormat="1" ht="11.25" customHeight="1">
      <c r="A1670" s="87"/>
      <c r="C1670" s="43" t="s">
        <v>3062</v>
      </c>
      <c r="D1670" s="71" t="s">
        <v>382</v>
      </c>
      <c r="E1670" s="71" t="str">
        <f>MID(D1670,1,2)</f>
        <v>IL</v>
      </c>
      <c r="F1670" s="71" t="s">
        <v>496</v>
      </c>
      <c r="G1670" s="71" t="str">
        <f>MID(F1670,1,2)</f>
        <v>RO</v>
      </c>
      <c r="H1670" s="43" t="s">
        <v>3060</v>
      </c>
      <c r="I1670" s="71" t="s">
        <v>3063</v>
      </c>
      <c r="J1670" s="71" t="s">
        <v>400</v>
      </c>
      <c r="K1670" s="43"/>
      <c r="L1670" s="71" t="s">
        <v>105</v>
      </c>
      <c r="M1670" s="73">
        <v>333</v>
      </c>
      <c r="N1670" s="71" t="s">
        <v>388</v>
      </c>
      <c r="O1670" s="73">
        <v>3.656</v>
      </c>
      <c r="P1670" s="71" t="s">
        <v>389</v>
      </c>
      <c r="Q1670" s="73">
        <v>609.5</v>
      </c>
      <c r="R1670" s="71" t="s">
        <v>388</v>
      </c>
      <c r="S1670" s="73">
        <v>0</v>
      </c>
      <c r="T1670" s="71" t="s">
        <v>390</v>
      </c>
      <c r="U1670" s="74">
        <v>4</v>
      </c>
      <c r="V1670" s="71" t="s">
        <v>391</v>
      </c>
      <c r="W1670" s="130">
        <v>46071.8906712963</v>
      </c>
      <c r="X1670" s="72">
        <v>46072.243055555555</v>
      </c>
      <c r="Y1670" s="72">
        <v>46073.415972222225</v>
      </c>
      <c r="Z1670" s="104" t="s">
        <v>382</v>
      </c>
      <c r="AA1670" s="104" t="s">
        <v>496</v>
      </c>
      <c r="AB1670" s="105">
        <v>46073.296527777777</v>
      </c>
      <c r="AC1670" s="105">
        <v>46073.397916666669</v>
      </c>
    </row>
    <row r="1671" s="70" customFormat="1" ht="11.25" customHeight="1">
      <c r="A1671" s="87"/>
      <c r="C1671" s="43" t="s">
        <v>3064</v>
      </c>
      <c r="D1671" s="71" t="s">
        <v>382</v>
      </c>
      <c r="E1671" s="71" t="str">
        <f>MID(D1671,1,2)</f>
        <v>IL</v>
      </c>
      <c r="F1671" s="71" t="s">
        <v>1108</v>
      </c>
      <c r="G1671" s="71" t="str">
        <f>MID(F1671,1,2)</f>
        <v>TW</v>
      </c>
      <c r="H1671" s="43" t="s">
        <v>3065</v>
      </c>
      <c r="I1671" s="71" t="s">
        <v>3066</v>
      </c>
      <c r="J1671" s="71" t="s">
        <v>426</v>
      </c>
      <c r="K1671" s="43"/>
      <c r="L1671" s="71" t="s">
        <v>105</v>
      </c>
      <c r="M1671" s="73">
        <v>81</v>
      </c>
      <c r="N1671" s="71" t="s">
        <v>388</v>
      </c>
      <c r="O1671" s="73">
        <v>0.374</v>
      </c>
      <c r="P1671" s="71" t="s">
        <v>389</v>
      </c>
      <c r="Q1671" s="73">
        <v>100</v>
      </c>
      <c r="R1671" s="71" t="s">
        <v>388</v>
      </c>
      <c r="S1671" s="73">
        <v>0</v>
      </c>
      <c r="T1671" s="71" t="s">
        <v>390</v>
      </c>
      <c r="U1671" s="74">
        <v>1</v>
      </c>
      <c r="V1671" s="71" t="s">
        <v>391</v>
      </c>
      <c r="W1671" s="130">
        <v>46071.63958333333</v>
      </c>
      <c r="X1671" s="72">
        <v>46072.9375</v>
      </c>
      <c r="Y1671" s="72">
        <v>46074.802083333336</v>
      </c>
      <c r="Z1671" s="104" t="s">
        <v>382</v>
      </c>
      <c r="AA1671" s="104" t="s">
        <v>833</v>
      </c>
      <c r="AB1671" s="105">
        <v>46072.921527777777</v>
      </c>
      <c r="AC1671" s="105"/>
    </row>
    <row r="1672" s="70" customFormat="1" ht="11.25" customHeight="1">
      <c r="A1672" s="87"/>
      <c r="C1672" s="43" t="s">
        <v>3064</v>
      </c>
      <c r="D1672" s="71" t="s">
        <v>382</v>
      </c>
      <c r="E1672" s="71" t="str">
        <f>MID(D1672,1,2)</f>
        <v>IL</v>
      </c>
      <c r="F1672" s="71" t="s">
        <v>1108</v>
      </c>
      <c r="G1672" s="71" t="str">
        <f>MID(F1672,1,2)</f>
        <v>TW</v>
      </c>
      <c r="H1672" s="43" t="s">
        <v>3065</v>
      </c>
      <c r="I1672" s="71" t="s">
        <v>3066</v>
      </c>
      <c r="J1672" s="71" t="s">
        <v>426</v>
      </c>
      <c r="K1672" s="43"/>
      <c r="L1672" s="71" t="s">
        <v>105</v>
      </c>
      <c r="M1672" s="73">
        <v>81</v>
      </c>
      <c r="N1672" s="71" t="s">
        <v>388</v>
      </c>
      <c r="O1672" s="73">
        <v>0.374</v>
      </c>
      <c r="P1672" s="71" t="s">
        <v>389</v>
      </c>
      <c r="Q1672" s="73">
        <v>100</v>
      </c>
      <c r="R1672" s="71" t="s">
        <v>388</v>
      </c>
      <c r="S1672" s="73">
        <v>0</v>
      </c>
      <c r="T1672" s="71" t="s">
        <v>390</v>
      </c>
      <c r="U1672" s="74">
        <v>1</v>
      </c>
      <c r="V1672" s="71" t="s">
        <v>391</v>
      </c>
      <c r="W1672" s="130">
        <v>46071.63958333333</v>
      </c>
      <c r="X1672" s="72">
        <v>46072.9375</v>
      </c>
      <c r="Y1672" s="72">
        <v>46074.802083333336</v>
      </c>
      <c r="Z1672" s="104" t="s">
        <v>833</v>
      </c>
      <c r="AA1672" s="104" t="s">
        <v>1108</v>
      </c>
      <c r="AB1672" s="105">
        <v>46074.629861111112</v>
      </c>
      <c r="AC1672" s="105">
        <v>46074.800694444442</v>
      </c>
    </row>
    <row r="1673" s="70" customFormat="1" ht="11.25" customHeight="1">
      <c r="A1673" s="87"/>
      <c r="C1673" s="43" t="s">
        <v>3067</v>
      </c>
      <c r="D1673" s="71" t="s">
        <v>382</v>
      </c>
      <c r="E1673" s="71" t="str">
        <f>MID(D1673,1,2)</f>
        <v>IL</v>
      </c>
      <c r="F1673" s="71" t="s">
        <v>414</v>
      </c>
      <c r="G1673" s="71" t="str">
        <f>MID(F1673,1,2)</f>
        <v>US</v>
      </c>
      <c r="H1673" s="43" t="s">
        <v>2847</v>
      </c>
      <c r="I1673" s="71" t="s">
        <v>3068</v>
      </c>
      <c r="J1673" s="71" t="s">
        <v>386</v>
      </c>
      <c r="K1673" s="43" t="s">
        <v>759</v>
      </c>
      <c r="L1673" s="71" t="s">
        <v>107</v>
      </c>
      <c r="M1673" s="73">
        <v>11</v>
      </c>
      <c r="N1673" s="71" t="s">
        <v>388</v>
      </c>
      <c r="O1673" s="73">
        <v>0.1</v>
      </c>
      <c r="P1673" s="71" t="s">
        <v>389</v>
      </c>
      <c r="Q1673" s="73">
        <v>17</v>
      </c>
      <c r="R1673" s="71" t="s">
        <v>388</v>
      </c>
      <c r="S1673" s="73">
        <v>0</v>
      </c>
      <c r="T1673" s="71" t="s">
        <v>390</v>
      </c>
      <c r="U1673" s="74">
        <v>1</v>
      </c>
      <c r="V1673" s="71" t="s">
        <v>427</v>
      </c>
      <c r="W1673" s="130">
        <v>46071.896527777775</v>
      </c>
      <c r="X1673" s="72">
        <v>46073.03125</v>
      </c>
      <c r="Y1673" s="72">
        <v>46073.239583333336</v>
      </c>
      <c r="Z1673" s="104" t="s">
        <v>382</v>
      </c>
      <c r="AA1673" s="104" t="s">
        <v>414</v>
      </c>
      <c r="AB1673" s="105">
        <v>46073.040277777778</v>
      </c>
      <c r="AC1673" s="105">
        <v>46073.227083333331</v>
      </c>
    </row>
    <row r="1674" s="70" customFormat="1" ht="11.25" customHeight="1">
      <c r="A1674" s="87"/>
      <c r="C1674" s="43" t="s">
        <v>3069</v>
      </c>
      <c r="D1674" s="71" t="s">
        <v>382</v>
      </c>
      <c r="E1674" s="71" t="str">
        <f>MID(D1674,1,2)</f>
        <v>IL</v>
      </c>
      <c r="F1674" s="71" t="s">
        <v>1117</v>
      </c>
      <c r="G1674" s="71" t="str">
        <f>MID(F1674,1,2)</f>
        <v>BE</v>
      </c>
      <c r="H1674" s="43" t="s">
        <v>3070</v>
      </c>
      <c r="I1674" s="71" t="s">
        <v>3071</v>
      </c>
      <c r="J1674" s="71" t="s">
        <v>454</v>
      </c>
      <c r="K1674" s="43"/>
      <c r="L1674" s="71" t="s">
        <v>107</v>
      </c>
      <c r="M1674" s="73">
        <v>68</v>
      </c>
      <c r="N1674" s="71" t="s">
        <v>388</v>
      </c>
      <c r="O1674" s="73">
        <v>0.309</v>
      </c>
      <c r="P1674" s="71" t="s">
        <v>389</v>
      </c>
      <c r="Q1674" s="73">
        <v>68</v>
      </c>
      <c r="R1674" s="71" t="s">
        <v>388</v>
      </c>
      <c r="S1674" s="73">
        <v>0</v>
      </c>
      <c r="T1674" s="71" t="s">
        <v>390</v>
      </c>
      <c r="U1674" s="74">
        <v>1</v>
      </c>
      <c r="V1674" s="71" t="s">
        <v>391</v>
      </c>
      <c r="W1674" s="130">
        <v>46072.560752314814</v>
      </c>
      <c r="X1674" s="72">
        <v>46074.246527777781</v>
      </c>
      <c r="Y1674" s="72">
        <v>46075.833333333336</v>
      </c>
      <c r="Z1674" s="104" t="s">
        <v>382</v>
      </c>
      <c r="AA1674" s="104" t="s">
        <v>595</v>
      </c>
      <c r="AB1674" s="105">
        <v>46074.245138888888</v>
      </c>
      <c r="AC1674" s="105">
        <v>46074.344444444447</v>
      </c>
    </row>
    <row r="1675" s="70" customFormat="1" ht="11.25" customHeight="1">
      <c r="A1675" s="87"/>
      <c r="C1675" s="43" t="s">
        <v>3069</v>
      </c>
      <c r="D1675" s="71" t="s">
        <v>382</v>
      </c>
      <c r="E1675" s="71" t="str">
        <f>MID(D1675,1,2)</f>
        <v>IL</v>
      </c>
      <c r="F1675" s="71" t="s">
        <v>1117</v>
      </c>
      <c r="G1675" s="71" t="str">
        <f>MID(F1675,1,2)</f>
        <v>BE</v>
      </c>
      <c r="H1675" s="43" t="s">
        <v>3070</v>
      </c>
      <c r="I1675" s="71" t="s">
        <v>3071</v>
      </c>
      <c r="J1675" s="71" t="s">
        <v>454</v>
      </c>
      <c r="K1675" s="43"/>
      <c r="L1675" s="71" t="s">
        <v>107</v>
      </c>
      <c r="M1675" s="73">
        <v>68</v>
      </c>
      <c r="N1675" s="71" t="s">
        <v>388</v>
      </c>
      <c r="O1675" s="73">
        <v>0.309</v>
      </c>
      <c r="P1675" s="71" t="s">
        <v>389</v>
      </c>
      <c r="Q1675" s="73">
        <v>68</v>
      </c>
      <c r="R1675" s="71" t="s">
        <v>388</v>
      </c>
      <c r="S1675" s="73">
        <v>0</v>
      </c>
      <c r="T1675" s="71" t="s">
        <v>390</v>
      </c>
      <c r="U1675" s="74">
        <v>1</v>
      </c>
      <c r="V1675" s="71" t="s">
        <v>391</v>
      </c>
      <c r="W1675" s="130">
        <v>46072.560752314814</v>
      </c>
      <c r="X1675" s="72">
        <v>46074.246527777781</v>
      </c>
      <c r="Y1675" s="72">
        <v>46075.833333333336</v>
      </c>
      <c r="Z1675" s="104" t="s">
        <v>595</v>
      </c>
      <c r="AA1675" s="104" t="s">
        <v>1117</v>
      </c>
      <c r="AB1675" s="105">
        <v>46074.895833333336</v>
      </c>
      <c r="AC1675" s="105">
        <v>46076.620138888888</v>
      </c>
    </row>
    <row r="1676" s="70" customFormat="1" ht="11.25" customHeight="1">
      <c r="A1676" s="87"/>
      <c r="C1676" s="43" t="s">
        <v>3072</v>
      </c>
      <c r="D1676" s="71" t="s">
        <v>382</v>
      </c>
      <c r="E1676" s="71" t="str">
        <f>MID(D1676,1,2)</f>
        <v>IL</v>
      </c>
      <c r="F1676" s="71" t="s">
        <v>978</v>
      </c>
      <c r="G1676" s="71" t="str">
        <f>MID(F1676,1,2)</f>
        <v>PL</v>
      </c>
      <c r="H1676" s="43" t="s">
        <v>2806</v>
      </c>
      <c r="I1676" s="71" t="s">
        <v>3073</v>
      </c>
      <c r="J1676" s="71" t="s">
        <v>386</v>
      </c>
      <c r="K1676" s="43" t="s">
        <v>3074</v>
      </c>
      <c r="L1676" s="71" t="s">
        <v>107</v>
      </c>
      <c r="M1676" s="73">
        <v>81</v>
      </c>
      <c r="N1676" s="71" t="s">
        <v>388</v>
      </c>
      <c r="O1676" s="73">
        <v>0.325</v>
      </c>
      <c r="P1676" s="71" t="s">
        <v>389</v>
      </c>
      <c r="Q1676" s="73">
        <v>81</v>
      </c>
      <c r="R1676" s="71" t="s">
        <v>388</v>
      </c>
      <c r="S1676" s="73">
        <v>0</v>
      </c>
      <c r="T1676" s="71" t="s">
        <v>390</v>
      </c>
      <c r="U1676" s="74">
        <v>1</v>
      </c>
      <c r="V1676" s="71" t="s">
        <v>391</v>
      </c>
      <c r="W1676" s="130"/>
      <c r="X1676" s="72">
        <v>46073.572916666664</v>
      </c>
      <c r="Y1676" s="72">
        <v>46079.333333333336</v>
      </c>
      <c r="Z1676" s="104" t="s">
        <v>382</v>
      </c>
      <c r="AA1676" s="104" t="s">
        <v>383</v>
      </c>
      <c r="AB1676" s="105">
        <v>46073.555555555555</v>
      </c>
      <c r="AC1676" s="105">
        <v>46073.692361111112</v>
      </c>
    </row>
    <row r="1677" s="70" customFormat="1" ht="11.25" customHeight="1">
      <c r="A1677" s="87"/>
      <c r="C1677" s="43" t="s">
        <v>3072</v>
      </c>
      <c r="D1677" s="71" t="s">
        <v>382</v>
      </c>
      <c r="E1677" s="71" t="str">
        <f>MID(D1677,1,2)</f>
        <v>IL</v>
      </c>
      <c r="F1677" s="71" t="s">
        <v>978</v>
      </c>
      <c r="G1677" s="71" t="str">
        <f>MID(F1677,1,2)</f>
        <v>PL</v>
      </c>
      <c r="H1677" s="43" t="s">
        <v>2806</v>
      </c>
      <c r="I1677" s="71" t="s">
        <v>3073</v>
      </c>
      <c r="J1677" s="71" t="s">
        <v>386</v>
      </c>
      <c r="K1677" s="43" t="s">
        <v>3074</v>
      </c>
      <c r="L1677" s="71" t="s">
        <v>107</v>
      </c>
      <c r="M1677" s="73">
        <v>81</v>
      </c>
      <c r="N1677" s="71" t="s">
        <v>388</v>
      </c>
      <c r="O1677" s="73">
        <v>0.325</v>
      </c>
      <c r="P1677" s="71" t="s">
        <v>389</v>
      </c>
      <c r="Q1677" s="73">
        <v>81</v>
      </c>
      <c r="R1677" s="71" t="s">
        <v>388</v>
      </c>
      <c r="S1677" s="73">
        <v>0</v>
      </c>
      <c r="T1677" s="71" t="s">
        <v>390</v>
      </c>
      <c r="U1677" s="74">
        <v>1</v>
      </c>
      <c r="V1677" s="71" t="s">
        <v>391</v>
      </c>
      <c r="W1677" s="130"/>
      <c r="X1677" s="72">
        <v>46073.572916666664</v>
      </c>
      <c r="Y1677" s="72">
        <v>46079.333333333336</v>
      </c>
      <c r="Z1677" s="104" t="s">
        <v>383</v>
      </c>
      <c r="AA1677" s="104" t="s">
        <v>978</v>
      </c>
      <c r="AB1677" s="105">
        <v>46075.583333333336</v>
      </c>
      <c r="AC1677" s="105">
        <v>46076.291666666664</v>
      </c>
    </row>
    <row r="1678" s="70" customFormat="1" ht="11.25" customHeight="1">
      <c r="A1678" s="87"/>
      <c r="C1678" s="43" t="s">
        <v>3072</v>
      </c>
      <c r="D1678" s="71" t="s">
        <v>382</v>
      </c>
      <c r="E1678" s="71" t="str">
        <f>MID(D1678,1,2)</f>
        <v>IL</v>
      </c>
      <c r="F1678" s="71" t="s">
        <v>978</v>
      </c>
      <c r="G1678" s="71" t="str">
        <f>MID(F1678,1,2)</f>
        <v>PL</v>
      </c>
      <c r="H1678" s="43" t="s">
        <v>2806</v>
      </c>
      <c r="I1678" s="71" t="s">
        <v>3073</v>
      </c>
      <c r="J1678" s="71" t="s">
        <v>386</v>
      </c>
      <c r="K1678" s="43" t="s">
        <v>3074</v>
      </c>
      <c r="L1678" s="71" t="s">
        <v>107</v>
      </c>
      <c r="M1678" s="73">
        <v>81</v>
      </c>
      <c r="N1678" s="71" t="s">
        <v>388</v>
      </c>
      <c r="O1678" s="73">
        <v>0.325</v>
      </c>
      <c r="P1678" s="71" t="s">
        <v>389</v>
      </c>
      <c r="Q1678" s="73">
        <v>81</v>
      </c>
      <c r="R1678" s="71" t="s">
        <v>388</v>
      </c>
      <c r="S1678" s="73">
        <v>0</v>
      </c>
      <c r="T1678" s="71" t="s">
        <v>390</v>
      </c>
      <c r="U1678" s="74">
        <v>1</v>
      </c>
      <c r="V1678" s="71" t="s">
        <v>391</v>
      </c>
      <c r="W1678" s="130"/>
      <c r="X1678" s="72">
        <v>46073.572916666664</v>
      </c>
      <c r="Y1678" s="72">
        <v>46079.333333333336</v>
      </c>
      <c r="Z1678" s="104" t="s">
        <v>978</v>
      </c>
      <c r="AA1678" s="104" t="s">
        <v>3075</v>
      </c>
      <c r="AB1678" s="105">
        <v>46078.75</v>
      </c>
      <c r="AC1678" s="105">
        <v>46079.333333333336</v>
      </c>
    </row>
    <row r="1679" s="70" customFormat="1" ht="11.25" customHeight="1">
      <c r="A1679" s="87"/>
      <c r="C1679" s="43" t="s">
        <v>3076</v>
      </c>
      <c r="D1679" s="71" t="s">
        <v>382</v>
      </c>
      <c r="E1679" s="71" t="str">
        <f>MID(D1679,1,2)</f>
        <v>IL</v>
      </c>
      <c r="F1679" s="71" t="s">
        <v>414</v>
      </c>
      <c r="G1679" s="71" t="str">
        <f>MID(F1679,1,2)</f>
        <v>US</v>
      </c>
      <c r="H1679" s="43" t="s">
        <v>2847</v>
      </c>
      <c r="I1679" s="71" t="s">
        <v>3077</v>
      </c>
      <c r="J1679" s="71" t="s">
        <v>386</v>
      </c>
      <c r="K1679" s="43" t="s">
        <v>759</v>
      </c>
      <c r="L1679" s="71" t="s">
        <v>107</v>
      </c>
      <c r="M1679" s="73">
        <v>291</v>
      </c>
      <c r="N1679" s="71" t="s">
        <v>388</v>
      </c>
      <c r="O1679" s="73">
        <v>2.744</v>
      </c>
      <c r="P1679" s="71" t="s">
        <v>389</v>
      </c>
      <c r="Q1679" s="73">
        <v>457.5</v>
      </c>
      <c r="R1679" s="71" t="s">
        <v>388</v>
      </c>
      <c r="S1679" s="73">
        <v>0</v>
      </c>
      <c r="T1679" s="71" t="s">
        <v>390</v>
      </c>
      <c r="U1679" s="74">
        <v>2</v>
      </c>
      <c r="V1679" s="71" t="s">
        <v>391</v>
      </c>
      <c r="W1679" s="130">
        <v>46071.444444444445</v>
      </c>
      <c r="X1679" s="72">
        <v>46073.03125</v>
      </c>
      <c r="Y1679" s="72">
        <v>46073.239583333336</v>
      </c>
      <c r="Z1679" s="104" t="s">
        <v>382</v>
      </c>
      <c r="AA1679" s="104" t="s">
        <v>414</v>
      </c>
      <c r="AB1679" s="105">
        <v>46073.040277777778</v>
      </c>
      <c r="AC1679" s="105">
        <v>46073.227083333331</v>
      </c>
    </row>
    <row r="1680" s="70" customFormat="1" ht="11.25" customHeight="1">
      <c r="A1680" s="87"/>
      <c r="C1680" s="43" t="s">
        <v>3078</v>
      </c>
      <c r="D1680" s="71" t="s">
        <v>382</v>
      </c>
      <c r="E1680" s="71" t="str">
        <f>MID(D1680,1,2)</f>
        <v>IL</v>
      </c>
      <c r="F1680" s="71" t="s">
        <v>414</v>
      </c>
      <c r="G1680" s="71" t="str">
        <f>MID(F1680,1,2)</f>
        <v>US</v>
      </c>
      <c r="H1680" s="43" t="s">
        <v>2847</v>
      </c>
      <c r="I1680" s="71" t="s">
        <v>3079</v>
      </c>
      <c r="J1680" s="71" t="s">
        <v>386</v>
      </c>
      <c r="K1680" s="43" t="s">
        <v>759</v>
      </c>
      <c r="L1680" s="71" t="s">
        <v>107</v>
      </c>
      <c r="M1680" s="73">
        <v>3</v>
      </c>
      <c r="N1680" s="71" t="s">
        <v>388</v>
      </c>
      <c r="O1680" s="73">
        <v>0.075</v>
      </c>
      <c r="P1680" s="71" t="s">
        <v>389</v>
      </c>
      <c r="Q1680" s="73">
        <v>12.5</v>
      </c>
      <c r="R1680" s="71" t="s">
        <v>388</v>
      </c>
      <c r="S1680" s="73">
        <v>0</v>
      </c>
      <c r="T1680" s="71" t="s">
        <v>390</v>
      </c>
      <c r="U1680" s="74">
        <v>1</v>
      </c>
      <c r="V1680" s="71" t="s">
        <v>427</v>
      </c>
      <c r="W1680" s="130">
        <v>46071.814375</v>
      </c>
      <c r="X1680" s="72">
        <v>46073.03125</v>
      </c>
      <c r="Y1680" s="72">
        <v>46073.239583333336</v>
      </c>
      <c r="Z1680" s="104" t="s">
        <v>382</v>
      </c>
      <c r="AA1680" s="104" t="s">
        <v>414</v>
      </c>
      <c r="AB1680" s="105">
        <v>46073.040277777778</v>
      </c>
      <c r="AC1680" s="105">
        <v>46073.227083333331</v>
      </c>
    </row>
    <row r="1681" s="70" customFormat="1" ht="11.25" customHeight="1">
      <c r="A1681" s="87"/>
      <c r="C1681" s="43" t="s">
        <v>3080</v>
      </c>
      <c r="D1681" s="71" t="s">
        <v>382</v>
      </c>
      <c r="E1681" s="71" t="str">
        <f>MID(D1681,1,2)</f>
        <v>IL</v>
      </c>
      <c r="F1681" s="71" t="s">
        <v>480</v>
      </c>
      <c r="G1681" s="71" t="str">
        <f>MID(F1681,1,2)</f>
        <v>CA</v>
      </c>
      <c r="H1681" s="43" t="s">
        <v>3081</v>
      </c>
      <c r="I1681" s="71" t="s">
        <v>3082</v>
      </c>
      <c r="J1681" s="71" t="s">
        <v>386</v>
      </c>
      <c r="K1681" s="43"/>
      <c r="L1681" s="71" t="s">
        <v>107</v>
      </c>
      <c r="M1681" s="73">
        <v>251</v>
      </c>
      <c r="N1681" s="71" t="s">
        <v>388</v>
      </c>
      <c r="O1681" s="73">
        <v>0.25</v>
      </c>
      <c r="P1681" s="71" t="s">
        <v>389</v>
      </c>
      <c r="Q1681" s="73">
        <v>251</v>
      </c>
      <c r="R1681" s="71" t="s">
        <v>388</v>
      </c>
      <c r="S1681" s="73">
        <v>0</v>
      </c>
      <c r="T1681" s="71" t="s">
        <v>390</v>
      </c>
      <c r="U1681" s="74">
        <v>5</v>
      </c>
      <c r="V1681" s="71" t="s">
        <v>417</v>
      </c>
      <c r="W1681" s="130">
        <v>46071.98125</v>
      </c>
      <c r="X1681" s="72">
        <v>46073.458333333336</v>
      </c>
      <c r="Y1681" s="72">
        <v>46076.551388888889</v>
      </c>
      <c r="Z1681" s="104" t="s">
        <v>1102</v>
      </c>
      <c r="AA1681" s="104" t="s">
        <v>1103</v>
      </c>
      <c r="AB1681" s="105"/>
      <c r="AC1681" s="105"/>
    </row>
    <row r="1682" s="70" customFormat="1" ht="11.25" customHeight="1">
      <c r="A1682" s="87"/>
      <c r="C1682" s="43" t="s">
        <v>3080</v>
      </c>
      <c r="D1682" s="71" t="s">
        <v>382</v>
      </c>
      <c r="E1682" s="71" t="str">
        <f>MID(D1682,1,2)</f>
        <v>IL</v>
      </c>
      <c r="F1682" s="71" t="s">
        <v>480</v>
      </c>
      <c r="G1682" s="71" t="str">
        <f>MID(F1682,1,2)</f>
        <v>CA</v>
      </c>
      <c r="H1682" s="43" t="s">
        <v>3081</v>
      </c>
      <c r="I1682" s="71" t="s">
        <v>3082</v>
      </c>
      <c r="J1682" s="71" t="s">
        <v>386</v>
      </c>
      <c r="K1682" s="43"/>
      <c r="L1682" s="71" t="s">
        <v>107</v>
      </c>
      <c r="M1682" s="73">
        <v>251</v>
      </c>
      <c r="N1682" s="71" t="s">
        <v>388</v>
      </c>
      <c r="O1682" s="73">
        <v>0.25</v>
      </c>
      <c r="P1682" s="71" t="s">
        <v>389</v>
      </c>
      <c r="Q1682" s="73">
        <v>251</v>
      </c>
      <c r="R1682" s="71" t="s">
        <v>388</v>
      </c>
      <c r="S1682" s="73">
        <v>0</v>
      </c>
      <c r="T1682" s="71" t="s">
        <v>390</v>
      </c>
      <c r="U1682" s="74">
        <v>5</v>
      </c>
      <c r="V1682" s="71" t="s">
        <v>417</v>
      </c>
      <c r="W1682" s="130">
        <v>46071.98125</v>
      </c>
      <c r="X1682" s="72">
        <v>46073.458333333336</v>
      </c>
      <c r="Y1682" s="72">
        <v>46076.551388888889</v>
      </c>
      <c r="Z1682" s="104" t="s">
        <v>382</v>
      </c>
      <c r="AA1682" s="104" t="s">
        <v>405</v>
      </c>
      <c r="AB1682" s="105">
        <v>46073.495138888888</v>
      </c>
      <c r="AC1682" s="105">
        <v>46073.68472222222</v>
      </c>
    </row>
    <row r="1683" s="70" customFormat="1" ht="11.25" customHeight="1">
      <c r="A1683" s="87"/>
      <c r="C1683" s="43" t="s">
        <v>3080</v>
      </c>
      <c r="D1683" s="71" t="s">
        <v>382</v>
      </c>
      <c r="E1683" s="71" t="str">
        <f>MID(D1683,1,2)</f>
        <v>IL</v>
      </c>
      <c r="F1683" s="71" t="s">
        <v>480</v>
      </c>
      <c r="G1683" s="71" t="str">
        <f>MID(F1683,1,2)</f>
        <v>CA</v>
      </c>
      <c r="H1683" s="43" t="s">
        <v>3081</v>
      </c>
      <c r="I1683" s="71" t="s">
        <v>3082</v>
      </c>
      <c r="J1683" s="71" t="s">
        <v>386</v>
      </c>
      <c r="K1683" s="43"/>
      <c r="L1683" s="71" t="s">
        <v>107</v>
      </c>
      <c r="M1683" s="73">
        <v>251</v>
      </c>
      <c r="N1683" s="71" t="s">
        <v>388</v>
      </c>
      <c r="O1683" s="73">
        <v>0.25</v>
      </c>
      <c r="P1683" s="71" t="s">
        <v>389</v>
      </c>
      <c r="Q1683" s="73">
        <v>251</v>
      </c>
      <c r="R1683" s="71" t="s">
        <v>388</v>
      </c>
      <c r="S1683" s="73">
        <v>0</v>
      </c>
      <c r="T1683" s="71" t="s">
        <v>390</v>
      </c>
      <c r="U1683" s="74">
        <v>5</v>
      </c>
      <c r="V1683" s="71" t="s">
        <v>417</v>
      </c>
      <c r="W1683" s="130">
        <v>46071.98125</v>
      </c>
      <c r="X1683" s="72">
        <v>46073.458333333336</v>
      </c>
      <c r="Y1683" s="72">
        <v>46076.551388888889</v>
      </c>
      <c r="Z1683" s="104" t="s">
        <v>405</v>
      </c>
      <c r="AA1683" s="104" t="s">
        <v>480</v>
      </c>
      <c r="AB1683" s="105"/>
      <c r="AC1683" s="105">
        <v>46076.291666666664</v>
      </c>
    </row>
    <row r="1684" s="70" customFormat="1" ht="11.25" customHeight="1">
      <c r="A1684" s="87"/>
      <c r="C1684" s="43" t="s">
        <v>3083</v>
      </c>
      <c r="D1684" s="71" t="s">
        <v>382</v>
      </c>
      <c r="E1684" s="71" t="str">
        <f>MID(D1684,1,2)</f>
        <v>IL</v>
      </c>
      <c r="F1684" s="71" t="s">
        <v>480</v>
      </c>
      <c r="G1684" s="71" t="str">
        <f>MID(F1684,1,2)</f>
        <v>CA</v>
      </c>
      <c r="H1684" s="43" t="s">
        <v>3081</v>
      </c>
      <c r="I1684" s="71" t="s">
        <v>3084</v>
      </c>
      <c r="J1684" s="71" t="s">
        <v>386</v>
      </c>
      <c r="K1684" s="43"/>
      <c r="L1684" s="71" t="s">
        <v>107</v>
      </c>
      <c r="M1684" s="73">
        <v>487</v>
      </c>
      <c r="N1684" s="71" t="s">
        <v>388</v>
      </c>
      <c r="O1684" s="73">
        <v>0.577</v>
      </c>
      <c r="P1684" s="71" t="s">
        <v>389</v>
      </c>
      <c r="Q1684" s="73">
        <v>487</v>
      </c>
      <c r="R1684" s="71" t="s">
        <v>388</v>
      </c>
      <c r="S1684" s="73">
        <v>0</v>
      </c>
      <c r="T1684" s="71" t="s">
        <v>390</v>
      </c>
      <c r="U1684" s="74">
        <v>4</v>
      </c>
      <c r="V1684" s="71" t="s">
        <v>417</v>
      </c>
      <c r="W1684" s="130">
        <v>46072.141226851854</v>
      </c>
      <c r="X1684" s="72">
        <v>46073.458333333336</v>
      </c>
      <c r="Y1684" s="72">
        <v>46076.551388888889</v>
      </c>
      <c r="Z1684" s="104" t="s">
        <v>1102</v>
      </c>
      <c r="AA1684" s="104" t="s">
        <v>1384</v>
      </c>
      <c r="AB1684" s="105"/>
      <c r="AC1684" s="105"/>
    </row>
    <row r="1685" s="70" customFormat="1" ht="11.25" customHeight="1">
      <c r="A1685" s="87"/>
      <c r="C1685" s="43" t="s">
        <v>3083</v>
      </c>
      <c r="D1685" s="71" t="s">
        <v>382</v>
      </c>
      <c r="E1685" s="71" t="str">
        <f>MID(D1685,1,2)</f>
        <v>IL</v>
      </c>
      <c r="F1685" s="71" t="s">
        <v>480</v>
      </c>
      <c r="G1685" s="71" t="str">
        <f>MID(F1685,1,2)</f>
        <v>CA</v>
      </c>
      <c r="H1685" s="43" t="s">
        <v>3081</v>
      </c>
      <c r="I1685" s="71" t="s">
        <v>3084</v>
      </c>
      <c r="J1685" s="71" t="s">
        <v>386</v>
      </c>
      <c r="K1685" s="43"/>
      <c r="L1685" s="71" t="s">
        <v>107</v>
      </c>
      <c r="M1685" s="73">
        <v>487</v>
      </c>
      <c r="N1685" s="71" t="s">
        <v>388</v>
      </c>
      <c r="O1685" s="73">
        <v>0.577</v>
      </c>
      <c r="P1685" s="71" t="s">
        <v>389</v>
      </c>
      <c r="Q1685" s="73">
        <v>487</v>
      </c>
      <c r="R1685" s="71" t="s">
        <v>388</v>
      </c>
      <c r="S1685" s="73">
        <v>0</v>
      </c>
      <c r="T1685" s="71" t="s">
        <v>390</v>
      </c>
      <c r="U1685" s="74">
        <v>4</v>
      </c>
      <c r="V1685" s="71" t="s">
        <v>417</v>
      </c>
      <c r="W1685" s="130">
        <v>46072.141226851854</v>
      </c>
      <c r="X1685" s="72">
        <v>46073.458333333336</v>
      </c>
      <c r="Y1685" s="72">
        <v>46076.551388888889</v>
      </c>
      <c r="Z1685" s="104" t="s">
        <v>382</v>
      </c>
      <c r="AA1685" s="104" t="s">
        <v>405</v>
      </c>
      <c r="AB1685" s="105">
        <v>46073.495138888888</v>
      </c>
      <c r="AC1685" s="105">
        <v>46073.68472222222</v>
      </c>
    </row>
    <row r="1686" s="70" customFormat="1" ht="11.25" customHeight="1">
      <c r="A1686" s="87"/>
      <c r="C1686" s="43" t="s">
        <v>3083</v>
      </c>
      <c r="D1686" s="71" t="s">
        <v>382</v>
      </c>
      <c r="E1686" s="71" t="str">
        <f>MID(D1686,1,2)</f>
        <v>IL</v>
      </c>
      <c r="F1686" s="71" t="s">
        <v>480</v>
      </c>
      <c r="G1686" s="71" t="str">
        <f>MID(F1686,1,2)</f>
        <v>CA</v>
      </c>
      <c r="H1686" s="43" t="s">
        <v>3081</v>
      </c>
      <c r="I1686" s="71" t="s">
        <v>3084</v>
      </c>
      <c r="J1686" s="71" t="s">
        <v>386</v>
      </c>
      <c r="K1686" s="43"/>
      <c r="L1686" s="71" t="s">
        <v>107</v>
      </c>
      <c r="M1686" s="73">
        <v>487</v>
      </c>
      <c r="N1686" s="71" t="s">
        <v>388</v>
      </c>
      <c r="O1686" s="73">
        <v>0.577</v>
      </c>
      <c r="P1686" s="71" t="s">
        <v>389</v>
      </c>
      <c r="Q1686" s="73">
        <v>487</v>
      </c>
      <c r="R1686" s="71" t="s">
        <v>388</v>
      </c>
      <c r="S1686" s="73">
        <v>0</v>
      </c>
      <c r="T1686" s="71" t="s">
        <v>390</v>
      </c>
      <c r="U1686" s="74">
        <v>4</v>
      </c>
      <c r="V1686" s="71" t="s">
        <v>417</v>
      </c>
      <c r="W1686" s="130">
        <v>46072.141226851854</v>
      </c>
      <c r="X1686" s="72">
        <v>46073.458333333336</v>
      </c>
      <c r="Y1686" s="72">
        <v>46076.551388888889</v>
      </c>
      <c r="Z1686" s="104" t="s">
        <v>405</v>
      </c>
      <c r="AA1686" s="104" t="s">
        <v>480</v>
      </c>
      <c r="AB1686" s="105"/>
      <c r="AC1686" s="105">
        <v>46076.291666666664</v>
      </c>
    </row>
    <row r="1687" s="70" customFormat="1" ht="11.25" customHeight="1">
      <c r="A1687" s="87"/>
      <c r="C1687" s="43" t="s">
        <v>3085</v>
      </c>
      <c r="D1687" s="71" t="s">
        <v>382</v>
      </c>
      <c r="E1687" s="71" t="str">
        <f>MID(D1687,1,2)</f>
        <v>IL</v>
      </c>
      <c r="F1687" s="71" t="s">
        <v>414</v>
      </c>
      <c r="G1687" s="71" t="str">
        <f>MID(F1687,1,2)</f>
        <v>US</v>
      </c>
      <c r="H1687" s="43" t="s">
        <v>2847</v>
      </c>
      <c r="I1687" s="71" t="s">
        <v>3086</v>
      </c>
      <c r="J1687" s="71" t="s">
        <v>454</v>
      </c>
      <c r="K1687" s="43" t="s">
        <v>759</v>
      </c>
      <c r="L1687" s="71" t="s">
        <v>107</v>
      </c>
      <c r="M1687" s="73">
        <v>3</v>
      </c>
      <c r="N1687" s="71" t="s">
        <v>388</v>
      </c>
      <c r="O1687" s="73">
        <v>0.038</v>
      </c>
      <c r="P1687" s="71" t="s">
        <v>389</v>
      </c>
      <c r="Q1687" s="73">
        <v>6.5</v>
      </c>
      <c r="R1687" s="71" t="s">
        <v>388</v>
      </c>
      <c r="S1687" s="73">
        <v>0</v>
      </c>
      <c r="T1687" s="71" t="s">
        <v>390</v>
      </c>
      <c r="U1687" s="74">
        <v>1</v>
      </c>
      <c r="V1687" s="71" t="s">
        <v>427</v>
      </c>
      <c r="W1687" s="130">
        <v>46071.438194444447</v>
      </c>
      <c r="X1687" s="72">
        <v>46073.03125</v>
      </c>
      <c r="Y1687" s="72">
        <v>46073.239583333336</v>
      </c>
      <c r="Z1687" s="104" t="s">
        <v>382</v>
      </c>
      <c r="AA1687" s="104" t="s">
        <v>414</v>
      </c>
      <c r="AB1687" s="105">
        <v>46073.040277777778</v>
      </c>
      <c r="AC1687" s="105">
        <v>46073.227083333331</v>
      </c>
    </row>
    <row r="1688" s="70" customFormat="1" ht="11.25" customHeight="1">
      <c r="A1688" s="87"/>
      <c r="C1688" s="43" t="s">
        <v>3087</v>
      </c>
      <c r="D1688" s="71" t="s">
        <v>382</v>
      </c>
      <c r="E1688" s="71" t="str">
        <f>MID(D1688,1,2)</f>
        <v>IL</v>
      </c>
      <c r="F1688" s="71" t="s">
        <v>2133</v>
      </c>
      <c r="G1688" s="71" t="str">
        <f>MID(F1688,1,2)</f>
        <v>FI</v>
      </c>
      <c r="H1688" s="43" t="s">
        <v>3088</v>
      </c>
      <c r="I1688" s="71" t="s">
        <v>3089</v>
      </c>
      <c r="J1688" s="71" t="s">
        <v>400</v>
      </c>
      <c r="K1688" s="43" t="s">
        <v>3090</v>
      </c>
      <c r="L1688" s="71" t="s">
        <v>105</v>
      </c>
      <c r="M1688" s="73">
        <v>30</v>
      </c>
      <c r="N1688" s="71" t="s">
        <v>388</v>
      </c>
      <c r="O1688" s="73">
        <v>0.322</v>
      </c>
      <c r="P1688" s="71" t="s">
        <v>389</v>
      </c>
      <c r="Q1688" s="73">
        <v>54</v>
      </c>
      <c r="R1688" s="71" t="s">
        <v>388</v>
      </c>
      <c r="S1688" s="73">
        <v>0</v>
      </c>
      <c r="T1688" s="71" t="s">
        <v>390</v>
      </c>
      <c r="U1688" s="74">
        <v>1</v>
      </c>
      <c r="V1688" s="71" t="s">
        <v>391</v>
      </c>
      <c r="W1688" s="130"/>
      <c r="X1688" s="72">
        <v>46072.715277777781</v>
      </c>
      <c r="Y1688" s="72">
        <v>46073.510416666664</v>
      </c>
      <c r="Z1688" s="104" t="s">
        <v>382</v>
      </c>
      <c r="AA1688" s="104" t="s">
        <v>667</v>
      </c>
      <c r="AB1688" s="105">
        <v>46072.71875</v>
      </c>
      <c r="AC1688" s="105">
        <v>46072.843055555553</v>
      </c>
    </row>
    <row r="1689" s="70" customFormat="1" ht="11.25" customHeight="1">
      <c r="A1689" s="87"/>
      <c r="C1689" s="43" t="s">
        <v>3087</v>
      </c>
      <c r="D1689" s="71" t="s">
        <v>382</v>
      </c>
      <c r="E1689" s="71" t="str">
        <f>MID(D1689,1,2)</f>
        <v>IL</v>
      </c>
      <c r="F1689" s="71" t="s">
        <v>2133</v>
      </c>
      <c r="G1689" s="71" t="str">
        <f>MID(F1689,1,2)</f>
        <v>FI</v>
      </c>
      <c r="H1689" s="43" t="s">
        <v>3088</v>
      </c>
      <c r="I1689" s="71" t="s">
        <v>3089</v>
      </c>
      <c r="J1689" s="71" t="s">
        <v>400</v>
      </c>
      <c r="K1689" s="43" t="s">
        <v>3090</v>
      </c>
      <c r="L1689" s="71" t="s">
        <v>105</v>
      </c>
      <c r="M1689" s="73">
        <v>30</v>
      </c>
      <c r="N1689" s="71" t="s">
        <v>388</v>
      </c>
      <c r="O1689" s="73">
        <v>0.322</v>
      </c>
      <c r="P1689" s="71" t="s">
        <v>389</v>
      </c>
      <c r="Q1689" s="73">
        <v>54</v>
      </c>
      <c r="R1689" s="71" t="s">
        <v>388</v>
      </c>
      <c r="S1689" s="73">
        <v>0</v>
      </c>
      <c r="T1689" s="71" t="s">
        <v>390</v>
      </c>
      <c r="U1689" s="74">
        <v>1</v>
      </c>
      <c r="V1689" s="71" t="s">
        <v>391</v>
      </c>
      <c r="W1689" s="130"/>
      <c r="X1689" s="72">
        <v>46072.715277777781</v>
      </c>
      <c r="Y1689" s="72">
        <v>46073.510416666664</v>
      </c>
      <c r="Z1689" s="104" t="s">
        <v>667</v>
      </c>
      <c r="AA1689" s="104" t="s">
        <v>2133</v>
      </c>
      <c r="AB1689" s="105">
        <v>46073.354861111111</v>
      </c>
      <c r="AC1689" s="105">
        <v>46073.507638888892</v>
      </c>
    </row>
    <row r="1690" s="70" customFormat="1" ht="11.25" customHeight="1">
      <c r="A1690" s="87"/>
      <c r="C1690" s="43" t="s">
        <v>3091</v>
      </c>
      <c r="D1690" s="71" t="s">
        <v>382</v>
      </c>
      <c r="E1690" s="71" t="str">
        <f>MID(D1690,1,2)</f>
        <v>IL</v>
      </c>
      <c r="F1690" s="71" t="s">
        <v>465</v>
      </c>
      <c r="G1690" s="71" t="str">
        <f>MID(F1690,1,2)</f>
        <v>AZ</v>
      </c>
      <c r="H1690" s="43" t="s">
        <v>3092</v>
      </c>
      <c r="I1690" s="71" t="s">
        <v>3093</v>
      </c>
      <c r="J1690" s="71" t="s">
        <v>426</v>
      </c>
      <c r="K1690" s="43"/>
      <c r="L1690" s="71" t="s">
        <v>105</v>
      </c>
      <c r="M1690" s="73">
        <v>2</v>
      </c>
      <c r="N1690" s="71" t="s">
        <v>388</v>
      </c>
      <c r="O1690" s="73">
        <v>0.022</v>
      </c>
      <c r="P1690" s="71" t="s">
        <v>389</v>
      </c>
      <c r="Q1690" s="73">
        <v>4</v>
      </c>
      <c r="R1690" s="71" t="s">
        <v>388</v>
      </c>
      <c r="S1690" s="73">
        <v>0</v>
      </c>
      <c r="T1690" s="71" t="s">
        <v>390</v>
      </c>
      <c r="U1690" s="74">
        <v>1</v>
      </c>
      <c r="V1690" s="71" t="s">
        <v>391</v>
      </c>
      <c r="W1690" s="130"/>
      <c r="X1690" s="72">
        <v>46073.993055555555</v>
      </c>
      <c r="Y1690" s="72">
        <v>46074.173611111109</v>
      </c>
      <c r="Z1690" s="104" t="s">
        <v>382</v>
      </c>
      <c r="AA1690" s="104" t="s">
        <v>465</v>
      </c>
      <c r="AB1690" s="105">
        <v>46074.193055555559</v>
      </c>
      <c r="AC1690" s="105">
        <v>46074.416666666664</v>
      </c>
    </row>
    <row r="1691" s="70" customFormat="1" ht="11.25" customHeight="1">
      <c r="A1691" s="87"/>
      <c r="C1691" s="43" t="s">
        <v>3094</v>
      </c>
      <c r="D1691" s="71" t="s">
        <v>382</v>
      </c>
      <c r="E1691" s="71" t="str">
        <f>MID(D1691,1,2)</f>
        <v>IL</v>
      </c>
      <c r="F1691" s="71" t="s">
        <v>573</v>
      </c>
      <c r="G1691" s="71" t="str">
        <f>MID(F1691,1,2)</f>
        <v>CH</v>
      </c>
      <c r="H1691" s="43" t="s">
        <v>3095</v>
      </c>
      <c r="I1691" s="71" t="s">
        <v>3096</v>
      </c>
      <c r="J1691" s="71" t="s">
        <v>386</v>
      </c>
      <c r="K1691" s="43"/>
      <c r="L1691" s="71" t="s">
        <v>107</v>
      </c>
      <c r="M1691" s="73">
        <v>82</v>
      </c>
      <c r="N1691" s="71" t="s">
        <v>388</v>
      </c>
      <c r="O1691" s="73">
        <v>0.768</v>
      </c>
      <c r="P1691" s="71" t="s">
        <v>389</v>
      </c>
      <c r="Q1691" s="73">
        <v>128</v>
      </c>
      <c r="R1691" s="71" t="s">
        <v>388</v>
      </c>
      <c r="S1691" s="73">
        <v>0</v>
      </c>
      <c r="T1691" s="71" t="s">
        <v>390</v>
      </c>
      <c r="U1691" s="74">
        <v>1</v>
      </c>
      <c r="V1691" s="71" t="s">
        <v>391</v>
      </c>
      <c r="W1691" s="130">
        <v>46072.692685185182</v>
      </c>
      <c r="X1691" s="72">
        <v>46075.246527777781</v>
      </c>
      <c r="Y1691" s="72">
        <v>46075.686111111114</v>
      </c>
      <c r="Z1691" s="104" t="s">
        <v>382</v>
      </c>
      <c r="AA1691" s="104" t="s">
        <v>595</v>
      </c>
      <c r="AB1691" s="105">
        <v>46075.247916666667</v>
      </c>
      <c r="AC1691" s="105">
        <v>46075.351388888892</v>
      </c>
    </row>
    <row r="1692" s="70" customFormat="1" ht="11.25" customHeight="1">
      <c r="A1692" s="87"/>
      <c r="C1692" s="43" t="s">
        <v>3094</v>
      </c>
      <c r="D1692" s="71" t="s">
        <v>382</v>
      </c>
      <c r="E1692" s="71" t="str">
        <f>MID(D1692,1,2)</f>
        <v>IL</v>
      </c>
      <c r="F1692" s="71" t="s">
        <v>573</v>
      </c>
      <c r="G1692" s="71" t="str">
        <f>MID(F1692,1,2)</f>
        <v>CH</v>
      </c>
      <c r="H1692" s="43" t="s">
        <v>3095</v>
      </c>
      <c r="I1692" s="71" t="s">
        <v>3096</v>
      </c>
      <c r="J1692" s="71" t="s">
        <v>386</v>
      </c>
      <c r="K1692" s="43"/>
      <c r="L1692" s="71" t="s">
        <v>107</v>
      </c>
      <c r="M1692" s="73">
        <v>82</v>
      </c>
      <c r="N1692" s="71" t="s">
        <v>388</v>
      </c>
      <c r="O1692" s="73">
        <v>0.768</v>
      </c>
      <c r="P1692" s="71" t="s">
        <v>389</v>
      </c>
      <c r="Q1692" s="73">
        <v>128</v>
      </c>
      <c r="R1692" s="71" t="s">
        <v>388</v>
      </c>
      <c r="S1692" s="73">
        <v>0</v>
      </c>
      <c r="T1692" s="71" t="s">
        <v>390</v>
      </c>
      <c r="U1692" s="74">
        <v>1</v>
      </c>
      <c r="V1692" s="71" t="s">
        <v>391</v>
      </c>
      <c r="W1692" s="130">
        <v>46072.692685185182</v>
      </c>
      <c r="X1692" s="72">
        <v>46075.246527777781</v>
      </c>
      <c r="Y1692" s="72">
        <v>46075.686111111114</v>
      </c>
      <c r="Z1692" s="104" t="s">
        <v>595</v>
      </c>
      <c r="AA1692" s="104" t="s">
        <v>573</v>
      </c>
      <c r="AB1692" s="105">
        <v>46075.634027777778</v>
      </c>
      <c r="AC1692" s="105">
        <v>46075.688194444447</v>
      </c>
    </row>
    <row r="1693" s="70" customFormat="1" ht="11.25" customHeight="1">
      <c r="A1693" s="87"/>
      <c r="C1693" s="43" t="s">
        <v>3097</v>
      </c>
      <c r="D1693" s="71" t="s">
        <v>382</v>
      </c>
      <c r="E1693" s="71" t="str">
        <f>MID(D1693,1,2)</f>
        <v>IL</v>
      </c>
      <c r="F1693" s="71" t="s">
        <v>667</v>
      </c>
      <c r="G1693" s="71" t="str">
        <f>MID(F1693,1,2)</f>
        <v>DE</v>
      </c>
      <c r="H1693" s="43" t="s">
        <v>3098</v>
      </c>
      <c r="I1693" s="71" t="s">
        <v>3099</v>
      </c>
      <c r="J1693" s="71" t="s">
        <v>559</v>
      </c>
      <c r="K1693" s="43"/>
      <c r="L1693" s="71" t="s">
        <v>107</v>
      </c>
      <c r="M1693" s="73">
        <v>68</v>
      </c>
      <c r="N1693" s="71" t="s">
        <v>388</v>
      </c>
      <c r="O1693" s="73">
        <v>0.043</v>
      </c>
      <c r="P1693" s="71" t="s">
        <v>389</v>
      </c>
      <c r="Q1693" s="73">
        <v>68</v>
      </c>
      <c r="R1693" s="71" t="s">
        <v>388</v>
      </c>
      <c r="S1693" s="73">
        <v>0</v>
      </c>
      <c r="T1693" s="71" t="s">
        <v>390</v>
      </c>
      <c r="U1693" s="74">
        <v>1</v>
      </c>
      <c r="V1693" s="71" t="s">
        <v>391</v>
      </c>
      <c r="W1693" s="130">
        <v>46071.647766203707</v>
      </c>
      <c r="X1693" s="72">
        <v>46075.715277777781</v>
      </c>
      <c r="Y1693" s="72">
        <v>46077.541666666664</v>
      </c>
      <c r="Z1693" s="104" t="s">
        <v>667</v>
      </c>
      <c r="AA1693" s="104" t="s">
        <v>1006</v>
      </c>
      <c r="AB1693" s="105"/>
      <c r="AC1693" s="105"/>
    </row>
    <row r="1694" s="70" customFormat="1" ht="11.25" customHeight="1">
      <c r="A1694" s="87"/>
      <c r="C1694" s="43" t="s">
        <v>3097</v>
      </c>
      <c r="D1694" s="71" t="s">
        <v>382</v>
      </c>
      <c r="E1694" s="71" t="str">
        <f>MID(D1694,1,2)</f>
        <v>IL</v>
      </c>
      <c r="F1694" s="71" t="s">
        <v>667</v>
      </c>
      <c r="G1694" s="71" t="str">
        <f>MID(F1694,1,2)</f>
        <v>DE</v>
      </c>
      <c r="H1694" s="43" t="s">
        <v>3098</v>
      </c>
      <c r="I1694" s="71" t="s">
        <v>3099</v>
      </c>
      <c r="J1694" s="71" t="s">
        <v>559</v>
      </c>
      <c r="K1694" s="43"/>
      <c r="L1694" s="71" t="s">
        <v>107</v>
      </c>
      <c r="M1694" s="73">
        <v>68</v>
      </c>
      <c r="N1694" s="71" t="s">
        <v>388</v>
      </c>
      <c r="O1694" s="73">
        <v>0.043</v>
      </c>
      <c r="P1694" s="71" t="s">
        <v>389</v>
      </c>
      <c r="Q1694" s="73">
        <v>68</v>
      </c>
      <c r="R1694" s="71" t="s">
        <v>388</v>
      </c>
      <c r="S1694" s="73">
        <v>0</v>
      </c>
      <c r="T1694" s="71" t="s">
        <v>390</v>
      </c>
      <c r="U1694" s="74">
        <v>1</v>
      </c>
      <c r="V1694" s="71" t="s">
        <v>391</v>
      </c>
      <c r="W1694" s="130">
        <v>46071.647766203707</v>
      </c>
      <c r="X1694" s="72">
        <v>46075.715277777781</v>
      </c>
      <c r="Y1694" s="72">
        <v>46077.541666666664</v>
      </c>
      <c r="Z1694" s="104" t="s">
        <v>382</v>
      </c>
      <c r="AA1694" s="104" t="s">
        <v>667</v>
      </c>
      <c r="AB1694" s="105">
        <v>46075.720833333333</v>
      </c>
      <c r="AC1694" s="105">
        <v>46075.848611111112</v>
      </c>
    </row>
    <row r="1695" s="70" customFormat="1" ht="11.25" customHeight="1">
      <c r="A1695" s="87"/>
      <c r="C1695" s="43" t="s">
        <v>3100</v>
      </c>
      <c r="D1695" s="71" t="s">
        <v>382</v>
      </c>
      <c r="E1695" s="71" t="str">
        <f>MID(D1695,1,2)</f>
        <v>IL</v>
      </c>
      <c r="F1695" s="71" t="s">
        <v>1163</v>
      </c>
      <c r="G1695" s="71" t="str">
        <f>MID(F1695,1,2)</f>
        <v>AR</v>
      </c>
      <c r="H1695" s="43" t="s">
        <v>3101</v>
      </c>
      <c r="I1695" s="71" t="s">
        <v>3102</v>
      </c>
      <c r="J1695" s="71" t="s">
        <v>426</v>
      </c>
      <c r="K1695" s="43"/>
      <c r="L1695" s="71" t="s">
        <v>105</v>
      </c>
      <c r="M1695" s="73">
        <v>2011</v>
      </c>
      <c r="N1695" s="71" t="s">
        <v>388</v>
      </c>
      <c r="O1695" s="73">
        <v>4.417</v>
      </c>
      <c r="P1695" s="71" t="s">
        <v>389</v>
      </c>
      <c r="Q1695" s="73">
        <v>2011</v>
      </c>
      <c r="R1695" s="71" t="s">
        <v>388</v>
      </c>
      <c r="S1695" s="73">
        <v>0</v>
      </c>
      <c r="T1695" s="71" t="s">
        <v>390</v>
      </c>
      <c r="U1695" s="74">
        <v>4</v>
      </c>
      <c r="V1695" s="71" t="s">
        <v>391</v>
      </c>
      <c r="W1695" s="130">
        <v>46097.479861111111</v>
      </c>
      <c r="X1695" s="72">
        <v>46073.072916666664</v>
      </c>
      <c r="Y1695" s="72">
        <v>46109.388194444444</v>
      </c>
      <c r="Z1695" s="104" t="s">
        <v>382</v>
      </c>
      <c r="AA1695" s="104" t="s">
        <v>408</v>
      </c>
      <c r="AB1695" s="105">
        <v>46100.59375</v>
      </c>
      <c r="AC1695" s="105"/>
    </row>
    <row r="1696" s="70" customFormat="1" ht="11.25" customHeight="1">
      <c r="A1696" s="87"/>
      <c r="C1696" s="43" t="s">
        <v>3100</v>
      </c>
      <c r="D1696" s="71" t="s">
        <v>382</v>
      </c>
      <c r="E1696" s="71" t="str">
        <f>MID(D1696,1,2)</f>
        <v>IL</v>
      </c>
      <c r="F1696" s="71" t="s">
        <v>1163</v>
      </c>
      <c r="G1696" s="71" t="str">
        <f>MID(F1696,1,2)</f>
        <v>AR</v>
      </c>
      <c r="H1696" s="43" t="s">
        <v>3101</v>
      </c>
      <c r="I1696" s="71" t="s">
        <v>3102</v>
      </c>
      <c r="J1696" s="71" t="s">
        <v>426</v>
      </c>
      <c r="K1696" s="43"/>
      <c r="L1696" s="71" t="s">
        <v>105</v>
      </c>
      <c r="M1696" s="73">
        <v>2011</v>
      </c>
      <c r="N1696" s="71" t="s">
        <v>388</v>
      </c>
      <c r="O1696" s="73">
        <v>4.417</v>
      </c>
      <c r="P1696" s="71" t="s">
        <v>389</v>
      </c>
      <c r="Q1696" s="73">
        <v>2011</v>
      </c>
      <c r="R1696" s="71" t="s">
        <v>388</v>
      </c>
      <c r="S1696" s="73">
        <v>0</v>
      </c>
      <c r="T1696" s="71" t="s">
        <v>390</v>
      </c>
      <c r="U1696" s="74">
        <v>4</v>
      </c>
      <c r="V1696" s="71" t="s">
        <v>391</v>
      </c>
      <c r="W1696" s="130">
        <v>46097.479861111111</v>
      </c>
      <c r="X1696" s="72">
        <v>46073.072916666664</v>
      </c>
      <c r="Y1696" s="72">
        <v>46109.388194444444</v>
      </c>
      <c r="Z1696" s="104" t="s">
        <v>408</v>
      </c>
      <c r="AA1696" s="104" t="s">
        <v>405</v>
      </c>
      <c r="AB1696" s="105"/>
      <c r="AC1696" s="105"/>
    </row>
    <row r="1697" s="70" customFormat="1" ht="11.25" customHeight="1">
      <c r="A1697" s="87"/>
      <c r="C1697" s="43" t="s">
        <v>3100</v>
      </c>
      <c r="D1697" s="71" t="s">
        <v>382</v>
      </c>
      <c r="E1697" s="71" t="str">
        <f>MID(D1697,1,2)</f>
        <v>IL</v>
      </c>
      <c r="F1697" s="71" t="s">
        <v>1163</v>
      </c>
      <c r="G1697" s="71" t="str">
        <f>MID(F1697,1,2)</f>
        <v>AR</v>
      </c>
      <c r="H1697" s="43" t="s">
        <v>3101</v>
      </c>
      <c r="I1697" s="71" t="s">
        <v>3102</v>
      </c>
      <c r="J1697" s="71" t="s">
        <v>426</v>
      </c>
      <c r="K1697" s="43"/>
      <c r="L1697" s="71" t="s">
        <v>105</v>
      </c>
      <c r="M1697" s="73">
        <v>2011</v>
      </c>
      <c r="N1697" s="71" t="s">
        <v>388</v>
      </c>
      <c r="O1697" s="73">
        <v>4.417</v>
      </c>
      <c r="P1697" s="71" t="s">
        <v>389</v>
      </c>
      <c r="Q1697" s="73">
        <v>2011</v>
      </c>
      <c r="R1697" s="71" t="s">
        <v>388</v>
      </c>
      <c r="S1697" s="73">
        <v>0</v>
      </c>
      <c r="T1697" s="71" t="s">
        <v>390</v>
      </c>
      <c r="U1697" s="74">
        <v>4</v>
      </c>
      <c r="V1697" s="71" t="s">
        <v>391</v>
      </c>
      <c r="W1697" s="130">
        <v>46097.479861111111</v>
      </c>
      <c r="X1697" s="72">
        <v>46073.072916666664</v>
      </c>
      <c r="Y1697" s="72">
        <v>46109.388194444444</v>
      </c>
      <c r="Z1697" s="104" t="s">
        <v>405</v>
      </c>
      <c r="AA1697" s="104" t="s">
        <v>1163</v>
      </c>
      <c r="AB1697" s="105"/>
      <c r="AC1697" s="105"/>
    </row>
    <row r="1698" s="70" customFormat="1" ht="11.25" customHeight="1">
      <c r="A1698" s="87"/>
      <c r="C1698" s="43" t="s">
        <v>3103</v>
      </c>
      <c r="D1698" s="71" t="s">
        <v>382</v>
      </c>
      <c r="E1698" s="71" t="str">
        <f>MID(D1698,1,2)</f>
        <v>IL</v>
      </c>
      <c r="F1698" s="71" t="s">
        <v>919</v>
      </c>
      <c r="G1698" s="71" t="str">
        <f>MID(F1698,1,2)</f>
        <v>CN</v>
      </c>
      <c r="H1698" s="43" t="s">
        <v>3104</v>
      </c>
      <c r="I1698" s="71" t="s">
        <v>3105</v>
      </c>
      <c r="J1698" s="71" t="s">
        <v>435</v>
      </c>
      <c r="K1698" s="43"/>
      <c r="L1698" s="71" t="s">
        <v>105</v>
      </c>
      <c r="M1698" s="73">
        <v>462</v>
      </c>
      <c r="N1698" s="71" t="s">
        <v>388</v>
      </c>
      <c r="O1698" s="73">
        <v>3.341</v>
      </c>
      <c r="P1698" s="71" t="s">
        <v>389</v>
      </c>
      <c r="Q1698" s="73">
        <v>557</v>
      </c>
      <c r="R1698" s="71" t="s">
        <v>388</v>
      </c>
      <c r="S1698" s="73">
        <v>0</v>
      </c>
      <c r="T1698" s="71" t="s">
        <v>390</v>
      </c>
      <c r="U1698" s="74">
        <v>3</v>
      </c>
      <c r="V1698" s="71" t="s">
        <v>391</v>
      </c>
      <c r="W1698" s="130">
        <v>46072.980879629627</v>
      </c>
      <c r="X1698" s="72">
        <v>46075.503472222219</v>
      </c>
      <c r="Y1698" s="72">
        <v>46078.013888888891</v>
      </c>
      <c r="Z1698" s="104" t="s">
        <v>382</v>
      </c>
      <c r="AA1698" s="104" t="s">
        <v>465</v>
      </c>
      <c r="AB1698" s="105">
        <v>46075.50625</v>
      </c>
      <c r="AC1698" s="105">
        <v>46075.715277777781</v>
      </c>
    </row>
    <row r="1699" s="70" customFormat="1" ht="11.25" customHeight="1">
      <c r="A1699" s="87"/>
      <c r="C1699" s="43" t="s">
        <v>3103</v>
      </c>
      <c r="D1699" s="71" t="s">
        <v>382</v>
      </c>
      <c r="E1699" s="71" t="str">
        <f>MID(D1699,1,2)</f>
        <v>IL</v>
      </c>
      <c r="F1699" s="71" t="s">
        <v>919</v>
      </c>
      <c r="G1699" s="71" t="str">
        <f>MID(F1699,1,2)</f>
        <v>CN</v>
      </c>
      <c r="H1699" s="43" t="s">
        <v>3104</v>
      </c>
      <c r="I1699" s="71" t="s">
        <v>3105</v>
      </c>
      <c r="J1699" s="71" t="s">
        <v>435</v>
      </c>
      <c r="K1699" s="43"/>
      <c r="L1699" s="71" t="s">
        <v>105</v>
      </c>
      <c r="M1699" s="73">
        <v>462</v>
      </c>
      <c r="N1699" s="71" t="s">
        <v>388</v>
      </c>
      <c r="O1699" s="73">
        <v>3.341</v>
      </c>
      <c r="P1699" s="71" t="s">
        <v>389</v>
      </c>
      <c r="Q1699" s="73">
        <v>557</v>
      </c>
      <c r="R1699" s="71" t="s">
        <v>388</v>
      </c>
      <c r="S1699" s="73">
        <v>0</v>
      </c>
      <c r="T1699" s="71" t="s">
        <v>390</v>
      </c>
      <c r="U1699" s="74">
        <v>3</v>
      </c>
      <c r="V1699" s="71" t="s">
        <v>391</v>
      </c>
      <c r="W1699" s="130">
        <v>46072.980879629627</v>
      </c>
      <c r="X1699" s="72">
        <v>46075.503472222219</v>
      </c>
      <c r="Y1699" s="72">
        <v>46078.013888888891</v>
      </c>
      <c r="Z1699" s="104" t="s">
        <v>465</v>
      </c>
      <c r="AA1699" s="104" t="s">
        <v>919</v>
      </c>
      <c r="AB1699" s="105">
        <v>46077.575</v>
      </c>
      <c r="AC1699" s="105">
        <v>46078.614583333336</v>
      </c>
    </row>
    <row r="1700" s="70" customFormat="1" ht="11.25" customHeight="1">
      <c r="A1700" s="87"/>
      <c r="C1700" s="43" t="s">
        <v>3106</v>
      </c>
      <c r="D1700" s="71" t="s">
        <v>382</v>
      </c>
      <c r="E1700" s="71" t="str">
        <f>MID(D1700,1,2)</f>
        <v>IL</v>
      </c>
      <c r="F1700" s="71" t="s">
        <v>774</v>
      </c>
      <c r="G1700" s="71" t="str">
        <f>MID(F1700,1,2)</f>
        <v>CN</v>
      </c>
      <c r="H1700" s="43" t="s">
        <v>3107</v>
      </c>
      <c r="I1700" s="71" t="s">
        <v>3108</v>
      </c>
      <c r="J1700" s="71" t="s">
        <v>755</v>
      </c>
      <c r="K1700" s="43"/>
      <c r="L1700" s="71" t="s">
        <v>105</v>
      </c>
      <c r="M1700" s="73">
        <v>3</v>
      </c>
      <c r="N1700" s="71" t="s">
        <v>388</v>
      </c>
      <c r="O1700" s="73">
        <v>0.069</v>
      </c>
      <c r="P1700" s="71" t="s">
        <v>389</v>
      </c>
      <c r="Q1700" s="73">
        <v>11.5</v>
      </c>
      <c r="R1700" s="71" t="s">
        <v>388</v>
      </c>
      <c r="S1700" s="73">
        <v>0</v>
      </c>
      <c r="T1700" s="71" t="s">
        <v>390</v>
      </c>
      <c r="U1700" s="74">
        <v>1</v>
      </c>
      <c r="V1700" s="71" t="s">
        <v>391</v>
      </c>
      <c r="W1700" s="130">
        <v>46071.650682870371</v>
      </c>
      <c r="X1700" s="72">
        <v>46072.690972222219</v>
      </c>
      <c r="Y1700" s="72">
        <v>46074.305555555555</v>
      </c>
      <c r="Z1700" s="104" t="s">
        <v>382</v>
      </c>
      <c r="AA1700" s="104" t="s">
        <v>383</v>
      </c>
      <c r="AB1700" s="105">
        <v>46072.730555555558</v>
      </c>
      <c r="AC1700" s="105">
        <v>46072.870833333334</v>
      </c>
    </row>
    <row r="1701" s="70" customFormat="1" ht="11.25" customHeight="1">
      <c r="A1701" s="87"/>
      <c r="C1701" s="43" t="s">
        <v>3106</v>
      </c>
      <c r="D1701" s="71" t="s">
        <v>382</v>
      </c>
      <c r="E1701" s="71" t="str">
        <f>MID(D1701,1,2)</f>
        <v>IL</v>
      </c>
      <c r="F1701" s="71" t="s">
        <v>774</v>
      </c>
      <c r="G1701" s="71" t="str">
        <f>MID(F1701,1,2)</f>
        <v>CN</v>
      </c>
      <c r="H1701" s="43" t="s">
        <v>3107</v>
      </c>
      <c r="I1701" s="71" t="s">
        <v>3108</v>
      </c>
      <c r="J1701" s="71" t="s">
        <v>755</v>
      </c>
      <c r="K1701" s="43"/>
      <c r="L1701" s="71" t="s">
        <v>105</v>
      </c>
      <c r="M1701" s="73">
        <v>3</v>
      </c>
      <c r="N1701" s="71" t="s">
        <v>388</v>
      </c>
      <c r="O1701" s="73">
        <v>0.069</v>
      </c>
      <c r="P1701" s="71" t="s">
        <v>389</v>
      </c>
      <c r="Q1701" s="73">
        <v>11.5</v>
      </c>
      <c r="R1701" s="71" t="s">
        <v>388</v>
      </c>
      <c r="S1701" s="73">
        <v>0</v>
      </c>
      <c r="T1701" s="71" t="s">
        <v>390</v>
      </c>
      <c r="U1701" s="74">
        <v>1</v>
      </c>
      <c r="V1701" s="71" t="s">
        <v>391</v>
      </c>
      <c r="W1701" s="130">
        <v>46071.650682870371</v>
      </c>
      <c r="X1701" s="72">
        <v>46072.690972222219</v>
      </c>
      <c r="Y1701" s="72">
        <v>46074.305555555555</v>
      </c>
      <c r="Z1701" s="104" t="s">
        <v>383</v>
      </c>
      <c r="AA1701" s="104" t="s">
        <v>774</v>
      </c>
      <c r="AB1701" s="105">
        <v>46073.529861111114</v>
      </c>
      <c r="AC1701" s="105">
        <v>46074.283333333333</v>
      </c>
    </row>
    <row r="1702" s="70" customFormat="1" ht="11.25" customHeight="1">
      <c r="A1702" s="87"/>
      <c r="C1702" s="43" t="s">
        <v>3109</v>
      </c>
      <c r="D1702" s="71" t="s">
        <v>382</v>
      </c>
      <c r="E1702" s="71" t="str">
        <f>MID(D1702,1,2)</f>
        <v>IL</v>
      </c>
      <c r="F1702" s="71" t="s">
        <v>414</v>
      </c>
      <c r="G1702" s="71" t="str">
        <f>MID(F1702,1,2)</f>
        <v>US</v>
      </c>
      <c r="H1702" s="43" t="s">
        <v>2847</v>
      </c>
      <c r="I1702" s="71" t="s">
        <v>3110</v>
      </c>
      <c r="J1702" s="71" t="s">
        <v>386</v>
      </c>
      <c r="K1702" s="43" t="s">
        <v>759</v>
      </c>
      <c r="L1702" s="71" t="s">
        <v>107</v>
      </c>
      <c r="M1702" s="73">
        <v>24</v>
      </c>
      <c r="N1702" s="71" t="s">
        <v>388</v>
      </c>
      <c r="O1702" s="73">
        <v>0.089</v>
      </c>
      <c r="P1702" s="71" t="s">
        <v>389</v>
      </c>
      <c r="Q1702" s="73">
        <v>24</v>
      </c>
      <c r="R1702" s="71" t="s">
        <v>388</v>
      </c>
      <c r="S1702" s="73">
        <v>0</v>
      </c>
      <c r="T1702" s="71" t="s">
        <v>390</v>
      </c>
      <c r="U1702" s="74">
        <v>1</v>
      </c>
      <c r="V1702" s="71" t="s">
        <v>391</v>
      </c>
      <c r="W1702" s="130">
        <v>46071.869930555556</v>
      </c>
      <c r="X1702" s="72">
        <v>46073.03125</v>
      </c>
      <c r="Y1702" s="72">
        <v>46073.239583333336</v>
      </c>
      <c r="Z1702" s="104" t="s">
        <v>382</v>
      </c>
      <c r="AA1702" s="104" t="s">
        <v>414</v>
      </c>
      <c r="AB1702" s="105">
        <v>46073.040277777778</v>
      </c>
      <c r="AC1702" s="105">
        <v>46073.227083333331</v>
      </c>
    </row>
    <row r="1703" s="70" customFormat="1" ht="11.25" customHeight="1">
      <c r="A1703" s="87"/>
      <c r="C1703" s="43" t="s">
        <v>3111</v>
      </c>
      <c r="D1703" s="71" t="s">
        <v>382</v>
      </c>
      <c r="E1703" s="71" t="str">
        <f>MID(D1703,1,2)</f>
        <v>IL</v>
      </c>
      <c r="F1703" s="71" t="s">
        <v>414</v>
      </c>
      <c r="G1703" s="71" t="str">
        <f>MID(F1703,1,2)</f>
        <v>US</v>
      </c>
      <c r="H1703" s="43" t="s">
        <v>2847</v>
      </c>
      <c r="I1703" s="71" t="s">
        <v>3112</v>
      </c>
      <c r="J1703" s="71" t="s">
        <v>386</v>
      </c>
      <c r="K1703" s="43" t="s">
        <v>759</v>
      </c>
      <c r="L1703" s="71" t="s">
        <v>107</v>
      </c>
      <c r="M1703" s="73">
        <v>21</v>
      </c>
      <c r="N1703" s="71" t="s">
        <v>388</v>
      </c>
      <c r="O1703" s="73">
        <v>0.089</v>
      </c>
      <c r="P1703" s="71" t="s">
        <v>389</v>
      </c>
      <c r="Q1703" s="73">
        <v>21</v>
      </c>
      <c r="R1703" s="71" t="s">
        <v>388</v>
      </c>
      <c r="S1703" s="73">
        <v>0</v>
      </c>
      <c r="T1703" s="71" t="s">
        <v>390</v>
      </c>
      <c r="U1703" s="74">
        <v>1</v>
      </c>
      <c r="V1703" s="71" t="s">
        <v>391</v>
      </c>
      <c r="W1703" s="130">
        <v>46071.876736111109</v>
      </c>
      <c r="X1703" s="72">
        <v>46073.03125</v>
      </c>
      <c r="Y1703" s="72">
        <v>46073.239583333336</v>
      </c>
      <c r="Z1703" s="104" t="s">
        <v>382</v>
      </c>
      <c r="AA1703" s="104" t="s">
        <v>414</v>
      </c>
      <c r="AB1703" s="105">
        <v>46073.040277777778</v>
      </c>
      <c r="AC1703" s="105">
        <v>46073.227083333331</v>
      </c>
    </row>
    <row r="1704" s="70" customFormat="1" ht="11.25" customHeight="1">
      <c r="A1704" s="87"/>
      <c r="C1704" s="43" t="s">
        <v>3113</v>
      </c>
      <c r="D1704" s="71" t="s">
        <v>382</v>
      </c>
      <c r="E1704" s="71" t="str">
        <f>MID(D1704,1,2)</f>
        <v>IL</v>
      </c>
      <c r="F1704" s="71" t="s">
        <v>919</v>
      </c>
      <c r="G1704" s="71" t="str">
        <f>MID(F1704,1,2)</f>
        <v>CN</v>
      </c>
      <c r="H1704" s="43" t="s">
        <v>3114</v>
      </c>
      <c r="I1704" s="71" t="s">
        <v>3115</v>
      </c>
      <c r="J1704" s="71" t="s">
        <v>435</v>
      </c>
      <c r="K1704" s="43"/>
      <c r="L1704" s="71" t="s">
        <v>105</v>
      </c>
      <c r="M1704" s="73">
        <v>254</v>
      </c>
      <c r="N1704" s="71" t="s">
        <v>388</v>
      </c>
      <c r="O1704" s="73">
        <v>1.471</v>
      </c>
      <c r="P1704" s="71" t="s">
        <v>389</v>
      </c>
      <c r="Q1704" s="73">
        <v>254</v>
      </c>
      <c r="R1704" s="71" t="s">
        <v>388</v>
      </c>
      <c r="S1704" s="73">
        <v>0</v>
      </c>
      <c r="T1704" s="71" t="s">
        <v>390</v>
      </c>
      <c r="U1704" s="74">
        <v>2</v>
      </c>
      <c r="V1704" s="71" t="s">
        <v>391</v>
      </c>
      <c r="W1704" s="130">
        <v>46072.980879629627</v>
      </c>
      <c r="X1704" s="72">
        <v>46075.503472222219</v>
      </c>
      <c r="Y1704" s="72">
        <v>46078.013888888891</v>
      </c>
      <c r="Z1704" s="104" t="s">
        <v>382</v>
      </c>
      <c r="AA1704" s="104" t="s">
        <v>465</v>
      </c>
      <c r="AB1704" s="105">
        <v>46075.50625</v>
      </c>
      <c r="AC1704" s="105">
        <v>46075.715277777781</v>
      </c>
    </row>
    <row r="1705" s="70" customFormat="1" ht="11.25" customHeight="1">
      <c r="A1705" s="87"/>
      <c r="C1705" s="43" t="s">
        <v>3113</v>
      </c>
      <c r="D1705" s="71" t="s">
        <v>382</v>
      </c>
      <c r="E1705" s="71" t="str">
        <f>MID(D1705,1,2)</f>
        <v>IL</v>
      </c>
      <c r="F1705" s="71" t="s">
        <v>919</v>
      </c>
      <c r="G1705" s="71" t="str">
        <f>MID(F1705,1,2)</f>
        <v>CN</v>
      </c>
      <c r="H1705" s="43" t="s">
        <v>3114</v>
      </c>
      <c r="I1705" s="71" t="s">
        <v>3115</v>
      </c>
      <c r="J1705" s="71" t="s">
        <v>435</v>
      </c>
      <c r="K1705" s="43"/>
      <c r="L1705" s="71" t="s">
        <v>105</v>
      </c>
      <c r="M1705" s="73">
        <v>254</v>
      </c>
      <c r="N1705" s="71" t="s">
        <v>388</v>
      </c>
      <c r="O1705" s="73">
        <v>1.471</v>
      </c>
      <c r="P1705" s="71" t="s">
        <v>389</v>
      </c>
      <c r="Q1705" s="73">
        <v>254</v>
      </c>
      <c r="R1705" s="71" t="s">
        <v>388</v>
      </c>
      <c r="S1705" s="73">
        <v>0</v>
      </c>
      <c r="T1705" s="71" t="s">
        <v>390</v>
      </c>
      <c r="U1705" s="74">
        <v>2</v>
      </c>
      <c r="V1705" s="71" t="s">
        <v>391</v>
      </c>
      <c r="W1705" s="130">
        <v>46072.980879629627</v>
      </c>
      <c r="X1705" s="72">
        <v>46075.503472222219</v>
      </c>
      <c r="Y1705" s="72">
        <v>46078.013888888891</v>
      </c>
      <c r="Z1705" s="104" t="s">
        <v>465</v>
      </c>
      <c r="AA1705" s="104" t="s">
        <v>919</v>
      </c>
      <c r="AB1705" s="105">
        <v>46077.575</v>
      </c>
      <c r="AC1705" s="105">
        <v>46078.013888888891</v>
      </c>
    </row>
    <row r="1706" s="70" customFormat="1" ht="11.25" customHeight="1">
      <c r="A1706" s="87"/>
      <c r="C1706" s="43" t="s">
        <v>3116</v>
      </c>
      <c r="D1706" s="71" t="s">
        <v>382</v>
      </c>
      <c r="E1706" s="71" t="str">
        <f>MID(D1706,1,2)</f>
        <v>IL</v>
      </c>
      <c r="F1706" s="71" t="s">
        <v>414</v>
      </c>
      <c r="G1706" s="71" t="str">
        <f>MID(F1706,1,2)</f>
        <v>US</v>
      </c>
      <c r="H1706" s="43" t="s">
        <v>2847</v>
      </c>
      <c r="I1706" s="71" t="s">
        <v>3117</v>
      </c>
      <c r="J1706" s="71" t="s">
        <v>386</v>
      </c>
      <c r="K1706" s="43" t="s">
        <v>759</v>
      </c>
      <c r="L1706" s="71" t="s">
        <v>107</v>
      </c>
      <c r="M1706" s="73">
        <v>1</v>
      </c>
      <c r="N1706" s="71" t="s">
        <v>388</v>
      </c>
      <c r="O1706" s="73">
        <v>0.012</v>
      </c>
      <c r="P1706" s="71" t="s">
        <v>389</v>
      </c>
      <c r="Q1706" s="73">
        <v>2</v>
      </c>
      <c r="R1706" s="71" t="s">
        <v>388</v>
      </c>
      <c r="S1706" s="73">
        <v>0</v>
      </c>
      <c r="T1706" s="71" t="s">
        <v>390</v>
      </c>
      <c r="U1706" s="74">
        <v>1</v>
      </c>
      <c r="V1706" s="71" t="s">
        <v>427</v>
      </c>
      <c r="W1706" s="130">
        <v>46071.459027777775</v>
      </c>
      <c r="X1706" s="72">
        <v>46073.03125</v>
      </c>
      <c r="Y1706" s="72">
        <v>46073.239583333336</v>
      </c>
      <c r="Z1706" s="104" t="s">
        <v>382</v>
      </c>
      <c r="AA1706" s="104" t="s">
        <v>414</v>
      </c>
      <c r="AB1706" s="105">
        <v>46073.040277777778</v>
      </c>
      <c r="AC1706" s="105">
        <v>46073.227083333331</v>
      </c>
    </row>
    <row r="1707" s="70" customFormat="1" ht="11.25" customHeight="1">
      <c r="A1707" s="87"/>
      <c r="C1707" s="43" t="s">
        <v>3118</v>
      </c>
      <c r="D1707" s="71" t="s">
        <v>382</v>
      </c>
      <c r="E1707" s="71" t="str">
        <f>MID(D1707,1,2)</f>
        <v>IL</v>
      </c>
      <c r="F1707" s="71" t="s">
        <v>414</v>
      </c>
      <c r="G1707" s="71" t="str">
        <f>MID(F1707,1,2)</f>
        <v>US</v>
      </c>
      <c r="H1707" s="43" t="s">
        <v>3119</v>
      </c>
      <c r="I1707" s="71"/>
      <c r="J1707" s="71" t="s">
        <v>426</v>
      </c>
      <c r="K1707" s="43"/>
      <c r="L1707" s="71" t="s">
        <v>105</v>
      </c>
      <c r="M1707" s="73">
        <v>1023</v>
      </c>
      <c r="N1707" s="71" t="s">
        <v>388</v>
      </c>
      <c r="O1707" s="73">
        <v>6.72</v>
      </c>
      <c r="P1707" s="71" t="s">
        <v>389</v>
      </c>
      <c r="Q1707" s="73">
        <v>1120</v>
      </c>
      <c r="R1707" s="71" t="s">
        <v>388</v>
      </c>
      <c r="S1707" s="73">
        <v>0</v>
      </c>
      <c r="T1707" s="71" t="s">
        <v>390</v>
      </c>
      <c r="U1707" s="74">
        <v>7</v>
      </c>
      <c r="V1707" s="71" t="s">
        <v>391</v>
      </c>
      <c r="W1707" s="130">
        <v>46071.479861111111</v>
      </c>
      <c r="X1707" s="72">
        <v>46076.041666666664</v>
      </c>
      <c r="Y1707" s="72">
        <v>46078.586805555555</v>
      </c>
      <c r="Z1707" s="104" t="s">
        <v>382</v>
      </c>
      <c r="AA1707" s="104" t="s">
        <v>414</v>
      </c>
      <c r="AB1707" s="105">
        <v>46078.011111111111</v>
      </c>
      <c r="AC1707" s="105">
        <v>46078.216666666667</v>
      </c>
    </row>
    <row r="1708" s="70" customFormat="1" ht="11.25" customHeight="1">
      <c r="A1708" s="87"/>
      <c r="C1708" s="43" t="s">
        <v>3120</v>
      </c>
      <c r="D1708" s="71" t="s">
        <v>382</v>
      </c>
      <c r="E1708" s="71" t="str">
        <f>MID(D1708,1,2)</f>
        <v>IL</v>
      </c>
      <c r="F1708" s="71" t="s">
        <v>3121</v>
      </c>
      <c r="G1708" s="71" t="str">
        <f>MID(F1708,1,2)</f>
        <v>JP</v>
      </c>
      <c r="H1708" s="43" t="s">
        <v>3122</v>
      </c>
      <c r="I1708" s="71" t="s">
        <v>3123</v>
      </c>
      <c r="J1708" s="71" t="s">
        <v>755</v>
      </c>
      <c r="K1708" s="43"/>
      <c r="L1708" s="71" t="s">
        <v>105</v>
      </c>
      <c r="M1708" s="73">
        <v>59</v>
      </c>
      <c r="N1708" s="71" t="s">
        <v>388</v>
      </c>
      <c r="O1708" s="73">
        <v>0.96</v>
      </c>
      <c r="P1708" s="71" t="s">
        <v>389</v>
      </c>
      <c r="Q1708" s="73">
        <v>160</v>
      </c>
      <c r="R1708" s="71" t="s">
        <v>388</v>
      </c>
      <c r="S1708" s="73">
        <v>0</v>
      </c>
      <c r="T1708" s="71" t="s">
        <v>390</v>
      </c>
      <c r="U1708" s="74">
        <v>1</v>
      </c>
      <c r="V1708" s="71" t="s">
        <v>391</v>
      </c>
      <c r="W1708" s="130">
        <v>46071.65421296296</v>
      </c>
      <c r="X1708" s="72">
        <v>46073.340277777781</v>
      </c>
      <c r="Y1708" s="72">
        <v>46079.326388888891</v>
      </c>
      <c r="Z1708" s="104" t="s">
        <v>382</v>
      </c>
      <c r="AA1708" s="104" t="s">
        <v>748</v>
      </c>
      <c r="AB1708" s="105">
        <v>46073.627083333333</v>
      </c>
      <c r="AC1708" s="105">
        <v>46073.759722222225</v>
      </c>
    </row>
    <row r="1709" s="70" customFormat="1" ht="11.25" customHeight="1">
      <c r="A1709" s="87"/>
      <c r="C1709" s="43" t="s">
        <v>3120</v>
      </c>
      <c r="D1709" s="71" t="s">
        <v>382</v>
      </c>
      <c r="E1709" s="71" t="str">
        <f>MID(D1709,1,2)</f>
        <v>IL</v>
      </c>
      <c r="F1709" s="71" t="s">
        <v>3121</v>
      </c>
      <c r="G1709" s="71" t="str">
        <f>MID(F1709,1,2)</f>
        <v>JP</v>
      </c>
      <c r="H1709" s="43" t="s">
        <v>3122</v>
      </c>
      <c r="I1709" s="71" t="s">
        <v>3123</v>
      </c>
      <c r="J1709" s="71" t="s">
        <v>755</v>
      </c>
      <c r="K1709" s="43"/>
      <c r="L1709" s="71" t="s">
        <v>105</v>
      </c>
      <c r="M1709" s="73">
        <v>59</v>
      </c>
      <c r="N1709" s="71" t="s">
        <v>388</v>
      </c>
      <c r="O1709" s="73">
        <v>0.96</v>
      </c>
      <c r="P1709" s="71" t="s">
        <v>389</v>
      </c>
      <c r="Q1709" s="73">
        <v>160</v>
      </c>
      <c r="R1709" s="71" t="s">
        <v>388</v>
      </c>
      <c r="S1709" s="73">
        <v>0</v>
      </c>
      <c r="T1709" s="71" t="s">
        <v>390</v>
      </c>
      <c r="U1709" s="74">
        <v>1</v>
      </c>
      <c r="V1709" s="71" t="s">
        <v>391</v>
      </c>
      <c r="W1709" s="130">
        <v>46071.65421296296</v>
      </c>
      <c r="X1709" s="72">
        <v>46073.340277777781</v>
      </c>
      <c r="Y1709" s="72">
        <v>46079.326388888891</v>
      </c>
      <c r="Z1709" s="104" t="s">
        <v>748</v>
      </c>
      <c r="AA1709" s="104" t="s">
        <v>403</v>
      </c>
      <c r="AB1709" s="105">
        <v>46074.123611111114</v>
      </c>
      <c r="AC1709" s="105"/>
    </row>
    <row r="1710" s="70" customFormat="1" ht="11.25" customHeight="1">
      <c r="A1710" s="87"/>
      <c r="C1710" s="43" t="s">
        <v>3120</v>
      </c>
      <c r="D1710" s="71" t="s">
        <v>382</v>
      </c>
      <c r="E1710" s="71" t="str">
        <f>MID(D1710,1,2)</f>
        <v>IL</v>
      </c>
      <c r="F1710" s="71" t="s">
        <v>3121</v>
      </c>
      <c r="G1710" s="71" t="str">
        <f>MID(F1710,1,2)</f>
        <v>JP</v>
      </c>
      <c r="H1710" s="43" t="s">
        <v>3122</v>
      </c>
      <c r="I1710" s="71" t="s">
        <v>3123</v>
      </c>
      <c r="J1710" s="71" t="s">
        <v>755</v>
      </c>
      <c r="K1710" s="43"/>
      <c r="L1710" s="71" t="s">
        <v>105</v>
      </c>
      <c r="M1710" s="73">
        <v>59</v>
      </c>
      <c r="N1710" s="71" t="s">
        <v>388</v>
      </c>
      <c r="O1710" s="73">
        <v>0.96</v>
      </c>
      <c r="P1710" s="71" t="s">
        <v>389</v>
      </c>
      <c r="Q1710" s="73">
        <v>160</v>
      </c>
      <c r="R1710" s="71" t="s">
        <v>388</v>
      </c>
      <c r="S1710" s="73">
        <v>0</v>
      </c>
      <c r="T1710" s="71" t="s">
        <v>390</v>
      </c>
      <c r="U1710" s="74">
        <v>1</v>
      </c>
      <c r="V1710" s="71" t="s">
        <v>391</v>
      </c>
      <c r="W1710" s="130">
        <v>46071.65421296296</v>
      </c>
      <c r="X1710" s="72">
        <v>46073.340277777781</v>
      </c>
      <c r="Y1710" s="72">
        <v>46079.326388888891</v>
      </c>
      <c r="Z1710" s="104" t="s">
        <v>403</v>
      </c>
      <c r="AA1710" s="104" t="s">
        <v>3121</v>
      </c>
      <c r="AB1710" s="105">
        <v>46079.159722222219</v>
      </c>
      <c r="AC1710" s="105">
        <v>46079.33125</v>
      </c>
    </row>
    <row r="1711" s="70" customFormat="1" ht="11.25" customHeight="1">
      <c r="A1711" s="87"/>
      <c r="C1711" s="43" t="s">
        <v>3124</v>
      </c>
      <c r="D1711" s="71" t="s">
        <v>382</v>
      </c>
      <c r="E1711" s="71" t="str">
        <f>MID(D1711,1,2)</f>
        <v>IL</v>
      </c>
      <c r="F1711" s="71" t="s">
        <v>597</v>
      </c>
      <c r="G1711" s="71" t="str">
        <f>MID(F1711,1,2)</f>
        <v>NL</v>
      </c>
      <c r="H1711" s="43" t="s">
        <v>3125</v>
      </c>
      <c r="I1711" s="71" t="s">
        <v>3126</v>
      </c>
      <c r="J1711" s="71" t="s">
        <v>426</v>
      </c>
      <c r="K1711" s="43"/>
      <c r="L1711" s="71" t="s">
        <v>105</v>
      </c>
      <c r="M1711" s="73">
        <v>586</v>
      </c>
      <c r="N1711" s="71" t="s">
        <v>388</v>
      </c>
      <c r="O1711" s="73">
        <v>3.826</v>
      </c>
      <c r="P1711" s="71" t="s">
        <v>389</v>
      </c>
      <c r="Q1711" s="73">
        <v>638</v>
      </c>
      <c r="R1711" s="71" t="s">
        <v>388</v>
      </c>
      <c r="S1711" s="73">
        <v>0</v>
      </c>
      <c r="T1711" s="71" t="s">
        <v>390</v>
      </c>
      <c r="U1711" s="74">
        <v>5</v>
      </c>
      <c r="V1711" s="71" t="s">
        <v>391</v>
      </c>
      <c r="W1711" s="130"/>
      <c r="X1711" s="72">
        <v>46072.468055555553</v>
      </c>
      <c r="Y1711" s="72">
        <v>46075.392361111109</v>
      </c>
      <c r="Z1711" s="104" t="s">
        <v>382</v>
      </c>
      <c r="AA1711" s="104" t="s">
        <v>383</v>
      </c>
      <c r="AB1711" s="105">
        <v>46073.555555555555</v>
      </c>
      <c r="AC1711" s="105">
        <v>46073.692361111112</v>
      </c>
    </row>
    <row r="1712" s="70" customFormat="1" ht="11.25" customHeight="1">
      <c r="A1712" s="87"/>
      <c r="C1712" s="43" t="s">
        <v>3124</v>
      </c>
      <c r="D1712" s="71" t="s">
        <v>382</v>
      </c>
      <c r="E1712" s="71" t="str">
        <f>MID(D1712,1,2)</f>
        <v>IL</v>
      </c>
      <c r="F1712" s="71" t="s">
        <v>597</v>
      </c>
      <c r="G1712" s="71" t="str">
        <f>MID(F1712,1,2)</f>
        <v>NL</v>
      </c>
      <c r="H1712" s="43" t="s">
        <v>3125</v>
      </c>
      <c r="I1712" s="71" t="s">
        <v>3126</v>
      </c>
      <c r="J1712" s="71" t="s">
        <v>426</v>
      </c>
      <c r="K1712" s="43"/>
      <c r="L1712" s="71" t="s">
        <v>105</v>
      </c>
      <c r="M1712" s="73">
        <v>586</v>
      </c>
      <c r="N1712" s="71" t="s">
        <v>388</v>
      </c>
      <c r="O1712" s="73">
        <v>3.826</v>
      </c>
      <c r="P1712" s="71" t="s">
        <v>389</v>
      </c>
      <c r="Q1712" s="73">
        <v>638</v>
      </c>
      <c r="R1712" s="71" t="s">
        <v>388</v>
      </c>
      <c r="S1712" s="73">
        <v>0</v>
      </c>
      <c r="T1712" s="71" t="s">
        <v>390</v>
      </c>
      <c r="U1712" s="74">
        <v>5</v>
      </c>
      <c r="V1712" s="71" t="s">
        <v>391</v>
      </c>
      <c r="W1712" s="130"/>
      <c r="X1712" s="72">
        <v>46072.468055555553</v>
      </c>
      <c r="Y1712" s="72">
        <v>46075.392361111109</v>
      </c>
      <c r="Z1712" s="104" t="s">
        <v>383</v>
      </c>
      <c r="AA1712" s="104" t="s">
        <v>597</v>
      </c>
      <c r="AB1712" s="105">
        <v>46075.067361111112</v>
      </c>
      <c r="AC1712" s="105">
        <v>46075.459722222222</v>
      </c>
    </row>
    <row r="1713" s="70" customFormat="1" ht="11.25" customHeight="1">
      <c r="A1713" s="87"/>
      <c r="C1713" s="43" t="s">
        <v>3127</v>
      </c>
      <c r="D1713" s="71" t="s">
        <v>382</v>
      </c>
      <c r="E1713" s="71" t="str">
        <f>MID(D1713,1,2)</f>
        <v>IL</v>
      </c>
      <c r="F1713" s="71" t="s">
        <v>1234</v>
      </c>
      <c r="G1713" s="71" t="str">
        <f>MID(F1713,1,2)</f>
        <v>PH</v>
      </c>
      <c r="H1713" s="43" t="s">
        <v>3128</v>
      </c>
      <c r="I1713" s="71" t="s">
        <v>3129</v>
      </c>
      <c r="J1713" s="71" t="s">
        <v>400</v>
      </c>
      <c r="K1713" s="43"/>
      <c r="L1713" s="71" t="s">
        <v>105</v>
      </c>
      <c r="M1713" s="73">
        <v>16</v>
      </c>
      <c r="N1713" s="71" t="s">
        <v>388</v>
      </c>
      <c r="O1713" s="73">
        <v>0.058</v>
      </c>
      <c r="P1713" s="71" t="s">
        <v>389</v>
      </c>
      <c r="Q1713" s="73">
        <v>16</v>
      </c>
      <c r="R1713" s="71" t="s">
        <v>388</v>
      </c>
      <c r="S1713" s="73">
        <v>0</v>
      </c>
      <c r="T1713" s="71" t="s">
        <v>390</v>
      </c>
      <c r="U1713" s="74">
        <v>1</v>
      </c>
      <c r="V1713" s="71" t="s">
        <v>391</v>
      </c>
      <c r="W1713" s="130">
        <v>46071.633796296293</v>
      </c>
      <c r="X1713" s="72">
        <v>46072.48541666667</v>
      </c>
      <c r="Y1713" s="72">
        <v>46074.753472222219</v>
      </c>
      <c r="Z1713" s="104" t="s">
        <v>382</v>
      </c>
      <c r="AA1713" s="104" t="s">
        <v>833</v>
      </c>
      <c r="AB1713" s="105">
        <v>46072.897916666669</v>
      </c>
      <c r="AC1713" s="105">
        <v>46072.583333333336</v>
      </c>
    </row>
    <row r="1714" s="70" customFormat="1" ht="11.25" customHeight="1">
      <c r="A1714" s="87"/>
      <c r="C1714" s="43" t="s">
        <v>3127</v>
      </c>
      <c r="D1714" s="71" t="s">
        <v>382</v>
      </c>
      <c r="E1714" s="71" t="str">
        <f>MID(D1714,1,2)</f>
        <v>IL</v>
      </c>
      <c r="F1714" s="71" t="s">
        <v>1234</v>
      </c>
      <c r="G1714" s="71" t="str">
        <f>MID(F1714,1,2)</f>
        <v>PH</v>
      </c>
      <c r="H1714" s="43" t="s">
        <v>3128</v>
      </c>
      <c r="I1714" s="71" t="s">
        <v>3129</v>
      </c>
      <c r="J1714" s="71" t="s">
        <v>400</v>
      </c>
      <c r="K1714" s="43"/>
      <c r="L1714" s="71" t="s">
        <v>105</v>
      </c>
      <c r="M1714" s="73">
        <v>16</v>
      </c>
      <c r="N1714" s="71" t="s">
        <v>388</v>
      </c>
      <c r="O1714" s="73">
        <v>0.058</v>
      </c>
      <c r="P1714" s="71" t="s">
        <v>389</v>
      </c>
      <c r="Q1714" s="73">
        <v>16</v>
      </c>
      <c r="R1714" s="71" t="s">
        <v>388</v>
      </c>
      <c r="S1714" s="73">
        <v>0</v>
      </c>
      <c r="T1714" s="71" t="s">
        <v>390</v>
      </c>
      <c r="U1714" s="74">
        <v>1</v>
      </c>
      <c r="V1714" s="71" t="s">
        <v>391</v>
      </c>
      <c r="W1714" s="130">
        <v>46071.633796296293</v>
      </c>
      <c r="X1714" s="72">
        <v>46072.48541666667</v>
      </c>
      <c r="Y1714" s="72">
        <v>46074.753472222219</v>
      </c>
      <c r="Z1714" s="104" t="s">
        <v>833</v>
      </c>
      <c r="AA1714" s="104" t="s">
        <v>1234</v>
      </c>
      <c r="AB1714" s="105">
        <v>46074.467361111114</v>
      </c>
      <c r="AC1714" s="105">
        <v>46074.731944444444</v>
      </c>
    </row>
    <row r="1715" s="70" customFormat="1" ht="11.25" customHeight="1">
      <c r="A1715" s="87"/>
      <c r="C1715" s="43" t="s">
        <v>3130</v>
      </c>
      <c r="D1715" s="71" t="s">
        <v>382</v>
      </c>
      <c r="E1715" s="71" t="str">
        <f>MID(D1715,1,2)</f>
        <v>IL</v>
      </c>
      <c r="F1715" s="71" t="s">
        <v>496</v>
      </c>
      <c r="G1715" s="71" t="str">
        <f>MID(F1715,1,2)</f>
        <v>RO</v>
      </c>
      <c r="H1715" s="43" t="s">
        <v>3060</v>
      </c>
      <c r="I1715" s="71" t="s">
        <v>3131</v>
      </c>
      <c r="J1715" s="71" t="s">
        <v>400</v>
      </c>
      <c r="K1715" s="43"/>
      <c r="L1715" s="71" t="s">
        <v>105</v>
      </c>
      <c r="M1715" s="73">
        <v>40</v>
      </c>
      <c r="N1715" s="71" t="s">
        <v>388</v>
      </c>
      <c r="O1715" s="73">
        <v>0.708</v>
      </c>
      <c r="P1715" s="71" t="s">
        <v>389</v>
      </c>
      <c r="Q1715" s="73">
        <v>118</v>
      </c>
      <c r="R1715" s="71" t="s">
        <v>388</v>
      </c>
      <c r="S1715" s="73">
        <v>0</v>
      </c>
      <c r="T1715" s="71" t="s">
        <v>390</v>
      </c>
      <c r="U1715" s="74">
        <v>1</v>
      </c>
      <c r="V1715" s="71" t="s">
        <v>391</v>
      </c>
      <c r="W1715" s="130">
        <v>46071.890659722223</v>
      </c>
      <c r="X1715" s="72">
        <v>46072.243055555555</v>
      </c>
      <c r="Y1715" s="72">
        <v>46073.415972222225</v>
      </c>
      <c r="Z1715" s="104" t="s">
        <v>382</v>
      </c>
      <c r="AA1715" s="104" t="s">
        <v>496</v>
      </c>
      <c r="AB1715" s="105">
        <v>46073.296527777777</v>
      </c>
      <c r="AC1715" s="105">
        <v>46073.397916666669</v>
      </c>
    </row>
    <row r="1716" s="70" customFormat="1" ht="11.25" customHeight="1">
      <c r="A1716" s="87"/>
      <c r="C1716" s="43" t="s">
        <v>3132</v>
      </c>
      <c r="D1716" s="71" t="s">
        <v>382</v>
      </c>
      <c r="E1716" s="71" t="str">
        <f>MID(D1716,1,2)</f>
        <v>IL</v>
      </c>
      <c r="F1716" s="71" t="s">
        <v>414</v>
      </c>
      <c r="G1716" s="71" t="str">
        <f>MID(F1716,1,2)</f>
        <v>US</v>
      </c>
      <c r="H1716" s="43" t="s">
        <v>2847</v>
      </c>
      <c r="I1716" s="71" t="s">
        <v>3133</v>
      </c>
      <c r="J1716" s="71" t="s">
        <v>483</v>
      </c>
      <c r="K1716" s="43"/>
      <c r="L1716" s="71" t="s">
        <v>105</v>
      </c>
      <c r="M1716" s="73">
        <v>3</v>
      </c>
      <c r="N1716" s="71" t="s">
        <v>388</v>
      </c>
      <c r="O1716" s="73">
        <v>0.051</v>
      </c>
      <c r="P1716" s="71" t="s">
        <v>389</v>
      </c>
      <c r="Q1716" s="73">
        <v>8.5</v>
      </c>
      <c r="R1716" s="71" t="s">
        <v>388</v>
      </c>
      <c r="S1716" s="73">
        <v>0</v>
      </c>
      <c r="T1716" s="71" t="s">
        <v>390</v>
      </c>
      <c r="U1716" s="74">
        <v>1</v>
      </c>
      <c r="V1716" s="71" t="s">
        <v>427</v>
      </c>
      <c r="W1716" s="130">
        <v>46071.493055555555</v>
      </c>
      <c r="X1716" s="72">
        <v>46073.03125</v>
      </c>
      <c r="Y1716" s="72">
        <v>46073.239583333336</v>
      </c>
      <c r="Z1716" s="104" t="s">
        <v>382</v>
      </c>
      <c r="AA1716" s="104" t="s">
        <v>414</v>
      </c>
      <c r="AB1716" s="105">
        <v>46073.040277777778</v>
      </c>
      <c r="AC1716" s="105">
        <v>46073.227083333331</v>
      </c>
    </row>
    <row r="1717" s="70" customFormat="1" ht="11.25" customHeight="1">
      <c r="A1717" s="87"/>
      <c r="C1717" s="43" t="s">
        <v>3134</v>
      </c>
      <c r="D1717" s="71" t="s">
        <v>382</v>
      </c>
      <c r="E1717" s="71" t="str">
        <f>MID(D1717,1,2)</f>
        <v>IL</v>
      </c>
      <c r="F1717" s="71" t="s">
        <v>414</v>
      </c>
      <c r="G1717" s="71" t="str">
        <f>MID(F1717,1,2)</f>
        <v>US</v>
      </c>
      <c r="H1717" s="43" t="s">
        <v>2791</v>
      </c>
      <c r="I1717" s="71" t="s">
        <v>3135</v>
      </c>
      <c r="J1717" s="71" t="s">
        <v>386</v>
      </c>
      <c r="K1717" s="43"/>
      <c r="L1717" s="71" t="s">
        <v>107</v>
      </c>
      <c r="M1717" s="73">
        <v>40</v>
      </c>
      <c r="N1717" s="71" t="s">
        <v>388</v>
      </c>
      <c r="O1717" s="73">
        <v>0.25</v>
      </c>
      <c r="P1717" s="71" t="s">
        <v>389</v>
      </c>
      <c r="Q1717" s="73">
        <v>42</v>
      </c>
      <c r="R1717" s="71" t="s">
        <v>388</v>
      </c>
      <c r="S1717" s="73">
        <v>0</v>
      </c>
      <c r="T1717" s="71" t="s">
        <v>390</v>
      </c>
      <c r="U1717" s="74">
        <v>8</v>
      </c>
      <c r="V1717" s="71" t="s">
        <v>446</v>
      </c>
      <c r="W1717" s="130">
        <v>46072.354861111111</v>
      </c>
      <c r="X1717" s="72">
        <v>46091.229166666664</v>
      </c>
      <c r="Y1717" s="72">
        <v>46096.291666666664</v>
      </c>
      <c r="Z1717" s="104" t="s">
        <v>382</v>
      </c>
      <c r="AA1717" s="104" t="s">
        <v>414</v>
      </c>
      <c r="AB1717" s="105">
        <v>46091.945833333331</v>
      </c>
      <c r="AC1717" s="105">
        <v>46092.136111111111</v>
      </c>
    </row>
    <row r="1718" s="70" customFormat="1" ht="11.25" customHeight="1">
      <c r="A1718" s="87"/>
      <c r="C1718" s="43" t="s">
        <v>3136</v>
      </c>
      <c r="D1718" s="71" t="s">
        <v>382</v>
      </c>
      <c r="E1718" s="71" t="str">
        <f>MID(D1718,1,2)</f>
        <v>IL</v>
      </c>
      <c r="F1718" s="71" t="s">
        <v>3137</v>
      </c>
      <c r="G1718" s="71" t="str">
        <f>MID(F1718,1,2)</f>
        <v>AM</v>
      </c>
      <c r="H1718" s="43" t="s">
        <v>3138</v>
      </c>
      <c r="I1718" s="71" t="s">
        <v>3139</v>
      </c>
      <c r="J1718" s="71" t="s">
        <v>400</v>
      </c>
      <c r="K1718" s="43"/>
      <c r="L1718" s="71" t="s">
        <v>105</v>
      </c>
      <c r="M1718" s="73">
        <v>46</v>
      </c>
      <c r="N1718" s="71" t="s">
        <v>388</v>
      </c>
      <c r="O1718" s="73">
        <v>0.74</v>
      </c>
      <c r="P1718" s="71" t="s">
        <v>389</v>
      </c>
      <c r="Q1718" s="73">
        <v>123.5</v>
      </c>
      <c r="R1718" s="71" t="s">
        <v>388</v>
      </c>
      <c r="S1718" s="73">
        <v>0</v>
      </c>
      <c r="T1718" s="71" t="s">
        <v>390</v>
      </c>
      <c r="U1718" s="74">
        <v>1</v>
      </c>
      <c r="V1718" s="71" t="s">
        <v>391</v>
      </c>
      <c r="W1718" s="130">
        <v>46072.786400462966</v>
      </c>
      <c r="X1718" s="72">
        <v>46076.003472222219</v>
      </c>
      <c r="Y1718" s="72">
        <v>46079.6</v>
      </c>
      <c r="Z1718" s="104" t="s">
        <v>382</v>
      </c>
      <c r="AA1718" s="104" t="s">
        <v>383</v>
      </c>
      <c r="AB1718" s="105">
        <v>46075.982638888891</v>
      </c>
      <c r="AC1718" s="105">
        <v>46076.271527777775</v>
      </c>
    </row>
    <row r="1719" s="70" customFormat="1" ht="11.25" customHeight="1">
      <c r="A1719" s="87"/>
      <c r="C1719" s="43" t="s">
        <v>3136</v>
      </c>
      <c r="D1719" s="71" t="s">
        <v>382</v>
      </c>
      <c r="E1719" s="71" t="str">
        <f>MID(D1719,1,2)</f>
        <v>IL</v>
      </c>
      <c r="F1719" s="71" t="s">
        <v>3137</v>
      </c>
      <c r="G1719" s="71" t="str">
        <f>MID(F1719,1,2)</f>
        <v>AM</v>
      </c>
      <c r="H1719" s="43" t="s">
        <v>3138</v>
      </c>
      <c r="I1719" s="71" t="s">
        <v>3139</v>
      </c>
      <c r="J1719" s="71" t="s">
        <v>400</v>
      </c>
      <c r="K1719" s="43"/>
      <c r="L1719" s="71" t="s">
        <v>105</v>
      </c>
      <c r="M1719" s="73">
        <v>46</v>
      </c>
      <c r="N1719" s="71" t="s">
        <v>388</v>
      </c>
      <c r="O1719" s="73">
        <v>0.74</v>
      </c>
      <c r="P1719" s="71" t="s">
        <v>389</v>
      </c>
      <c r="Q1719" s="73">
        <v>123.5</v>
      </c>
      <c r="R1719" s="71" t="s">
        <v>388</v>
      </c>
      <c r="S1719" s="73">
        <v>0</v>
      </c>
      <c r="T1719" s="71" t="s">
        <v>390</v>
      </c>
      <c r="U1719" s="74">
        <v>1</v>
      </c>
      <c r="V1719" s="71" t="s">
        <v>391</v>
      </c>
      <c r="W1719" s="130">
        <v>46072.786400462966</v>
      </c>
      <c r="X1719" s="72">
        <v>46076.003472222219</v>
      </c>
      <c r="Y1719" s="72">
        <v>46079.6</v>
      </c>
      <c r="Z1719" s="104" t="s">
        <v>383</v>
      </c>
      <c r="AA1719" s="104" t="s">
        <v>3137</v>
      </c>
      <c r="AB1719" s="105">
        <v>46079.29375</v>
      </c>
      <c r="AC1719" s="105">
        <v>46079.583333333336</v>
      </c>
    </row>
    <row r="1720" s="70" customFormat="1" ht="11.25" customHeight="1">
      <c r="A1720" s="87"/>
      <c r="C1720" s="43" t="s">
        <v>3140</v>
      </c>
      <c r="D1720" s="71" t="s">
        <v>382</v>
      </c>
      <c r="E1720" s="71" t="str">
        <f>MID(D1720,1,2)</f>
        <v>IL</v>
      </c>
      <c r="F1720" s="71" t="s">
        <v>2393</v>
      </c>
      <c r="G1720" s="71" t="str">
        <f>MID(F1720,1,2)</f>
        <v>ES</v>
      </c>
      <c r="H1720" s="43"/>
      <c r="I1720" s="71" t="s">
        <v>3141</v>
      </c>
      <c r="J1720" s="71" t="s">
        <v>454</v>
      </c>
      <c r="K1720" s="43"/>
      <c r="L1720" s="71" t="s">
        <v>107</v>
      </c>
      <c r="M1720" s="73">
        <v>0</v>
      </c>
      <c r="N1720" s="71" t="s">
        <v>388</v>
      </c>
      <c r="O1720" s="73">
        <v>0</v>
      </c>
      <c r="P1720" s="71" t="s">
        <v>389</v>
      </c>
      <c r="Q1720" s="73">
        <v>0</v>
      </c>
      <c r="R1720" s="71" t="s">
        <v>388</v>
      </c>
      <c r="S1720" s="73">
        <v>0</v>
      </c>
      <c r="T1720" s="71" t="s">
        <v>390</v>
      </c>
      <c r="U1720" s="74">
        <v>0</v>
      </c>
      <c r="V1720" s="71" t="s">
        <v>391</v>
      </c>
      <c r="W1720" s="130"/>
      <c r="X1720" s="72">
        <v>46071.580555555556</v>
      </c>
      <c r="Y1720" s="72">
        <v>46071.580555555556</v>
      </c>
      <c r="Z1720" s="104"/>
      <c r="AA1720" s="104"/>
      <c r="AB1720" s="105"/>
      <c r="AC1720" s="105"/>
    </row>
    <row r="1721" s="70" customFormat="1" ht="11.25" customHeight="1">
      <c r="A1721" s="87"/>
      <c r="C1721" s="43" t="s">
        <v>3142</v>
      </c>
      <c r="D1721" s="71" t="s">
        <v>382</v>
      </c>
      <c r="E1721" s="71" t="str">
        <f>MID(D1721,1,2)</f>
        <v>IL</v>
      </c>
      <c r="F1721" s="71" t="s">
        <v>667</v>
      </c>
      <c r="G1721" s="71" t="str">
        <f>MID(F1721,1,2)</f>
        <v>DE</v>
      </c>
      <c r="H1721" s="43" t="s">
        <v>3143</v>
      </c>
      <c r="I1721" s="71" t="s">
        <v>3144</v>
      </c>
      <c r="J1721" s="71" t="s">
        <v>426</v>
      </c>
      <c r="K1721" s="43"/>
      <c r="L1721" s="71" t="s">
        <v>105</v>
      </c>
      <c r="M1721" s="73">
        <v>8</v>
      </c>
      <c r="N1721" s="71" t="s">
        <v>388</v>
      </c>
      <c r="O1721" s="73">
        <v>0.081</v>
      </c>
      <c r="P1721" s="71" t="s">
        <v>389</v>
      </c>
      <c r="Q1721" s="73">
        <v>13.5</v>
      </c>
      <c r="R1721" s="71" t="s">
        <v>388</v>
      </c>
      <c r="S1721" s="73">
        <v>0</v>
      </c>
      <c r="T1721" s="71" t="s">
        <v>390</v>
      </c>
      <c r="U1721" s="74">
        <v>1</v>
      </c>
      <c r="V1721" s="71" t="s">
        <v>391</v>
      </c>
      <c r="W1721" s="130"/>
      <c r="X1721" s="72">
        <v>46072.715277777781</v>
      </c>
      <c r="Y1721" s="72">
        <v>46072.848611111112</v>
      </c>
      <c r="Z1721" s="104" t="s">
        <v>382</v>
      </c>
      <c r="AA1721" s="104" t="s">
        <v>667</v>
      </c>
      <c r="AB1721" s="105">
        <v>46072.71875</v>
      </c>
      <c r="AC1721" s="105">
        <v>46072.843055555553</v>
      </c>
    </row>
    <row r="1722" s="70" customFormat="1" ht="11.25" customHeight="1">
      <c r="A1722" s="87"/>
      <c r="C1722" s="43" t="s">
        <v>3145</v>
      </c>
      <c r="D1722" s="71" t="s">
        <v>382</v>
      </c>
      <c r="E1722" s="71" t="str">
        <f>MID(D1722,1,2)</f>
        <v>IL</v>
      </c>
      <c r="F1722" s="71" t="s">
        <v>414</v>
      </c>
      <c r="G1722" s="71" t="str">
        <f>MID(F1722,1,2)</f>
        <v>US</v>
      </c>
      <c r="H1722" s="43" t="s">
        <v>2847</v>
      </c>
      <c r="I1722" s="71" t="s">
        <v>3146</v>
      </c>
      <c r="J1722" s="71" t="s">
        <v>426</v>
      </c>
      <c r="K1722" s="43" t="s">
        <v>759</v>
      </c>
      <c r="L1722" s="71" t="s">
        <v>105</v>
      </c>
      <c r="M1722" s="73">
        <v>18</v>
      </c>
      <c r="N1722" s="71" t="s">
        <v>388</v>
      </c>
      <c r="O1722" s="73">
        <v>0.19</v>
      </c>
      <c r="P1722" s="71" t="s">
        <v>389</v>
      </c>
      <c r="Q1722" s="73">
        <v>32</v>
      </c>
      <c r="R1722" s="71" t="s">
        <v>388</v>
      </c>
      <c r="S1722" s="73">
        <v>0</v>
      </c>
      <c r="T1722" s="71" t="s">
        <v>390</v>
      </c>
      <c r="U1722" s="74">
        <v>2</v>
      </c>
      <c r="V1722" s="71" t="s">
        <v>391</v>
      </c>
      <c r="W1722" s="130">
        <v>46071.51458333333</v>
      </c>
      <c r="X1722" s="72">
        <v>46073.03125</v>
      </c>
      <c r="Y1722" s="72">
        <v>46073.239583333336</v>
      </c>
      <c r="Z1722" s="104" t="s">
        <v>382</v>
      </c>
      <c r="AA1722" s="104" t="s">
        <v>414</v>
      </c>
      <c r="AB1722" s="105">
        <v>46073.040277777778</v>
      </c>
      <c r="AC1722" s="105">
        <v>46073.227083333331</v>
      </c>
    </row>
    <row r="1723" s="70" customFormat="1" ht="11.25" customHeight="1">
      <c r="A1723" s="87"/>
      <c r="C1723" s="43" t="s">
        <v>3147</v>
      </c>
      <c r="D1723" s="71" t="s">
        <v>382</v>
      </c>
      <c r="E1723" s="71" t="str">
        <f>MID(D1723,1,2)</f>
        <v>IL</v>
      </c>
      <c r="F1723" s="71" t="s">
        <v>3148</v>
      </c>
      <c r="G1723" s="71" t="str">
        <f>MID(F1723,1,2)</f>
        <v>UZ</v>
      </c>
      <c r="H1723" s="43" t="s">
        <v>3149</v>
      </c>
      <c r="I1723" s="71"/>
      <c r="J1723" s="71" t="s">
        <v>426</v>
      </c>
      <c r="K1723" s="43"/>
      <c r="L1723" s="71" t="s">
        <v>105</v>
      </c>
      <c r="M1723" s="73">
        <v>50</v>
      </c>
      <c r="N1723" s="71" t="s">
        <v>388</v>
      </c>
      <c r="O1723" s="73">
        <v>0.552</v>
      </c>
      <c r="P1723" s="71" t="s">
        <v>389</v>
      </c>
      <c r="Q1723" s="73">
        <v>100</v>
      </c>
      <c r="R1723" s="71" t="s">
        <v>388</v>
      </c>
      <c r="S1723" s="73">
        <v>0</v>
      </c>
      <c r="T1723" s="71" t="s">
        <v>390</v>
      </c>
      <c r="U1723" s="74">
        <v>1</v>
      </c>
      <c r="V1723" s="71" t="s">
        <v>391</v>
      </c>
      <c r="W1723" s="130">
        <v>46071.520833333336</v>
      </c>
      <c r="X1723" s="72">
        <v>46073.513194444444</v>
      </c>
      <c r="Y1723" s="72">
        <v>46073.996527777781</v>
      </c>
      <c r="Z1723" s="104" t="s">
        <v>382</v>
      </c>
      <c r="AA1723" s="104" t="s">
        <v>3148</v>
      </c>
      <c r="AB1723" s="105">
        <v>46073.665277777778</v>
      </c>
      <c r="AC1723" s="105">
        <v>46073.877083333333</v>
      </c>
    </row>
    <row r="1724" s="70" customFormat="1" ht="11.25" customHeight="1">
      <c r="A1724" s="87"/>
      <c r="C1724" s="43" t="s">
        <v>3150</v>
      </c>
      <c r="D1724" s="71" t="s">
        <v>382</v>
      </c>
      <c r="E1724" s="71" t="str">
        <f>MID(D1724,1,2)</f>
        <v>IL</v>
      </c>
      <c r="F1724" s="71" t="s">
        <v>774</v>
      </c>
      <c r="G1724" s="71" t="str">
        <f>MID(F1724,1,2)</f>
        <v>CN</v>
      </c>
      <c r="H1724" s="43" t="s">
        <v>3107</v>
      </c>
      <c r="I1724" s="71" t="s">
        <v>3151</v>
      </c>
      <c r="J1724" s="71" t="s">
        <v>755</v>
      </c>
      <c r="K1724" s="43"/>
      <c r="L1724" s="71" t="s">
        <v>105</v>
      </c>
      <c r="M1724" s="73">
        <v>1.2</v>
      </c>
      <c r="N1724" s="71" t="s">
        <v>388</v>
      </c>
      <c r="O1724" s="73">
        <v>0.012</v>
      </c>
      <c r="P1724" s="71" t="s">
        <v>389</v>
      </c>
      <c r="Q1724" s="73">
        <v>2</v>
      </c>
      <c r="R1724" s="71" t="s">
        <v>388</v>
      </c>
      <c r="S1724" s="73">
        <v>0</v>
      </c>
      <c r="T1724" s="71" t="s">
        <v>390</v>
      </c>
      <c r="U1724" s="74">
        <v>1</v>
      </c>
      <c r="V1724" s="71" t="s">
        <v>391</v>
      </c>
      <c r="W1724" s="130">
        <v>46071.650717592594</v>
      </c>
      <c r="X1724" s="72">
        <v>46072.690972222219</v>
      </c>
      <c r="Y1724" s="72">
        <v>46074.305555555555</v>
      </c>
      <c r="Z1724" s="104" t="s">
        <v>382</v>
      </c>
      <c r="AA1724" s="104" t="s">
        <v>383</v>
      </c>
      <c r="AB1724" s="105">
        <v>46072.730555555558</v>
      </c>
      <c r="AC1724" s="105">
        <v>46072.870833333334</v>
      </c>
    </row>
    <row r="1725" s="70" customFormat="1" ht="11.25" customHeight="1">
      <c r="A1725" s="87"/>
      <c r="C1725" s="43" t="s">
        <v>3150</v>
      </c>
      <c r="D1725" s="71" t="s">
        <v>382</v>
      </c>
      <c r="E1725" s="71" t="str">
        <f>MID(D1725,1,2)</f>
        <v>IL</v>
      </c>
      <c r="F1725" s="71" t="s">
        <v>774</v>
      </c>
      <c r="G1725" s="71" t="str">
        <f>MID(F1725,1,2)</f>
        <v>CN</v>
      </c>
      <c r="H1725" s="43" t="s">
        <v>3107</v>
      </c>
      <c r="I1725" s="71" t="s">
        <v>3151</v>
      </c>
      <c r="J1725" s="71" t="s">
        <v>755</v>
      </c>
      <c r="K1725" s="43"/>
      <c r="L1725" s="71" t="s">
        <v>105</v>
      </c>
      <c r="M1725" s="73">
        <v>1.2</v>
      </c>
      <c r="N1725" s="71" t="s">
        <v>388</v>
      </c>
      <c r="O1725" s="73">
        <v>0.012</v>
      </c>
      <c r="P1725" s="71" t="s">
        <v>389</v>
      </c>
      <c r="Q1725" s="73">
        <v>2</v>
      </c>
      <c r="R1725" s="71" t="s">
        <v>388</v>
      </c>
      <c r="S1725" s="73">
        <v>0</v>
      </c>
      <c r="T1725" s="71" t="s">
        <v>390</v>
      </c>
      <c r="U1725" s="74">
        <v>1</v>
      </c>
      <c r="V1725" s="71" t="s">
        <v>391</v>
      </c>
      <c r="W1725" s="130">
        <v>46071.650717592594</v>
      </c>
      <c r="X1725" s="72">
        <v>46072.690972222219</v>
      </c>
      <c r="Y1725" s="72">
        <v>46074.305555555555</v>
      </c>
      <c r="Z1725" s="104" t="s">
        <v>383</v>
      </c>
      <c r="AA1725" s="104" t="s">
        <v>774</v>
      </c>
      <c r="AB1725" s="105">
        <v>46073.529861111114</v>
      </c>
      <c r="AC1725" s="105">
        <v>46074.283333333333</v>
      </c>
    </row>
    <row r="1726" s="70" customFormat="1" ht="11.25" customHeight="1">
      <c r="A1726" s="87"/>
      <c r="C1726" s="43" t="s">
        <v>3152</v>
      </c>
      <c r="D1726" s="71" t="s">
        <v>382</v>
      </c>
      <c r="E1726" s="71" t="str">
        <f>MID(D1726,1,2)</f>
        <v>IL</v>
      </c>
      <c r="F1726" s="71" t="s">
        <v>963</v>
      </c>
      <c r="G1726" s="71" t="str">
        <f>MID(F1726,1,2)</f>
        <v>IN</v>
      </c>
      <c r="H1726" s="43" t="s">
        <v>3025</v>
      </c>
      <c r="I1726" s="71" t="s">
        <v>3153</v>
      </c>
      <c r="J1726" s="71" t="s">
        <v>400</v>
      </c>
      <c r="K1726" s="43"/>
      <c r="L1726" s="71" t="s">
        <v>105</v>
      </c>
      <c r="M1726" s="73">
        <v>3</v>
      </c>
      <c r="N1726" s="71" t="s">
        <v>388</v>
      </c>
      <c r="O1726" s="73">
        <v>0.034</v>
      </c>
      <c r="P1726" s="71" t="s">
        <v>389</v>
      </c>
      <c r="Q1726" s="73">
        <v>6</v>
      </c>
      <c r="R1726" s="71" t="s">
        <v>388</v>
      </c>
      <c r="S1726" s="73">
        <v>0</v>
      </c>
      <c r="T1726" s="71" t="s">
        <v>390</v>
      </c>
      <c r="U1726" s="74">
        <v>1</v>
      </c>
      <c r="V1726" s="71" t="s">
        <v>391</v>
      </c>
      <c r="W1726" s="130">
        <v>46071.57708333333</v>
      </c>
      <c r="X1726" s="72">
        <v>46074.895833333336</v>
      </c>
      <c r="Y1726" s="72">
        <v>46078.024305555555</v>
      </c>
      <c r="Z1726" s="104" t="s">
        <v>382</v>
      </c>
      <c r="AA1726" s="104" t="s">
        <v>833</v>
      </c>
      <c r="AB1726" s="105">
        <v>46074.890972222223</v>
      </c>
      <c r="AC1726" s="105">
        <v>46075.548611111109</v>
      </c>
    </row>
    <row r="1727" s="70" customFormat="1" ht="11.25" customHeight="1">
      <c r="A1727" s="87"/>
      <c r="C1727" s="43" t="s">
        <v>3152</v>
      </c>
      <c r="D1727" s="71" t="s">
        <v>382</v>
      </c>
      <c r="E1727" s="71" t="str">
        <f>MID(D1727,1,2)</f>
        <v>IL</v>
      </c>
      <c r="F1727" s="71" t="s">
        <v>963</v>
      </c>
      <c r="G1727" s="71" t="str">
        <f>MID(F1727,1,2)</f>
        <v>IN</v>
      </c>
      <c r="H1727" s="43" t="s">
        <v>3025</v>
      </c>
      <c r="I1727" s="71" t="s">
        <v>3153</v>
      </c>
      <c r="J1727" s="71" t="s">
        <v>400</v>
      </c>
      <c r="K1727" s="43"/>
      <c r="L1727" s="71" t="s">
        <v>105</v>
      </c>
      <c r="M1727" s="73">
        <v>3</v>
      </c>
      <c r="N1727" s="71" t="s">
        <v>388</v>
      </c>
      <c r="O1727" s="73">
        <v>0.034</v>
      </c>
      <c r="P1727" s="71" t="s">
        <v>389</v>
      </c>
      <c r="Q1727" s="73">
        <v>6</v>
      </c>
      <c r="R1727" s="71" t="s">
        <v>388</v>
      </c>
      <c r="S1727" s="73">
        <v>0</v>
      </c>
      <c r="T1727" s="71" t="s">
        <v>390</v>
      </c>
      <c r="U1727" s="74">
        <v>1</v>
      </c>
      <c r="V1727" s="71" t="s">
        <v>391</v>
      </c>
      <c r="W1727" s="130">
        <v>46071.57708333333</v>
      </c>
      <c r="X1727" s="72">
        <v>46074.895833333336</v>
      </c>
      <c r="Y1727" s="72">
        <v>46078.024305555555</v>
      </c>
      <c r="Z1727" s="104" t="s">
        <v>833</v>
      </c>
      <c r="AA1727" s="104" t="s">
        <v>963</v>
      </c>
      <c r="AB1727" s="105">
        <v>46077.920138888891</v>
      </c>
      <c r="AC1727" s="105">
        <v>46078.165277777778</v>
      </c>
    </row>
    <row r="1728" s="70" customFormat="1" ht="11.25" customHeight="1">
      <c r="A1728" s="87"/>
      <c r="C1728" s="43" t="s">
        <v>3154</v>
      </c>
      <c r="D1728" s="71" t="s">
        <v>382</v>
      </c>
      <c r="E1728" s="71" t="str">
        <f>MID(D1728,1,2)</f>
        <v>IL</v>
      </c>
      <c r="F1728" s="71" t="s">
        <v>465</v>
      </c>
      <c r="G1728" s="71" t="str">
        <f>MID(F1728,1,2)</f>
        <v>AZ</v>
      </c>
      <c r="H1728" s="43" t="s">
        <v>3155</v>
      </c>
      <c r="I1728" s="71" t="s">
        <v>3156</v>
      </c>
      <c r="J1728" s="71" t="s">
        <v>400</v>
      </c>
      <c r="K1728" s="43"/>
      <c r="L1728" s="71" t="s">
        <v>105</v>
      </c>
      <c r="M1728" s="73">
        <v>160</v>
      </c>
      <c r="N1728" s="71" t="s">
        <v>388</v>
      </c>
      <c r="O1728" s="73">
        <v>0.75</v>
      </c>
      <c r="P1728" s="71" t="s">
        <v>389</v>
      </c>
      <c r="Q1728" s="73">
        <v>160</v>
      </c>
      <c r="R1728" s="71" t="s">
        <v>388</v>
      </c>
      <c r="S1728" s="73">
        <v>0</v>
      </c>
      <c r="T1728" s="71" t="s">
        <v>390</v>
      </c>
      <c r="U1728" s="74">
        <v>1</v>
      </c>
      <c r="V1728" s="71" t="s">
        <v>391</v>
      </c>
      <c r="W1728" s="130"/>
      <c r="X1728" s="72">
        <v>46073.993055555555</v>
      </c>
      <c r="Y1728" s="72">
        <v>46074.173611111109</v>
      </c>
      <c r="Z1728" s="104" t="s">
        <v>382</v>
      </c>
      <c r="AA1728" s="104" t="s">
        <v>465</v>
      </c>
      <c r="AB1728" s="105">
        <v>46074.193055555559</v>
      </c>
      <c r="AC1728" s="105">
        <v>46074.4125</v>
      </c>
    </row>
    <row r="1729" s="70" customFormat="1" ht="11.25" customHeight="1">
      <c r="A1729" s="87"/>
      <c r="C1729" s="43" t="s">
        <v>3157</v>
      </c>
      <c r="D1729" s="71" t="s">
        <v>382</v>
      </c>
      <c r="E1729" s="71" t="str">
        <f>MID(D1729,1,2)</f>
        <v>IL</v>
      </c>
      <c r="F1729" s="71" t="s">
        <v>414</v>
      </c>
      <c r="G1729" s="71" t="str">
        <f>MID(F1729,1,2)</f>
        <v>US</v>
      </c>
      <c r="H1729" s="43" t="s">
        <v>2847</v>
      </c>
      <c r="I1729" s="71" t="s">
        <v>3158</v>
      </c>
      <c r="J1729" s="71" t="s">
        <v>386</v>
      </c>
      <c r="K1729" s="43" t="s">
        <v>759</v>
      </c>
      <c r="L1729" s="71" t="s">
        <v>107</v>
      </c>
      <c r="M1729" s="73">
        <v>4</v>
      </c>
      <c r="N1729" s="71" t="s">
        <v>388</v>
      </c>
      <c r="O1729" s="73">
        <v>0.074</v>
      </c>
      <c r="P1729" s="71" t="s">
        <v>389</v>
      </c>
      <c r="Q1729" s="73">
        <v>12.5</v>
      </c>
      <c r="R1729" s="71" t="s">
        <v>388</v>
      </c>
      <c r="S1729" s="73">
        <v>0</v>
      </c>
      <c r="T1729" s="71" t="s">
        <v>390</v>
      </c>
      <c r="U1729" s="74">
        <v>1</v>
      </c>
      <c r="V1729" s="71" t="s">
        <v>427</v>
      </c>
      <c r="W1729" s="130">
        <v>46071.583333333336</v>
      </c>
      <c r="X1729" s="72">
        <v>46073.03125</v>
      </c>
      <c r="Y1729" s="72">
        <v>46073.239583333336</v>
      </c>
      <c r="Z1729" s="104" t="s">
        <v>382</v>
      </c>
      <c r="AA1729" s="104" t="s">
        <v>414</v>
      </c>
      <c r="AB1729" s="105">
        <v>46073.040277777778</v>
      </c>
      <c r="AC1729" s="105">
        <v>46073.227083333331</v>
      </c>
    </row>
    <row r="1730" s="70" customFormat="1" ht="11.25" customHeight="1">
      <c r="A1730" s="87"/>
      <c r="C1730" s="43" t="s">
        <v>3159</v>
      </c>
      <c r="D1730" s="71" t="s">
        <v>382</v>
      </c>
      <c r="E1730" s="71" t="str">
        <f>MID(D1730,1,2)</f>
        <v>IL</v>
      </c>
      <c r="F1730" s="71" t="s">
        <v>2546</v>
      </c>
      <c r="G1730" s="71" t="str">
        <f>MID(F1730,1,2)</f>
        <v>FR</v>
      </c>
      <c r="H1730" s="43" t="s">
        <v>3160</v>
      </c>
      <c r="I1730" s="71" t="s">
        <v>3161</v>
      </c>
      <c r="J1730" s="71" t="s">
        <v>400</v>
      </c>
      <c r="K1730" s="43"/>
      <c r="L1730" s="71" t="s">
        <v>105</v>
      </c>
      <c r="M1730" s="73">
        <v>1</v>
      </c>
      <c r="N1730" s="71" t="s">
        <v>388</v>
      </c>
      <c r="O1730" s="73">
        <v>0.017</v>
      </c>
      <c r="P1730" s="71" t="s">
        <v>389</v>
      </c>
      <c r="Q1730" s="73">
        <v>3</v>
      </c>
      <c r="R1730" s="71" t="s">
        <v>388</v>
      </c>
      <c r="S1730" s="73">
        <v>0</v>
      </c>
      <c r="T1730" s="71" t="s">
        <v>390</v>
      </c>
      <c r="U1730" s="74">
        <v>1</v>
      </c>
      <c r="V1730" s="71" t="s">
        <v>446</v>
      </c>
      <c r="W1730" s="130"/>
      <c r="X1730" s="72">
        <v>46072.690972222219</v>
      </c>
      <c r="Y1730" s="72">
        <v>46073.399305555555</v>
      </c>
      <c r="Z1730" s="104" t="s">
        <v>382</v>
      </c>
      <c r="AA1730" s="104" t="s">
        <v>383</v>
      </c>
      <c r="AB1730" s="105">
        <v>46072.730555555558</v>
      </c>
      <c r="AC1730" s="105">
        <v>46072.870833333334</v>
      </c>
    </row>
    <row r="1731" s="70" customFormat="1" ht="11.25" customHeight="1">
      <c r="A1731" s="87"/>
      <c r="C1731" s="43" t="s">
        <v>3159</v>
      </c>
      <c r="D1731" s="71" t="s">
        <v>382</v>
      </c>
      <c r="E1731" s="71" t="str">
        <f>MID(D1731,1,2)</f>
        <v>IL</v>
      </c>
      <c r="F1731" s="71" t="s">
        <v>2546</v>
      </c>
      <c r="G1731" s="71" t="str">
        <f>MID(F1731,1,2)</f>
        <v>FR</v>
      </c>
      <c r="H1731" s="43" t="s">
        <v>3160</v>
      </c>
      <c r="I1731" s="71" t="s">
        <v>3161</v>
      </c>
      <c r="J1731" s="71" t="s">
        <v>400</v>
      </c>
      <c r="K1731" s="43"/>
      <c r="L1731" s="71" t="s">
        <v>105</v>
      </c>
      <c r="M1731" s="73">
        <v>1</v>
      </c>
      <c r="N1731" s="71" t="s">
        <v>388</v>
      </c>
      <c r="O1731" s="73">
        <v>0.017</v>
      </c>
      <c r="P1731" s="71" t="s">
        <v>389</v>
      </c>
      <c r="Q1731" s="73">
        <v>3</v>
      </c>
      <c r="R1731" s="71" t="s">
        <v>388</v>
      </c>
      <c r="S1731" s="73">
        <v>0</v>
      </c>
      <c r="T1731" s="71" t="s">
        <v>390</v>
      </c>
      <c r="U1731" s="74">
        <v>1</v>
      </c>
      <c r="V1731" s="71" t="s">
        <v>446</v>
      </c>
      <c r="W1731" s="130"/>
      <c r="X1731" s="72">
        <v>46072.690972222219</v>
      </c>
      <c r="Y1731" s="72">
        <v>46073.399305555555</v>
      </c>
      <c r="Z1731" s="104" t="s">
        <v>383</v>
      </c>
      <c r="AA1731" s="104" t="s">
        <v>2546</v>
      </c>
      <c r="AB1731" s="105">
        <v>46073.330555555556</v>
      </c>
      <c r="AC1731" s="105">
        <v>46073.388194444444</v>
      </c>
    </row>
    <row r="1732" s="70" customFormat="1" ht="11.25" customHeight="1">
      <c r="A1732" s="87"/>
      <c r="C1732" s="43" t="s">
        <v>3162</v>
      </c>
      <c r="D1732" s="71" t="s">
        <v>382</v>
      </c>
      <c r="E1732" s="71" t="str">
        <f>MID(D1732,1,2)</f>
        <v>IL</v>
      </c>
      <c r="F1732" s="71" t="s">
        <v>3163</v>
      </c>
      <c r="G1732" s="71" t="str">
        <f>MID(F1732,1,2)</f>
        <v>SI</v>
      </c>
      <c r="H1732" s="43" t="s">
        <v>3164</v>
      </c>
      <c r="I1732" s="71" t="s">
        <v>3165</v>
      </c>
      <c r="J1732" s="71" t="s">
        <v>386</v>
      </c>
      <c r="K1732" s="43"/>
      <c r="L1732" s="71" t="s">
        <v>107</v>
      </c>
      <c r="M1732" s="73">
        <v>739</v>
      </c>
      <c r="N1732" s="71" t="s">
        <v>388</v>
      </c>
      <c r="O1732" s="73">
        <v>1.672</v>
      </c>
      <c r="P1732" s="71" t="s">
        <v>389</v>
      </c>
      <c r="Q1732" s="73">
        <v>739</v>
      </c>
      <c r="R1732" s="71" t="s">
        <v>388</v>
      </c>
      <c r="S1732" s="73">
        <v>0</v>
      </c>
      <c r="T1732" s="71" t="s">
        <v>390</v>
      </c>
      <c r="U1732" s="74">
        <v>2</v>
      </c>
      <c r="V1732" s="71" t="s">
        <v>391</v>
      </c>
      <c r="W1732" s="130">
        <v>46073.036435185182</v>
      </c>
      <c r="X1732" s="72">
        <v>46073.572916666664</v>
      </c>
      <c r="Y1732" s="72">
        <v>46078.600694444445</v>
      </c>
      <c r="Z1732" s="104" t="s">
        <v>382</v>
      </c>
      <c r="AA1732" s="104" t="s">
        <v>383</v>
      </c>
      <c r="AB1732" s="105">
        <v>46076.554861111108</v>
      </c>
      <c r="AC1732" s="105">
        <v>46076.714583333334</v>
      </c>
    </row>
    <row r="1733" s="70" customFormat="1" ht="11.25" customHeight="1">
      <c r="A1733" s="87"/>
      <c r="C1733" s="43" t="s">
        <v>3162</v>
      </c>
      <c r="D1733" s="71" t="s">
        <v>382</v>
      </c>
      <c r="E1733" s="71" t="str">
        <f>MID(D1733,1,2)</f>
        <v>IL</v>
      </c>
      <c r="F1733" s="71" t="s">
        <v>3163</v>
      </c>
      <c r="G1733" s="71" t="str">
        <f>MID(F1733,1,2)</f>
        <v>SI</v>
      </c>
      <c r="H1733" s="43" t="s">
        <v>3164</v>
      </c>
      <c r="I1733" s="71" t="s">
        <v>3165</v>
      </c>
      <c r="J1733" s="71" t="s">
        <v>386</v>
      </c>
      <c r="K1733" s="43"/>
      <c r="L1733" s="71" t="s">
        <v>107</v>
      </c>
      <c r="M1733" s="73">
        <v>739</v>
      </c>
      <c r="N1733" s="71" t="s">
        <v>388</v>
      </c>
      <c r="O1733" s="73">
        <v>1.672</v>
      </c>
      <c r="P1733" s="71" t="s">
        <v>389</v>
      </c>
      <c r="Q1733" s="73">
        <v>739</v>
      </c>
      <c r="R1733" s="71" t="s">
        <v>388</v>
      </c>
      <c r="S1733" s="73">
        <v>0</v>
      </c>
      <c r="T1733" s="71" t="s">
        <v>390</v>
      </c>
      <c r="U1733" s="74">
        <v>2</v>
      </c>
      <c r="V1733" s="71" t="s">
        <v>391</v>
      </c>
      <c r="W1733" s="130">
        <v>46073.036435185182</v>
      </c>
      <c r="X1733" s="72">
        <v>46073.572916666664</v>
      </c>
      <c r="Y1733" s="72">
        <v>46078.600694444445</v>
      </c>
      <c r="Z1733" s="104" t="s">
        <v>383</v>
      </c>
      <c r="AA1733" s="104" t="s">
        <v>595</v>
      </c>
      <c r="AB1733" s="105">
        <v>46077.851388888892</v>
      </c>
      <c r="AC1733" s="105">
        <v>46075.295138888891</v>
      </c>
    </row>
    <row r="1734" s="70" customFormat="1" ht="11.25" customHeight="1">
      <c r="A1734" s="87"/>
      <c r="C1734" s="43" t="s">
        <v>3166</v>
      </c>
      <c r="D1734" s="71" t="s">
        <v>382</v>
      </c>
      <c r="E1734" s="71" t="str">
        <f>MID(D1734,1,2)</f>
        <v>IL</v>
      </c>
      <c r="F1734" s="71" t="s">
        <v>963</v>
      </c>
      <c r="G1734" s="71" t="str">
        <f>MID(F1734,1,2)</f>
        <v>IN</v>
      </c>
      <c r="H1734" s="43" t="s">
        <v>3025</v>
      </c>
      <c r="I1734" s="71" t="s">
        <v>3167</v>
      </c>
      <c r="J1734" s="71" t="s">
        <v>400</v>
      </c>
      <c r="K1734" s="43"/>
      <c r="L1734" s="71" t="s">
        <v>105</v>
      </c>
      <c r="M1734" s="73">
        <v>33</v>
      </c>
      <c r="N1734" s="71" t="s">
        <v>388</v>
      </c>
      <c r="O1734" s="73">
        <v>0.389</v>
      </c>
      <c r="P1734" s="71" t="s">
        <v>389</v>
      </c>
      <c r="Q1734" s="73">
        <v>65</v>
      </c>
      <c r="R1734" s="71" t="s">
        <v>388</v>
      </c>
      <c r="S1734" s="73">
        <v>0</v>
      </c>
      <c r="T1734" s="71" t="s">
        <v>390</v>
      </c>
      <c r="U1734" s="74">
        <v>1</v>
      </c>
      <c r="V1734" s="71" t="s">
        <v>391</v>
      </c>
      <c r="W1734" s="130">
        <v>46071.583333333336</v>
      </c>
      <c r="X1734" s="72">
        <v>46074.895833333336</v>
      </c>
      <c r="Y1734" s="72">
        <v>46078.024305555555</v>
      </c>
      <c r="Z1734" s="104" t="s">
        <v>382</v>
      </c>
      <c r="AA1734" s="104" t="s">
        <v>833</v>
      </c>
      <c r="AB1734" s="105">
        <v>46074.890972222223</v>
      </c>
      <c r="AC1734" s="105">
        <v>46075.548611111109</v>
      </c>
    </row>
    <row r="1735" s="70" customFormat="1" ht="11.25" customHeight="1">
      <c r="A1735" s="87"/>
      <c r="C1735" s="43" t="s">
        <v>3166</v>
      </c>
      <c r="D1735" s="71" t="s">
        <v>382</v>
      </c>
      <c r="E1735" s="71" t="str">
        <f>MID(D1735,1,2)</f>
        <v>IL</v>
      </c>
      <c r="F1735" s="71" t="s">
        <v>963</v>
      </c>
      <c r="G1735" s="71" t="str">
        <f>MID(F1735,1,2)</f>
        <v>IN</v>
      </c>
      <c r="H1735" s="43" t="s">
        <v>3025</v>
      </c>
      <c r="I1735" s="71" t="s">
        <v>3167</v>
      </c>
      <c r="J1735" s="71" t="s">
        <v>400</v>
      </c>
      <c r="K1735" s="43"/>
      <c r="L1735" s="71" t="s">
        <v>105</v>
      </c>
      <c r="M1735" s="73">
        <v>33</v>
      </c>
      <c r="N1735" s="71" t="s">
        <v>388</v>
      </c>
      <c r="O1735" s="73">
        <v>0.389</v>
      </c>
      <c r="P1735" s="71" t="s">
        <v>389</v>
      </c>
      <c r="Q1735" s="73">
        <v>65</v>
      </c>
      <c r="R1735" s="71" t="s">
        <v>388</v>
      </c>
      <c r="S1735" s="73">
        <v>0</v>
      </c>
      <c r="T1735" s="71" t="s">
        <v>390</v>
      </c>
      <c r="U1735" s="74">
        <v>1</v>
      </c>
      <c r="V1735" s="71" t="s">
        <v>391</v>
      </c>
      <c r="W1735" s="130">
        <v>46071.583333333336</v>
      </c>
      <c r="X1735" s="72">
        <v>46074.895833333336</v>
      </c>
      <c r="Y1735" s="72">
        <v>46078.024305555555</v>
      </c>
      <c r="Z1735" s="104" t="s">
        <v>833</v>
      </c>
      <c r="AA1735" s="104" t="s">
        <v>963</v>
      </c>
      <c r="AB1735" s="105">
        <v>46077.920138888891</v>
      </c>
      <c r="AC1735" s="105">
        <v>46078.165277777778</v>
      </c>
    </row>
    <row r="1736" s="70" customFormat="1" ht="11.25" customHeight="1">
      <c r="A1736" s="87"/>
      <c r="C1736" s="43" t="s">
        <v>3168</v>
      </c>
      <c r="D1736" s="71" t="s">
        <v>382</v>
      </c>
      <c r="E1736" s="71" t="str">
        <f>MID(D1736,1,2)</f>
        <v>IL</v>
      </c>
      <c r="F1736" s="71" t="s">
        <v>414</v>
      </c>
      <c r="G1736" s="71" t="str">
        <f>MID(F1736,1,2)</f>
        <v>US</v>
      </c>
      <c r="H1736" s="43" t="s">
        <v>2847</v>
      </c>
      <c r="I1736" s="71" t="s">
        <v>3169</v>
      </c>
      <c r="J1736" s="71" t="s">
        <v>386</v>
      </c>
      <c r="K1736" s="43" t="s">
        <v>759</v>
      </c>
      <c r="L1736" s="71" t="s">
        <v>107</v>
      </c>
      <c r="M1736" s="73">
        <v>10</v>
      </c>
      <c r="N1736" s="71" t="s">
        <v>388</v>
      </c>
      <c r="O1736" s="73">
        <v>0.048</v>
      </c>
      <c r="P1736" s="71" t="s">
        <v>389</v>
      </c>
      <c r="Q1736" s="73">
        <v>10</v>
      </c>
      <c r="R1736" s="71" t="s">
        <v>388</v>
      </c>
      <c r="S1736" s="73">
        <v>0</v>
      </c>
      <c r="T1736" s="71" t="s">
        <v>390</v>
      </c>
      <c r="U1736" s="74">
        <v>1</v>
      </c>
      <c r="V1736" s="71" t="s">
        <v>427</v>
      </c>
      <c r="W1736" s="130">
        <v>46071.863136574073</v>
      </c>
      <c r="X1736" s="72">
        <v>46073.03125</v>
      </c>
      <c r="Y1736" s="72">
        <v>46073.239583333336</v>
      </c>
      <c r="Z1736" s="104" t="s">
        <v>382</v>
      </c>
      <c r="AA1736" s="104" t="s">
        <v>414</v>
      </c>
      <c r="AB1736" s="105">
        <v>46073.040277777778</v>
      </c>
      <c r="AC1736" s="105">
        <v>46073.227083333331</v>
      </c>
    </row>
    <row r="1737" s="70" customFormat="1" ht="11.25" customHeight="1">
      <c r="A1737" s="87"/>
      <c r="C1737" s="43" t="s">
        <v>3170</v>
      </c>
      <c r="D1737" s="71" t="s">
        <v>382</v>
      </c>
      <c r="E1737" s="71" t="str">
        <f>MID(D1737,1,2)</f>
        <v>IL</v>
      </c>
      <c r="F1737" s="71" t="s">
        <v>414</v>
      </c>
      <c r="G1737" s="71" t="str">
        <f>MID(F1737,1,2)</f>
        <v>US</v>
      </c>
      <c r="H1737" s="43" t="s">
        <v>2847</v>
      </c>
      <c r="I1737" s="71" t="s">
        <v>3171</v>
      </c>
      <c r="J1737" s="71" t="s">
        <v>386</v>
      </c>
      <c r="K1737" s="43" t="s">
        <v>759</v>
      </c>
      <c r="L1737" s="71" t="s">
        <v>107</v>
      </c>
      <c r="M1737" s="73">
        <v>10</v>
      </c>
      <c r="N1737" s="71" t="s">
        <v>388</v>
      </c>
      <c r="O1737" s="73">
        <v>0.048</v>
      </c>
      <c r="P1737" s="71" t="s">
        <v>389</v>
      </c>
      <c r="Q1737" s="73">
        <v>10</v>
      </c>
      <c r="R1737" s="71" t="s">
        <v>388</v>
      </c>
      <c r="S1737" s="73">
        <v>0</v>
      </c>
      <c r="T1737" s="71" t="s">
        <v>390</v>
      </c>
      <c r="U1737" s="74">
        <v>1</v>
      </c>
      <c r="V1737" s="71" t="s">
        <v>427</v>
      </c>
      <c r="W1737" s="130">
        <v>46071.597916666666</v>
      </c>
      <c r="X1737" s="72">
        <v>46073.03125</v>
      </c>
      <c r="Y1737" s="72">
        <v>46073.239583333336</v>
      </c>
      <c r="Z1737" s="104" t="s">
        <v>382</v>
      </c>
      <c r="AA1737" s="104" t="s">
        <v>414</v>
      </c>
      <c r="AB1737" s="105">
        <v>46073.040277777778</v>
      </c>
      <c r="AC1737" s="105">
        <v>46073.227083333331</v>
      </c>
    </row>
    <row r="1738" s="70" customFormat="1" ht="11.25" customHeight="1">
      <c r="A1738" s="87"/>
      <c r="C1738" s="43" t="s">
        <v>3172</v>
      </c>
      <c r="D1738" s="71" t="s">
        <v>382</v>
      </c>
      <c r="E1738" s="71" t="str">
        <f>MID(D1738,1,2)</f>
        <v>IL</v>
      </c>
      <c r="F1738" s="71" t="s">
        <v>3173</v>
      </c>
      <c r="G1738" s="71" t="str">
        <f>MID(F1738,1,2)</f>
        <v>LV</v>
      </c>
      <c r="H1738" s="43" t="s">
        <v>3174</v>
      </c>
      <c r="I1738" s="71" t="s">
        <v>3175</v>
      </c>
      <c r="J1738" s="71" t="s">
        <v>386</v>
      </c>
      <c r="K1738" s="43"/>
      <c r="L1738" s="71" t="s">
        <v>107</v>
      </c>
      <c r="M1738" s="73">
        <v>123</v>
      </c>
      <c r="N1738" s="71" t="s">
        <v>388</v>
      </c>
      <c r="O1738" s="73">
        <v>0.448</v>
      </c>
      <c r="P1738" s="71" t="s">
        <v>389</v>
      </c>
      <c r="Q1738" s="73">
        <v>123</v>
      </c>
      <c r="R1738" s="71" t="s">
        <v>388</v>
      </c>
      <c r="S1738" s="73">
        <v>0</v>
      </c>
      <c r="T1738" s="71" t="s">
        <v>390</v>
      </c>
      <c r="U1738" s="74">
        <v>5</v>
      </c>
      <c r="V1738" s="71" t="s">
        <v>390</v>
      </c>
      <c r="W1738" s="130">
        <v>46072.58148148148</v>
      </c>
      <c r="X1738" s="72">
        <v>46078.465277777781</v>
      </c>
      <c r="Y1738" s="72">
        <v>46081.583333333336</v>
      </c>
      <c r="Z1738" s="104" t="s">
        <v>382</v>
      </c>
      <c r="AA1738" s="104" t="s">
        <v>383</v>
      </c>
      <c r="AB1738" s="105">
        <v>46078.970138888886</v>
      </c>
      <c r="AC1738" s="105">
        <v>46079.282638888886</v>
      </c>
    </row>
    <row r="1739" s="70" customFormat="1" ht="11.25" customHeight="1">
      <c r="A1739" s="87"/>
      <c r="C1739" s="43" t="s">
        <v>3172</v>
      </c>
      <c r="D1739" s="71" t="s">
        <v>382</v>
      </c>
      <c r="E1739" s="71" t="str">
        <f>MID(D1739,1,2)</f>
        <v>IL</v>
      </c>
      <c r="F1739" s="71" t="s">
        <v>3173</v>
      </c>
      <c r="G1739" s="71" t="str">
        <f>MID(F1739,1,2)</f>
        <v>LV</v>
      </c>
      <c r="H1739" s="43" t="s">
        <v>3174</v>
      </c>
      <c r="I1739" s="71" t="s">
        <v>3175</v>
      </c>
      <c r="J1739" s="71" t="s">
        <v>386</v>
      </c>
      <c r="K1739" s="43"/>
      <c r="L1739" s="71" t="s">
        <v>107</v>
      </c>
      <c r="M1739" s="73">
        <v>123</v>
      </c>
      <c r="N1739" s="71" t="s">
        <v>388</v>
      </c>
      <c r="O1739" s="73">
        <v>0.448</v>
      </c>
      <c r="P1739" s="71" t="s">
        <v>389</v>
      </c>
      <c r="Q1739" s="73">
        <v>123</v>
      </c>
      <c r="R1739" s="71" t="s">
        <v>388</v>
      </c>
      <c r="S1739" s="73">
        <v>0</v>
      </c>
      <c r="T1739" s="71" t="s">
        <v>390</v>
      </c>
      <c r="U1739" s="74">
        <v>5</v>
      </c>
      <c r="V1739" s="71" t="s">
        <v>390</v>
      </c>
      <c r="W1739" s="130">
        <v>46072.58148148148</v>
      </c>
      <c r="X1739" s="72">
        <v>46078.465277777781</v>
      </c>
      <c r="Y1739" s="72">
        <v>46081.583333333336</v>
      </c>
      <c r="Z1739" s="104" t="s">
        <v>383</v>
      </c>
      <c r="AA1739" s="104" t="s">
        <v>3173</v>
      </c>
      <c r="AB1739" s="105">
        <v>46080.869444444441</v>
      </c>
      <c r="AC1739" s="105">
        <v>46081.018055555556</v>
      </c>
    </row>
    <row r="1740" s="70" customFormat="1" ht="11.25" customHeight="1">
      <c r="A1740" s="87"/>
      <c r="C1740" s="43" t="s">
        <v>3176</v>
      </c>
      <c r="D1740" s="71" t="s">
        <v>382</v>
      </c>
      <c r="E1740" s="71" t="str">
        <f>MID(D1740,1,2)</f>
        <v>IL</v>
      </c>
      <c r="F1740" s="71" t="s">
        <v>2133</v>
      </c>
      <c r="G1740" s="71" t="str">
        <f>MID(F1740,1,2)</f>
        <v>FI</v>
      </c>
      <c r="H1740" s="43" t="s">
        <v>3177</v>
      </c>
      <c r="I1740" s="71" t="s">
        <v>3178</v>
      </c>
      <c r="J1740" s="71" t="s">
        <v>400</v>
      </c>
      <c r="K1740" s="43" t="s">
        <v>2469</v>
      </c>
      <c r="L1740" s="71" t="s">
        <v>105</v>
      </c>
      <c r="M1740" s="73">
        <v>1648</v>
      </c>
      <c r="N1740" s="71" t="s">
        <v>388</v>
      </c>
      <c r="O1740" s="73">
        <v>9.561</v>
      </c>
      <c r="P1740" s="71" t="s">
        <v>389</v>
      </c>
      <c r="Q1740" s="73">
        <v>1648</v>
      </c>
      <c r="R1740" s="71" t="s">
        <v>388</v>
      </c>
      <c r="S1740" s="73">
        <v>0</v>
      </c>
      <c r="T1740" s="71" t="s">
        <v>390</v>
      </c>
      <c r="U1740" s="74">
        <v>11</v>
      </c>
      <c r="V1740" s="71" t="s">
        <v>391</v>
      </c>
      <c r="W1740" s="130"/>
      <c r="X1740" s="72">
        <v>46073.572916666664</v>
      </c>
      <c r="Y1740" s="72">
        <v>46075.097222222219</v>
      </c>
      <c r="Z1740" s="104" t="s">
        <v>382</v>
      </c>
      <c r="AA1740" s="104" t="s">
        <v>383</v>
      </c>
      <c r="AB1740" s="105">
        <v>46073.555555555555</v>
      </c>
      <c r="AC1740" s="105">
        <v>46073.692361111112</v>
      </c>
    </row>
    <row r="1741" s="70" customFormat="1" ht="11.25" customHeight="1">
      <c r="A1741" s="87"/>
      <c r="C1741" s="43" t="s">
        <v>3176</v>
      </c>
      <c r="D1741" s="71" t="s">
        <v>382</v>
      </c>
      <c r="E1741" s="71" t="str">
        <f>MID(D1741,1,2)</f>
        <v>IL</v>
      </c>
      <c r="F1741" s="71" t="s">
        <v>2133</v>
      </c>
      <c r="G1741" s="71" t="str">
        <f>MID(F1741,1,2)</f>
        <v>FI</v>
      </c>
      <c r="H1741" s="43" t="s">
        <v>3177</v>
      </c>
      <c r="I1741" s="71" t="s">
        <v>3178</v>
      </c>
      <c r="J1741" s="71" t="s">
        <v>400</v>
      </c>
      <c r="K1741" s="43" t="s">
        <v>2469</v>
      </c>
      <c r="L1741" s="71" t="s">
        <v>105</v>
      </c>
      <c r="M1741" s="73">
        <v>1648</v>
      </c>
      <c r="N1741" s="71" t="s">
        <v>388</v>
      </c>
      <c r="O1741" s="73">
        <v>9.561</v>
      </c>
      <c r="P1741" s="71" t="s">
        <v>389</v>
      </c>
      <c r="Q1741" s="73">
        <v>1648</v>
      </c>
      <c r="R1741" s="71" t="s">
        <v>388</v>
      </c>
      <c r="S1741" s="73">
        <v>0</v>
      </c>
      <c r="T1741" s="71" t="s">
        <v>390</v>
      </c>
      <c r="U1741" s="74">
        <v>11</v>
      </c>
      <c r="V1741" s="71" t="s">
        <v>391</v>
      </c>
      <c r="W1741" s="130"/>
      <c r="X1741" s="72">
        <v>46073.572916666664</v>
      </c>
      <c r="Y1741" s="72">
        <v>46075.097222222219</v>
      </c>
      <c r="Z1741" s="104" t="s">
        <v>383</v>
      </c>
      <c r="AA1741" s="104" t="s">
        <v>2133</v>
      </c>
      <c r="AB1741" s="105">
        <v>46074.864583333336</v>
      </c>
      <c r="AC1741" s="105">
        <v>46075.091666666667</v>
      </c>
    </row>
    <row r="1742" s="70" customFormat="1" ht="11.25" customHeight="1">
      <c r="A1742" s="87"/>
      <c r="C1742" s="43" t="s">
        <v>3179</v>
      </c>
      <c r="D1742" s="71" t="s">
        <v>382</v>
      </c>
      <c r="E1742" s="71" t="str">
        <f>MID(D1742,1,2)</f>
        <v>IL</v>
      </c>
      <c r="F1742" s="71" t="s">
        <v>496</v>
      </c>
      <c r="G1742" s="71" t="str">
        <f>MID(F1742,1,2)</f>
        <v>RO</v>
      </c>
      <c r="H1742" s="43" t="s">
        <v>3037</v>
      </c>
      <c r="I1742" s="71" t="s">
        <v>3180</v>
      </c>
      <c r="J1742" s="71" t="s">
        <v>400</v>
      </c>
      <c r="K1742" s="43"/>
      <c r="L1742" s="71" t="s">
        <v>105</v>
      </c>
      <c r="M1742" s="73">
        <v>5</v>
      </c>
      <c r="N1742" s="71" t="s">
        <v>388</v>
      </c>
      <c r="O1742" s="73">
        <v>0.045</v>
      </c>
      <c r="P1742" s="71" t="s">
        <v>389</v>
      </c>
      <c r="Q1742" s="73">
        <v>7.5</v>
      </c>
      <c r="R1742" s="71" t="s">
        <v>388</v>
      </c>
      <c r="S1742" s="73">
        <v>0</v>
      </c>
      <c r="T1742" s="71" t="s">
        <v>390</v>
      </c>
      <c r="U1742" s="74">
        <v>1</v>
      </c>
      <c r="V1742" s="71" t="s">
        <v>391</v>
      </c>
      <c r="W1742" s="130">
        <v>46071.611805555556</v>
      </c>
      <c r="X1742" s="72">
        <v>46073.013888888891</v>
      </c>
      <c r="Y1742" s="72">
        <v>46076.111111111109</v>
      </c>
      <c r="Z1742" s="104" t="s">
        <v>382</v>
      </c>
      <c r="AA1742" s="104" t="s">
        <v>496</v>
      </c>
      <c r="AB1742" s="105">
        <v>46075.996527777781</v>
      </c>
      <c r="AC1742" s="105">
        <v>46076.14166666667</v>
      </c>
    </row>
    <row r="1743" s="70" customFormat="1" ht="11.25" customHeight="1">
      <c r="A1743" s="87"/>
      <c r="C1743" s="43" t="s">
        <v>3181</v>
      </c>
      <c r="D1743" s="71" t="s">
        <v>382</v>
      </c>
      <c r="E1743" s="71" t="str">
        <f>MID(D1743,1,2)</f>
        <v>IL</v>
      </c>
      <c r="F1743" s="71" t="s">
        <v>590</v>
      </c>
      <c r="G1743" s="71" t="str">
        <f>MID(F1743,1,2)</f>
        <v>ES</v>
      </c>
      <c r="H1743" s="43" t="s">
        <v>3182</v>
      </c>
      <c r="I1743" s="71"/>
      <c r="J1743" s="71" t="s">
        <v>411</v>
      </c>
      <c r="K1743" s="43"/>
      <c r="L1743" s="71" t="s">
        <v>105</v>
      </c>
      <c r="M1743" s="73">
        <v>1</v>
      </c>
      <c r="N1743" s="71" t="s">
        <v>388</v>
      </c>
      <c r="O1743" s="73">
        <v>0.024</v>
      </c>
      <c r="P1743" s="71" t="s">
        <v>389</v>
      </c>
      <c r="Q1743" s="73">
        <v>4</v>
      </c>
      <c r="R1743" s="71" t="s">
        <v>388</v>
      </c>
      <c r="S1743" s="73">
        <v>0</v>
      </c>
      <c r="T1743" s="71" t="s">
        <v>390</v>
      </c>
      <c r="U1743" s="74">
        <v>1</v>
      </c>
      <c r="V1743" s="71" t="s">
        <v>390</v>
      </c>
      <c r="W1743" s="130"/>
      <c r="X1743" s="72">
        <v>46073.690972222219</v>
      </c>
      <c r="Y1743" s="72">
        <v>46074.638888888891</v>
      </c>
      <c r="Z1743" s="104" t="s">
        <v>382</v>
      </c>
      <c r="AA1743" s="104" t="s">
        <v>383</v>
      </c>
      <c r="AB1743" s="105">
        <v>46073.699305555558</v>
      </c>
      <c r="AC1743" s="105">
        <v>46073.840277777781</v>
      </c>
    </row>
    <row r="1744" s="70" customFormat="1" ht="11.25" customHeight="1">
      <c r="A1744" s="87"/>
      <c r="C1744" s="43" t="s">
        <v>3181</v>
      </c>
      <c r="D1744" s="71" t="s">
        <v>382</v>
      </c>
      <c r="E1744" s="71" t="str">
        <f>MID(D1744,1,2)</f>
        <v>IL</v>
      </c>
      <c r="F1744" s="71" t="s">
        <v>590</v>
      </c>
      <c r="G1744" s="71" t="str">
        <f>MID(F1744,1,2)</f>
        <v>ES</v>
      </c>
      <c r="H1744" s="43" t="s">
        <v>3182</v>
      </c>
      <c r="I1744" s="71"/>
      <c r="J1744" s="71" t="s">
        <v>411</v>
      </c>
      <c r="K1744" s="43"/>
      <c r="L1744" s="71" t="s">
        <v>105</v>
      </c>
      <c r="M1744" s="73">
        <v>1</v>
      </c>
      <c r="N1744" s="71" t="s">
        <v>388</v>
      </c>
      <c r="O1744" s="73">
        <v>0.024</v>
      </c>
      <c r="P1744" s="71" t="s">
        <v>389</v>
      </c>
      <c r="Q1744" s="73">
        <v>4</v>
      </c>
      <c r="R1744" s="71" t="s">
        <v>388</v>
      </c>
      <c r="S1744" s="73">
        <v>0</v>
      </c>
      <c r="T1744" s="71" t="s">
        <v>390</v>
      </c>
      <c r="U1744" s="74">
        <v>1</v>
      </c>
      <c r="V1744" s="71" t="s">
        <v>390</v>
      </c>
      <c r="W1744" s="130"/>
      <c r="X1744" s="72">
        <v>46073.690972222219</v>
      </c>
      <c r="Y1744" s="72">
        <v>46074.638888888891</v>
      </c>
      <c r="Z1744" s="104" t="s">
        <v>383</v>
      </c>
      <c r="AA1744" s="104" t="s">
        <v>590</v>
      </c>
      <c r="AB1744" s="105">
        <v>46074.355555555558</v>
      </c>
      <c r="AC1744" s="105">
        <v>46074.64166666667</v>
      </c>
    </row>
    <row r="1745" s="70" customFormat="1" ht="11.25" customHeight="1">
      <c r="A1745" s="87"/>
      <c r="C1745" s="43" t="s">
        <v>3183</v>
      </c>
      <c r="D1745" s="71" t="s">
        <v>382</v>
      </c>
      <c r="E1745" s="71" t="str">
        <f>MID(D1745,1,2)</f>
        <v>IL</v>
      </c>
      <c r="F1745" s="71" t="s">
        <v>522</v>
      </c>
      <c r="G1745" s="71" t="str">
        <f>MID(F1745,1,2)</f>
        <v>CZ</v>
      </c>
      <c r="H1745" s="43" t="s">
        <v>2171</v>
      </c>
      <c r="I1745" s="71" t="s">
        <v>3184</v>
      </c>
      <c r="J1745" s="71" t="s">
        <v>386</v>
      </c>
      <c r="K1745" s="43"/>
      <c r="L1745" s="71" t="s">
        <v>107</v>
      </c>
      <c r="M1745" s="73">
        <v>99</v>
      </c>
      <c r="N1745" s="71" t="s">
        <v>388</v>
      </c>
      <c r="O1745" s="73">
        <v>1.517</v>
      </c>
      <c r="P1745" s="71" t="s">
        <v>389</v>
      </c>
      <c r="Q1745" s="73">
        <v>253</v>
      </c>
      <c r="R1745" s="71" t="s">
        <v>388</v>
      </c>
      <c r="S1745" s="73">
        <v>0</v>
      </c>
      <c r="T1745" s="71" t="s">
        <v>390</v>
      </c>
      <c r="U1745" s="74">
        <v>1</v>
      </c>
      <c r="V1745" s="71" t="s">
        <v>391</v>
      </c>
      <c r="W1745" s="130">
        <v>46072.703067129631</v>
      </c>
      <c r="X1745" s="72">
        <v>46074.552083333336</v>
      </c>
      <c r="Y1745" s="72">
        <v>46079.63125</v>
      </c>
      <c r="Z1745" s="104" t="s">
        <v>383</v>
      </c>
      <c r="AA1745" s="104" t="s">
        <v>522</v>
      </c>
      <c r="AB1745" s="105">
        <v>46077.828472222223</v>
      </c>
      <c r="AC1745" s="105">
        <v>46079.63125</v>
      </c>
    </row>
    <row r="1746" s="70" customFormat="1" ht="11.25" customHeight="1">
      <c r="A1746" s="87"/>
      <c r="C1746" s="43" t="s">
        <v>3183</v>
      </c>
      <c r="D1746" s="71" t="s">
        <v>382</v>
      </c>
      <c r="E1746" s="71" t="str">
        <f>MID(D1746,1,2)</f>
        <v>IL</v>
      </c>
      <c r="F1746" s="71" t="s">
        <v>522</v>
      </c>
      <c r="G1746" s="71" t="str">
        <f>MID(F1746,1,2)</f>
        <v>CZ</v>
      </c>
      <c r="H1746" s="43" t="s">
        <v>2171</v>
      </c>
      <c r="I1746" s="71" t="s">
        <v>3184</v>
      </c>
      <c r="J1746" s="71" t="s">
        <v>386</v>
      </c>
      <c r="K1746" s="43"/>
      <c r="L1746" s="71" t="s">
        <v>107</v>
      </c>
      <c r="M1746" s="73">
        <v>99</v>
      </c>
      <c r="N1746" s="71" t="s">
        <v>388</v>
      </c>
      <c r="O1746" s="73">
        <v>1.517</v>
      </c>
      <c r="P1746" s="71" t="s">
        <v>389</v>
      </c>
      <c r="Q1746" s="73">
        <v>253</v>
      </c>
      <c r="R1746" s="71" t="s">
        <v>388</v>
      </c>
      <c r="S1746" s="73">
        <v>0</v>
      </c>
      <c r="T1746" s="71" t="s">
        <v>390</v>
      </c>
      <c r="U1746" s="74">
        <v>1</v>
      </c>
      <c r="V1746" s="71" t="s">
        <v>391</v>
      </c>
      <c r="W1746" s="130">
        <v>46072.703067129631</v>
      </c>
      <c r="X1746" s="72">
        <v>46074.552083333336</v>
      </c>
      <c r="Y1746" s="72">
        <v>46079.63125</v>
      </c>
      <c r="Z1746" s="104" t="s">
        <v>382</v>
      </c>
      <c r="AA1746" s="104" t="s">
        <v>1117</v>
      </c>
      <c r="AB1746" s="105">
        <v>46074.552083333336</v>
      </c>
      <c r="AC1746" s="105"/>
    </row>
    <row r="1747" s="70" customFormat="1" ht="11.25" customHeight="1">
      <c r="A1747" s="87"/>
      <c r="C1747" s="43" t="s">
        <v>3183</v>
      </c>
      <c r="D1747" s="71" t="s">
        <v>382</v>
      </c>
      <c r="E1747" s="71" t="str">
        <f>MID(D1747,1,2)</f>
        <v>IL</v>
      </c>
      <c r="F1747" s="71" t="s">
        <v>522</v>
      </c>
      <c r="G1747" s="71" t="str">
        <f>MID(F1747,1,2)</f>
        <v>CZ</v>
      </c>
      <c r="H1747" s="43" t="s">
        <v>2171</v>
      </c>
      <c r="I1747" s="71" t="s">
        <v>3184</v>
      </c>
      <c r="J1747" s="71" t="s">
        <v>386</v>
      </c>
      <c r="K1747" s="43"/>
      <c r="L1747" s="71" t="s">
        <v>107</v>
      </c>
      <c r="M1747" s="73">
        <v>99</v>
      </c>
      <c r="N1747" s="71" t="s">
        <v>388</v>
      </c>
      <c r="O1747" s="73">
        <v>1.517</v>
      </c>
      <c r="P1747" s="71" t="s">
        <v>389</v>
      </c>
      <c r="Q1747" s="73">
        <v>253</v>
      </c>
      <c r="R1747" s="71" t="s">
        <v>388</v>
      </c>
      <c r="S1747" s="73">
        <v>0</v>
      </c>
      <c r="T1747" s="71" t="s">
        <v>390</v>
      </c>
      <c r="U1747" s="74">
        <v>1</v>
      </c>
      <c r="V1747" s="71" t="s">
        <v>391</v>
      </c>
      <c r="W1747" s="130">
        <v>46072.703067129631</v>
      </c>
      <c r="X1747" s="72">
        <v>46074.552083333336</v>
      </c>
      <c r="Y1747" s="72">
        <v>46079.63125</v>
      </c>
      <c r="Z1747" s="104" t="s">
        <v>1117</v>
      </c>
      <c r="AA1747" s="104" t="s">
        <v>383</v>
      </c>
      <c r="AB1747" s="105">
        <v>46075.416666666664</v>
      </c>
      <c r="AC1747" s="105">
        <v>46075.603472222225</v>
      </c>
    </row>
    <row r="1748" s="70" customFormat="1" ht="11.25" customHeight="1">
      <c r="A1748" s="87"/>
      <c r="C1748" s="43" t="s">
        <v>3185</v>
      </c>
      <c r="D1748" s="71" t="s">
        <v>382</v>
      </c>
      <c r="E1748" s="71" t="str">
        <f>MID(D1748,1,2)</f>
        <v>IL</v>
      </c>
      <c r="F1748" s="71" t="s">
        <v>577</v>
      </c>
      <c r="G1748" s="71" t="str">
        <f>MID(F1748,1,2)</f>
        <v>FR</v>
      </c>
      <c r="H1748" s="43" t="s">
        <v>3186</v>
      </c>
      <c r="I1748" s="71" t="s">
        <v>3187</v>
      </c>
      <c r="J1748" s="71" t="s">
        <v>454</v>
      </c>
      <c r="K1748" s="43"/>
      <c r="L1748" s="71" t="s">
        <v>107</v>
      </c>
      <c r="M1748" s="73">
        <v>533</v>
      </c>
      <c r="N1748" s="71" t="s">
        <v>388</v>
      </c>
      <c r="O1748" s="73">
        <v>1.441</v>
      </c>
      <c r="P1748" s="71" t="s">
        <v>389</v>
      </c>
      <c r="Q1748" s="73">
        <v>533</v>
      </c>
      <c r="R1748" s="71" t="s">
        <v>388</v>
      </c>
      <c r="S1748" s="73">
        <v>0</v>
      </c>
      <c r="T1748" s="71" t="s">
        <v>390</v>
      </c>
      <c r="U1748" s="74">
        <v>1</v>
      </c>
      <c r="V1748" s="71" t="s">
        <v>391</v>
      </c>
      <c r="W1748" s="130">
        <v>46071.632638888892</v>
      </c>
      <c r="X1748" s="72">
        <v>46075.375</v>
      </c>
      <c r="Y1748" s="72">
        <v>46075.538194444445</v>
      </c>
      <c r="Z1748" s="104" t="s">
        <v>382</v>
      </c>
      <c r="AA1748" s="104" t="s">
        <v>577</v>
      </c>
      <c r="AB1748" s="105">
        <v>46075.36875</v>
      </c>
      <c r="AC1748" s="105">
        <v>46075.520833333336</v>
      </c>
    </row>
    <row r="1749" s="70" customFormat="1" ht="11.25" customHeight="1">
      <c r="A1749" s="87"/>
      <c r="C1749" s="43" t="s">
        <v>3188</v>
      </c>
      <c r="D1749" s="71" t="s">
        <v>382</v>
      </c>
      <c r="E1749" s="71" t="str">
        <f>MID(D1749,1,2)</f>
        <v>IL</v>
      </c>
      <c r="F1749" s="71" t="s">
        <v>468</v>
      </c>
      <c r="G1749" s="71" t="str">
        <f>MID(F1749,1,2)</f>
        <v>US</v>
      </c>
      <c r="H1749" s="43" t="s">
        <v>469</v>
      </c>
      <c r="I1749" s="71" t="s">
        <v>3189</v>
      </c>
      <c r="J1749" s="71" t="s">
        <v>386</v>
      </c>
      <c r="K1749" s="43"/>
      <c r="L1749" s="71" t="s">
        <v>107</v>
      </c>
      <c r="M1749" s="73">
        <v>27</v>
      </c>
      <c r="N1749" s="71" t="s">
        <v>388</v>
      </c>
      <c r="O1749" s="73">
        <v>0.311</v>
      </c>
      <c r="P1749" s="71" t="s">
        <v>389</v>
      </c>
      <c r="Q1749" s="73">
        <v>52</v>
      </c>
      <c r="R1749" s="71" t="s">
        <v>388</v>
      </c>
      <c r="S1749" s="73">
        <v>0</v>
      </c>
      <c r="T1749" s="71" t="s">
        <v>390</v>
      </c>
      <c r="U1749" s="74">
        <v>1</v>
      </c>
      <c r="V1749" s="71" t="s">
        <v>446</v>
      </c>
      <c r="W1749" s="130">
        <v>46077.368055555555</v>
      </c>
      <c r="X1749" s="72">
        <v>46078.979166666664</v>
      </c>
      <c r="Y1749" s="72">
        <v>46085.375</v>
      </c>
      <c r="Z1749" s="104" t="s">
        <v>382</v>
      </c>
      <c r="AA1749" s="104" t="s">
        <v>471</v>
      </c>
      <c r="AB1749" s="105">
        <v>46079.01458333333</v>
      </c>
      <c r="AC1749" s="105">
        <v>46079.202777777777</v>
      </c>
    </row>
    <row r="1750" s="70" customFormat="1" ht="11.25" customHeight="1">
      <c r="A1750" s="87"/>
      <c r="C1750" s="43" t="s">
        <v>3188</v>
      </c>
      <c r="D1750" s="71" t="s">
        <v>382</v>
      </c>
      <c r="E1750" s="71" t="str">
        <f>MID(D1750,1,2)</f>
        <v>IL</v>
      </c>
      <c r="F1750" s="71" t="s">
        <v>468</v>
      </c>
      <c r="G1750" s="71" t="str">
        <f>MID(F1750,1,2)</f>
        <v>US</v>
      </c>
      <c r="H1750" s="43" t="s">
        <v>469</v>
      </c>
      <c r="I1750" s="71" t="s">
        <v>3189</v>
      </c>
      <c r="J1750" s="71" t="s">
        <v>386</v>
      </c>
      <c r="K1750" s="43"/>
      <c r="L1750" s="71" t="s">
        <v>107</v>
      </c>
      <c r="M1750" s="73">
        <v>27</v>
      </c>
      <c r="N1750" s="71" t="s">
        <v>388</v>
      </c>
      <c r="O1750" s="73">
        <v>0.311</v>
      </c>
      <c r="P1750" s="71" t="s">
        <v>389</v>
      </c>
      <c r="Q1750" s="73">
        <v>52</v>
      </c>
      <c r="R1750" s="71" t="s">
        <v>388</v>
      </c>
      <c r="S1750" s="73">
        <v>0</v>
      </c>
      <c r="T1750" s="71" t="s">
        <v>390</v>
      </c>
      <c r="U1750" s="74">
        <v>1</v>
      </c>
      <c r="V1750" s="71" t="s">
        <v>446</v>
      </c>
      <c r="W1750" s="130">
        <v>46077.368055555555</v>
      </c>
      <c r="X1750" s="72">
        <v>46078.979166666664</v>
      </c>
      <c r="Y1750" s="72">
        <v>46085.375</v>
      </c>
      <c r="Z1750" s="104" t="s">
        <v>422</v>
      </c>
      <c r="AA1750" s="104" t="s">
        <v>468</v>
      </c>
      <c r="AB1750" s="105">
        <v>46079.650694444441</v>
      </c>
      <c r="AC1750" s="105">
        <v>46081.484027777777</v>
      </c>
    </row>
    <row r="1751" s="70" customFormat="1" ht="11.25" customHeight="1">
      <c r="A1751" s="87"/>
      <c r="C1751" s="43" t="s">
        <v>3190</v>
      </c>
      <c r="D1751" s="71" t="s">
        <v>382</v>
      </c>
      <c r="E1751" s="71" t="str">
        <f>MID(D1751,1,2)</f>
        <v>IL</v>
      </c>
      <c r="F1751" s="71" t="s">
        <v>383</v>
      </c>
      <c r="G1751" s="71" t="str">
        <f>MID(F1751,1,2)</f>
        <v>DE</v>
      </c>
      <c r="H1751" s="43" t="s">
        <v>3191</v>
      </c>
      <c r="I1751" s="71" t="s">
        <v>3192</v>
      </c>
      <c r="J1751" s="71" t="s">
        <v>400</v>
      </c>
      <c r="K1751" s="43" t="s">
        <v>1722</v>
      </c>
      <c r="L1751" s="71" t="s">
        <v>105</v>
      </c>
      <c r="M1751" s="73">
        <v>160</v>
      </c>
      <c r="N1751" s="71" t="s">
        <v>388</v>
      </c>
      <c r="O1751" s="73">
        <v>0.979</v>
      </c>
      <c r="P1751" s="71" t="s">
        <v>389</v>
      </c>
      <c r="Q1751" s="73">
        <v>163.5</v>
      </c>
      <c r="R1751" s="71" t="s">
        <v>388</v>
      </c>
      <c r="S1751" s="73">
        <v>0</v>
      </c>
      <c r="T1751" s="71" t="s">
        <v>390</v>
      </c>
      <c r="U1751" s="74">
        <v>1</v>
      </c>
      <c r="V1751" s="71" t="s">
        <v>391</v>
      </c>
      <c r="W1751" s="130">
        <v>46072.984340277777</v>
      </c>
      <c r="X1751" s="72">
        <v>46073.621527777781</v>
      </c>
      <c r="Y1751" s="72">
        <v>46075.644444444442</v>
      </c>
      <c r="Z1751" s="104" t="s">
        <v>383</v>
      </c>
      <c r="AA1751" s="104" t="s">
        <v>383</v>
      </c>
      <c r="AB1751" s="105">
        <v>46080.729861111111</v>
      </c>
      <c r="AC1751" s="105">
        <v>46080.75</v>
      </c>
    </row>
    <row r="1752" s="70" customFormat="1" ht="11.25" customHeight="1">
      <c r="A1752" s="87"/>
      <c r="C1752" s="43" t="s">
        <v>3190</v>
      </c>
      <c r="D1752" s="71" t="s">
        <v>382</v>
      </c>
      <c r="E1752" s="71" t="str">
        <f>MID(D1752,1,2)</f>
        <v>IL</v>
      </c>
      <c r="F1752" s="71" t="s">
        <v>383</v>
      </c>
      <c r="G1752" s="71" t="str">
        <f>MID(F1752,1,2)</f>
        <v>DE</v>
      </c>
      <c r="H1752" s="43" t="s">
        <v>3191</v>
      </c>
      <c r="I1752" s="71" t="s">
        <v>3192</v>
      </c>
      <c r="J1752" s="71" t="s">
        <v>400</v>
      </c>
      <c r="K1752" s="43" t="s">
        <v>1722</v>
      </c>
      <c r="L1752" s="71" t="s">
        <v>105</v>
      </c>
      <c r="M1752" s="73">
        <v>160</v>
      </c>
      <c r="N1752" s="71" t="s">
        <v>388</v>
      </c>
      <c r="O1752" s="73">
        <v>0.979</v>
      </c>
      <c r="P1752" s="71" t="s">
        <v>389</v>
      </c>
      <c r="Q1752" s="73">
        <v>163.5</v>
      </c>
      <c r="R1752" s="71" t="s">
        <v>388</v>
      </c>
      <c r="S1752" s="73">
        <v>0</v>
      </c>
      <c r="T1752" s="71" t="s">
        <v>390</v>
      </c>
      <c r="U1752" s="74">
        <v>1</v>
      </c>
      <c r="V1752" s="71" t="s">
        <v>391</v>
      </c>
      <c r="W1752" s="130">
        <v>46072.984340277777</v>
      </c>
      <c r="X1752" s="72">
        <v>46073.621527777781</v>
      </c>
      <c r="Y1752" s="72">
        <v>46075.644444444442</v>
      </c>
      <c r="Z1752" s="104" t="s">
        <v>382</v>
      </c>
      <c r="AA1752" s="104" t="s">
        <v>595</v>
      </c>
      <c r="AB1752" s="105">
        <v>46074.245138888888</v>
      </c>
      <c r="AC1752" s="105">
        <v>46074.344444444447</v>
      </c>
    </row>
    <row r="1753" s="70" customFormat="1" ht="11.25" customHeight="1">
      <c r="A1753" s="87"/>
      <c r="C1753" s="43" t="s">
        <v>3190</v>
      </c>
      <c r="D1753" s="71" t="s">
        <v>382</v>
      </c>
      <c r="E1753" s="71" t="str">
        <f>MID(D1753,1,2)</f>
        <v>IL</v>
      </c>
      <c r="F1753" s="71" t="s">
        <v>383</v>
      </c>
      <c r="G1753" s="71" t="str">
        <f>MID(F1753,1,2)</f>
        <v>DE</v>
      </c>
      <c r="H1753" s="43" t="s">
        <v>3191</v>
      </c>
      <c r="I1753" s="71" t="s">
        <v>3192</v>
      </c>
      <c r="J1753" s="71" t="s">
        <v>400</v>
      </c>
      <c r="K1753" s="43" t="s">
        <v>1722</v>
      </c>
      <c r="L1753" s="71" t="s">
        <v>105</v>
      </c>
      <c r="M1753" s="73">
        <v>160</v>
      </c>
      <c r="N1753" s="71" t="s">
        <v>388</v>
      </c>
      <c r="O1753" s="73">
        <v>0.979</v>
      </c>
      <c r="P1753" s="71" t="s">
        <v>389</v>
      </c>
      <c r="Q1753" s="73">
        <v>163.5</v>
      </c>
      <c r="R1753" s="71" t="s">
        <v>388</v>
      </c>
      <c r="S1753" s="73">
        <v>0</v>
      </c>
      <c r="T1753" s="71" t="s">
        <v>390</v>
      </c>
      <c r="U1753" s="74">
        <v>1</v>
      </c>
      <c r="V1753" s="71" t="s">
        <v>391</v>
      </c>
      <c r="W1753" s="130">
        <v>46072.984340277777</v>
      </c>
      <c r="X1753" s="72">
        <v>46073.621527777781</v>
      </c>
      <c r="Y1753" s="72">
        <v>46075.644444444442</v>
      </c>
      <c r="Z1753" s="104" t="s">
        <v>595</v>
      </c>
      <c r="AA1753" s="104" t="s">
        <v>383</v>
      </c>
      <c r="AB1753" s="105">
        <v>46075.586111111108</v>
      </c>
      <c r="AC1753" s="105">
        <v>46075.636111111111</v>
      </c>
    </row>
    <row r="1754" s="70" customFormat="1" ht="11.25" customHeight="1">
      <c r="A1754" s="87"/>
      <c r="C1754" s="43" t="s">
        <v>3193</v>
      </c>
      <c r="D1754" s="71" t="s">
        <v>382</v>
      </c>
      <c r="E1754" s="71" t="str">
        <f>MID(D1754,1,2)</f>
        <v>IL</v>
      </c>
      <c r="F1754" s="71" t="s">
        <v>978</v>
      </c>
      <c r="G1754" s="71" t="str">
        <f>MID(F1754,1,2)</f>
        <v>PL</v>
      </c>
      <c r="H1754" s="43" t="s">
        <v>3194</v>
      </c>
      <c r="I1754" s="71"/>
      <c r="J1754" s="71" t="s">
        <v>411</v>
      </c>
      <c r="K1754" s="43"/>
      <c r="L1754" s="71" t="s">
        <v>105</v>
      </c>
      <c r="M1754" s="73">
        <v>32</v>
      </c>
      <c r="N1754" s="71" t="s">
        <v>388</v>
      </c>
      <c r="O1754" s="73">
        <v>0.22</v>
      </c>
      <c r="P1754" s="71" t="s">
        <v>389</v>
      </c>
      <c r="Q1754" s="73">
        <v>45</v>
      </c>
      <c r="R1754" s="71" t="s">
        <v>388</v>
      </c>
      <c r="S1754" s="73">
        <v>0</v>
      </c>
      <c r="T1754" s="71" t="s">
        <v>390</v>
      </c>
      <c r="U1754" s="74">
        <v>4</v>
      </c>
      <c r="V1754" s="71" t="s">
        <v>391</v>
      </c>
      <c r="W1754" s="130"/>
      <c r="X1754" s="72">
        <v>46074.222222222219</v>
      </c>
      <c r="Y1754" s="72">
        <v>46074.643055555556</v>
      </c>
      <c r="Z1754" s="104" t="s">
        <v>382</v>
      </c>
      <c r="AA1754" s="104" t="s">
        <v>978</v>
      </c>
      <c r="AB1754" s="105">
        <v>46074.2125</v>
      </c>
      <c r="AC1754" s="105">
        <v>46074.334027777775</v>
      </c>
    </row>
    <row r="1755" s="70" customFormat="1" ht="11.25" customHeight="1">
      <c r="A1755" s="87"/>
      <c r="C1755" s="43" t="s">
        <v>3195</v>
      </c>
      <c r="D1755" s="71" t="s">
        <v>382</v>
      </c>
      <c r="E1755" s="71" t="str">
        <f>MID(D1755,1,2)</f>
        <v>IL</v>
      </c>
      <c r="F1755" s="71" t="s">
        <v>573</v>
      </c>
      <c r="G1755" s="71" t="str">
        <f>MID(F1755,1,2)</f>
        <v>CH</v>
      </c>
      <c r="H1755" s="43" t="s">
        <v>3196</v>
      </c>
      <c r="I1755" s="71" t="s">
        <v>3197</v>
      </c>
      <c r="J1755" s="71" t="s">
        <v>400</v>
      </c>
      <c r="K1755" s="43"/>
      <c r="L1755" s="71" t="s">
        <v>105</v>
      </c>
      <c r="M1755" s="73">
        <v>510</v>
      </c>
      <c r="N1755" s="71" t="s">
        <v>388</v>
      </c>
      <c r="O1755" s="73">
        <v>2.145</v>
      </c>
      <c r="P1755" s="71" t="s">
        <v>389</v>
      </c>
      <c r="Q1755" s="73">
        <v>510</v>
      </c>
      <c r="R1755" s="71" t="s">
        <v>388</v>
      </c>
      <c r="S1755" s="73">
        <v>0</v>
      </c>
      <c r="T1755" s="71" t="s">
        <v>390</v>
      </c>
      <c r="U1755" s="74">
        <v>4</v>
      </c>
      <c r="V1755" s="71" t="s">
        <v>391</v>
      </c>
      <c r="W1755" s="130">
        <v>46072.980949074074</v>
      </c>
      <c r="X1755" s="72">
        <v>46073.572916666664</v>
      </c>
      <c r="Y1755" s="72">
        <v>46076.295138888891</v>
      </c>
      <c r="Z1755" s="104" t="s">
        <v>382</v>
      </c>
      <c r="AA1755" s="104" t="s">
        <v>383</v>
      </c>
      <c r="AB1755" s="105">
        <v>46073.555555555555</v>
      </c>
      <c r="AC1755" s="105">
        <v>46073.692361111112</v>
      </c>
    </row>
    <row r="1756" s="70" customFormat="1" ht="11.25" customHeight="1">
      <c r="A1756" s="87"/>
      <c r="C1756" s="43" t="s">
        <v>3195</v>
      </c>
      <c r="D1756" s="71" t="s">
        <v>382</v>
      </c>
      <c r="E1756" s="71" t="str">
        <f>MID(D1756,1,2)</f>
        <v>IL</v>
      </c>
      <c r="F1756" s="71" t="s">
        <v>573</v>
      </c>
      <c r="G1756" s="71" t="str">
        <f>MID(F1756,1,2)</f>
        <v>CH</v>
      </c>
      <c r="H1756" s="43" t="s">
        <v>3196</v>
      </c>
      <c r="I1756" s="71" t="s">
        <v>3197</v>
      </c>
      <c r="J1756" s="71" t="s">
        <v>400</v>
      </c>
      <c r="K1756" s="43"/>
      <c r="L1756" s="71" t="s">
        <v>105</v>
      </c>
      <c r="M1756" s="73">
        <v>510</v>
      </c>
      <c r="N1756" s="71" t="s">
        <v>388</v>
      </c>
      <c r="O1756" s="73">
        <v>2.145</v>
      </c>
      <c r="P1756" s="71" t="s">
        <v>389</v>
      </c>
      <c r="Q1756" s="73">
        <v>510</v>
      </c>
      <c r="R1756" s="71" t="s">
        <v>388</v>
      </c>
      <c r="S1756" s="73">
        <v>0</v>
      </c>
      <c r="T1756" s="71" t="s">
        <v>390</v>
      </c>
      <c r="U1756" s="74">
        <v>4</v>
      </c>
      <c r="V1756" s="71" t="s">
        <v>391</v>
      </c>
      <c r="W1756" s="130">
        <v>46072.980949074074</v>
      </c>
      <c r="X1756" s="72">
        <v>46073.572916666664</v>
      </c>
      <c r="Y1756" s="72">
        <v>46076.295138888891</v>
      </c>
      <c r="Z1756" s="104" t="s">
        <v>383</v>
      </c>
      <c r="AA1756" s="104" t="s">
        <v>573</v>
      </c>
      <c r="AB1756" s="105">
        <v>46075.97152777778</v>
      </c>
      <c r="AC1756" s="105">
        <v>46076.301388888889</v>
      </c>
    </row>
    <row r="1757" s="70" customFormat="1" ht="11.25" customHeight="1">
      <c r="A1757" s="87"/>
      <c r="C1757" s="43" t="s">
        <v>3198</v>
      </c>
      <c r="D1757" s="71" t="s">
        <v>382</v>
      </c>
      <c r="E1757" s="71" t="str">
        <f>MID(D1757,1,2)</f>
        <v>IL</v>
      </c>
      <c r="F1757" s="71" t="s">
        <v>597</v>
      </c>
      <c r="G1757" s="71" t="str">
        <f>MID(F1757,1,2)</f>
        <v>NL</v>
      </c>
      <c r="H1757" s="43" t="s">
        <v>3199</v>
      </c>
      <c r="I1757" s="71"/>
      <c r="J1757" s="71" t="s">
        <v>426</v>
      </c>
      <c r="K1757" s="43"/>
      <c r="L1757" s="71" t="s">
        <v>105</v>
      </c>
      <c r="M1757" s="73">
        <v>4</v>
      </c>
      <c r="N1757" s="71" t="s">
        <v>388</v>
      </c>
      <c r="O1757" s="73">
        <v>0.06</v>
      </c>
      <c r="P1757" s="71" t="s">
        <v>389</v>
      </c>
      <c r="Q1757" s="73">
        <v>10</v>
      </c>
      <c r="R1757" s="71" t="s">
        <v>388</v>
      </c>
      <c r="S1757" s="73">
        <v>0</v>
      </c>
      <c r="T1757" s="71" t="s">
        <v>390</v>
      </c>
      <c r="U1757" s="74">
        <v>5</v>
      </c>
      <c r="V1757" s="71" t="s">
        <v>391</v>
      </c>
      <c r="W1757" s="130">
        <v>46071.63958333333</v>
      </c>
      <c r="X1757" s="72">
        <v>46075.25</v>
      </c>
      <c r="Y1757" s="72">
        <v>46075.634027777778</v>
      </c>
      <c r="Z1757" s="104" t="s">
        <v>382</v>
      </c>
      <c r="AA1757" s="104" t="s">
        <v>597</v>
      </c>
      <c r="AB1757" s="105">
        <v>46075.247916666667</v>
      </c>
      <c r="AC1757" s="105">
        <v>46075.435416666667</v>
      </c>
    </row>
    <row r="1758" s="70" customFormat="1" ht="11.25" customHeight="1">
      <c r="A1758" s="87"/>
      <c r="C1758" s="43" t="s">
        <v>3200</v>
      </c>
      <c r="D1758" s="71" t="s">
        <v>382</v>
      </c>
      <c r="E1758" s="71" t="str">
        <f>MID(D1758,1,2)</f>
        <v>IL</v>
      </c>
      <c r="F1758" s="71" t="s">
        <v>496</v>
      </c>
      <c r="G1758" s="71" t="str">
        <f>MID(F1758,1,2)</f>
        <v>RO</v>
      </c>
      <c r="H1758" s="43" t="s">
        <v>3201</v>
      </c>
      <c r="I1758" s="71" t="s">
        <v>3202</v>
      </c>
      <c r="J1758" s="71" t="s">
        <v>386</v>
      </c>
      <c r="K1758" s="43"/>
      <c r="L1758" s="71" t="s">
        <v>107</v>
      </c>
      <c r="M1758" s="73">
        <v>7</v>
      </c>
      <c r="N1758" s="71" t="s">
        <v>388</v>
      </c>
      <c r="O1758" s="73">
        <v>0.016</v>
      </c>
      <c r="P1758" s="71" t="s">
        <v>389</v>
      </c>
      <c r="Q1758" s="73">
        <v>7</v>
      </c>
      <c r="R1758" s="71" t="s">
        <v>388</v>
      </c>
      <c r="S1758" s="73">
        <v>0</v>
      </c>
      <c r="T1758" s="71" t="s">
        <v>390</v>
      </c>
      <c r="U1758" s="74">
        <v>1</v>
      </c>
      <c r="V1758" s="71" t="s">
        <v>391</v>
      </c>
      <c r="W1758" s="130">
        <v>46072.71733796296</v>
      </c>
      <c r="X1758" s="72">
        <v>46071.993055555555</v>
      </c>
      <c r="Y1758" s="72">
        <v>46075.128472222219</v>
      </c>
      <c r="Z1758" s="104" t="s">
        <v>382</v>
      </c>
      <c r="AA1758" s="104" t="s">
        <v>496</v>
      </c>
      <c r="AB1758" s="105">
        <v>46075.013888888891</v>
      </c>
      <c r="AC1758" s="105">
        <v>46076</v>
      </c>
    </row>
    <row r="1759" s="70" customFormat="1" ht="11.25" customHeight="1">
      <c r="A1759" s="87"/>
      <c r="C1759" s="43" t="s">
        <v>3203</v>
      </c>
      <c r="D1759" s="71" t="s">
        <v>382</v>
      </c>
      <c r="E1759" s="71" t="str">
        <f>MID(D1759,1,2)</f>
        <v>IL</v>
      </c>
      <c r="F1759" s="71" t="s">
        <v>476</v>
      </c>
      <c r="G1759" s="71" t="str">
        <f>MID(F1759,1,2)</f>
        <v>SG</v>
      </c>
      <c r="H1759" s="43" t="s">
        <v>3204</v>
      </c>
      <c r="I1759" s="71" t="s">
        <v>3205</v>
      </c>
      <c r="J1759" s="71" t="s">
        <v>400</v>
      </c>
      <c r="K1759" s="43"/>
      <c r="L1759" s="71" t="s">
        <v>105</v>
      </c>
      <c r="M1759" s="73">
        <v>136</v>
      </c>
      <c r="N1759" s="71" t="s">
        <v>388</v>
      </c>
      <c r="O1759" s="73">
        <v>1.517</v>
      </c>
      <c r="P1759" s="71" t="s">
        <v>389</v>
      </c>
      <c r="Q1759" s="73">
        <v>253</v>
      </c>
      <c r="R1759" s="71" t="s">
        <v>388</v>
      </c>
      <c r="S1759" s="73">
        <v>0</v>
      </c>
      <c r="T1759" s="71" t="s">
        <v>390</v>
      </c>
      <c r="U1759" s="74">
        <v>1</v>
      </c>
      <c r="V1759" s="71" t="s">
        <v>391</v>
      </c>
      <c r="W1759" s="130">
        <v>46072.980949074074</v>
      </c>
      <c r="X1759" s="72">
        <v>46073.340277777781</v>
      </c>
      <c r="Y1759" s="72">
        <v>46077.048611111109</v>
      </c>
      <c r="Z1759" s="104" t="s">
        <v>382</v>
      </c>
      <c r="AA1759" s="104" t="s">
        <v>748</v>
      </c>
      <c r="AB1759" s="105">
        <v>46074.552083333336</v>
      </c>
      <c r="AC1759" s="105"/>
    </row>
    <row r="1760" s="70" customFormat="1" ht="11.25" customHeight="1">
      <c r="A1760" s="87"/>
      <c r="C1760" s="43" t="s">
        <v>3203</v>
      </c>
      <c r="D1760" s="71" t="s">
        <v>382</v>
      </c>
      <c r="E1760" s="71" t="str">
        <f>MID(D1760,1,2)</f>
        <v>IL</v>
      </c>
      <c r="F1760" s="71" t="s">
        <v>476</v>
      </c>
      <c r="G1760" s="71" t="str">
        <f>MID(F1760,1,2)</f>
        <v>SG</v>
      </c>
      <c r="H1760" s="43" t="s">
        <v>3204</v>
      </c>
      <c r="I1760" s="71" t="s">
        <v>3205</v>
      </c>
      <c r="J1760" s="71" t="s">
        <v>400</v>
      </c>
      <c r="K1760" s="43"/>
      <c r="L1760" s="71" t="s">
        <v>105</v>
      </c>
      <c r="M1760" s="73">
        <v>136</v>
      </c>
      <c r="N1760" s="71" t="s">
        <v>388</v>
      </c>
      <c r="O1760" s="73">
        <v>1.517</v>
      </c>
      <c r="P1760" s="71" t="s">
        <v>389</v>
      </c>
      <c r="Q1760" s="73">
        <v>253</v>
      </c>
      <c r="R1760" s="71" t="s">
        <v>388</v>
      </c>
      <c r="S1760" s="73">
        <v>0</v>
      </c>
      <c r="T1760" s="71" t="s">
        <v>390</v>
      </c>
      <c r="U1760" s="74">
        <v>1</v>
      </c>
      <c r="V1760" s="71" t="s">
        <v>391</v>
      </c>
      <c r="W1760" s="130">
        <v>46072.980949074074</v>
      </c>
      <c r="X1760" s="72">
        <v>46073.340277777781</v>
      </c>
      <c r="Y1760" s="72">
        <v>46077.048611111109</v>
      </c>
      <c r="Z1760" s="104" t="s">
        <v>748</v>
      </c>
      <c r="AA1760" s="104" t="s">
        <v>476</v>
      </c>
      <c r="AB1760" s="105">
        <v>46076.34097222222</v>
      </c>
      <c r="AC1760" s="105">
        <v>46077.086111111108</v>
      </c>
    </row>
    <row r="1761" s="70" customFormat="1" ht="11.25" customHeight="1">
      <c r="A1761" s="87"/>
      <c r="C1761" s="43" t="s">
        <v>3206</v>
      </c>
      <c r="D1761" s="71" t="s">
        <v>382</v>
      </c>
      <c r="E1761" s="71" t="str">
        <f>MID(D1761,1,2)</f>
        <v>IL</v>
      </c>
      <c r="F1761" s="71" t="s">
        <v>597</v>
      </c>
      <c r="G1761" s="71" t="str">
        <f>MID(F1761,1,2)</f>
        <v>NL</v>
      </c>
      <c r="H1761" s="43" t="s">
        <v>3207</v>
      </c>
      <c r="I1761" s="71"/>
      <c r="J1761" s="71" t="s">
        <v>426</v>
      </c>
      <c r="K1761" s="43"/>
      <c r="L1761" s="71" t="s">
        <v>105</v>
      </c>
      <c r="M1761" s="73">
        <v>2.5</v>
      </c>
      <c r="N1761" s="71" t="s">
        <v>388</v>
      </c>
      <c r="O1761" s="73">
        <v>0.036</v>
      </c>
      <c r="P1761" s="71" t="s">
        <v>389</v>
      </c>
      <c r="Q1761" s="73">
        <v>6</v>
      </c>
      <c r="R1761" s="71" t="s">
        <v>388</v>
      </c>
      <c r="S1761" s="73">
        <v>0</v>
      </c>
      <c r="T1761" s="71" t="s">
        <v>390</v>
      </c>
      <c r="U1761" s="74">
        <v>3</v>
      </c>
      <c r="V1761" s="71" t="s">
        <v>391</v>
      </c>
      <c r="W1761" s="130">
        <v>46071.65347222222</v>
      </c>
      <c r="X1761" s="72">
        <v>46075.25</v>
      </c>
      <c r="Y1761" s="72">
        <v>46075.634027777778</v>
      </c>
      <c r="Z1761" s="104" t="s">
        <v>382</v>
      </c>
      <c r="AA1761" s="104" t="s">
        <v>597</v>
      </c>
      <c r="AB1761" s="105">
        <v>46075.247916666667</v>
      </c>
      <c r="AC1761" s="105">
        <v>46075.435416666667</v>
      </c>
    </row>
    <row r="1762" s="70" customFormat="1" ht="11.25" customHeight="1">
      <c r="A1762" s="87"/>
      <c r="C1762" s="43" t="s">
        <v>3208</v>
      </c>
      <c r="D1762" s="71" t="s">
        <v>382</v>
      </c>
      <c r="E1762" s="71" t="str">
        <f>MID(D1762,1,2)</f>
        <v>IL</v>
      </c>
      <c r="F1762" s="71" t="s">
        <v>546</v>
      </c>
      <c r="G1762" s="71" t="str">
        <f>MID(F1762,1,2)</f>
        <v>GB</v>
      </c>
      <c r="H1762" s="43" t="s">
        <v>3209</v>
      </c>
      <c r="I1762" s="71" t="s">
        <v>3210</v>
      </c>
      <c r="J1762" s="71" t="s">
        <v>400</v>
      </c>
      <c r="K1762" s="43"/>
      <c r="L1762" s="71" t="s">
        <v>105</v>
      </c>
      <c r="M1762" s="73">
        <v>365</v>
      </c>
      <c r="N1762" s="71" t="s">
        <v>388</v>
      </c>
      <c r="O1762" s="73">
        <v>5.472</v>
      </c>
      <c r="P1762" s="71" t="s">
        <v>389</v>
      </c>
      <c r="Q1762" s="73">
        <v>912</v>
      </c>
      <c r="R1762" s="71" t="s">
        <v>388</v>
      </c>
      <c r="S1762" s="73">
        <v>0</v>
      </c>
      <c r="T1762" s="71" t="s">
        <v>390</v>
      </c>
      <c r="U1762" s="74">
        <v>2</v>
      </c>
      <c r="V1762" s="71" t="s">
        <v>417</v>
      </c>
      <c r="W1762" s="130">
        <v>46072.695833333331</v>
      </c>
      <c r="X1762" s="72">
        <v>46072.388888888891</v>
      </c>
      <c r="Y1762" s="72">
        <v>46077.524305555555</v>
      </c>
      <c r="Z1762" s="104" t="s">
        <v>560</v>
      </c>
      <c r="AA1762" s="104" t="s">
        <v>561</v>
      </c>
      <c r="AB1762" s="105"/>
      <c r="AC1762" s="105"/>
    </row>
    <row r="1763" s="70" customFormat="1" ht="11.25" customHeight="1">
      <c r="A1763" s="87"/>
      <c r="C1763" s="43" t="s">
        <v>3208</v>
      </c>
      <c r="D1763" s="71" t="s">
        <v>382</v>
      </c>
      <c r="E1763" s="71" t="str">
        <f>MID(D1763,1,2)</f>
        <v>IL</v>
      </c>
      <c r="F1763" s="71" t="s">
        <v>546</v>
      </c>
      <c r="G1763" s="71" t="str">
        <f>MID(F1763,1,2)</f>
        <v>GB</v>
      </c>
      <c r="H1763" s="43" t="s">
        <v>3209</v>
      </c>
      <c r="I1763" s="71" t="s">
        <v>3210</v>
      </c>
      <c r="J1763" s="71" t="s">
        <v>400</v>
      </c>
      <c r="K1763" s="43"/>
      <c r="L1763" s="71" t="s">
        <v>105</v>
      </c>
      <c r="M1763" s="73">
        <v>365</v>
      </c>
      <c r="N1763" s="71" t="s">
        <v>388</v>
      </c>
      <c r="O1763" s="73">
        <v>5.472</v>
      </c>
      <c r="P1763" s="71" t="s">
        <v>389</v>
      </c>
      <c r="Q1763" s="73">
        <v>912</v>
      </c>
      <c r="R1763" s="71" t="s">
        <v>388</v>
      </c>
      <c r="S1763" s="73">
        <v>0</v>
      </c>
      <c r="T1763" s="71" t="s">
        <v>390</v>
      </c>
      <c r="U1763" s="74">
        <v>2</v>
      </c>
      <c r="V1763" s="71" t="s">
        <v>417</v>
      </c>
      <c r="W1763" s="130">
        <v>46072.695833333331</v>
      </c>
      <c r="X1763" s="72">
        <v>46072.388888888891</v>
      </c>
      <c r="Y1763" s="72">
        <v>46077.524305555555</v>
      </c>
      <c r="Z1763" s="104" t="s">
        <v>382</v>
      </c>
      <c r="AA1763" s="104" t="s">
        <v>546</v>
      </c>
      <c r="AB1763" s="105">
        <v>46077.376388888886</v>
      </c>
      <c r="AC1763" s="105">
        <v>46077.500694444447</v>
      </c>
    </row>
    <row r="1764" s="70" customFormat="1" ht="11.25" customHeight="1">
      <c r="A1764" s="87"/>
      <c r="C1764" s="43" t="s">
        <v>3211</v>
      </c>
      <c r="D1764" s="71" t="s">
        <v>382</v>
      </c>
      <c r="E1764" s="71" t="str">
        <f>MID(D1764,1,2)</f>
        <v>IL</v>
      </c>
      <c r="F1764" s="71" t="s">
        <v>496</v>
      </c>
      <c r="G1764" s="71" t="str">
        <f>MID(F1764,1,2)</f>
        <v>RO</v>
      </c>
      <c r="H1764" s="43" t="s">
        <v>3212</v>
      </c>
      <c r="I1764" s="71" t="s">
        <v>3213</v>
      </c>
      <c r="J1764" s="71" t="s">
        <v>400</v>
      </c>
      <c r="K1764" s="43"/>
      <c r="L1764" s="71" t="s">
        <v>105</v>
      </c>
      <c r="M1764" s="73">
        <v>13</v>
      </c>
      <c r="N1764" s="71" t="s">
        <v>388</v>
      </c>
      <c r="O1764" s="73">
        <v>0.045</v>
      </c>
      <c r="P1764" s="71" t="s">
        <v>389</v>
      </c>
      <c r="Q1764" s="73">
        <v>13</v>
      </c>
      <c r="R1764" s="71" t="s">
        <v>388</v>
      </c>
      <c r="S1764" s="73">
        <v>0</v>
      </c>
      <c r="T1764" s="71" t="s">
        <v>390</v>
      </c>
      <c r="U1764" s="74">
        <v>1</v>
      </c>
      <c r="V1764" s="71" t="s">
        <v>391</v>
      </c>
      <c r="W1764" s="130">
        <v>46072.793854166666</v>
      </c>
      <c r="X1764" s="72">
        <v>46073.291666666664</v>
      </c>
      <c r="Y1764" s="72">
        <v>46075.359722222223</v>
      </c>
      <c r="Z1764" s="104" t="s">
        <v>382</v>
      </c>
      <c r="AA1764" s="104" t="s">
        <v>496</v>
      </c>
      <c r="AB1764" s="105">
        <v>46075.24375</v>
      </c>
      <c r="AC1764" s="105">
        <v>46075.341666666667</v>
      </c>
    </row>
    <row r="1765" s="70" customFormat="1" ht="11.25" customHeight="1">
      <c r="A1765" s="87"/>
      <c r="C1765" s="43" t="s">
        <v>3214</v>
      </c>
      <c r="D1765" s="71" t="s">
        <v>382</v>
      </c>
      <c r="E1765" s="71" t="str">
        <f>MID(D1765,1,2)</f>
        <v>IL</v>
      </c>
      <c r="F1765" s="71" t="s">
        <v>526</v>
      </c>
      <c r="G1765" s="71" t="str">
        <f>MID(F1765,1,2)</f>
        <v>US</v>
      </c>
      <c r="H1765" s="43" t="s">
        <v>3215</v>
      </c>
      <c r="I1765" s="71" t="s">
        <v>3216</v>
      </c>
      <c r="J1765" s="71" t="s">
        <v>454</v>
      </c>
      <c r="K1765" s="43"/>
      <c r="L1765" s="71" t="s">
        <v>107</v>
      </c>
      <c r="M1765" s="73">
        <v>438</v>
      </c>
      <c r="N1765" s="71" t="s">
        <v>388</v>
      </c>
      <c r="O1765" s="73">
        <v>3.78</v>
      </c>
      <c r="P1765" s="71" t="s">
        <v>389</v>
      </c>
      <c r="Q1765" s="73">
        <v>630</v>
      </c>
      <c r="R1765" s="71" t="s">
        <v>388</v>
      </c>
      <c r="S1765" s="73">
        <v>30</v>
      </c>
      <c r="T1765" s="71" t="s">
        <v>390</v>
      </c>
      <c r="U1765" s="74">
        <v>5</v>
      </c>
      <c r="V1765" s="71" t="s">
        <v>391</v>
      </c>
      <c r="W1765" s="130">
        <v>46072.486111111109</v>
      </c>
      <c r="X1765" s="72">
        <v>46076.03125</v>
      </c>
      <c r="Y1765" s="72">
        <v>46076.645833333336</v>
      </c>
      <c r="Z1765" s="104" t="s">
        <v>382</v>
      </c>
      <c r="AA1765" s="104" t="s">
        <v>526</v>
      </c>
      <c r="AB1765" s="105">
        <v>46076.03125</v>
      </c>
      <c r="AC1765" s="105">
        <v>46076.248611111114</v>
      </c>
    </row>
    <row r="1766" s="70" customFormat="1" ht="11.25" customHeight="1">
      <c r="A1766" s="87"/>
      <c r="C1766" s="43" t="s">
        <v>3217</v>
      </c>
      <c r="D1766" s="71" t="s">
        <v>382</v>
      </c>
      <c r="E1766" s="71" t="str">
        <f>MID(D1766,1,2)</f>
        <v>IL</v>
      </c>
      <c r="F1766" s="71" t="s">
        <v>422</v>
      </c>
      <c r="G1766" s="71" t="str">
        <f>MID(F1766,1,2)</f>
        <v>US</v>
      </c>
      <c r="H1766" s="43" t="s">
        <v>3218</v>
      </c>
      <c r="I1766" s="71" t="s">
        <v>3219</v>
      </c>
      <c r="J1766" s="71" t="s">
        <v>386</v>
      </c>
      <c r="K1766" s="43" t="s">
        <v>431</v>
      </c>
      <c r="L1766" s="71" t="s">
        <v>107</v>
      </c>
      <c r="M1766" s="73">
        <v>9</v>
      </c>
      <c r="N1766" s="71" t="s">
        <v>388</v>
      </c>
      <c r="O1766" s="73">
        <v>0.137</v>
      </c>
      <c r="P1766" s="71" t="s">
        <v>389</v>
      </c>
      <c r="Q1766" s="73">
        <v>23</v>
      </c>
      <c r="R1766" s="71" t="s">
        <v>388</v>
      </c>
      <c r="S1766" s="73">
        <v>0</v>
      </c>
      <c r="T1766" s="71" t="s">
        <v>390</v>
      </c>
      <c r="U1766" s="74">
        <v>3</v>
      </c>
      <c r="V1766" s="71" t="s">
        <v>427</v>
      </c>
      <c r="W1766" s="130">
        <v>46071.65347222222</v>
      </c>
      <c r="X1766" s="72">
        <v>46072.03125</v>
      </c>
      <c r="Y1766" s="72">
        <v>46074.690972222219</v>
      </c>
      <c r="Z1766" s="104" t="s">
        <v>382</v>
      </c>
      <c r="AA1766" s="104" t="s">
        <v>422</v>
      </c>
      <c r="AB1766" s="105">
        <v>46074.470833333333</v>
      </c>
      <c r="AC1766" s="105">
        <v>46074.672222222223</v>
      </c>
    </row>
    <row r="1767" s="70" customFormat="1" ht="11.25" customHeight="1">
      <c r="A1767" s="87"/>
      <c r="C1767" s="43" t="s">
        <v>3220</v>
      </c>
      <c r="D1767" s="71" t="s">
        <v>382</v>
      </c>
      <c r="E1767" s="71" t="str">
        <f>MID(D1767,1,2)</f>
        <v>IL</v>
      </c>
      <c r="F1767" s="71" t="s">
        <v>817</v>
      </c>
      <c r="G1767" s="71" t="str">
        <f>MID(F1767,1,2)</f>
        <v>IN</v>
      </c>
      <c r="H1767" s="43" t="s">
        <v>3221</v>
      </c>
      <c r="I1767" s="71" t="s">
        <v>3222</v>
      </c>
      <c r="J1767" s="71" t="s">
        <v>426</v>
      </c>
      <c r="K1767" s="43"/>
      <c r="L1767" s="71" t="s">
        <v>105</v>
      </c>
      <c r="M1767" s="73">
        <v>364</v>
      </c>
      <c r="N1767" s="71" t="s">
        <v>388</v>
      </c>
      <c r="O1767" s="73">
        <v>2.667</v>
      </c>
      <c r="P1767" s="71" t="s">
        <v>389</v>
      </c>
      <c r="Q1767" s="73">
        <v>444.5</v>
      </c>
      <c r="R1767" s="71" t="s">
        <v>388</v>
      </c>
      <c r="S1767" s="73">
        <v>0</v>
      </c>
      <c r="T1767" s="71" t="s">
        <v>390</v>
      </c>
      <c r="U1767" s="74">
        <v>3</v>
      </c>
      <c r="V1767" s="71" t="s">
        <v>391</v>
      </c>
      <c r="W1767" s="130">
        <v>46072.789861111109</v>
      </c>
      <c r="X1767" s="72">
        <v>46077.486111111109</v>
      </c>
      <c r="Y1767" s="72">
        <v>46077.868055555555</v>
      </c>
      <c r="Z1767" s="104" t="s">
        <v>382</v>
      </c>
      <c r="AA1767" s="104" t="s">
        <v>817</v>
      </c>
      <c r="AB1767" s="105">
        <v>46077.50277777778</v>
      </c>
      <c r="AC1767" s="105">
        <v>46077.884027777778</v>
      </c>
    </row>
    <row r="1768" s="70" customFormat="1" ht="11.25" customHeight="1">
      <c r="A1768" s="87"/>
      <c r="C1768" s="43" t="s">
        <v>3223</v>
      </c>
      <c r="D1768" s="71" t="s">
        <v>382</v>
      </c>
      <c r="E1768" s="71" t="str">
        <f>MID(D1768,1,2)</f>
        <v>IL</v>
      </c>
      <c r="F1768" s="71" t="s">
        <v>1108</v>
      </c>
      <c r="G1768" s="71" t="str">
        <f>MID(F1768,1,2)</f>
        <v>TW</v>
      </c>
      <c r="H1768" s="43" t="s">
        <v>3224</v>
      </c>
      <c r="I1768" s="71" t="s">
        <v>3225</v>
      </c>
      <c r="J1768" s="71" t="s">
        <v>400</v>
      </c>
      <c r="K1768" s="43"/>
      <c r="L1768" s="71" t="s">
        <v>105</v>
      </c>
      <c r="M1768" s="73">
        <v>165</v>
      </c>
      <c r="N1768" s="71" t="s">
        <v>388</v>
      </c>
      <c r="O1768" s="73">
        <v>1.958</v>
      </c>
      <c r="P1768" s="71" t="s">
        <v>389</v>
      </c>
      <c r="Q1768" s="73">
        <v>326.5</v>
      </c>
      <c r="R1768" s="71" t="s">
        <v>388</v>
      </c>
      <c r="S1768" s="73">
        <v>0</v>
      </c>
      <c r="T1768" s="71" t="s">
        <v>390</v>
      </c>
      <c r="U1768" s="74">
        <v>2</v>
      </c>
      <c r="V1768" s="71" t="s">
        <v>391</v>
      </c>
      <c r="W1768" s="130">
        <v>46071.688194444447</v>
      </c>
      <c r="X1768" s="72">
        <v>46074.9375</v>
      </c>
      <c r="Y1768" s="72">
        <v>46076.909722222219</v>
      </c>
      <c r="Z1768" s="104" t="s">
        <v>382</v>
      </c>
      <c r="AA1768" s="104" t="s">
        <v>833</v>
      </c>
      <c r="AB1768" s="105">
        <v>46074.94027777778</v>
      </c>
      <c r="AC1768" s="105">
        <v>46074.958333333336</v>
      </c>
    </row>
    <row r="1769" s="70" customFormat="1" ht="11.25" customHeight="1">
      <c r="A1769" s="87"/>
      <c r="C1769" s="43" t="s">
        <v>3223</v>
      </c>
      <c r="D1769" s="71" t="s">
        <v>382</v>
      </c>
      <c r="E1769" s="71" t="str">
        <f>MID(D1769,1,2)</f>
        <v>IL</v>
      </c>
      <c r="F1769" s="71" t="s">
        <v>1108</v>
      </c>
      <c r="G1769" s="71" t="str">
        <f>MID(F1769,1,2)</f>
        <v>TW</v>
      </c>
      <c r="H1769" s="43" t="s">
        <v>3224</v>
      </c>
      <c r="I1769" s="71" t="s">
        <v>3225</v>
      </c>
      <c r="J1769" s="71" t="s">
        <v>400</v>
      </c>
      <c r="K1769" s="43"/>
      <c r="L1769" s="71" t="s">
        <v>105</v>
      </c>
      <c r="M1769" s="73">
        <v>165</v>
      </c>
      <c r="N1769" s="71" t="s">
        <v>388</v>
      </c>
      <c r="O1769" s="73">
        <v>1.958</v>
      </c>
      <c r="P1769" s="71" t="s">
        <v>389</v>
      </c>
      <c r="Q1769" s="73">
        <v>326.5</v>
      </c>
      <c r="R1769" s="71" t="s">
        <v>388</v>
      </c>
      <c r="S1769" s="73">
        <v>0</v>
      </c>
      <c r="T1769" s="71" t="s">
        <v>390</v>
      </c>
      <c r="U1769" s="74">
        <v>2</v>
      </c>
      <c r="V1769" s="71" t="s">
        <v>391</v>
      </c>
      <c r="W1769" s="130">
        <v>46071.688194444447</v>
      </c>
      <c r="X1769" s="72">
        <v>46074.9375</v>
      </c>
      <c r="Y1769" s="72">
        <v>46076.909722222219</v>
      </c>
      <c r="Z1769" s="104" t="s">
        <v>833</v>
      </c>
      <c r="AA1769" s="104" t="s">
        <v>1108</v>
      </c>
      <c r="AB1769" s="105">
        <v>46076.718055555553</v>
      </c>
      <c r="AC1769" s="105">
        <v>46076.905555555553</v>
      </c>
    </row>
    <row r="1770" s="70" customFormat="1" ht="11.25" customHeight="1">
      <c r="A1770" s="87"/>
      <c r="C1770" s="43" t="s">
        <v>3226</v>
      </c>
      <c r="D1770" s="71" t="s">
        <v>382</v>
      </c>
      <c r="E1770" s="71" t="str">
        <f>MID(D1770,1,2)</f>
        <v>IL</v>
      </c>
      <c r="F1770" s="71" t="s">
        <v>522</v>
      </c>
      <c r="G1770" s="71" t="str">
        <f>MID(F1770,1,2)</f>
        <v>CZ</v>
      </c>
      <c r="H1770" s="43" t="s">
        <v>3227</v>
      </c>
      <c r="I1770" s="71" t="s">
        <v>3228</v>
      </c>
      <c r="J1770" s="71" t="s">
        <v>426</v>
      </c>
      <c r="K1770" s="43"/>
      <c r="L1770" s="71" t="s">
        <v>105</v>
      </c>
      <c r="M1770" s="73">
        <v>72</v>
      </c>
      <c r="N1770" s="71" t="s">
        <v>388</v>
      </c>
      <c r="O1770" s="73">
        <v>0.309</v>
      </c>
      <c r="P1770" s="71" t="s">
        <v>389</v>
      </c>
      <c r="Q1770" s="73">
        <v>100</v>
      </c>
      <c r="R1770" s="71" t="s">
        <v>388</v>
      </c>
      <c r="S1770" s="73">
        <v>0</v>
      </c>
      <c r="T1770" s="71" t="s">
        <v>390</v>
      </c>
      <c r="U1770" s="74">
        <v>1</v>
      </c>
      <c r="V1770" s="71" t="s">
        <v>391</v>
      </c>
      <c r="W1770" s="130">
        <v>46072.560752314814</v>
      </c>
      <c r="X1770" s="72">
        <v>46075.767361111109</v>
      </c>
      <c r="Y1770" s="72">
        <v>46077.499305555553</v>
      </c>
      <c r="Z1770" s="104" t="s">
        <v>382</v>
      </c>
      <c r="AA1770" s="104" t="s">
        <v>573</v>
      </c>
      <c r="AB1770" s="105">
        <v>46075.774305555555</v>
      </c>
      <c r="AC1770" s="105">
        <v>46075.911111111112</v>
      </c>
    </row>
    <row r="1771" s="70" customFormat="1" ht="11.25" customHeight="1">
      <c r="A1771" s="87"/>
      <c r="C1771" s="43" t="s">
        <v>3226</v>
      </c>
      <c r="D1771" s="71" t="s">
        <v>382</v>
      </c>
      <c r="E1771" s="71" t="str">
        <f>MID(D1771,1,2)</f>
        <v>IL</v>
      </c>
      <c r="F1771" s="71" t="s">
        <v>522</v>
      </c>
      <c r="G1771" s="71" t="str">
        <f>MID(F1771,1,2)</f>
        <v>CZ</v>
      </c>
      <c r="H1771" s="43" t="s">
        <v>3227</v>
      </c>
      <c r="I1771" s="71" t="s">
        <v>3228</v>
      </c>
      <c r="J1771" s="71" t="s">
        <v>426</v>
      </c>
      <c r="K1771" s="43"/>
      <c r="L1771" s="71" t="s">
        <v>105</v>
      </c>
      <c r="M1771" s="73">
        <v>72</v>
      </c>
      <c r="N1771" s="71" t="s">
        <v>388</v>
      </c>
      <c r="O1771" s="73">
        <v>0.309</v>
      </c>
      <c r="P1771" s="71" t="s">
        <v>389</v>
      </c>
      <c r="Q1771" s="73">
        <v>100</v>
      </c>
      <c r="R1771" s="71" t="s">
        <v>388</v>
      </c>
      <c r="S1771" s="73">
        <v>0</v>
      </c>
      <c r="T1771" s="71" t="s">
        <v>390</v>
      </c>
      <c r="U1771" s="74">
        <v>1</v>
      </c>
      <c r="V1771" s="71" t="s">
        <v>391</v>
      </c>
      <c r="W1771" s="130">
        <v>46072.560752314814</v>
      </c>
      <c r="X1771" s="72">
        <v>46075.767361111109</v>
      </c>
      <c r="Y1771" s="72">
        <v>46077.499305555553</v>
      </c>
      <c r="Z1771" s="104" t="s">
        <v>573</v>
      </c>
      <c r="AA1771" s="104" t="s">
        <v>522</v>
      </c>
      <c r="AB1771" s="105">
        <v>46076.832638888889</v>
      </c>
      <c r="AC1771" s="105">
        <v>46077.501388888886</v>
      </c>
    </row>
    <row r="1772" s="70" customFormat="1" ht="11.25" customHeight="1">
      <c r="A1772" s="87"/>
      <c r="C1772" s="43" t="s">
        <v>3229</v>
      </c>
      <c r="D1772" s="71" t="s">
        <v>382</v>
      </c>
      <c r="E1772" s="71" t="str">
        <f>MID(D1772,1,2)</f>
        <v>IL</v>
      </c>
      <c r="F1772" s="71" t="s">
        <v>3230</v>
      </c>
      <c r="G1772" s="71" t="str">
        <f>MID(F1772,1,2)</f>
        <v>SE</v>
      </c>
      <c r="H1772" s="43" t="s">
        <v>3231</v>
      </c>
      <c r="I1772" s="71" t="s">
        <v>3232</v>
      </c>
      <c r="J1772" s="71" t="s">
        <v>386</v>
      </c>
      <c r="K1772" s="43" t="s">
        <v>3233</v>
      </c>
      <c r="L1772" s="71" t="s">
        <v>107</v>
      </c>
      <c r="M1772" s="73">
        <v>146</v>
      </c>
      <c r="N1772" s="71" t="s">
        <v>388</v>
      </c>
      <c r="O1772" s="73">
        <v>0.508</v>
      </c>
      <c r="P1772" s="71" t="s">
        <v>389</v>
      </c>
      <c r="Q1772" s="73">
        <v>146</v>
      </c>
      <c r="R1772" s="71" t="s">
        <v>388</v>
      </c>
      <c r="S1772" s="73">
        <v>0</v>
      </c>
      <c r="T1772" s="71" t="s">
        <v>390</v>
      </c>
      <c r="U1772" s="74">
        <v>2</v>
      </c>
      <c r="V1772" s="71" t="s">
        <v>391</v>
      </c>
      <c r="W1772" s="130">
        <v>46072.994780092595</v>
      </c>
      <c r="X1772" s="72">
        <v>46075.690972222219</v>
      </c>
      <c r="Y1772" s="72">
        <v>46078.991666666669</v>
      </c>
      <c r="Z1772" s="104" t="s">
        <v>382</v>
      </c>
      <c r="AA1772" s="104" t="s">
        <v>383</v>
      </c>
      <c r="AB1772" s="105">
        <v>46076.034722222219</v>
      </c>
      <c r="AC1772" s="105">
        <v>46076.239583333336</v>
      </c>
    </row>
    <row r="1773" s="70" customFormat="1" ht="11.25" customHeight="1">
      <c r="A1773" s="87"/>
      <c r="C1773" s="43" t="s">
        <v>3229</v>
      </c>
      <c r="D1773" s="71" t="s">
        <v>382</v>
      </c>
      <c r="E1773" s="71" t="str">
        <f>MID(D1773,1,2)</f>
        <v>IL</v>
      </c>
      <c r="F1773" s="71" t="s">
        <v>3230</v>
      </c>
      <c r="G1773" s="71" t="str">
        <f>MID(F1773,1,2)</f>
        <v>SE</v>
      </c>
      <c r="H1773" s="43" t="s">
        <v>3231</v>
      </c>
      <c r="I1773" s="71" t="s">
        <v>3232</v>
      </c>
      <c r="J1773" s="71" t="s">
        <v>386</v>
      </c>
      <c r="K1773" s="43" t="s">
        <v>3233</v>
      </c>
      <c r="L1773" s="71" t="s">
        <v>107</v>
      </c>
      <c r="M1773" s="73">
        <v>146</v>
      </c>
      <c r="N1773" s="71" t="s">
        <v>388</v>
      </c>
      <c r="O1773" s="73">
        <v>0.508</v>
      </c>
      <c r="P1773" s="71" t="s">
        <v>389</v>
      </c>
      <c r="Q1773" s="73">
        <v>146</v>
      </c>
      <c r="R1773" s="71" t="s">
        <v>388</v>
      </c>
      <c r="S1773" s="73">
        <v>0</v>
      </c>
      <c r="T1773" s="71" t="s">
        <v>390</v>
      </c>
      <c r="U1773" s="74">
        <v>2</v>
      </c>
      <c r="V1773" s="71" t="s">
        <v>391</v>
      </c>
      <c r="W1773" s="130">
        <v>46072.994780092595</v>
      </c>
      <c r="X1773" s="72">
        <v>46075.690972222219</v>
      </c>
      <c r="Y1773" s="72">
        <v>46078.991666666669</v>
      </c>
      <c r="Z1773" s="104" t="s">
        <v>383</v>
      </c>
      <c r="AA1773" s="104" t="s">
        <v>3230</v>
      </c>
      <c r="AB1773" s="105">
        <v>46078.921527777777</v>
      </c>
      <c r="AC1773" s="105">
        <v>46078.982638888891</v>
      </c>
    </row>
    <row r="1774" s="70" customFormat="1" ht="11.25" customHeight="1">
      <c r="A1774" s="87"/>
      <c r="C1774" s="43" t="s">
        <v>3234</v>
      </c>
      <c r="D1774" s="71" t="s">
        <v>382</v>
      </c>
      <c r="E1774" s="71" t="str">
        <f>MID(D1774,1,2)</f>
        <v>IL</v>
      </c>
      <c r="F1774" s="71" t="s">
        <v>597</v>
      </c>
      <c r="G1774" s="71" t="str">
        <f>MID(F1774,1,2)</f>
        <v>NL</v>
      </c>
      <c r="H1774" s="43" t="s">
        <v>3235</v>
      </c>
      <c r="I1774" s="71" t="s">
        <v>3236</v>
      </c>
      <c r="J1774" s="71" t="s">
        <v>454</v>
      </c>
      <c r="K1774" s="43"/>
      <c r="L1774" s="71" t="s">
        <v>107</v>
      </c>
      <c r="M1774" s="73">
        <v>28</v>
      </c>
      <c r="N1774" s="71" t="s">
        <v>388</v>
      </c>
      <c r="O1774" s="73">
        <v>0.309</v>
      </c>
      <c r="P1774" s="71" t="s">
        <v>389</v>
      </c>
      <c r="Q1774" s="73">
        <v>100</v>
      </c>
      <c r="R1774" s="71" t="s">
        <v>388</v>
      </c>
      <c r="S1774" s="73">
        <v>0</v>
      </c>
      <c r="T1774" s="71" t="s">
        <v>390</v>
      </c>
      <c r="U1774" s="74">
        <v>1</v>
      </c>
      <c r="V1774" s="71" t="s">
        <v>391</v>
      </c>
      <c r="W1774" s="130">
        <v>46072.557222222225</v>
      </c>
      <c r="X1774" s="72">
        <v>46074.21875</v>
      </c>
      <c r="Y1774" s="72">
        <v>46078.711805555555</v>
      </c>
      <c r="Z1774" s="104" t="s">
        <v>382</v>
      </c>
      <c r="AA1774" s="104" t="s">
        <v>451</v>
      </c>
      <c r="AB1774" s="105">
        <v>46074.620138888888</v>
      </c>
      <c r="AC1774" s="105">
        <v>46074.720833333333</v>
      </c>
    </row>
    <row r="1775" s="70" customFormat="1" ht="11.25" customHeight="1">
      <c r="A1775" s="87"/>
      <c r="C1775" s="43" t="s">
        <v>3234</v>
      </c>
      <c r="D1775" s="71" t="s">
        <v>382</v>
      </c>
      <c r="E1775" s="71" t="str">
        <f>MID(D1775,1,2)</f>
        <v>IL</v>
      </c>
      <c r="F1775" s="71" t="s">
        <v>597</v>
      </c>
      <c r="G1775" s="71" t="str">
        <f>MID(F1775,1,2)</f>
        <v>NL</v>
      </c>
      <c r="H1775" s="43" t="s">
        <v>3235</v>
      </c>
      <c r="I1775" s="71" t="s">
        <v>3236</v>
      </c>
      <c r="J1775" s="71" t="s">
        <v>454</v>
      </c>
      <c r="K1775" s="43"/>
      <c r="L1775" s="71" t="s">
        <v>107</v>
      </c>
      <c r="M1775" s="73">
        <v>28</v>
      </c>
      <c r="N1775" s="71" t="s">
        <v>388</v>
      </c>
      <c r="O1775" s="73">
        <v>0.309</v>
      </c>
      <c r="P1775" s="71" t="s">
        <v>389</v>
      </c>
      <c r="Q1775" s="73">
        <v>100</v>
      </c>
      <c r="R1775" s="71" t="s">
        <v>388</v>
      </c>
      <c r="S1775" s="73">
        <v>0</v>
      </c>
      <c r="T1775" s="71" t="s">
        <v>390</v>
      </c>
      <c r="U1775" s="74">
        <v>1</v>
      </c>
      <c r="V1775" s="71" t="s">
        <v>391</v>
      </c>
      <c r="W1775" s="130">
        <v>46072.557222222225</v>
      </c>
      <c r="X1775" s="72">
        <v>46074.21875</v>
      </c>
      <c r="Y1775" s="72">
        <v>46078.711805555555</v>
      </c>
      <c r="Z1775" s="104" t="s">
        <v>451</v>
      </c>
      <c r="AA1775" s="104" t="s">
        <v>597</v>
      </c>
      <c r="AB1775" s="105">
        <v>46078.600694444445</v>
      </c>
      <c r="AC1775" s="105">
        <v>46078.688888888886</v>
      </c>
    </row>
    <row r="1776" s="70" customFormat="1" ht="11.25" customHeight="1">
      <c r="A1776" s="87"/>
      <c r="C1776" s="43" t="s">
        <v>3237</v>
      </c>
      <c r="D1776" s="71" t="s">
        <v>382</v>
      </c>
      <c r="E1776" s="71" t="str">
        <f>MID(D1776,1,2)</f>
        <v>IL</v>
      </c>
      <c r="F1776" s="71" t="s">
        <v>422</v>
      </c>
      <c r="G1776" s="71" t="str">
        <f>MID(F1776,1,2)</f>
        <v>US</v>
      </c>
      <c r="H1776" s="43" t="s">
        <v>3238</v>
      </c>
      <c r="I1776" s="71"/>
      <c r="J1776" s="71" t="s">
        <v>426</v>
      </c>
      <c r="K1776" s="43"/>
      <c r="L1776" s="71" t="s">
        <v>105</v>
      </c>
      <c r="M1776" s="73">
        <v>5207</v>
      </c>
      <c r="N1776" s="71" t="s">
        <v>388</v>
      </c>
      <c r="O1776" s="73">
        <v>21.024</v>
      </c>
      <c r="P1776" s="71" t="s">
        <v>389</v>
      </c>
      <c r="Q1776" s="73">
        <v>5207</v>
      </c>
      <c r="R1776" s="71" t="s">
        <v>388</v>
      </c>
      <c r="S1776" s="73">
        <v>0</v>
      </c>
      <c r="T1776" s="71" t="s">
        <v>390</v>
      </c>
      <c r="U1776" s="74">
        <v>12</v>
      </c>
      <c r="V1776" s="71" t="s">
        <v>391</v>
      </c>
      <c r="W1776" s="130">
        <v>46072.354861111111</v>
      </c>
      <c r="X1776" s="72">
        <v>46076.003472222219</v>
      </c>
      <c r="Y1776" s="72">
        <v>46078.253472222219</v>
      </c>
      <c r="Z1776" s="104" t="s">
        <v>382</v>
      </c>
      <c r="AA1776" s="104" t="s">
        <v>422</v>
      </c>
      <c r="AB1776" s="105">
        <v>46078.046527777777</v>
      </c>
      <c r="AC1776" s="105">
        <v>46078.241666666669</v>
      </c>
    </row>
    <row r="1777" s="70" customFormat="1" ht="11.25" customHeight="1">
      <c r="A1777" s="87"/>
      <c r="C1777" s="43" t="s">
        <v>3239</v>
      </c>
      <c r="D1777" s="71" t="s">
        <v>382</v>
      </c>
      <c r="E1777" s="71" t="str">
        <f>MID(D1777,1,2)</f>
        <v>IL</v>
      </c>
      <c r="F1777" s="71" t="s">
        <v>422</v>
      </c>
      <c r="G1777" s="71" t="str">
        <f>MID(F1777,1,2)</f>
        <v>US</v>
      </c>
      <c r="H1777" s="43" t="s">
        <v>3218</v>
      </c>
      <c r="I1777" s="71" t="s">
        <v>3240</v>
      </c>
      <c r="J1777" s="71" t="s">
        <v>386</v>
      </c>
      <c r="K1777" s="43" t="s">
        <v>431</v>
      </c>
      <c r="L1777" s="71" t="s">
        <v>107</v>
      </c>
      <c r="M1777" s="73">
        <v>12</v>
      </c>
      <c r="N1777" s="71" t="s">
        <v>388</v>
      </c>
      <c r="O1777" s="73">
        <v>0.112</v>
      </c>
      <c r="P1777" s="71" t="s">
        <v>389</v>
      </c>
      <c r="Q1777" s="73">
        <v>19</v>
      </c>
      <c r="R1777" s="71" t="s">
        <v>388</v>
      </c>
      <c r="S1777" s="73">
        <v>0</v>
      </c>
      <c r="T1777" s="71" t="s">
        <v>390</v>
      </c>
      <c r="U1777" s="74">
        <v>1</v>
      </c>
      <c r="V1777" s="71" t="s">
        <v>427</v>
      </c>
      <c r="W1777" s="130">
        <v>46071.701388888891</v>
      </c>
      <c r="X1777" s="72">
        <v>46073.458333333336</v>
      </c>
      <c r="Y1777" s="72">
        <v>46074.690972222219</v>
      </c>
      <c r="Z1777" s="104" t="s">
        <v>382</v>
      </c>
      <c r="AA1777" s="104" t="s">
        <v>422</v>
      </c>
      <c r="AB1777" s="105">
        <v>46074.470833333333</v>
      </c>
      <c r="AC1777" s="105">
        <v>46074.672222222223</v>
      </c>
    </row>
    <row r="1778" s="70" customFormat="1" ht="11.25" customHeight="1">
      <c r="A1778" s="87"/>
      <c r="C1778" s="43" t="s">
        <v>3241</v>
      </c>
      <c r="D1778" s="71" t="s">
        <v>382</v>
      </c>
      <c r="E1778" s="71" t="str">
        <f>MID(D1778,1,2)</f>
        <v>IL</v>
      </c>
      <c r="F1778" s="71" t="s">
        <v>684</v>
      </c>
      <c r="G1778" s="71" t="str">
        <f>MID(F1778,1,2)</f>
        <v>IT</v>
      </c>
      <c r="H1778" s="43" t="s">
        <v>3242</v>
      </c>
      <c r="I1778" s="71" t="s">
        <v>3243</v>
      </c>
      <c r="J1778" s="71" t="s">
        <v>386</v>
      </c>
      <c r="K1778" s="43"/>
      <c r="L1778" s="71" t="s">
        <v>107</v>
      </c>
      <c r="M1778" s="73">
        <v>3</v>
      </c>
      <c r="N1778" s="71" t="s">
        <v>388</v>
      </c>
      <c r="O1778" s="73">
        <v>0.026</v>
      </c>
      <c r="P1778" s="71" t="s">
        <v>389</v>
      </c>
      <c r="Q1778" s="73">
        <v>4.5</v>
      </c>
      <c r="R1778" s="71" t="s">
        <v>388</v>
      </c>
      <c r="S1778" s="73">
        <v>0</v>
      </c>
      <c r="T1778" s="71" t="s">
        <v>390</v>
      </c>
      <c r="U1778" s="74">
        <v>1</v>
      </c>
      <c r="V1778" s="71" t="s">
        <v>391</v>
      </c>
      <c r="W1778" s="130">
        <v>46072.612835648149</v>
      </c>
      <c r="X1778" s="72">
        <v>46073.690972222219</v>
      </c>
      <c r="Y1778" s="72">
        <v>46075.5625</v>
      </c>
      <c r="Z1778" s="104" t="s">
        <v>382</v>
      </c>
      <c r="AA1778" s="104" t="s">
        <v>383</v>
      </c>
      <c r="AB1778" s="105">
        <v>46073.699305555558</v>
      </c>
      <c r="AC1778" s="105">
        <v>46073.840277777781</v>
      </c>
    </row>
    <row r="1779" s="70" customFormat="1" ht="11.25" customHeight="1">
      <c r="A1779" s="87"/>
      <c r="C1779" s="43" t="s">
        <v>3241</v>
      </c>
      <c r="D1779" s="71" t="s">
        <v>382</v>
      </c>
      <c r="E1779" s="71" t="str">
        <f>MID(D1779,1,2)</f>
        <v>IL</v>
      </c>
      <c r="F1779" s="71" t="s">
        <v>684</v>
      </c>
      <c r="G1779" s="71" t="str">
        <f>MID(F1779,1,2)</f>
        <v>IT</v>
      </c>
      <c r="H1779" s="43" t="s">
        <v>3242</v>
      </c>
      <c r="I1779" s="71" t="s">
        <v>3243</v>
      </c>
      <c r="J1779" s="71" t="s">
        <v>386</v>
      </c>
      <c r="K1779" s="43"/>
      <c r="L1779" s="71" t="s">
        <v>107</v>
      </c>
      <c r="M1779" s="73">
        <v>3</v>
      </c>
      <c r="N1779" s="71" t="s">
        <v>388</v>
      </c>
      <c r="O1779" s="73">
        <v>0.026</v>
      </c>
      <c r="P1779" s="71" t="s">
        <v>389</v>
      </c>
      <c r="Q1779" s="73">
        <v>4.5</v>
      </c>
      <c r="R1779" s="71" t="s">
        <v>388</v>
      </c>
      <c r="S1779" s="73">
        <v>0</v>
      </c>
      <c r="T1779" s="71" t="s">
        <v>390</v>
      </c>
      <c r="U1779" s="74">
        <v>1</v>
      </c>
      <c r="V1779" s="71" t="s">
        <v>391</v>
      </c>
      <c r="W1779" s="130">
        <v>46072.612835648149</v>
      </c>
      <c r="X1779" s="72">
        <v>46073.690972222219</v>
      </c>
      <c r="Y1779" s="72">
        <v>46075.5625</v>
      </c>
      <c r="Z1779" s="104" t="s">
        <v>383</v>
      </c>
      <c r="AA1779" s="104" t="s">
        <v>684</v>
      </c>
      <c r="AB1779" s="105">
        <v>46074.539583333331</v>
      </c>
      <c r="AC1779" s="105">
        <v>46075.53125</v>
      </c>
    </row>
    <row r="1780" s="70" customFormat="1" ht="11.25" customHeight="1">
      <c r="A1780" s="87"/>
      <c r="C1780" s="43" t="s">
        <v>3244</v>
      </c>
      <c r="D1780" s="71" t="s">
        <v>382</v>
      </c>
      <c r="E1780" s="71" t="str">
        <f>MID(D1780,1,2)</f>
        <v>IL</v>
      </c>
      <c r="F1780" s="71" t="s">
        <v>422</v>
      </c>
      <c r="G1780" s="71" t="str">
        <f>MID(F1780,1,2)</f>
        <v>US</v>
      </c>
      <c r="H1780" s="43" t="s">
        <v>3218</v>
      </c>
      <c r="I1780" s="71" t="s">
        <v>3245</v>
      </c>
      <c r="J1780" s="71" t="s">
        <v>386</v>
      </c>
      <c r="K1780" s="43" t="s">
        <v>431</v>
      </c>
      <c r="L1780" s="71" t="s">
        <v>107</v>
      </c>
      <c r="M1780" s="73">
        <v>185</v>
      </c>
      <c r="N1780" s="71" t="s">
        <v>388</v>
      </c>
      <c r="O1780" s="73">
        <v>3.985</v>
      </c>
      <c r="P1780" s="71" t="s">
        <v>389</v>
      </c>
      <c r="Q1780" s="73">
        <v>664.5</v>
      </c>
      <c r="R1780" s="71" t="s">
        <v>388</v>
      </c>
      <c r="S1780" s="73">
        <v>0</v>
      </c>
      <c r="T1780" s="71" t="s">
        <v>390</v>
      </c>
      <c r="U1780" s="74">
        <v>3</v>
      </c>
      <c r="V1780" s="71" t="s">
        <v>391</v>
      </c>
      <c r="W1780" s="130">
        <v>46071.708333333336</v>
      </c>
      <c r="X1780" s="72">
        <v>46073.458333333336</v>
      </c>
      <c r="Y1780" s="72">
        <v>46074.690972222219</v>
      </c>
      <c r="Z1780" s="104" t="s">
        <v>382</v>
      </c>
      <c r="AA1780" s="104" t="s">
        <v>422</v>
      </c>
      <c r="AB1780" s="105">
        <v>46074.470833333333</v>
      </c>
      <c r="AC1780" s="105">
        <v>46074.672222222223</v>
      </c>
    </row>
    <row r="1781" s="70" customFormat="1" ht="11.25" customHeight="1">
      <c r="A1781" s="87"/>
      <c r="C1781" s="43" t="s">
        <v>3246</v>
      </c>
      <c r="D1781" s="71" t="s">
        <v>382</v>
      </c>
      <c r="E1781" s="71" t="str">
        <f>MID(D1781,1,2)</f>
        <v>IL</v>
      </c>
      <c r="F1781" s="71" t="s">
        <v>774</v>
      </c>
      <c r="G1781" s="71" t="str">
        <f>MID(F1781,1,2)</f>
        <v>CN</v>
      </c>
      <c r="H1781" s="43" t="s">
        <v>3247</v>
      </c>
      <c r="I1781" s="71" t="s">
        <v>3248</v>
      </c>
      <c r="J1781" s="71" t="s">
        <v>755</v>
      </c>
      <c r="K1781" s="43"/>
      <c r="L1781" s="71" t="s">
        <v>105</v>
      </c>
      <c r="M1781" s="73">
        <v>0.4</v>
      </c>
      <c r="N1781" s="71" t="s">
        <v>388</v>
      </c>
      <c r="O1781" s="73">
        <v>0.005</v>
      </c>
      <c r="P1781" s="71" t="s">
        <v>389</v>
      </c>
      <c r="Q1781" s="73">
        <v>1</v>
      </c>
      <c r="R1781" s="71" t="s">
        <v>388</v>
      </c>
      <c r="S1781" s="73">
        <v>0</v>
      </c>
      <c r="T1781" s="71" t="s">
        <v>390</v>
      </c>
      <c r="U1781" s="74">
        <v>1</v>
      </c>
      <c r="V1781" s="71" t="s">
        <v>391</v>
      </c>
      <c r="W1781" s="130">
        <v>46073.029479166667</v>
      </c>
      <c r="X1781" s="72">
        <v>46074.690972222219</v>
      </c>
      <c r="Y1781" s="72">
        <v>46076.420138888891</v>
      </c>
      <c r="Z1781" s="104" t="s">
        <v>382</v>
      </c>
      <c r="AA1781" s="104" t="s">
        <v>383</v>
      </c>
      <c r="AB1781" s="105">
        <v>46075.041666666664</v>
      </c>
      <c r="AC1781" s="105">
        <v>46075.236805555556</v>
      </c>
    </row>
    <row r="1782" s="70" customFormat="1" ht="11.25" customHeight="1">
      <c r="A1782" s="87"/>
      <c r="C1782" s="43" t="s">
        <v>3246</v>
      </c>
      <c r="D1782" s="71" t="s">
        <v>382</v>
      </c>
      <c r="E1782" s="71" t="str">
        <f>MID(D1782,1,2)</f>
        <v>IL</v>
      </c>
      <c r="F1782" s="71" t="s">
        <v>774</v>
      </c>
      <c r="G1782" s="71" t="str">
        <f>MID(F1782,1,2)</f>
        <v>CN</v>
      </c>
      <c r="H1782" s="43" t="s">
        <v>3247</v>
      </c>
      <c r="I1782" s="71" t="s">
        <v>3248</v>
      </c>
      <c r="J1782" s="71" t="s">
        <v>755</v>
      </c>
      <c r="K1782" s="43"/>
      <c r="L1782" s="71" t="s">
        <v>105</v>
      </c>
      <c r="M1782" s="73">
        <v>0.4</v>
      </c>
      <c r="N1782" s="71" t="s">
        <v>388</v>
      </c>
      <c r="O1782" s="73">
        <v>0.005</v>
      </c>
      <c r="P1782" s="71" t="s">
        <v>389</v>
      </c>
      <c r="Q1782" s="73">
        <v>1</v>
      </c>
      <c r="R1782" s="71" t="s">
        <v>388</v>
      </c>
      <c r="S1782" s="73">
        <v>0</v>
      </c>
      <c r="T1782" s="71" t="s">
        <v>390</v>
      </c>
      <c r="U1782" s="74">
        <v>1</v>
      </c>
      <c r="V1782" s="71" t="s">
        <v>391</v>
      </c>
      <c r="W1782" s="130">
        <v>46073.029479166667</v>
      </c>
      <c r="X1782" s="72">
        <v>46074.690972222219</v>
      </c>
      <c r="Y1782" s="72">
        <v>46076.420138888891</v>
      </c>
      <c r="Z1782" s="104" t="s">
        <v>383</v>
      </c>
      <c r="AA1782" s="104" t="s">
        <v>774</v>
      </c>
      <c r="AB1782" s="105">
        <v>46075.636805555558</v>
      </c>
      <c r="AC1782" s="105">
        <v>46076.392361111109</v>
      </c>
    </row>
    <row r="1783" s="70" customFormat="1" ht="11.25" customHeight="1">
      <c r="A1783" s="87"/>
      <c r="C1783" s="43" t="s">
        <v>3249</v>
      </c>
      <c r="D1783" s="71" t="s">
        <v>382</v>
      </c>
      <c r="E1783" s="71" t="str">
        <f>MID(D1783,1,2)</f>
        <v>IL</v>
      </c>
      <c r="F1783" s="71" t="s">
        <v>1108</v>
      </c>
      <c r="G1783" s="71" t="str">
        <f>MID(F1783,1,2)</f>
        <v>TW</v>
      </c>
      <c r="H1783" s="43" t="s">
        <v>3224</v>
      </c>
      <c r="I1783" s="71" t="s">
        <v>3250</v>
      </c>
      <c r="J1783" s="71" t="s">
        <v>755</v>
      </c>
      <c r="K1783" s="43"/>
      <c r="L1783" s="71" t="s">
        <v>105</v>
      </c>
      <c r="M1783" s="73">
        <v>160</v>
      </c>
      <c r="N1783" s="71" t="s">
        <v>388</v>
      </c>
      <c r="O1783" s="73">
        <v>2.16</v>
      </c>
      <c r="P1783" s="71" t="s">
        <v>389</v>
      </c>
      <c r="Q1783" s="73">
        <v>360</v>
      </c>
      <c r="R1783" s="71" t="s">
        <v>388</v>
      </c>
      <c r="S1783" s="73">
        <v>0</v>
      </c>
      <c r="T1783" s="71" t="s">
        <v>390</v>
      </c>
      <c r="U1783" s="74">
        <v>1</v>
      </c>
      <c r="V1783" s="71" t="s">
        <v>391</v>
      </c>
      <c r="W1783" s="130">
        <v>46072.410416666666</v>
      </c>
      <c r="X1783" s="72">
        <v>46074.9375</v>
      </c>
      <c r="Y1783" s="72">
        <v>46076.909722222219</v>
      </c>
      <c r="Z1783" s="104" t="s">
        <v>382</v>
      </c>
      <c r="AA1783" s="104" t="s">
        <v>833</v>
      </c>
      <c r="AB1783" s="105">
        <v>46074.94027777778</v>
      </c>
      <c r="AC1783" s="105">
        <v>46074.958333333336</v>
      </c>
    </row>
    <row r="1784" s="70" customFormat="1" ht="11.25" customHeight="1">
      <c r="A1784" s="87"/>
      <c r="C1784" s="43" t="s">
        <v>3249</v>
      </c>
      <c r="D1784" s="71" t="s">
        <v>382</v>
      </c>
      <c r="E1784" s="71" t="str">
        <f>MID(D1784,1,2)</f>
        <v>IL</v>
      </c>
      <c r="F1784" s="71" t="s">
        <v>1108</v>
      </c>
      <c r="G1784" s="71" t="str">
        <f>MID(F1784,1,2)</f>
        <v>TW</v>
      </c>
      <c r="H1784" s="43" t="s">
        <v>3224</v>
      </c>
      <c r="I1784" s="71" t="s">
        <v>3250</v>
      </c>
      <c r="J1784" s="71" t="s">
        <v>755</v>
      </c>
      <c r="K1784" s="43"/>
      <c r="L1784" s="71" t="s">
        <v>105</v>
      </c>
      <c r="M1784" s="73">
        <v>160</v>
      </c>
      <c r="N1784" s="71" t="s">
        <v>388</v>
      </c>
      <c r="O1784" s="73">
        <v>2.16</v>
      </c>
      <c r="P1784" s="71" t="s">
        <v>389</v>
      </c>
      <c r="Q1784" s="73">
        <v>360</v>
      </c>
      <c r="R1784" s="71" t="s">
        <v>388</v>
      </c>
      <c r="S1784" s="73">
        <v>0</v>
      </c>
      <c r="T1784" s="71" t="s">
        <v>390</v>
      </c>
      <c r="U1784" s="74">
        <v>1</v>
      </c>
      <c r="V1784" s="71" t="s">
        <v>391</v>
      </c>
      <c r="W1784" s="130">
        <v>46072.410416666666</v>
      </c>
      <c r="X1784" s="72">
        <v>46074.9375</v>
      </c>
      <c r="Y1784" s="72">
        <v>46076.909722222219</v>
      </c>
      <c r="Z1784" s="104" t="s">
        <v>833</v>
      </c>
      <c r="AA1784" s="104" t="s">
        <v>1108</v>
      </c>
      <c r="AB1784" s="105">
        <v>46076.718055555553</v>
      </c>
      <c r="AC1784" s="105">
        <v>46076.905555555553</v>
      </c>
    </row>
    <row r="1785" s="70" customFormat="1" ht="11.25" customHeight="1">
      <c r="A1785" s="87"/>
      <c r="C1785" s="43" t="s">
        <v>3251</v>
      </c>
      <c r="D1785" s="71" t="s">
        <v>382</v>
      </c>
      <c r="E1785" s="71" t="str">
        <f>MID(D1785,1,2)</f>
        <v>IL</v>
      </c>
      <c r="F1785" s="71" t="s">
        <v>405</v>
      </c>
      <c r="G1785" s="71" t="str">
        <f>MID(F1785,1,2)</f>
        <v>CA</v>
      </c>
      <c r="H1785" s="43" t="s">
        <v>3252</v>
      </c>
      <c r="I1785" s="71" t="s">
        <v>3253</v>
      </c>
      <c r="J1785" s="71" t="s">
        <v>435</v>
      </c>
      <c r="K1785" s="43"/>
      <c r="L1785" s="71" t="s">
        <v>105</v>
      </c>
      <c r="M1785" s="73">
        <v>154</v>
      </c>
      <c r="N1785" s="71" t="s">
        <v>388</v>
      </c>
      <c r="O1785" s="73">
        <v>0.506</v>
      </c>
      <c r="P1785" s="71" t="s">
        <v>389</v>
      </c>
      <c r="Q1785" s="73">
        <v>154</v>
      </c>
      <c r="R1785" s="71" t="s">
        <v>388</v>
      </c>
      <c r="S1785" s="73">
        <v>0</v>
      </c>
      <c r="T1785" s="71" t="s">
        <v>390</v>
      </c>
      <c r="U1785" s="74">
        <v>1</v>
      </c>
      <c r="V1785" s="71" t="s">
        <v>391</v>
      </c>
      <c r="W1785" s="130">
        <v>46071.743055555555</v>
      </c>
      <c r="X1785" s="72">
        <v>46076.496527777781</v>
      </c>
      <c r="Y1785" s="72">
        <v>46076.958333333336</v>
      </c>
      <c r="Z1785" s="104" t="s">
        <v>382</v>
      </c>
      <c r="AA1785" s="104" t="s">
        <v>405</v>
      </c>
      <c r="AB1785" s="105">
        <v>46076.493055555555</v>
      </c>
      <c r="AC1785" s="105">
        <v>46076.708333333336</v>
      </c>
    </row>
    <row r="1786" s="70" customFormat="1" ht="11.25" customHeight="1">
      <c r="A1786" s="87"/>
      <c r="C1786" s="43" t="s">
        <v>3254</v>
      </c>
      <c r="D1786" s="71" t="s">
        <v>382</v>
      </c>
      <c r="E1786" s="71" t="str">
        <f>MID(D1786,1,2)</f>
        <v>IL</v>
      </c>
      <c r="F1786" s="71" t="s">
        <v>468</v>
      </c>
      <c r="G1786" s="71" t="str">
        <f>MID(F1786,1,2)</f>
        <v>US</v>
      </c>
      <c r="H1786" s="43" t="s">
        <v>469</v>
      </c>
      <c r="I1786" s="71" t="s">
        <v>3255</v>
      </c>
      <c r="J1786" s="71" t="s">
        <v>386</v>
      </c>
      <c r="K1786" s="43"/>
      <c r="L1786" s="71" t="s">
        <v>107</v>
      </c>
      <c r="M1786" s="73">
        <v>62</v>
      </c>
      <c r="N1786" s="71" t="s">
        <v>388</v>
      </c>
      <c r="O1786" s="73">
        <v>0.405</v>
      </c>
      <c r="P1786" s="71" t="s">
        <v>389</v>
      </c>
      <c r="Q1786" s="73">
        <v>67.5</v>
      </c>
      <c r="R1786" s="71" t="s">
        <v>388</v>
      </c>
      <c r="S1786" s="73">
        <v>0</v>
      </c>
      <c r="T1786" s="71" t="s">
        <v>390</v>
      </c>
      <c r="U1786" s="74">
        <v>1</v>
      </c>
      <c r="V1786" s="71" t="s">
        <v>446</v>
      </c>
      <c r="W1786" s="130">
        <v>46077.382638888892</v>
      </c>
      <c r="X1786" s="72">
        <v>46078.979166666664</v>
      </c>
      <c r="Y1786" s="72">
        <v>46085.375</v>
      </c>
      <c r="Z1786" s="104" t="s">
        <v>382</v>
      </c>
      <c r="AA1786" s="104" t="s">
        <v>471</v>
      </c>
      <c r="AB1786" s="105">
        <v>46079.01458333333</v>
      </c>
      <c r="AC1786" s="105">
        <v>46079.202777777777</v>
      </c>
    </row>
    <row r="1787" s="70" customFormat="1" ht="11.25" customHeight="1">
      <c r="A1787" s="87"/>
      <c r="C1787" s="43" t="s">
        <v>3254</v>
      </c>
      <c r="D1787" s="71" t="s">
        <v>382</v>
      </c>
      <c r="E1787" s="71" t="str">
        <f>MID(D1787,1,2)</f>
        <v>IL</v>
      </c>
      <c r="F1787" s="71" t="s">
        <v>468</v>
      </c>
      <c r="G1787" s="71" t="str">
        <f>MID(F1787,1,2)</f>
        <v>US</v>
      </c>
      <c r="H1787" s="43" t="s">
        <v>469</v>
      </c>
      <c r="I1787" s="71" t="s">
        <v>3255</v>
      </c>
      <c r="J1787" s="71" t="s">
        <v>386</v>
      </c>
      <c r="K1787" s="43"/>
      <c r="L1787" s="71" t="s">
        <v>107</v>
      </c>
      <c r="M1787" s="73">
        <v>62</v>
      </c>
      <c r="N1787" s="71" t="s">
        <v>388</v>
      </c>
      <c r="O1787" s="73">
        <v>0.405</v>
      </c>
      <c r="P1787" s="71" t="s">
        <v>389</v>
      </c>
      <c r="Q1787" s="73">
        <v>67.5</v>
      </c>
      <c r="R1787" s="71" t="s">
        <v>388</v>
      </c>
      <c r="S1787" s="73">
        <v>0</v>
      </c>
      <c r="T1787" s="71" t="s">
        <v>390</v>
      </c>
      <c r="U1787" s="74">
        <v>1</v>
      </c>
      <c r="V1787" s="71" t="s">
        <v>446</v>
      </c>
      <c r="W1787" s="130">
        <v>46077.382638888892</v>
      </c>
      <c r="X1787" s="72">
        <v>46078.979166666664</v>
      </c>
      <c r="Y1787" s="72">
        <v>46085.375</v>
      </c>
      <c r="Z1787" s="104" t="s">
        <v>422</v>
      </c>
      <c r="AA1787" s="104" t="s">
        <v>468</v>
      </c>
      <c r="AB1787" s="105">
        <v>46079.650694444441</v>
      </c>
      <c r="AC1787" s="105">
        <v>46081.484027777777</v>
      </c>
    </row>
    <row r="1788" s="70" customFormat="1" ht="11.25" customHeight="1">
      <c r="A1788" s="87"/>
      <c r="C1788" s="43" t="s">
        <v>3256</v>
      </c>
      <c r="D1788" s="71" t="s">
        <v>382</v>
      </c>
      <c r="E1788" s="71" t="str">
        <f>MID(D1788,1,2)</f>
        <v>IL</v>
      </c>
      <c r="F1788" s="71" t="s">
        <v>480</v>
      </c>
      <c r="G1788" s="71" t="str">
        <f>MID(F1788,1,2)</f>
        <v>CA</v>
      </c>
      <c r="H1788" s="43" t="s">
        <v>3257</v>
      </c>
      <c r="I1788" s="71" t="s">
        <v>3258</v>
      </c>
      <c r="J1788" s="71" t="s">
        <v>483</v>
      </c>
      <c r="K1788" s="43"/>
      <c r="L1788" s="71" t="s">
        <v>105</v>
      </c>
      <c r="M1788" s="73">
        <v>142</v>
      </c>
      <c r="N1788" s="71" t="s">
        <v>388</v>
      </c>
      <c r="O1788" s="73">
        <v>1.292</v>
      </c>
      <c r="P1788" s="71" t="s">
        <v>389</v>
      </c>
      <c r="Q1788" s="73">
        <v>215.5</v>
      </c>
      <c r="R1788" s="71" t="s">
        <v>388</v>
      </c>
      <c r="S1788" s="73">
        <v>0</v>
      </c>
      <c r="T1788" s="71" t="s">
        <v>390</v>
      </c>
      <c r="U1788" s="74">
        <v>1</v>
      </c>
      <c r="V1788" s="71" t="s">
        <v>391</v>
      </c>
      <c r="W1788" s="130">
        <v>46072.779976851853</v>
      </c>
      <c r="X1788" s="72">
        <v>46073.458333333336</v>
      </c>
      <c r="Y1788" s="72">
        <v>46074.666666666664</v>
      </c>
      <c r="Z1788" s="104" t="s">
        <v>382</v>
      </c>
      <c r="AA1788" s="104" t="s">
        <v>405</v>
      </c>
      <c r="AB1788" s="105">
        <v>46073.495138888888</v>
      </c>
      <c r="AC1788" s="105">
        <v>46073.68472222222</v>
      </c>
    </row>
    <row r="1789" s="70" customFormat="1" ht="11.25" customHeight="1">
      <c r="A1789" s="87"/>
      <c r="C1789" s="43" t="s">
        <v>3256</v>
      </c>
      <c r="D1789" s="71" t="s">
        <v>382</v>
      </c>
      <c r="E1789" s="71" t="str">
        <f>MID(D1789,1,2)</f>
        <v>IL</v>
      </c>
      <c r="F1789" s="71" t="s">
        <v>480</v>
      </c>
      <c r="G1789" s="71" t="str">
        <f>MID(F1789,1,2)</f>
        <v>CA</v>
      </c>
      <c r="H1789" s="43" t="s">
        <v>3257</v>
      </c>
      <c r="I1789" s="71" t="s">
        <v>3258</v>
      </c>
      <c r="J1789" s="71" t="s">
        <v>483</v>
      </c>
      <c r="K1789" s="43"/>
      <c r="L1789" s="71" t="s">
        <v>105</v>
      </c>
      <c r="M1789" s="73">
        <v>142</v>
      </c>
      <c r="N1789" s="71" t="s">
        <v>388</v>
      </c>
      <c r="O1789" s="73">
        <v>1.292</v>
      </c>
      <c r="P1789" s="71" t="s">
        <v>389</v>
      </c>
      <c r="Q1789" s="73">
        <v>215.5</v>
      </c>
      <c r="R1789" s="71" t="s">
        <v>388</v>
      </c>
      <c r="S1789" s="73">
        <v>0</v>
      </c>
      <c r="T1789" s="71" t="s">
        <v>390</v>
      </c>
      <c r="U1789" s="74">
        <v>1</v>
      </c>
      <c r="V1789" s="71" t="s">
        <v>391</v>
      </c>
      <c r="W1789" s="130">
        <v>46072.779976851853</v>
      </c>
      <c r="X1789" s="72">
        <v>46073.458333333336</v>
      </c>
      <c r="Y1789" s="72">
        <v>46074.666666666664</v>
      </c>
      <c r="Z1789" s="104" t="s">
        <v>405</v>
      </c>
      <c r="AA1789" s="104" t="s">
        <v>480</v>
      </c>
      <c r="AB1789" s="105">
        <v>46075.000694444447</v>
      </c>
      <c r="AC1789" s="105">
        <v>46075.642361111109</v>
      </c>
    </row>
    <row r="1790" s="70" customFormat="1" ht="11.25" customHeight="1">
      <c r="A1790" s="87"/>
      <c r="C1790" s="43" t="s">
        <v>3259</v>
      </c>
      <c r="D1790" s="71" t="s">
        <v>382</v>
      </c>
      <c r="E1790" s="71" t="str">
        <f>MID(D1790,1,2)</f>
        <v>IL</v>
      </c>
      <c r="F1790" s="71" t="s">
        <v>419</v>
      </c>
      <c r="G1790" s="71" t="str">
        <f>MID(F1790,1,2)</f>
        <v>US</v>
      </c>
      <c r="H1790" s="43" t="s">
        <v>3260</v>
      </c>
      <c r="I1790" s="71"/>
      <c r="J1790" s="71" t="s">
        <v>435</v>
      </c>
      <c r="K1790" s="43"/>
      <c r="L1790" s="71" t="s">
        <v>105</v>
      </c>
      <c r="M1790" s="73">
        <v>120</v>
      </c>
      <c r="N1790" s="71" t="s">
        <v>388</v>
      </c>
      <c r="O1790" s="73">
        <v>0.662</v>
      </c>
      <c r="P1790" s="71" t="s">
        <v>389</v>
      </c>
      <c r="Q1790" s="73">
        <v>120</v>
      </c>
      <c r="R1790" s="71" t="s">
        <v>388</v>
      </c>
      <c r="S1790" s="73">
        <v>0</v>
      </c>
      <c r="T1790" s="71" t="s">
        <v>390</v>
      </c>
      <c r="U1790" s="74">
        <v>1</v>
      </c>
      <c r="V1790" s="71" t="s">
        <v>391</v>
      </c>
      <c r="W1790" s="130">
        <v>46072.347916666666</v>
      </c>
      <c r="X1790" s="72">
        <v>46072.34097222222</v>
      </c>
      <c r="Y1790" s="72">
        <v>46080.75</v>
      </c>
      <c r="Z1790" s="104" t="s">
        <v>382</v>
      </c>
      <c r="AA1790" s="104" t="s">
        <v>422</v>
      </c>
      <c r="AB1790" s="105">
        <v>46073.97152777778</v>
      </c>
      <c r="AC1790" s="105">
        <v>46074.161111111112</v>
      </c>
    </row>
    <row r="1791" s="70" customFormat="1" ht="11.25" customHeight="1">
      <c r="A1791" s="87"/>
      <c r="C1791" s="43" t="s">
        <v>3259</v>
      </c>
      <c r="D1791" s="71" t="s">
        <v>382</v>
      </c>
      <c r="E1791" s="71" t="str">
        <f>MID(D1791,1,2)</f>
        <v>IL</v>
      </c>
      <c r="F1791" s="71" t="s">
        <v>419</v>
      </c>
      <c r="G1791" s="71" t="str">
        <f>MID(F1791,1,2)</f>
        <v>US</v>
      </c>
      <c r="H1791" s="43" t="s">
        <v>3260</v>
      </c>
      <c r="I1791" s="71"/>
      <c r="J1791" s="71" t="s">
        <v>435</v>
      </c>
      <c r="K1791" s="43"/>
      <c r="L1791" s="71" t="s">
        <v>105</v>
      </c>
      <c r="M1791" s="73">
        <v>120</v>
      </c>
      <c r="N1791" s="71" t="s">
        <v>388</v>
      </c>
      <c r="O1791" s="73">
        <v>0.662</v>
      </c>
      <c r="P1791" s="71" t="s">
        <v>389</v>
      </c>
      <c r="Q1791" s="73">
        <v>120</v>
      </c>
      <c r="R1791" s="71" t="s">
        <v>388</v>
      </c>
      <c r="S1791" s="73">
        <v>0</v>
      </c>
      <c r="T1791" s="71" t="s">
        <v>390</v>
      </c>
      <c r="U1791" s="74">
        <v>1</v>
      </c>
      <c r="V1791" s="71" t="s">
        <v>391</v>
      </c>
      <c r="W1791" s="130">
        <v>46072.347916666666</v>
      </c>
      <c r="X1791" s="72">
        <v>46072.34097222222</v>
      </c>
      <c r="Y1791" s="72">
        <v>46080.75</v>
      </c>
      <c r="Z1791" s="104" t="s">
        <v>422</v>
      </c>
      <c r="AA1791" s="104" t="s">
        <v>419</v>
      </c>
      <c r="AB1791" s="105">
        <v>46079.89166666667</v>
      </c>
      <c r="AC1791" s="105">
        <v>46080.666666666664</v>
      </c>
    </row>
    <row r="1792" s="70" customFormat="1" ht="11.25" customHeight="1">
      <c r="A1792" s="87"/>
      <c r="C1792" s="43" t="s">
        <v>3261</v>
      </c>
      <c r="D1792" s="71" t="s">
        <v>808</v>
      </c>
      <c r="E1792" s="71" t="str">
        <f>MID(D1792,1,2)</f>
        <v>IL</v>
      </c>
      <c r="F1792" s="71" t="s">
        <v>809</v>
      </c>
      <c r="G1792" s="71" t="str">
        <f>MID(F1792,1,2)</f>
        <v>IN</v>
      </c>
      <c r="H1792" s="43"/>
      <c r="I1792" s="71" t="s">
        <v>3262</v>
      </c>
      <c r="J1792" s="71" t="s">
        <v>811</v>
      </c>
      <c r="K1792" s="43"/>
      <c r="L1792" s="71" t="s">
        <v>105</v>
      </c>
      <c r="M1792" s="73">
        <v>0</v>
      </c>
      <c r="N1792" s="71" t="s">
        <v>388</v>
      </c>
      <c r="O1792" s="73">
        <v>0</v>
      </c>
      <c r="P1792" s="71" t="s">
        <v>389</v>
      </c>
      <c r="Q1792" s="73">
        <v>0</v>
      </c>
      <c r="R1792" s="71" t="s">
        <v>388</v>
      </c>
      <c r="S1792" s="73">
        <v>0</v>
      </c>
      <c r="T1792" s="71" t="s">
        <v>390</v>
      </c>
      <c r="U1792" s="74">
        <v>0</v>
      </c>
      <c r="V1792" s="71" t="s">
        <v>391</v>
      </c>
      <c r="W1792" s="130"/>
      <c r="X1792" s="72">
        <v>46072.34097222222</v>
      </c>
      <c r="Y1792" s="72">
        <v>46073.34097222222</v>
      </c>
      <c r="Z1792" s="104"/>
      <c r="AA1792" s="104"/>
      <c r="AB1792" s="105"/>
      <c r="AC1792" s="105"/>
    </row>
    <row r="1793" s="70" customFormat="1" ht="11.25" customHeight="1">
      <c r="A1793" s="87"/>
      <c r="C1793" s="43" t="s">
        <v>3263</v>
      </c>
      <c r="D1793" s="71" t="s">
        <v>382</v>
      </c>
      <c r="E1793" s="71" t="str">
        <f>MID(D1793,1,2)</f>
        <v>IL</v>
      </c>
      <c r="F1793" s="71" t="s">
        <v>963</v>
      </c>
      <c r="G1793" s="71" t="str">
        <f>MID(F1793,1,2)</f>
        <v>IN</v>
      </c>
      <c r="H1793" s="43" t="s">
        <v>3025</v>
      </c>
      <c r="I1793" s="71" t="s">
        <v>3264</v>
      </c>
      <c r="J1793" s="71" t="s">
        <v>483</v>
      </c>
      <c r="K1793" s="43"/>
      <c r="L1793" s="71" t="s">
        <v>105</v>
      </c>
      <c r="M1793" s="73">
        <v>6</v>
      </c>
      <c r="N1793" s="71" t="s">
        <v>388</v>
      </c>
      <c r="O1793" s="73">
        <v>0.022</v>
      </c>
      <c r="P1793" s="71" t="s">
        <v>389</v>
      </c>
      <c r="Q1793" s="73">
        <v>6</v>
      </c>
      <c r="R1793" s="71" t="s">
        <v>388</v>
      </c>
      <c r="S1793" s="73">
        <v>0</v>
      </c>
      <c r="T1793" s="71" t="s">
        <v>390</v>
      </c>
      <c r="U1793" s="74">
        <v>1</v>
      </c>
      <c r="V1793" s="71" t="s">
        <v>391</v>
      </c>
      <c r="W1793" s="130">
        <v>46072.382638888892</v>
      </c>
      <c r="X1793" s="72">
        <v>46074.895833333336</v>
      </c>
      <c r="Y1793" s="72">
        <v>46078.024305555555</v>
      </c>
      <c r="Z1793" s="104" t="s">
        <v>382</v>
      </c>
      <c r="AA1793" s="104" t="s">
        <v>833</v>
      </c>
      <c r="AB1793" s="105">
        <v>46074.890972222223</v>
      </c>
      <c r="AC1793" s="105">
        <v>46075.548611111109</v>
      </c>
    </row>
    <row r="1794" s="70" customFormat="1" ht="11.25" customHeight="1">
      <c r="A1794" s="87"/>
      <c r="C1794" s="43" t="s">
        <v>3263</v>
      </c>
      <c r="D1794" s="71" t="s">
        <v>382</v>
      </c>
      <c r="E1794" s="71" t="str">
        <f>MID(D1794,1,2)</f>
        <v>IL</v>
      </c>
      <c r="F1794" s="71" t="s">
        <v>963</v>
      </c>
      <c r="G1794" s="71" t="str">
        <f>MID(F1794,1,2)</f>
        <v>IN</v>
      </c>
      <c r="H1794" s="43" t="s">
        <v>3025</v>
      </c>
      <c r="I1794" s="71" t="s">
        <v>3264</v>
      </c>
      <c r="J1794" s="71" t="s">
        <v>483</v>
      </c>
      <c r="K1794" s="43"/>
      <c r="L1794" s="71" t="s">
        <v>105</v>
      </c>
      <c r="M1794" s="73">
        <v>6</v>
      </c>
      <c r="N1794" s="71" t="s">
        <v>388</v>
      </c>
      <c r="O1794" s="73">
        <v>0.022</v>
      </c>
      <c r="P1794" s="71" t="s">
        <v>389</v>
      </c>
      <c r="Q1794" s="73">
        <v>6</v>
      </c>
      <c r="R1794" s="71" t="s">
        <v>388</v>
      </c>
      <c r="S1794" s="73">
        <v>0</v>
      </c>
      <c r="T1794" s="71" t="s">
        <v>390</v>
      </c>
      <c r="U1794" s="74">
        <v>1</v>
      </c>
      <c r="V1794" s="71" t="s">
        <v>391</v>
      </c>
      <c r="W1794" s="130">
        <v>46072.382638888892</v>
      </c>
      <c r="X1794" s="72">
        <v>46074.895833333336</v>
      </c>
      <c r="Y1794" s="72">
        <v>46078.024305555555</v>
      </c>
      <c r="Z1794" s="104" t="s">
        <v>833</v>
      </c>
      <c r="AA1794" s="104" t="s">
        <v>963</v>
      </c>
      <c r="AB1794" s="105">
        <v>46077.920138888891</v>
      </c>
      <c r="AC1794" s="105">
        <v>46078.165277777778</v>
      </c>
    </row>
    <row r="1795" s="70" customFormat="1" ht="11.25" customHeight="1">
      <c r="A1795" s="87"/>
      <c r="C1795" s="43" t="s">
        <v>3265</v>
      </c>
      <c r="D1795" s="71" t="s">
        <v>382</v>
      </c>
      <c r="E1795" s="71" t="str">
        <f>MID(D1795,1,2)</f>
        <v>IL</v>
      </c>
      <c r="F1795" s="71" t="s">
        <v>496</v>
      </c>
      <c r="G1795" s="71" t="str">
        <f>MID(F1795,1,2)</f>
        <v>RO</v>
      </c>
      <c r="H1795" s="43" t="s">
        <v>3266</v>
      </c>
      <c r="I1795" s="71" t="s">
        <v>3267</v>
      </c>
      <c r="J1795" s="71" t="s">
        <v>426</v>
      </c>
      <c r="K1795" s="43"/>
      <c r="L1795" s="71" t="s">
        <v>105</v>
      </c>
      <c r="M1795" s="73">
        <v>6</v>
      </c>
      <c r="N1795" s="71" t="s">
        <v>388</v>
      </c>
      <c r="O1795" s="73">
        <v>0.044</v>
      </c>
      <c r="P1795" s="71" t="s">
        <v>389</v>
      </c>
      <c r="Q1795" s="73">
        <v>7.5</v>
      </c>
      <c r="R1795" s="71" t="s">
        <v>388</v>
      </c>
      <c r="S1795" s="73">
        <v>0</v>
      </c>
      <c r="T1795" s="71" t="s">
        <v>390</v>
      </c>
      <c r="U1795" s="74">
        <v>1</v>
      </c>
      <c r="V1795" s="71" t="s">
        <v>391</v>
      </c>
      <c r="W1795" s="130">
        <v>46072.38958333333</v>
      </c>
      <c r="X1795" s="72">
        <v>46073.388888888891</v>
      </c>
      <c r="Y1795" s="72">
        <v>46075.359722222223</v>
      </c>
      <c r="Z1795" s="104" t="s">
        <v>382</v>
      </c>
      <c r="AA1795" s="104" t="s">
        <v>496</v>
      </c>
      <c r="AB1795" s="105">
        <v>46075.24375</v>
      </c>
      <c r="AC1795" s="105">
        <v>46075.341666666667</v>
      </c>
    </row>
    <row r="1796" s="70" customFormat="1" ht="11.25" customHeight="1">
      <c r="A1796" s="87"/>
      <c r="C1796" s="43" t="s">
        <v>3268</v>
      </c>
      <c r="D1796" s="71" t="s">
        <v>382</v>
      </c>
      <c r="E1796" s="71" t="str">
        <f>MID(D1796,1,2)</f>
        <v>IL</v>
      </c>
      <c r="F1796" s="71" t="s">
        <v>1163</v>
      </c>
      <c r="G1796" s="71" t="str">
        <f>MID(F1796,1,2)</f>
        <v>AR</v>
      </c>
      <c r="H1796" s="43" t="s">
        <v>3269</v>
      </c>
      <c r="I1796" s="71" t="s">
        <v>3270</v>
      </c>
      <c r="J1796" s="71" t="s">
        <v>426</v>
      </c>
      <c r="K1796" s="43"/>
      <c r="L1796" s="71" t="s">
        <v>105</v>
      </c>
      <c r="M1796" s="73">
        <v>258</v>
      </c>
      <c r="N1796" s="71" t="s">
        <v>388</v>
      </c>
      <c r="O1796" s="73">
        <v>0.701</v>
      </c>
      <c r="P1796" s="71" t="s">
        <v>389</v>
      </c>
      <c r="Q1796" s="73">
        <v>258</v>
      </c>
      <c r="R1796" s="71" t="s">
        <v>388</v>
      </c>
      <c r="S1796" s="73">
        <v>0</v>
      </c>
      <c r="T1796" s="71" t="s">
        <v>390</v>
      </c>
      <c r="U1796" s="74">
        <v>1</v>
      </c>
      <c r="V1796" s="71" t="s">
        <v>391</v>
      </c>
      <c r="W1796" s="130">
        <v>46072.5159375</v>
      </c>
      <c r="X1796" s="72">
        <v>46075.401388888888</v>
      </c>
      <c r="Y1796" s="72">
        <v>46082.388888888891</v>
      </c>
      <c r="Z1796" s="104" t="s">
        <v>382</v>
      </c>
      <c r="AA1796" s="104" t="s">
        <v>422</v>
      </c>
      <c r="AB1796" s="105">
        <v>46075.472222222219</v>
      </c>
      <c r="AC1796" s="105">
        <v>46075.679861111108</v>
      </c>
    </row>
    <row r="1797" s="70" customFormat="1" ht="11.25" customHeight="1">
      <c r="A1797" s="87"/>
      <c r="C1797" s="43" t="s">
        <v>3268</v>
      </c>
      <c r="D1797" s="71" t="s">
        <v>382</v>
      </c>
      <c r="E1797" s="71" t="str">
        <f>MID(D1797,1,2)</f>
        <v>IL</v>
      </c>
      <c r="F1797" s="71" t="s">
        <v>1163</v>
      </c>
      <c r="G1797" s="71" t="str">
        <f>MID(F1797,1,2)</f>
        <v>AR</v>
      </c>
      <c r="H1797" s="43" t="s">
        <v>3269</v>
      </c>
      <c r="I1797" s="71" t="s">
        <v>3270</v>
      </c>
      <c r="J1797" s="71" t="s">
        <v>426</v>
      </c>
      <c r="K1797" s="43"/>
      <c r="L1797" s="71" t="s">
        <v>105</v>
      </c>
      <c r="M1797" s="73">
        <v>258</v>
      </c>
      <c r="N1797" s="71" t="s">
        <v>388</v>
      </c>
      <c r="O1797" s="73">
        <v>0.701</v>
      </c>
      <c r="P1797" s="71" t="s">
        <v>389</v>
      </c>
      <c r="Q1797" s="73">
        <v>258</v>
      </c>
      <c r="R1797" s="71" t="s">
        <v>388</v>
      </c>
      <c r="S1797" s="73">
        <v>0</v>
      </c>
      <c r="T1797" s="71" t="s">
        <v>390</v>
      </c>
      <c r="U1797" s="74">
        <v>1</v>
      </c>
      <c r="V1797" s="71" t="s">
        <v>391</v>
      </c>
      <c r="W1797" s="130">
        <v>46072.5159375</v>
      </c>
      <c r="X1797" s="72">
        <v>46075.401388888888</v>
      </c>
      <c r="Y1797" s="72">
        <v>46082.388888888891</v>
      </c>
      <c r="Z1797" s="104" t="s">
        <v>422</v>
      </c>
      <c r="AA1797" s="104" t="s">
        <v>510</v>
      </c>
      <c r="AB1797" s="105">
        <v>46077.791666666664</v>
      </c>
      <c r="AC1797" s="105"/>
    </row>
    <row r="1798" s="70" customFormat="1" ht="11.25" customHeight="1">
      <c r="A1798" s="87"/>
      <c r="C1798" s="43" t="s">
        <v>3268</v>
      </c>
      <c r="D1798" s="71" t="s">
        <v>382</v>
      </c>
      <c r="E1798" s="71" t="str">
        <f>MID(D1798,1,2)</f>
        <v>IL</v>
      </c>
      <c r="F1798" s="71" t="s">
        <v>1163</v>
      </c>
      <c r="G1798" s="71" t="str">
        <f>MID(F1798,1,2)</f>
        <v>AR</v>
      </c>
      <c r="H1798" s="43" t="s">
        <v>3269</v>
      </c>
      <c r="I1798" s="71" t="s">
        <v>3270</v>
      </c>
      <c r="J1798" s="71" t="s">
        <v>426</v>
      </c>
      <c r="K1798" s="43"/>
      <c r="L1798" s="71" t="s">
        <v>105</v>
      </c>
      <c r="M1798" s="73">
        <v>258</v>
      </c>
      <c r="N1798" s="71" t="s">
        <v>388</v>
      </c>
      <c r="O1798" s="73">
        <v>0.701</v>
      </c>
      <c r="P1798" s="71" t="s">
        <v>389</v>
      </c>
      <c r="Q1798" s="73">
        <v>258</v>
      </c>
      <c r="R1798" s="71" t="s">
        <v>388</v>
      </c>
      <c r="S1798" s="73">
        <v>0</v>
      </c>
      <c r="T1798" s="71" t="s">
        <v>390</v>
      </c>
      <c r="U1798" s="74">
        <v>1</v>
      </c>
      <c r="V1798" s="71" t="s">
        <v>391</v>
      </c>
      <c r="W1798" s="130">
        <v>46072.5159375</v>
      </c>
      <c r="X1798" s="72">
        <v>46075.401388888888</v>
      </c>
      <c r="Y1798" s="72">
        <v>46082.388888888891</v>
      </c>
      <c r="Z1798" s="104" t="s">
        <v>510</v>
      </c>
      <c r="AA1798" s="104" t="s">
        <v>1163</v>
      </c>
      <c r="AB1798" s="105">
        <v>46081.852083333331</v>
      </c>
      <c r="AC1798" s="105">
        <v>46082.376388888886</v>
      </c>
    </row>
    <row r="1799" s="70" customFormat="1" ht="11.25" customHeight="1">
      <c r="A1799" s="87"/>
      <c r="C1799" s="43" t="s">
        <v>3271</v>
      </c>
      <c r="D1799" s="71" t="s">
        <v>382</v>
      </c>
      <c r="E1799" s="71" t="str">
        <f>MID(D1799,1,2)</f>
        <v>IL</v>
      </c>
      <c r="F1799" s="71" t="s">
        <v>963</v>
      </c>
      <c r="G1799" s="71" t="str">
        <f>MID(F1799,1,2)</f>
        <v>IN</v>
      </c>
      <c r="H1799" s="43" t="s">
        <v>3025</v>
      </c>
      <c r="I1799" s="71" t="s">
        <v>3272</v>
      </c>
      <c r="J1799" s="71" t="s">
        <v>426</v>
      </c>
      <c r="K1799" s="43"/>
      <c r="L1799" s="71" t="s">
        <v>105</v>
      </c>
      <c r="M1799" s="73">
        <v>18</v>
      </c>
      <c r="N1799" s="71" t="s">
        <v>388</v>
      </c>
      <c r="O1799" s="73">
        <v>0.128</v>
      </c>
      <c r="P1799" s="71" t="s">
        <v>389</v>
      </c>
      <c r="Q1799" s="73">
        <v>21.5</v>
      </c>
      <c r="R1799" s="71" t="s">
        <v>388</v>
      </c>
      <c r="S1799" s="73">
        <v>0</v>
      </c>
      <c r="T1799" s="71" t="s">
        <v>390</v>
      </c>
      <c r="U1799" s="74">
        <v>1</v>
      </c>
      <c r="V1799" s="71" t="s">
        <v>391</v>
      </c>
      <c r="W1799" s="130">
        <v>46072.396527777775</v>
      </c>
      <c r="X1799" s="72">
        <v>46074.895833333336</v>
      </c>
      <c r="Y1799" s="72">
        <v>46078.024305555555</v>
      </c>
      <c r="Z1799" s="104" t="s">
        <v>382</v>
      </c>
      <c r="AA1799" s="104" t="s">
        <v>833</v>
      </c>
      <c r="AB1799" s="105">
        <v>46074.890972222223</v>
      </c>
      <c r="AC1799" s="105">
        <v>46075.548611111109</v>
      </c>
    </row>
    <row r="1800" s="70" customFormat="1" ht="11.25" customHeight="1">
      <c r="A1800" s="87"/>
      <c r="C1800" s="43" t="s">
        <v>3271</v>
      </c>
      <c r="D1800" s="71" t="s">
        <v>382</v>
      </c>
      <c r="E1800" s="71" t="str">
        <f>MID(D1800,1,2)</f>
        <v>IL</v>
      </c>
      <c r="F1800" s="71" t="s">
        <v>963</v>
      </c>
      <c r="G1800" s="71" t="str">
        <f>MID(F1800,1,2)</f>
        <v>IN</v>
      </c>
      <c r="H1800" s="43" t="s">
        <v>3025</v>
      </c>
      <c r="I1800" s="71" t="s">
        <v>3272</v>
      </c>
      <c r="J1800" s="71" t="s">
        <v>426</v>
      </c>
      <c r="K1800" s="43"/>
      <c r="L1800" s="71" t="s">
        <v>105</v>
      </c>
      <c r="M1800" s="73">
        <v>18</v>
      </c>
      <c r="N1800" s="71" t="s">
        <v>388</v>
      </c>
      <c r="O1800" s="73">
        <v>0.128</v>
      </c>
      <c r="P1800" s="71" t="s">
        <v>389</v>
      </c>
      <c r="Q1800" s="73">
        <v>21.5</v>
      </c>
      <c r="R1800" s="71" t="s">
        <v>388</v>
      </c>
      <c r="S1800" s="73">
        <v>0</v>
      </c>
      <c r="T1800" s="71" t="s">
        <v>390</v>
      </c>
      <c r="U1800" s="74">
        <v>1</v>
      </c>
      <c r="V1800" s="71" t="s">
        <v>391</v>
      </c>
      <c r="W1800" s="130">
        <v>46072.396527777775</v>
      </c>
      <c r="X1800" s="72">
        <v>46074.895833333336</v>
      </c>
      <c r="Y1800" s="72">
        <v>46078.024305555555</v>
      </c>
      <c r="Z1800" s="104" t="s">
        <v>833</v>
      </c>
      <c r="AA1800" s="104" t="s">
        <v>963</v>
      </c>
      <c r="AB1800" s="105">
        <v>46077.920138888891</v>
      </c>
      <c r="AC1800" s="105">
        <v>46078.165277777778</v>
      </c>
    </row>
    <row r="1801" s="70" customFormat="1" ht="11.25" customHeight="1">
      <c r="A1801" s="87"/>
      <c r="C1801" s="43" t="s">
        <v>3273</v>
      </c>
      <c r="D1801" s="71" t="s">
        <v>382</v>
      </c>
      <c r="E1801" s="71" t="str">
        <f>MID(D1801,1,2)</f>
        <v>IL</v>
      </c>
      <c r="F1801" s="71" t="s">
        <v>546</v>
      </c>
      <c r="G1801" s="71" t="str">
        <f>MID(F1801,1,2)</f>
        <v>GB</v>
      </c>
      <c r="H1801" s="43" t="s">
        <v>3274</v>
      </c>
      <c r="I1801" s="71" t="s">
        <v>3275</v>
      </c>
      <c r="J1801" s="71" t="s">
        <v>386</v>
      </c>
      <c r="K1801" s="43"/>
      <c r="L1801" s="71" t="s">
        <v>107</v>
      </c>
      <c r="M1801" s="73">
        <v>70</v>
      </c>
      <c r="N1801" s="71" t="s">
        <v>388</v>
      </c>
      <c r="O1801" s="73">
        <v>0.756</v>
      </c>
      <c r="P1801" s="71" t="s">
        <v>389</v>
      </c>
      <c r="Q1801" s="73">
        <v>126</v>
      </c>
      <c r="R1801" s="71" t="s">
        <v>388</v>
      </c>
      <c r="S1801" s="73">
        <v>4</v>
      </c>
      <c r="T1801" s="71" t="s">
        <v>390</v>
      </c>
      <c r="U1801" s="74">
        <v>1</v>
      </c>
      <c r="V1801" s="71" t="s">
        <v>391</v>
      </c>
      <c r="W1801" s="130">
        <v>46072.493055555555</v>
      </c>
      <c r="X1801" s="72">
        <v>46076.381944444445</v>
      </c>
      <c r="Y1801" s="72">
        <v>46076.583333333336</v>
      </c>
      <c r="Z1801" s="104" t="s">
        <v>382</v>
      </c>
      <c r="AA1801" s="104" t="s">
        <v>546</v>
      </c>
      <c r="AB1801" s="105">
        <v>46076.379861111112</v>
      </c>
      <c r="AC1801" s="105">
        <v>46076.3375</v>
      </c>
    </row>
    <row r="1802" s="70" customFormat="1" ht="11.25" customHeight="1">
      <c r="A1802" s="87"/>
      <c r="C1802" s="43" t="s">
        <v>3276</v>
      </c>
      <c r="D1802" s="71" t="s">
        <v>382</v>
      </c>
      <c r="E1802" s="71" t="str">
        <f>MID(D1802,1,2)</f>
        <v>IL</v>
      </c>
      <c r="F1802" s="71" t="s">
        <v>422</v>
      </c>
      <c r="G1802" s="71" t="str">
        <f>MID(F1802,1,2)</f>
        <v>US</v>
      </c>
      <c r="H1802" s="43" t="s">
        <v>3218</v>
      </c>
      <c r="I1802" s="71" t="s">
        <v>3277</v>
      </c>
      <c r="J1802" s="71" t="s">
        <v>454</v>
      </c>
      <c r="K1802" s="43" t="s">
        <v>431</v>
      </c>
      <c r="L1802" s="71" t="s">
        <v>107</v>
      </c>
      <c r="M1802" s="73">
        <v>17</v>
      </c>
      <c r="N1802" s="71" t="s">
        <v>388</v>
      </c>
      <c r="O1802" s="73">
        <v>0.19</v>
      </c>
      <c r="P1802" s="71" t="s">
        <v>389</v>
      </c>
      <c r="Q1802" s="73">
        <v>32</v>
      </c>
      <c r="R1802" s="71" t="s">
        <v>388</v>
      </c>
      <c r="S1802" s="73">
        <v>0</v>
      </c>
      <c r="T1802" s="71" t="s">
        <v>390</v>
      </c>
      <c r="U1802" s="74">
        <v>2</v>
      </c>
      <c r="V1802" s="71" t="s">
        <v>391</v>
      </c>
      <c r="W1802" s="130">
        <v>46072.410416666666</v>
      </c>
      <c r="X1802" s="72">
        <v>46073.458333333336</v>
      </c>
      <c r="Y1802" s="72">
        <v>46074.690972222219</v>
      </c>
      <c r="Z1802" s="104" t="s">
        <v>382</v>
      </c>
      <c r="AA1802" s="104" t="s">
        <v>422</v>
      </c>
      <c r="AB1802" s="105">
        <v>46074.470833333333</v>
      </c>
      <c r="AC1802" s="105">
        <v>46074.672222222223</v>
      </c>
    </row>
    <row r="1803" s="70" customFormat="1" ht="11.25" customHeight="1">
      <c r="A1803" s="87"/>
      <c r="C1803" s="43" t="s">
        <v>3278</v>
      </c>
      <c r="D1803" s="71" t="s">
        <v>382</v>
      </c>
      <c r="E1803" s="71" t="str">
        <f>MID(D1803,1,2)</f>
        <v>IL</v>
      </c>
      <c r="F1803" s="71" t="s">
        <v>496</v>
      </c>
      <c r="G1803" s="71" t="str">
        <f>MID(F1803,1,2)</f>
        <v>RO</v>
      </c>
      <c r="H1803" s="43" t="s">
        <v>3279</v>
      </c>
      <c r="I1803" s="71" t="s">
        <v>3280</v>
      </c>
      <c r="J1803" s="71" t="s">
        <v>386</v>
      </c>
      <c r="K1803" s="43"/>
      <c r="L1803" s="71" t="s">
        <v>107</v>
      </c>
      <c r="M1803" s="73">
        <v>1</v>
      </c>
      <c r="N1803" s="71" t="s">
        <v>388</v>
      </c>
      <c r="O1803" s="73">
        <v>0.001</v>
      </c>
      <c r="P1803" s="71" t="s">
        <v>389</v>
      </c>
      <c r="Q1803" s="73">
        <v>1</v>
      </c>
      <c r="R1803" s="71" t="s">
        <v>388</v>
      </c>
      <c r="S1803" s="73">
        <v>0</v>
      </c>
      <c r="T1803" s="71" t="s">
        <v>390</v>
      </c>
      <c r="U1803" s="74">
        <v>1</v>
      </c>
      <c r="V1803" s="71" t="s">
        <v>391</v>
      </c>
      <c r="W1803" s="130">
        <v>46075.871076388888</v>
      </c>
      <c r="X1803" s="72">
        <v>46077.013888888891</v>
      </c>
      <c r="Y1803" s="72">
        <v>46077.128472222219</v>
      </c>
      <c r="Z1803" s="104" t="s">
        <v>382</v>
      </c>
      <c r="AA1803" s="104" t="s">
        <v>496</v>
      </c>
      <c r="AB1803" s="105">
        <v>46077.013888888891</v>
      </c>
      <c r="AC1803" s="105">
        <v>46077.140277777777</v>
      </c>
    </row>
    <row r="1804" s="70" customFormat="1" ht="11.25" customHeight="1">
      <c r="A1804" s="87"/>
      <c r="C1804" s="43" t="s">
        <v>3281</v>
      </c>
      <c r="D1804" s="71" t="s">
        <v>382</v>
      </c>
      <c r="E1804" s="71" t="str">
        <f>MID(D1804,1,2)</f>
        <v>IL</v>
      </c>
      <c r="F1804" s="71" t="s">
        <v>2223</v>
      </c>
      <c r="G1804" s="71" t="str">
        <f>MID(F1804,1,2)</f>
        <v>GB</v>
      </c>
      <c r="H1804" s="43" t="s">
        <v>3282</v>
      </c>
      <c r="I1804" s="71" t="s">
        <v>3283</v>
      </c>
      <c r="J1804" s="71" t="s">
        <v>400</v>
      </c>
      <c r="K1804" s="43"/>
      <c r="L1804" s="71" t="s">
        <v>105</v>
      </c>
      <c r="M1804" s="73">
        <v>136</v>
      </c>
      <c r="N1804" s="71" t="s">
        <v>388</v>
      </c>
      <c r="O1804" s="73">
        <v>2.325</v>
      </c>
      <c r="P1804" s="71" t="s">
        <v>389</v>
      </c>
      <c r="Q1804" s="73">
        <v>387.5</v>
      </c>
      <c r="R1804" s="71" t="s">
        <v>388</v>
      </c>
      <c r="S1804" s="73">
        <v>0</v>
      </c>
      <c r="T1804" s="71" t="s">
        <v>390</v>
      </c>
      <c r="U1804" s="74">
        <v>2</v>
      </c>
      <c r="V1804" s="71" t="s">
        <v>391</v>
      </c>
      <c r="W1804" s="130">
        <v>46072.416666666664</v>
      </c>
      <c r="X1804" s="72">
        <v>46075.381944444445</v>
      </c>
      <c r="Y1804" s="72">
        <v>46075.524305555555</v>
      </c>
      <c r="Z1804" s="104" t="s">
        <v>382</v>
      </c>
      <c r="AA1804" s="104" t="s">
        <v>546</v>
      </c>
      <c r="AB1804" s="105">
        <v>46075.375694444447</v>
      </c>
      <c r="AC1804" s="105">
        <v>46075.520138888889</v>
      </c>
    </row>
    <row r="1805" s="70" customFormat="1" ht="11.25" customHeight="1">
      <c r="A1805" s="87"/>
      <c r="C1805" s="43" t="s">
        <v>3284</v>
      </c>
      <c r="D1805" s="71" t="s">
        <v>382</v>
      </c>
      <c r="E1805" s="71" t="str">
        <f>MID(D1805,1,2)</f>
        <v>IL</v>
      </c>
      <c r="F1805" s="71" t="s">
        <v>546</v>
      </c>
      <c r="G1805" s="71" t="str">
        <f>MID(F1805,1,2)</f>
        <v>GB</v>
      </c>
      <c r="H1805" s="43" t="s">
        <v>3285</v>
      </c>
      <c r="I1805" s="71" t="s">
        <v>3286</v>
      </c>
      <c r="J1805" s="71" t="s">
        <v>559</v>
      </c>
      <c r="K1805" s="43"/>
      <c r="L1805" s="71" t="s">
        <v>107</v>
      </c>
      <c r="M1805" s="73">
        <v>195</v>
      </c>
      <c r="N1805" s="71" t="s">
        <v>388</v>
      </c>
      <c r="O1805" s="73">
        <v>0.771</v>
      </c>
      <c r="P1805" s="71" t="s">
        <v>389</v>
      </c>
      <c r="Q1805" s="73">
        <v>195</v>
      </c>
      <c r="R1805" s="71" t="s">
        <v>388</v>
      </c>
      <c r="S1805" s="73">
        <v>0</v>
      </c>
      <c r="T1805" s="71" t="s">
        <v>390</v>
      </c>
      <c r="U1805" s="74">
        <v>2</v>
      </c>
      <c r="V1805" s="71" t="s">
        <v>391</v>
      </c>
      <c r="W1805" s="130">
        <v>46072.50917824074</v>
      </c>
      <c r="X1805" s="72">
        <v>46075.381944444445</v>
      </c>
      <c r="Y1805" s="72">
        <v>46075.524305555555</v>
      </c>
      <c r="Z1805" s="104" t="s">
        <v>560</v>
      </c>
      <c r="AA1805" s="104" t="s">
        <v>561</v>
      </c>
      <c r="AB1805" s="105"/>
      <c r="AC1805" s="105"/>
    </row>
    <row r="1806" s="70" customFormat="1" ht="11.25" customHeight="1">
      <c r="A1806" s="87"/>
      <c r="C1806" s="43" t="s">
        <v>3284</v>
      </c>
      <c r="D1806" s="71" t="s">
        <v>382</v>
      </c>
      <c r="E1806" s="71" t="str">
        <f>MID(D1806,1,2)</f>
        <v>IL</v>
      </c>
      <c r="F1806" s="71" t="s">
        <v>546</v>
      </c>
      <c r="G1806" s="71" t="str">
        <f>MID(F1806,1,2)</f>
        <v>GB</v>
      </c>
      <c r="H1806" s="43" t="s">
        <v>3285</v>
      </c>
      <c r="I1806" s="71" t="s">
        <v>3286</v>
      </c>
      <c r="J1806" s="71" t="s">
        <v>559</v>
      </c>
      <c r="K1806" s="43"/>
      <c r="L1806" s="71" t="s">
        <v>107</v>
      </c>
      <c r="M1806" s="73">
        <v>195</v>
      </c>
      <c r="N1806" s="71" t="s">
        <v>388</v>
      </c>
      <c r="O1806" s="73">
        <v>0.771</v>
      </c>
      <c r="P1806" s="71" t="s">
        <v>389</v>
      </c>
      <c r="Q1806" s="73">
        <v>195</v>
      </c>
      <c r="R1806" s="71" t="s">
        <v>388</v>
      </c>
      <c r="S1806" s="73">
        <v>0</v>
      </c>
      <c r="T1806" s="71" t="s">
        <v>390</v>
      </c>
      <c r="U1806" s="74">
        <v>2</v>
      </c>
      <c r="V1806" s="71" t="s">
        <v>391</v>
      </c>
      <c r="W1806" s="130">
        <v>46072.50917824074</v>
      </c>
      <c r="X1806" s="72">
        <v>46075.381944444445</v>
      </c>
      <c r="Y1806" s="72">
        <v>46075.524305555555</v>
      </c>
      <c r="Z1806" s="104" t="s">
        <v>382</v>
      </c>
      <c r="AA1806" s="104" t="s">
        <v>546</v>
      </c>
      <c r="AB1806" s="105">
        <v>46075.375694444447</v>
      </c>
      <c r="AC1806" s="105">
        <v>46075.520138888889</v>
      </c>
    </row>
    <row r="1807" s="70" customFormat="1" ht="11.25" customHeight="1">
      <c r="A1807" s="87"/>
      <c r="C1807" s="43" t="s">
        <v>3287</v>
      </c>
      <c r="D1807" s="71" t="s">
        <v>382</v>
      </c>
      <c r="E1807" s="71" t="str">
        <f>MID(D1807,1,2)</f>
        <v>IL</v>
      </c>
      <c r="F1807" s="71" t="s">
        <v>522</v>
      </c>
      <c r="G1807" s="71" t="str">
        <f>MID(F1807,1,2)</f>
        <v>CZ</v>
      </c>
      <c r="H1807" s="43" t="s">
        <v>3288</v>
      </c>
      <c r="I1807" s="71" t="s">
        <v>3289</v>
      </c>
      <c r="J1807" s="71" t="s">
        <v>811</v>
      </c>
      <c r="K1807" s="43"/>
      <c r="L1807" s="71" t="s">
        <v>105</v>
      </c>
      <c r="M1807" s="73">
        <v>482</v>
      </c>
      <c r="N1807" s="71" t="s">
        <v>388</v>
      </c>
      <c r="O1807" s="73">
        <v>1.944</v>
      </c>
      <c r="P1807" s="71" t="s">
        <v>389</v>
      </c>
      <c r="Q1807" s="73">
        <v>482</v>
      </c>
      <c r="R1807" s="71" t="s">
        <v>388</v>
      </c>
      <c r="S1807" s="73">
        <v>0</v>
      </c>
      <c r="T1807" s="71" t="s">
        <v>390</v>
      </c>
      <c r="U1807" s="74">
        <v>1</v>
      </c>
      <c r="V1807" s="71" t="s">
        <v>391</v>
      </c>
      <c r="W1807" s="130">
        <v>46076.592870370368</v>
      </c>
      <c r="X1807" s="72">
        <v>46076.907638888886</v>
      </c>
      <c r="Y1807" s="72">
        <v>46079.375</v>
      </c>
      <c r="Z1807" s="104" t="s">
        <v>382</v>
      </c>
      <c r="AA1807" s="104" t="s">
        <v>748</v>
      </c>
      <c r="AB1807" s="105">
        <v>46077.836111111108</v>
      </c>
      <c r="AC1807" s="105">
        <v>46077.978472222225</v>
      </c>
    </row>
    <row r="1808" s="70" customFormat="1" ht="11.25" customHeight="1">
      <c r="A1808" s="87"/>
      <c r="C1808" s="43" t="s">
        <v>3287</v>
      </c>
      <c r="D1808" s="71" t="s">
        <v>382</v>
      </c>
      <c r="E1808" s="71" t="str">
        <f>MID(D1808,1,2)</f>
        <v>IL</v>
      </c>
      <c r="F1808" s="71" t="s">
        <v>522</v>
      </c>
      <c r="G1808" s="71" t="str">
        <f>MID(F1808,1,2)</f>
        <v>CZ</v>
      </c>
      <c r="H1808" s="43" t="s">
        <v>3288</v>
      </c>
      <c r="I1808" s="71" t="s">
        <v>3289</v>
      </c>
      <c r="J1808" s="71" t="s">
        <v>811</v>
      </c>
      <c r="K1808" s="43"/>
      <c r="L1808" s="71" t="s">
        <v>105</v>
      </c>
      <c r="M1808" s="73">
        <v>482</v>
      </c>
      <c r="N1808" s="71" t="s">
        <v>388</v>
      </c>
      <c r="O1808" s="73">
        <v>1.944</v>
      </c>
      <c r="P1808" s="71" t="s">
        <v>389</v>
      </c>
      <c r="Q1808" s="73">
        <v>482</v>
      </c>
      <c r="R1808" s="71" t="s">
        <v>388</v>
      </c>
      <c r="S1808" s="73">
        <v>0</v>
      </c>
      <c r="T1808" s="71" t="s">
        <v>390</v>
      </c>
      <c r="U1808" s="74">
        <v>1</v>
      </c>
      <c r="V1808" s="71" t="s">
        <v>391</v>
      </c>
      <c r="W1808" s="130">
        <v>46076.592870370368</v>
      </c>
      <c r="X1808" s="72">
        <v>46076.907638888886</v>
      </c>
      <c r="Y1808" s="72">
        <v>46079.375</v>
      </c>
      <c r="Z1808" s="104" t="s">
        <v>748</v>
      </c>
      <c r="AA1808" s="104" t="s">
        <v>522</v>
      </c>
      <c r="AB1808" s="105">
        <v>46078.225</v>
      </c>
      <c r="AC1808" s="105">
        <v>46078.382638888892</v>
      </c>
    </row>
    <row r="1809" s="70" customFormat="1" ht="11.25" customHeight="1">
      <c r="A1809" s="87"/>
      <c r="C1809" s="43" t="s">
        <v>3290</v>
      </c>
      <c r="D1809" s="71" t="s">
        <v>382</v>
      </c>
      <c r="E1809" s="71" t="str">
        <f>MID(D1809,1,2)</f>
        <v>IL</v>
      </c>
      <c r="F1809" s="71" t="s">
        <v>496</v>
      </c>
      <c r="G1809" s="71" t="str">
        <f>MID(F1809,1,2)</f>
        <v>RO</v>
      </c>
      <c r="H1809" s="43" t="s">
        <v>3212</v>
      </c>
      <c r="I1809" s="71" t="s">
        <v>3291</v>
      </c>
      <c r="J1809" s="71" t="s">
        <v>400</v>
      </c>
      <c r="K1809" s="43"/>
      <c r="L1809" s="71" t="s">
        <v>105</v>
      </c>
      <c r="M1809" s="73">
        <v>2</v>
      </c>
      <c r="N1809" s="71" t="s">
        <v>388</v>
      </c>
      <c r="O1809" s="73">
        <v>0.022</v>
      </c>
      <c r="P1809" s="71" t="s">
        <v>389</v>
      </c>
      <c r="Q1809" s="73">
        <v>4</v>
      </c>
      <c r="R1809" s="71" t="s">
        <v>388</v>
      </c>
      <c r="S1809" s="73">
        <v>0</v>
      </c>
      <c r="T1809" s="71" t="s">
        <v>390</v>
      </c>
      <c r="U1809" s="74">
        <v>1</v>
      </c>
      <c r="V1809" s="71" t="s">
        <v>391</v>
      </c>
      <c r="W1809" s="130">
        <v>46072.904930555553</v>
      </c>
      <c r="X1809" s="72">
        <v>46073.291666666664</v>
      </c>
      <c r="Y1809" s="72">
        <v>46075.359722222223</v>
      </c>
      <c r="Z1809" s="104" t="s">
        <v>382</v>
      </c>
      <c r="AA1809" s="104" t="s">
        <v>496</v>
      </c>
      <c r="AB1809" s="105">
        <v>46075.24375</v>
      </c>
      <c r="AC1809" s="105">
        <v>46075.341666666667</v>
      </c>
    </row>
    <row r="1810" s="70" customFormat="1" ht="11.25" customHeight="1">
      <c r="A1810" s="87"/>
      <c r="C1810" s="43" t="s">
        <v>3292</v>
      </c>
      <c r="D1810" s="71" t="s">
        <v>382</v>
      </c>
      <c r="E1810" s="71" t="str">
        <f>MID(D1810,1,2)</f>
        <v>IL</v>
      </c>
      <c r="F1810" s="71" t="s">
        <v>2201</v>
      </c>
      <c r="G1810" s="71" t="str">
        <f>MID(F1810,1,2)</f>
        <v>PL</v>
      </c>
      <c r="H1810" s="43" t="s">
        <v>3293</v>
      </c>
      <c r="I1810" s="71" t="s">
        <v>3294</v>
      </c>
      <c r="J1810" s="71" t="s">
        <v>811</v>
      </c>
      <c r="K1810" s="43"/>
      <c r="L1810" s="71" t="s">
        <v>105</v>
      </c>
      <c r="M1810" s="73">
        <v>328</v>
      </c>
      <c r="N1810" s="71" t="s">
        <v>388</v>
      </c>
      <c r="O1810" s="73">
        <v>1.944</v>
      </c>
      <c r="P1810" s="71" t="s">
        <v>389</v>
      </c>
      <c r="Q1810" s="73">
        <v>328</v>
      </c>
      <c r="R1810" s="71" t="s">
        <v>388</v>
      </c>
      <c r="S1810" s="73">
        <v>0</v>
      </c>
      <c r="T1810" s="71" t="s">
        <v>390</v>
      </c>
      <c r="U1810" s="74">
        <v>1</v>
      </c>
      <c r="V1810" s="71" t="s">
        <v>391</v>
      </c>
      <c r="W1810" s="130"/>
      <c r="X1810" s="72">
        <v>46077.340277777781</v>
      </c>
      <c r="Y1810" s="72">
        <v>46079.509027777778</v>
      </c>
      <c r="Z1810" s="104" t="s">
        <v>382</v>
      </c>
      <c r="AA1810" s="104" t="s">
        <v>748</v>
      </c>
      <c r="AB1810" s="105">
        <v>46077.836111111108</v>
      </c>
      <c r="AC1810" s="105">
        <v>46077.978472222225</v>
      </c>
    </row>
    <row r="1811" s="70" customFormat="1" ht="11.25" customHeight="1">
      <c r="A1811" s="87"/>
      <c r="C1811" s="43" t="s">
        <v>3292</v>
      </c>
      <c r="D1811" s="71" t="s">
        <v>382</v>
      </c>
      <c r="E1811" s="71" t="str">
        <f>MID(D1811,1,2)</f>
        <v>IL</v>
      </c>
      <c r="F1811" s="71" t="s">
        <v>2201</v>
      </c>
      <c r="G1811" s="71" t="str">
        <f>MID(F1811,1,2)</f>
        <v>PL</v>
      </c>
      <c r="H1811" s="43" t="s">
        <v>3293</v>
      </c>
      <c r="I1811" s="71" t="s">
        <v>3294</v>
      </c>
      <c r="J1811" s="71" t="s">
        <v>811</v>
      </c>
      <c r="K1811" s="43"/>
      <c r="L1811" s="71" t="s">
        <v>105</v>
      </c>
      <c r="M1811" s="73">
        <v>328</v>
      </c>
      <c r="N1811" s="71" t="s">
        <v>388</v>
      </c>
      <c r="O1811" s="73">
        <v>1.944</v>
      </c>
      <c r="P1811" s="71" t="s">
        <v>389</v>
      </c>
      <c r="Q1811" s="73">
        <v>328</v>
      </c>
      <c r="R1811" s="71" t="s">
        <v>388</v>
      </c>
      <c r="S1811" s="73">
        <v>0</v>
      </c>
      <c r="T1811" s="71" t="s">
        <v>390</v>
      </c>
      <c r="U1811" s="74">
        <v>1</v>
      </c>
      <c r="V1811" s="71" t="s">
        <v>391</v>
      </c>
      <c r="W1811" s="130"/>
      <c r="X1811" s="72">
        <v>46077.340277777781</v>
      </c>
      <c r="Y1811" s="72">
        <v>46079.509027777778</v>
      </c>
      <c r="Z1811" s="104" t="s">
        <v>748</v>
      </c>
      <c r="AA1811" s="104" t="s">
        <v>2201</v>
      </c>
      <c r="AB1811" s="105">
        <v>46078.241666666669</v>
      </c>
      <c r="AC1811" s="105">
        <v>46078.316666666666</v>
      </c>
    </row>
    <row r="1812" s="70" customFormat="1" ht="11.25" customHeight="1">
      <c r="A1812" s="87"/>
      <c r="C1812" s="43" t="s">
        <v>3295</v>
      </c>
      <c r="D1812" s="71" t="s">
        <v>382</v>
      </c>
      <c r="E1812" s="71" t="str">
        <f>MID(D1812,1,2)</f>
        <v>IL</v>
      </c>
      <c r="F1812" s="71" t="s">
        <v>522</v>
      </c>
      <c r="G1812" s="71" t="str">
        <f>MID(F1812,1,2)</f>
        <v>CZ</v>
      </c>
      <c r="H1812" s="43" t="s">
        <v>3296</v>
      </c>
      <c r="I1812" s="71" t="s">
        <v>3297</v>
      </c>
      <c r="J1812" s="71" t="s">
        <v>811</v>
      </c>
      <c r="K1812" s="43"/>
      <c r="L1812" s="71" t="s">
        <v>105</v>
      </c>
      <c r="M1812" s="73">
        <v>331</v>
      </c>
      <c r="N1812" s="71" t="s">
        <v>388</v>
      </c>
      <c r="O1812" s="73">
        <v>1.944</v>
      </c>
      <c r="P1812" s="71" t="s">
        <v>389</v>
      </c>
      <c r="Q1812" s="73">
        <v>331</v>
      </c>
      <c r="R1812" s="71" t="s">
        <v>388</v>
      </c>
      <c r="S1812" s="73">
        <v>0</v>
      </c>
      <c r="T1812" s="71" t="s">
        <v>390</v>
      </c>
      <c r="U1812" s="74">
        <v>1</v>
      </c>
      <c r="V1812" s="71" t="s">
        <v>391</v>
      </c>
      <c r="W1812" s="130">
        <v>46076.592870370368</v>
      </c>
      <c r="X1812" s="72">
        <v>46076.907638888886</v>
      </c>
      <c r="Y1812" s="72">
        <v>46079.375</v>
      </c>
      <c r="Z1812" s="104" t="s">
        <v>382</v>
      </c>
      <c r="AA1812" s="104" t="s">
        <v>748</v>
      </c>
      <c r="AB1812" s="105">
        <v>46077.836111111108</v>
      </c>
      <c r="AC1812" s="105">
        <v>46077.978472222225</v>
      </c>
    </row>
    <row r="1813" s="70" customFormat="1" ht="11.25" customHeight="1">
      <c r="A1813" s="87"/>
      <c r="C1813" s="43" t="s">
        <v>3295</v>
      </c>
      <c r="D1813" s="71" t="s">
        <v>382</v>
      </c>
      <c r="E1813" s="71" t="str">
        <f>MID(D1813,1,2)</f>
        <v>IL</v>
      </c>
      <c r="F1813" s="71" t="s">
        <v>522</v>
      </c>
      <c r="G1813" s="71" t="str">
        <f>MID(F1813,1,2)</f>
        <v>CZ</v>
      </c>
      <c r="H1813" s="43" t="s">
        <v>3296</v>
      </c>
      <c r="I1813" s="71" t="s">
        <v>3297</v>
      </c>
      <c r="J1813" s="71" t="s">
        <v>811</v>
      </c>
      <c r="K1813" s="43"/>
      <c r="L1813" s="71" t="s">
        <v>105</v>
      </c>
      <c r="M1813" s="73">
        <v>331</v>
      </c>
      <c r="N1813" s="71" t="s">
        <v>388</v>
      </c>
      <c r="O1813" s="73">
        <v>1.944</v>
      </c>
      <c r="P1813" s="71" t="s">
        <v>389</v>
      </c>
      <c r="Q1813" s="73">
        <v>331</v>
      </c>
      <c r="R1813" s="71" t="s">
        <v>388</v>
      </c>
      <c r="S1813" s="73">
        <v>0</v>
      </c>
      <c r="T1813" s="71" t="s">
        <v>390</v>
      </c>
      <c r="U1813" s="74">
        <v>1</v>
      </c>
      <c r="V1813" s="71" t="s">
        <v>391</v>
      </c>
      <c r="W1813" s="130">
        <v>46076.592870370368</v>
      </c>
      <c r="X1813" s="72">
        <v>46076.907638888886</v>
      </c>
      <c r="Y1813" s="72">
        <v>46079.375</v>
      </c>
      <c r="Z1813" s="104" t="s">
        <v>748</v>
      </c>
      <c r="AA1813" s="104" t="s">
        <v>522</v>
      </c>
      <c r="AB1813" s="105">
        <v>46078.225</v>
      </c>
      <c r="AC1813" s="105">
        <v>46078.382638888892</v>
      </c>
    </row>
    <row r="1814" s="70" customFormat="1" ht="11.25" customHeight="1">
      <c r="A1814" s="87"/>
      <c r="C1814" s="43" t="s">
        <v>3298</v>
      </c>
      <c r="D1814" s="71" t="s">
        <v>382</v>
      </c>
      <c r="E1814" s="71" t="str">
        <f>MID(D1814,1,2)</f>
        <v>IL</v>
      </c>
      <c r="F1814" s="71" t="s">
        <v>2383</v>
      </c>
      <c r="G1814" s="71" t="str">
        <f>MID(F1814,1,2)</f>
        <v>SE</v>
      </c>
      <c r="H1814" s="43" t="s">
        <v>3299</v>
      </c>
      <c r="I1814" s="71" t="s">
        <v>3300</v>
      </c>
      <c r="J1814" s="71" t="s">
        <v>811</v>
      </c>
      <c r="K1814" s="43"/>
      <c r="L1814" s="71" t="s">
        <v>105</v>
      </c>
      <c r="M1814" s="73">
        <v>379</v>
      </c>
      <c r="N1814" s="71" t="s">
        <v>388</v>
      </c>
      <c r="O1814" s="73">
        <v>1.944</v>
      </c>
      <c r="P1814" s="71" t="s">
        <v>389</v>
      </c>
      <c r="Q1814" s="73">
        <v>379</v>
      </c>
      <c r="R1814" s="71" t="s">
        <v>388</v>
      </c>
      <c r="S1814" s="73">
        <v>0</v>
      </c>
      <c r="T1814" s="71" t="s">
        <v>390</v>
      </c>
      <c r="U1814" s="74">
        <v>1</v>
      </c>
      <c r="V1814" s="71" t="s">
        <v>391</v>
      </c>
      <c r="W1814" s="130">
        <v>46076.592962962961</v>
      </c>
      <c r="X1814" s="72">
        <v>46076.907638888886</v>
      </c>
      <c r="Y1814" s="72">
        <v>46080.229166666664</v>
      </c>
      <c r="Z1814" s="104" t="s">
        <v>382</v>
      </c>
      <c r="AA1814" s="104" t="s">
        <v>748</v>
      </c>
      <c r="AB1814" s="105">
        <v>46077.661805555559</v>
      </c>
      <c r="AC1814" s="105"/>
    </row>
    <row r="1815" s="70" customFormat="1" ht="11.25" customHeight="1">
      <c r="A1815" s="87"/>
      <c r="C1815" s="43" t="s">
        <v>3298</v>
      </c>
      <c r="D1815" s="71" t="s">
        <v>382</v>
      </c>
      <c r="E1815" s="71" t="str">
        <f>MID(D1815,1,2)</f>
        <v>IL</v>
      </c>
      <c r="F1815" s="71" t="s">
        <v>2383</v>
      </c>
      <c r="G1815" s="71" t="str">
        <f>MID(F1815,1,2)</f>
        <v>SE</v>
      </c>
      <c r="H1815" s="43" t="s">
        <v>3299</v>
      </c>
      <c r="I1815" s="71" t="s">
        <v>3300</v>
      </c>
      <c r="J1815" s="71" t="s">
        <v>811</v>
      </c>
      <c r="K1815" s="43"/>
      <c r="L1815" s="71" t="s">
        <v>105</v>
      </c>
      <c r="M1815" s="73">
        <v>379</v>
      </c>
      <c r="N1815" s="71" t="s">
        <v>388</v>
      </c>
      <c r="O1815" s="73">
        <v>1.944</v>
      </c>
      <c r="P1815" s="71" t="s">
        <v>389</v>
      </c>
      <c r="Q1815" s="73">
        <v>379</v>
      </c>
      <c r="R1815" s="71" t="s">
        <v>388</v>
      </c>
      <c r="S1815" s="73">
        <v>0</v>
      </c>
      <c r="T1815" s="71" t="s">
        <v>390</v>
      </c>
      <c r="U1815" s="74">
        <v>1</v>
      </c>
      <c r="V1815" s="71" t="s">
        <v>391</v>
      </c>
      <c r="W1815" s="130">
        <v>46076.592962962961</v>
      </c>
      <c r="X1815" s="72">
        <v>46076.907638888886</v>
      </c>
      <c r="Y1815" s="72">
        <v>46080.229166666664</v>
      </c>
      <c r="Z1815" s="104" t="s">
        <v>748</v>
      </c>
      <c r="AA1815" s="104" t="s">
        <v>2383</v>
      </c>
      <c r="AB1815" s="105">
        <v>46080.205555555556</v>
      </c>
      <c r="AC1815" s="105">
        <v>46080.307638888888</v>
      </c>
    </row>
    <row r="1816" s="70" customFormat="1" ht="11.25" customHeight="1">
      <c r="A1816" s="87"/>
      <c r="C1816" s="43" t="s">
        <v>3301</v>
      </c>
      <c r="D1816" s="71" t="s">
        <v>382</v>
      </c>
      <c r="E1816" s="71" t="str">
        <f>MID(D1816,1,2)</f>
        <v>IL</v>
      </c>
      <c r="F1816" s="71" t="s">
        <v>3302</v>
      </c>
      <c r="G1816" s="71" t="str">
        <f>MID(F1816,1,2)</f>
        <v>DO</v>
      </c>
      <c r="H1816" s="43" t="s">
        <v>3303</v>
      </c>
      <c r="I1816" s="71" t="s">
        <v>3304</v>
      </c>
      <c r="J1816" s="71" t="s">
        <v>811</v>
      </c>
      <c r="K1816" s="43"/>
      <c r="L1816" s="71" t="s">
        <v>105</v>
      </c>
      <c r="M1816" s="73">
        <v>475</v>
      </c>
      <c r="N1816" s="71" t="s">
        <v>388</v>
      </c>
      <c r="O1816" s="73">
        <v>1.441</v>
      </c>
      <c r="P1816" s="71" t="s">
        <v>389</v>
      </c>
      <c r="Q1816" s="73">
        <v>475</v>
      </c>
      <c r="R1816" s="71" t="s">
        <v>388</v>
      </c>
      <c r="S1816" s="73">
        <v>0</v>
      </c>
      <c r="T1816" s="71" t="s">
        <v>390</v>
      </c>
      <c r="U1816" s="74">
        <v>1</v>
      </c>
      <c r="V1816" s="71" t="s">
        <v>391</v>
      </c>
      <c r="W1816" s="130">
        <v>46072.43125</v>
      </c>
      <c r="X1816" s="72">
        <v>46075.382638888892</v>
      </c>
      <c r="Y1816" s="72">
        <v>46077.999305555553</v>
      </c>
      <c r="Z1816" s="104" t="s">
        <v>382</v>
      </c>
      <c r="AA1816" s="104" t="s">
        <v>590</v>
      </c>
      <c r="AB1816" s="105">
        <v>46075.575694444444</v>
      </c>
      <c r="AC1816" s="105">
        <v>46075.970138888886</v>
      </c>
    </row>
    <row r="1817" s="70" customFormat="1" ht="11.25" customHeight="1">
      <c r="A1817" s="87"/>
      <c r="C1817" s="43" t="s">
        <v>3301</v>
      </c>
      <c r="D1817" s="71" t="s">
        <v>382</v>
      </c>
      <c r="E1817" s="71" t="str">
        <f>MID(D1817,1,2)</f>
        <v>IL</v>
      </c>
      <c r="F1817" s="71" t="s">
        <v>3302</v>
      </c>
      <c r="G1817" s="71" t="str">
        <f>MID(F1817,1,2)</f>
        <v>DO</v>
      </c>
      <c r="H1817" s="43" t="s">
        <v>3303</v>
      </c>
      <c r="I1817" s="71" t="s">
        <v>3304</v>
      </c>
      <c r="J1817" s="71" t="s">
        <v>811</v>
      </c>
      <c r="K1817" s="43"/>
      <c r="L1817" s="71" t="s">
        <v>105</v>
      </c>
      <c r="M1817" s="73">
        <v>475</v>
      </c>
      <c r="N1817" s="71" t="s">
        <v>388</v>
      </c>
      <c r="O1817" s="73">
        <v>1.441</v>
      </c>
      <c r="P1817" s="71" t="s">
        <v>389</v>
      </c>
      <c r="Q1817" s="73">
        <v>475</v>
      </c>
      <c r="R1817" s="71" t="s">
        <v>388</v>
      </c>
      <c r="S1817" s="73">
        <v>0</v>
      </c>
      <c r="T1817" s="71" t="s">
        <v>390</v>
      </c>
      <c r="U1817" s="74">
        <v>1</v>
      </c>
      <c r="V1817" s="71" t="s">
        <v>391</v>
      </c>
      <c r="W1817" s="130">
        <v>46072.43125</v>
      </c>
      <c r="X1817" s="72">
        <v>46075.382638888892</v>
      </c>
      <c r="Y1817" s="72">
        <v>46077.999305555553</v>
      </c>
      <c r="Z1817" s="104" t="s">
        <v>590</v>
      </c>
      <c r="AA1817" s="104" t="s">
        <v>3302</v>
      </c>
      <c r="AB1817" s="105">
        <v>46076.675694444442</v>
      </c>
      <c r="AC1817" s="105">
        <v>46076.841666666667</v>
      </c>
    </row>
    <row r="1818" s="70" customFormat="1" ht="11.25" customHeight="1">
      <c r="A1818" s="87"/>
      <c r="C1818" s="43" t="s">
        <v>3305</v>
      </c>
      <c r="D1818" s="71" t="s">
        <v>382</v>
      </c>
      <c r="E1818" s="71" t="str">
        <f>MID(D1818,1,2)</f>
        <v>IL</v>
      </c>
      <c r="F1818" s="71" t="s">
        <v>684</v>
      </c>
      <c r="G1818" s="71" t="str">
        <f>MID(F1818,1,2)</f>
        <v>IT</v>
      </c>
      <c r="H1818" s="43" t="s">
        <v>3306</v>
      </c>
      <c r="I1818" s="71" t="s">
        <v>3307</v>
      </c>
      <c r="J1818" s="71" t="s">
        <v>811</v>
      </c>
      <c r="K1818" s="43"/>
      <c r="L1818" s="71" t="s">
        <v>105</v>
      </c>
      <c r="M1818" s="73">
        <v>384</v>
      </c>
      <c r="N1818" s="71" t="s">
        <v>388</v>
      </c>
      <c r="O1818" s="73">
        <v>1.944</v>
      </c>
      <c r="P1818" s="71" t="s">
        <v>389</v>
      </c>
      <c r="Q1818" s="73">
        <v>384</v>
      </c>
      <c r="R1818" s="71" t="s">
        <v>388</v>
      </c>
      <c r="S1818" s="73">
        <v>0</v>
      </c>
      <c r="T1818" s="71" t="s">
        <v>390</v>
      </c>
      <c r="U1818" s="74">
        <v>1</v>
      </c>
      <c r="V1818" s="71" t="s">
        <v>391</v>
      </c>
      <c r="W1818" s="130">
        <v>46076.592951388891</v>
      </c>
      <c r="X1818" s="72">
        <v>46077.545138888891</v>
      </c>
      <c r="Y1818" s="72">
        <v>46077.725694444445</v>
      </c>
      <c r="Z1818" s="104" t="s">
        <v>382</v>
      </c>
      <c r="AA1818" s="104" t="s">
        <v>684</v>
      </c>
      <c r="AB1818" s="105">
        <v>46077.620833333334</v>
      </c>
      <c r="AC1818" s="105">
        <v>46077.818055555559</v>
      </c>
    </row>
    <row r="1819" s="70" customFormat="1" ht="11.25" customHeight="1">
      <c r="A1819" s="87"/>
      <c r="C1819" s="43" t="s">
        <v>3308</v>
      </c>
      <c r="D1819" s="71" t="s">
        <v>382</v>
      </c>
      <c r="E1819" s="71" t="str">
        <f>MID(D1819,1,2)</f>
        <v>IL</v>
      </c>
      <c r="F1819" s="71" t="s">
        <v>480</v>
      </c>
      <c r="G1819" s="71" t="str">
        <f>MID(F1819,1,2)</f>
        <v>CA</v>
      </c>
      <c r="H1819" s="43" t="s">
        <v>3081</v>
      </c>
      <c r="I1819" s="71" t="s">
        <v>3309</v>
      </c>
      <c r="J1819" s="71" t="s">
        <v>386</v>
      </c>
      <c r="K1819" s="43"/>
      <c r="L1819" s="71" t="s">
        <v>107</v>
      </c>
      <c r="M1819" s="73">
        <v>240</v>
      </c>
      <c r="N1819" s="71" t="s">
        <v>388</v>
      </c>
      <c r="O1819" s="73">
        <v>1.133</v>
      </c>
      <c r="P1819" s="71" t="s">
        <v>389</v>
      </c>
      <c r="Q1819" s="73">
        <v>240</v>
      </c>
      <c r="R1819" s="71" t="s">
        <v>388</v>
      </c>
      <c r="S1819" s="73">
        <v>0</v>
      </c>
      <c r="T1819" s="71" t="s">
        <v>390</v>
      </c>
      <c r="U1819" s="74">
        <v>2</v>
      </c>
      <c r="V1819" s="71" t="s">
        <v>417</v>
      </c>
      <c r="W1819" s="130">
        <v>46072.535416666666</v>
      </c>
      <c r="X1819" s="72">
        <v>46073.458333333336</v>
      </c>
      <c r="Y1819" s="72">
        <v>46076.551388888889</v>
      </c>
      <c r="Z1819" s="104" t="s">
        <v>1102</v>
      </c>
      <c r="AA1819" s="104" t="s">
        <v>1103</v>
      </c>
      <c r="AB1819" s="105"/>
      <c r="AC1819" s="105"/>
    </row>
    <row r="1820" s="70" customFormat="1" ht="11.25" customHeight="1">
      <c r="A1820" s="87"/>
      <c r="C1820" s="43" t="s">
        <v>3308</v>
      </c>
      <c r="D1820" s="71" t="s">
        <v>382</v>
      </c>
      <c r="E1820" s="71" t="str">
        <f>MID(D1820,1,2)</f>
        <v>IL</v>
      </c>
      <c r="F1820" s="71" t="s">
        <v>480</v>
      </c>
      <c r="G1820" s="71" t="str">
        <f>MID(F1820,1,2)</f>
        <v>CA</v>
      </c>
      <c r="H1820" s="43" t="s">
        <v>3081</v>
      </c>
      <c r="I1820" s="71" t="s">
        <v>3309</v>
      </c>
      <c r="J1820" s="71" t="s">
        <v>386</v>
      </c>
      <c r="K1820" s="43"/>
      <c r="L1820" s="71" t="s">
        <v>107</v>
      </c>
      <c r="M1820" s="73">
        <v>240</v>
      </c>
      <c r="N1820" s="71" t="s">
        <v>388</v>
      </c>
      <c r="O1820" s="73">
        <v>1.133</v>
      </c>
      <c r="P1820" s="71" t="s">
        <v>389</v>
      </c>
      <c r="Q1820" s="73">
        <v>240</v>
      </c>
      <c r="R1820" s="71" t="s">
        <v>388</v>
      </c>
      <c r="S1820" s="73">
        <v>0</v>
      </c>
      <c r="T1820" s="71" t="s">
        <v>390</v>
      </c>
      <c r="U1820" s="74">
        <v>2</v>
      </c>
      <c r="V1820" s="71" t="s">
        <v>417</v>
      </c>
      <c r="W1820" s="130">
        <v>46072.535416666666</v>
      </c>
      <c r="X1820" s="72">
        <v>46073.458333333336</v>
      </c>
      <c r="Y1820" s="72">
        <v>46076.551388888889</v>
      </c>
      <c r="Z1820" s="104" t="s">
        <v>382</v>
      </c>
      <c r="AA1820" s="104" t="s">
        <v>405</v>
      </c>
      <c r="AB1820" s="105">
        <v>46073.495138888888</v>
      </c>
      <c r="AC1820" s="105">
        <v>46073.68472222222</v>
      </c>
    </row>
    <row r="1821" s="70" customFormat="1" ht="11.25" customHeight="1">
      <c r="A1821" s="87"/>
      <c r="C1821" s="43" t="s">
        <v>3308</v>
      </c>
      <c r="D1821" s="71" t="s">
        <v>382</v>
      </c>
      <c r="E1821" s="71" t="str">
        <f>MID(D1821,1,2)</f>
        <v>IL</v>
      </c>
      <c r="F1821" s="71" t="s">
        <v>480</v>
      </c>
      <c r="G1821" s="71" t="str">
        <f>MID(F1821,1,2)</f>
        <v>CA</v>
      </c>
      <c r="H1821" s="43" t="s">
        <v>3081</v>
      </c>
      <c r="I1821" s="71" t="s">
        <v>3309</v>
      </c>
      <c r="J1821" s="71" t="s">
        <v>386</v>
      </c>
      <c r="K1821" s="43"/>
      <c r="L1821" s="71" t="s">
        <v>107</v>
      </c>
      <c r="M1821" s="73">
        <v>240</v>
      </c>
      <c r="N1821" s="71" t="s">
        <v>388</v>
      </c>
      <c r="O1821" s="73">
        <v>1.133</v>
      </c>
      <c r="P1821" s="71" t="s">
        <v>389</v>
      </c>
      <c r="Q1821" s="73">
        <v>240</v>
      </c>
      <c r="R1821" s="71" t="s">
        <v>388</v>
      </c>
      <c r="S1821" s="73">
        <v>0</v>
      </c>
      <c r="T1821" s="71" t="s">
        <v>390</v>
      </c>
      <c r="U1821" s="74">
        <v>2</v>
      </c>
      <c r="V1821" s="71" t="s">
        <v>417</v>
      </c>
      <c r="W1821" s="130">
        <v>46072.535416666666</v>
      </c>
      <c r="X1821" s="72">
        <v>46073.458333333336</v>
      </c>
      <c r="Y1821" s="72">
        <v>46076.551388888889</v>
      </c>
      <c r="Z1821" s="104" t="s">
        <v>405</v>
      </c>
      <c r="AA1821" s="104" t="s">
        <v>480</v>
      </c>
      <c r="AB1821" s="105"/>
      <c r="AC1821" s="105">
        <v>46076.291666666664</v>
      </c>
    </row>
    <row r="1822" s="70" customFormat="1" ht="11.25" customHeight="1">
      <c r="A1822" s="87"/>
      <c r="C1822" s="43" t="s">
        <v>3310</v>
      </c>
      <c r="D1822" s="71" t="s">
        <v>382</v>
      </c>
      <c r="E1822" s="71" t="str">
        <f>MID(D1822,1,2)</f>
        <v>IL</v>
      </c>
      <c r="F1822" s="71" t="s">
        <v>468</v>
      </c>
      <c r="G1822" s="71" t="str">
        <f>MID(F1822,1,2)</f>
        <v>US</v>
      </c>
      <c r="H1822" s="43" t="s">
        <v>1617</v>
      </c>
      <c r="I1822" s="71" t="s">
        <v>3311</v>
      </c>
      <c r="J1822" s="71" t="s">
        <v>386</v>
      </c>
      <c r="K1822" s="43"/>
      <c r="L1822" s="71" t="s">
        <v>107</v>
      </c>
      <c r="M1822" s="73">
        <v>35</v>
      </c>
      <c r="N1822" s="71" t="s">
        <v>388</v>
      </c>
      <c r="O1822" s="73">
        <v>0.528</v>
      </c>
      <c r="P1822" s="71" t="s">
        <v>389</v>
      </c>
      <c r="Q1822" s="73">
        <v>88</v>
      </c>
      <c r="R1822" s="71" t="s">
        <v>388</v>
      </c>
      <c r="S1822" s="73">
        <v>0</v>
      </c>
      <c r="T1822" s="71" t="s">
        <v>390</v>
      </c>
      <c r="U1822" s="74">
        <v>1</v>
      </c>
      <c r="V1822" s="71" t="s">
        <v>391</v>
      </c>
      <c r="W1822" s="130">
        <v>46072.438194444447</v>
      </c>
      <c r="X1822" s="72">
        <v>46074.965277777781</v>
      </c>
      <c r="Y1822" s="72">
        <v>46104.416666666664</v>
      </c>
      <c r="Z1822" s="104" t="s">
        <v>382</v>
      </c>
      <c r="AA1822" s="104" t="s">
        <v>422</v>
      </c>
      <c r="AB1822" s="105">
        <v>46075.472222222219</v>
      </c>
      <c r="AC1822" s="105">
        <v>46075.679861111108</v>
      </c>
    </row>
    <row r="1823" s="70" customFormat="1" ht="11.25" customHeight="1">
      <c r="A1823" s="87"/>
      <c r="C1823" s="43" t="s">
        <v>3310</v>
      </c>
      <c r="D1823" s="71" t="s">
        <v>382</v>
      </c>
      <c r="E1823" s="71" t="str">
        <f>MID(D1823,1,2)</f>
        <v>IL</v>
      </c>
      <c r="F1823" s="71" t="s">
        <v>468</v>
      </c>
      <c r="G1823" s="71" t="str">
        <f>MID(F1823,1,2)</f>
        <v>US</v>
      </c>
      <c r="H1823" s="43" t="s">
        <v>1617</v>
      </c>
      <c r="I1823" s="71" t="s">
        <v>3311</v>
      </c>
      <c r="J1823" s="71" t="s">
        <v>386</v>
      </c>
      <c r="K1823" s="43"/>
      <c r="L1823" s="71" t="s">
        <v>107</v>
      </c>
      <c r="M1823" s="73">
        <v>35</v>
      </c>
      <c r="N1823" s="71" t="s">
        <v>388</v>
      </c>
      <c r="O1823" s="73">
        <v>0.528</v>
      </c>
      <c r="P1823" s="71" t="s">
        <v>389</v>
      </c>
      <c r="Q1823" s="73">
        <v>88</v>
      </c>
      <c r="R1823" s="71" t="s">
        <v>388</v>
      </c>
      <c r="S1823" s="73">
        <v>0</v>
      </c>
      <c r="T1823" s="71" t="s">
        <v>390</v>
      </c>
      <c r="U1823" s="74">
        <v>1</v>
      </c>
      <c r="V1823" s="71" t="s">
        <v>391</v>
      </c>
      <c r="W1823" s="130">
        <v>46072.438194444447</v>
      </c>
      <c r="X1823" s="72">
        <v>46074.965277777781</v>
      </c>
      <c r="Y1823" s="72">
        <v>46104.416666666664</v>
      </c>
      <c r="Z1823" s="104" t="s">
        <v>422</v>
      </c>
      <c r="AA1823" s="104" t="s">
        <v>468</v>
      </c>
      <c r="AB1823" s="105"/>
      <c r="AC1823" s="105"/>
    </row>
    <row r="1824" s="70" customFormat="1" ht="11.25" customHeight="1">
      <c r="A1824" s="87"/>
      <c r="C1824" s="43" t="s">
        <v>3312</v>
      </c>
      <c r="D1824" s="71" t="s">
        <v>382</v>
      </c>
      <c r="E1824" s="71" t="str">
        <f>MID(D1824,1,2)</f>
        <v>IL</v>
      </c>
      <c r="F1824" s="71" t="s">
        <v>468</v>
      </c>
      <c r="G1824" s="71" t="str">
        <f>MID(F1824,1,2)</f>
        <v>US</v>
      </c>
      <c r="H1824" s="43" t="s">
        <v>1617</v>
      </c>
      <c r="I1824" s="71" t="s">
        <v>3313</v>
      </c>
      <c r="J1824" s="71" t="s">
        <v>386</v>
      </c>
      <c r="K1824" s="43"/>
      <c r="L1824" s="71" t="s">
        <v>107</v>
      </c>
      <c r="M1824" s="73">
        <v>38</v>
      </c>
      <c r="N1824" s="71" t="s">
        <v>388</v>
      </c>
      <c r="O1824" s="73">
        <v>1.19</v>
      </c>
      <c r="P1824" s="71" t="s">
        <v>389</v>
      </c>
      <c r="Q1824" s="73">
        <v>198.5</v>
      </c>
      <c r="R1824" s="71" t="s">
        <v>388</v>
      </c>
      <c r="S1824" s="73">
        <v>0</v>
      </c>
      <c r="T1824" s="71" t="s">
        <v>390</v>
      </c>
      <c r="U1824" s="74">
        <v>1</v>
      </c>
      <c r="V1824" s="71" t="s">
        <v>391</v>
      </c>
      <c r="W1824" s="130">
        <v>46072.451388888891</v>
      </c>
      <c r="X1824" s="72">
        <v>46074.965277777781</v>
      </c>
      <c r="Y1824" s="72">
        <v>46104.416666666664</v>
      </c>
      <c r="Z1824" s="104" t="s">
        <v>382</v>
      </c>
      <c r="AA1824" s="104" t="s">
        <v>422</v>
      </c>
      <c r="AB1824" s="105">
        <v>46075.472222222219</v>
      </c>
      <c r="AC1824" s="105">
        <v>46075.679861111108</v>
      </c>
    </row>
    <row r="1825" s="70" customFormat="1" ht="11.25" customHeight="1">
      <c r="A1825" s="87"/>
      <c r="C1825" s="43" t="s">
        <v>3312</v>
      </c>
      <c r="D1825" s="71" t="s">
        <v>382</v>
      </c>
      <c r="E1825" s="71" t="str">
        <f>MID(D1825,1,2)</f>
        <v>IL</v>
      </c>
      <c r="F1825" s="71" t="s">
        <v>468</v>
      </c>
      <c r="G1825" s="71" t="str">
        <f>MID(F1825,1,2)</f>
        <v>US</v>
      </c>
      <c r="H1825" s="43" t="s">
        <v>1617</v>
      </c>
      <c r="I1825" s="71" t="s">
        <v>3313</v>
      </c>
      <c r="J1825" s="71" t="s">
        <v>386</v>
      </c>
      <c r="K1825" s="43"/>
      <c r="L1825" s="71" t="s">
        <v>107</v>
      </c>
      <c r="M1825" s="73">
        <v>38</v>
      </c>
      <c r="N1825" s="71" t="s">
        <v>388</v>
      </c>
      <c r="O1825" s="73">
        <v>1.19</v>
      </c>
      <c r="P1825" s="71" t="s">
        <v>389</v>
      </c>
      <c r="Q1825" s="73">
        <v>198.5</v>
      </c>
      <c r="R1825" s="71" t="s">
        <v>388</v>
      </c>
      <c r="S1825" s="73">
        <v>0</v>
      </c>
      <c r="T1825" s="71" t="s">
        <v>390</v>
      </c>
      <c r="U1825" s="74">
        <v>1</v>
      </c>
      <c r="V1825" s="71" t="s">
        <v>391</v>
      </c>
      <c r="W1825" s="130">
        <v>46072.451388888891</v>
      </c>
      <c r="X1825" s="72">
        <v>46074.965277777781</v>
      </c>
      <c r="Y1825" s="72">
        <v>46104.416666666664</v>
      </c>
      <c r="Z1825" s="104" t="s">
        <v>422</v>
      </c>
      <c r="AA1825" s="104" t="s">
        <v>468</v>
      </c>
      <c r="AB1825" s="105"/>
      <c r="AC1825" s="105"/>
    </row>
    <row r="1826" s="70" customFormat="1" ht="11.25" customHeight="1">
      <c r="A1826" s="87"/>
      <c r="C1826" s="43" t="s">
        <v>3314</v>
      </c>
      <c r="D1826" s="71" t="s">
        <v>382</v>
      </c>
      <c r="E1826" s="71" t="str">
        <f>MID(D1826,1,2)</f>
        <v>IL</v>
      </c>
      <c r="F1826" s="71" t="s">
        <v>422</v>
      </c>
      <c r="G1826" s="71" t="str">
        <f>MID(F1826,1,2)</f>
        <v>US</v>
      </c>
      <c r="H1826" s="43" t="s">
        <v>3218</v>
      </c>
      <c r="I1826" s="71" t="s">
        <v>3315</v>
      </c>
      <c r="J1826" s="71" t="s">
        <v>454</v>
      </c>
      <c r="K1826" s="43" t="s">
        <v>431</v>
      </c>
      <c r="L1826" s="71" t="s">
        <v>107</v>
      </c>
      <c r="M1826" s="73">
        <v>3</v>
      </c>
      <c r="N1826" s="71" t="s">
        <v>388</v>
      </c>
      <c r="O1826" s="73">
        <v>0.038</v>
      </c>
      <c r="P1826" s="71" t="s">
        <v>389</v>
      </c>
      <c r="Q1826" s="73">
        <v>6.5</v>
      </c>
      <c r="R1826" s="71" t="s">
        <v>388</v>
      </c>
      <c r="S1826" s="73">
        <v>0</v>
      </c>
      <c r="T1826" s="71" t="s">
        <v>390</v>
      </c>
      <c r="U1826" s="74">
        <v>1</v>
      </c>
      <c r="V1826" s="71" t="s">
        <v>427</v>
      </c>
      <c r="W1826" s="130">
        <v>46072.459722222222</v>
      </c>
      <c r="X1826" s="72">
        <v>46073.458333333336</v>
      </c>
      <c r="Y1826" s="72">
        <v>46074.690972222219</v>
      </c>
      <c r="Z1826" s="104" t="s">
        <v>382</v>
      </c>
      <c r="AA1826" s="104" t="s">
        <v>422</v>
      </c>
      <c r="AB1826" s="105">
        <v>46074.470833333333</v>
      </c>
      <c r="AC1826" s="105">
        <v>46074.672222222223</v>
      </c>
    </row>
    <row r="1827" s="70" customFormat="1" ht="11.25" customHeight="1">
      <c r="A1827" s="87"/>
      <c r="C1827" s="43" t="s">
        <v>3316</v>
      </c>
      <c r="D1827" s="71" t="s">
        <v>382</v>
      </c>
      <c r="E1827" s="71" t="str">
        <f>MID(D1827,1,2)</f>
        <v>IL</v>
      </c>
      <c r="F1827" s="71" t="s">
        <v>3317</v>
      </c>
      <c r="G1827" s="71" t="str">
        <f>MID(F1827,1,2)</f>
        <v>KE</v>
      </c>
      <c r="H1827" s="43" t="s">
        <v>3318</v>
      </c>
      <c r="I1827" s="71" t="s">
        <v>3319</v>
      </c>
      <c r="J1827" s="71" t="s">
        <v>426</v>
      </c>
      <c r="K1827" s="43"/>
      <c r="L1827" s="71" t="s">
        <v>105</v>
      </c>
      <c r="M1827" s="73">
        <v>52</v>
      </c>
      <c r="N1827" s="71" t="s">
        <v>388</v>
      </c>
      <c r="O1827" s="73">
        <v>0.265</v>
      </c>
      <c r="P1827" s="71" t="s">
        <v>389</v>
      </c>
      <c r="Q1827" s="73">
        <v>100</v>
      </c>
      <c r="R1827" s="71" t="s">
        <v>388</v>
      </c>
      <c r="S1827" s="73">
        <v>0</v>
      </c>
      <c r="T1827" s="71" t="s">
        <v>390</v>
      </c>
      <c r="U1827" s="74">
        <v>1</v>
      </c>
      <c r="V1827" s="71" t="s">
        <v>391</v>
      </c>
      <c r="W1827" s="130">
        <v>46072.56082175926</v>
      </c>
      <c r="X1827" s="72">
        <v>46075.445138888892</v>
      </c>
      <c r="Y1827" s="72">
        <v>46077.629861111112</v>
      </c>
      <c r="Z1827" s="104" t="s">
        <v>382</v>
      </c>
      <c r="AA1827" s="104" t="s">
        <v>1310</v>
      </c>
      <c r="AB1827" s="105">
        <v>46075.24375</v>
      </c>
      <c r="AC1827" s="105">
        <v>46075.60625</v>
      </c>
    </row>
    <row r="1828" s="70" customFormat="1" ht="11.25" customHeight="1">
      <c r="A1828" s="87"/>
      <c r="C1828" s="43" t="s">
        <v>3316</v>
      </c>
      <c r="D1828" s="71" t="s">
        <v>382</v>
      </c>
      <c r="E1828" s="71" t="str">
        <f>MID(D1828,1,2)</f>
        <v>IL</v>
      </c>
      <c r="F1828" s="71" t="s">
        <v>3317</v>
      </c>
      <c r="G1828" s="71" t="str">
        <f>MID(F1828,1,2)</f>
        <v>KE</v>
      </c>
      <c r="H1828" s="43" t="s">
        <v>3318</v>
      </c>
      <c r="I1828" s="71" t="s">
        <v>3319</v>
      </c>
      <c r="J1828" s="71" t="s">
        <v>426</v>
      </c>
      <c r="K1828" s="43"/>
      <c r="L1828" s="71" t="s">
        <v>105</v>
      </c>
      <c r="M1828" s="73">
        <v>52</v>
      </c>
      <c r="N1828" s="71" t="s">
        <v>388</v>
      </c>
      <c r="O1828" s="73">
        <v>0.265</v>
      </c>
      <c r="P1828" s="71" t="s">
        <v>389</v>
      </c>
      <c r="Q1828" s="73">
        <v>100</v>
      </c>
      <c r="R1828" s="71" t="s">
        <v>388</v>
      </c>
      <c r="S1828" s="73">
        <v>0</v>
      </c>
      <c r="T1828" s="71" t="s">
        <v>390</v>
      </c>
      <c r="U1828" s="74">
        <v>1</v>
      </c>
      <c r="V1828" s="71" t="s">
        <v>391</v>
      </c>
      <c r="W1828" s="130">
        <v>46072.56082175926</v>
      </c>
      <c r="X1828" s="72">
        <v>46075.445138888892</v>
      </c>
      <c r="Y1828" s="72">
        <v>46077.629861111112</v>
      </c>
      <c r="Z1828" s="104" t="s">
        <v>1310</v>
      </c>
      <c r="AA1828" s="104" t="s">
        <v>3317</v>
      </c>
      <c r="AB1828" s="105">
        <v>46076.511111111111</v>
      </c>
      <c r="AC1828" s="105">
        <v>46076.720138888886</v>
      </c>
    </row>
    <row r="1829" s="70" customFormat="1" ht="11.25" customHeight="1">
      <c r="A1829" s="87"/>
      <c r="C1829" s="43" t="s">
        <v>3320</v>
      </c>
      <c r="D1829" s="71" t="s">
        <v>382</v>
      </c>
      <c r="E1829" s="71" t="str">
        <f>MID(D1829,1,2)</f>
        <v>IL</v>
      </c>
      <c r="F1829" s="71" t="s">
        <v>471</v>
      </c>
      <c r="G1829" s="71" t="str">
        <f>MID(F1829,1,2)</f>
        <v>US</v>
      </c>
      <c r="H1829" s="43" t="s">
        <v>3321</v>
      </c>
      <c r="I1829" s="71" t="s">
        <v>3322</v>
      </c>
      <c r="J1829" s="71" t="s">
        <v>386</v>
      </c>
      <c r="K1829" s="43"/>
      <c r="L1829" s="71" t="s">
        <v>107</v>
      </c>
      <c r="M1829" s="73">
        <v>132</v>
      </c>
      <c r="N1829" s="71" t="s">
        <v>388</v>
      </c>
      <c r="O1829" s="73">
        <v>0.418</v>
      </c>
      <c r="P1829" s="71" t="s">
        <v>389</v>
      </c>
      <c r="Q1829" s="73">
        <v>132</v>
      </c>
      <c r="R1829" s="71" t="s">
        <v>388</v>
      </c>
      <c r="S1829" s="73">
        <v>0</v>
      </c>
      <c r="T1829" s="71" t="s">
        <v>390</v>
      </c>
      <c r="U1829" s="74">
        <v>3</v>
      </c>
      <c r="V1829" s="71" t="s">
        <v>391</v>
      </c>
      <c r="W1829" s="130">
        <v>46072.848900462966</v>
      </c>
      <c r="X1829" s="72">
        <v>46074.482638888891</v>
      </c>
      <c r="Y1829" s="72">
        <v>46078.458333333336</v>
      </c>
      <c r="Z1829" s="104" t="s">
        <v>382</v>
      </c>
      <c r="AA1829" s="104" t="s">
        <v>414</v>
      </c>
      <c r="AB1829" s="105">
        <v>46075.474305555559</v>
      </c>
      <c r="AC1829" s="105">
        <v>46075.703472222223</v>
      </c>
    </row>
    <row r="1830" s="70" customFormat="1" ht="11.25" customHeight="1">
      <c r="A1830" s="87"/>
      <c r="C1830" s="43" t="s">
        <v>3320</v>
      </c>
      <c r="D1830" s="71" t="s">
        <v>382</v>
      </c>
      <c r="E1830" s="71" t="str">
        <f>MID(D1830,1,2)</f>
        <v>IL</v>
      </c>
      <c r="F1830" s="71" t="s">
        <v>471</v>
      </c>
      <c r="G1830" s="71" t="str">
        <f>MID(F1830,1,2)</f>
        <v>US</v>
      </c>
      <c r="H1830" s="43" t="s">
        <v>3321</v>
      </c>
      <c r="I1830" s="71" t="s">
        <v>3322</v>
      </c>
      <c r="J1830" s="71" t="s">
        <v>386</v>
      </c>
      <c r="K1830" s="43"/>
      <c r="L1830" s="71" t="s">
        <v>107</v>
      </c>
      <c r="M1830" s="73">
        <v>132</v>
      </c>
      <c r="N1830" s="71" t="s">
        <v>388</v>
      </c>
      <c r="O1830" s="73">
        <v>0.418</v>
      </c>
      <c r="P1830" s="71" t="s">
        <v>389</v>
      </c>
      <c r="Q1830" s="73">
        <v>132</v>
      </c>
      <c r="R1830" s="71" t="s">
        <v>388</v>
      </c>
      <c r="S1830" s="73">
        <v>0</v>
      </c>
      <c r="T1830" s="71" t="s">
        <v>390</v>
      </c>
      <c r="U1830" s="74">
        <v>3</v>
      </c>
      <c r="V1830" s="71" t="s">
        <v>391</v>
      </c>
      <c r="W1830" s="130">
        <v>46072.848900462966</v>
      </c>
      <c r="X1830" s="72">
        <v>46074.482638888891</v>
      </c>
      <c r="Y1830" s="72">
        <v>46078.458333333336</v>
      </c>
      <c r="Z1830" s="104" t="s">
        <v>414</v>
      </c>
      <c r="AA1830" s="104" t="s">
        <v>471</v>
      </c>
      <c r="AB1830" s="105">
        <v>46077.966666666667</v>
      </c>
      <c r="AC1830" s="105">
        <v>46078.458333333336</v>
      </c>
    </row>
    <row r="1831" s="70" customFormat="1" ht="11.25" customHeight="1">
      <c r="A1831" s="87"/>
      <c r="C1831" s="43" t="s">
        <v>3323</v>
      </c>
      <c r="D1831" s="71" t="s">
        <v>382</v>
      </c>
      <c r="E1831" s="71" t="str">
        <f>MID(D1831,1,2)</f>
        <v>IL</v>
      </c>
      <c r="F1831" s="71" t="s">
        <v>471</v>
      </c>
      <c r="G1831" s="71" t="str">
        <f>MID(F1831,1,2)</f>
        <v>US</v>
      </c>
      <c r="H1831" s="43" t="s">
        <v>3324</v>
      </c>
      <c r="I1831" s="71" t="s">
        <v>3325</v>
      </c>
      <c r="J1831" s="71" t="s">
        <v>400</v>
      </c>
      <c r="K1831" s="43"/>
      <c r="L1831" s="71" t="s">
        <v>105</v>
      </c>
      <c r="M1831" s="73">
        <v>1175</v>
      </c>
      <c r="N1831" s="71" t="s">
        <v>388</v>
      </c>
      <c r="O1831" s="73">
        <v>3.925</v>
      </c>
      <c r="P1831" s="71" t="s">
        <v>389</v>
      </c>
      <c r="Q1831" s="73">
        <v>1175</v>
      </c>
      <c r="R1831" s="71" t="s">
        <v>388</v>
      </c>
      <c r="S1831" s="73">
        <v>0</v>
      </c>
      <c r="T1831" s="71" t="s">
        <v>390</v>
      </c>
      <c r="U1831" s="74">
        <v>2</v>
      </c>
      <c r="V1831" s="71" t="s">
        <v>391</v>
      </c>
      <c r="W1831" s="130">
        <v>46072.472916666666</v>
      </c>
      <c r="X1831" s="72">
        <v>46073.458333333336</v>
      </c>
      <c r="Y1831" s="72">
        <v>46076.215277777781</v>
      </c>
      <c r="Z1831" s="104" t="s">
        <v>382</v>
      </c>
      <c r="AA1831" s="104" t="s">
        <v>471</v>
      </c>
      <c r="AB1831" s="105">
        <v>46076.006944444445</v>
      </c>
      <c r="AC1831" s="105">
        <v>46076.199305555558</v>
      </c>
    </row>
    <row r="1832" s="70" customFormat="1" ht="11.25" customHeight="1">
      <c r="A1832" s="87"/>
      <c r="C1832" s="43" t="s">
        <v>3326</v>
      </c>
      <c r="D1832" s="71" t="s">
        <v>382</v>
      </c>
      <c r="E1832" s="71" t="str">
        <f>MID(D1832,1,2)</f>
        <v>IL</v>
      </c>
      <c r="F1832" s="71" t="s">
        <v>1108</v>
      </c>
      <c r="G1832" s="71" t="str">
        <f>MID(F1832,1,2)</f>
        <v>TW</v>
      </c>
      <c r="H1832" s="43" t="s">
        <v>3224</v>
      </c>
      <c r="I1832" s="71" t="s">
        <v>3327</v>
      </c>
      <c r="J1832" s="71" t="s">
        <v>755</v>
      </c>
      <c r="K1832" s="43"/>
      <c r="L1832" s="71" t="s">
        <v>105</v>
      </c>
      <c r="M1832" s="73">
        <v>90</v>
      </c>
      <c r="N1832" s="71" t="s">
        <v>388</v>
      </c>
      <c r="O1832" s="73">
        <v>1.2</v>
      </c>
      <c r="P1832" s="71" t="s">
        <v>389</v>
      </c>
      <c r="Q1832" s="73">
        <v>200</v>
      </c>
      <c r="R1832" s="71" t="s">
        <v>388</v>
      </c>
      <c r="S1832" s="73">
        <v>0</v>
      </c>
      <c r="T1832" s="71" t="s">
        <v>390</v>
      </c>
      <c r="U1832" s="74">
        <v>1</v>
      </c>
      <c r="V1832" s="71" t="s">
        <v>391</v>
      </c>
      <c r="W1832" s="130">
        <v>46072.472916666666</v>
      </c>
      <c r="X1832" s="72">
        <v>46074.9375</v>
      </c>
      <c r="Y1832" s="72">
        <v>46076.909722222219</v>
      </c>
      <c r="Z1832" s="104" t="s">
        <v>382</v>
      </c>
      <c r="AA1832" s="104" t="s">
        <v>833</v>
      </c>
      <c r="AB1832" s="105">
        <v>46074.94027777778</v>
      </c>
      <c r="AC1832" s="105">
        <v>46074.958333333336</v>
      </c>
    </row>
    <row r="1833" s="70" customFormat="1" ht="11.25" customHeight="1">
      <c r="A1833" s="87"/>
      <c r="C1833" s="43" t="s">
        <v>3326</v>
      </c>
      <c r="D1833" s="71" t="s">
        <v>382</v>
      </c>
      <c r="E1833" s="71" t="str">
        <f>MID(D1833,1,2)</f>
        <v>IL</v>
      </c>
      <c r="F1833" s="71" t="s">
        <v>1108</v>
      </c>
      <c r="G1833" s="71" t="str">
        <f>MID(F1833,1,2)</f>
        <v>TW</v>
      </c>
      <c r="H1833" s="43" t="s">
        <v>3224</v>
      </c>
      <c r="I1833" s="71" t="s">
        <v>3327</v>
      </c>
      <c r="J1833" s="71" t="s">
        <v>755</v>
      </c>
      <c r="K1833" s="43"/>
      <c r="L1833" s="71" t="s">
        <v>105</v>
      </c>
      <c r="M1833" s="73">
        <v>90</v>
      </c>
      <c r="N1833" s="71" t="s">
        <v>388</v>
      </c>
      <c r="O1833" s="73">
        <v>1.2</v>
      </c>
      <c r="P1833" s="71" t="s">
        <v>389</v>
      </c>
      <c r="Q1833" s="73">
        <v>200</v>
      </c>
      <c r="R1833" s="71" t="s">
        <v>388</v>
      </c>
      <c r="S1833" s="73">
        <v>0</v>
      </c>
      <c r="T1833" s="71" t="s">
        <v>390</v>
      </c>
      <c r="U1833" s="74">
        <v>1</v>
      </c>
      <c r="V1833" s="71" t="s">
        <v>391</v>
      </c>
      <c r="W1833" s="130">
        <v>46072.472916666666</v>
      </c>
      <c r="X1833" s="72">
        <v>46074.9375</v>
      </c>
      <c r="Y1833" s="72">
        <v>46076.909722222219</v>
      </c>
      <c r="Z1833" s="104" t="s">
        <v>833</v>
      </c>
      <c r="AA1833" s="104" t="s">
        <v>1108</v>
      </c>
      <c r="AB1833" s="105">
        <v>46076.718055555553</v>
      </c>
      <c r="AC1833" s="105">
        <v>46076.905555555553</v>
      </c>
    </row>
    <row r="1834" s="70" customFormat="1" ht="11.25" customHeight="1">
      <c r="A1834" s="87"/>
      <c r="C1834" s="43" t="s">
        <v>3328</v>
      </c>
      <c r="D1834" s="71" t="s">
        <v>382</v>
      </c>
      <c r="E1834" s="71" t="str">
        <f>MID(D1834,1,2)</f>
        <v>IL</v>
      </c>
      <c r="F1834" s="71" t="s">
        <v>963</v>
      </c>
      <c r="G1834" s="71" t="str">
        <f>MID(F1834,1,2)</f>
        <v>IN</v>
      </c>
      <c r="H1834" s="43" t="s">
        <v>3025</v>
      </c>
      <c r="I1834" s="71" t="s">
        <v>3329</v>
      </c>
      <c r="J1834" s="71" t="s">
        <v>426</v>
      </c>
      <c r="K1834" s="43"/>
      <c r="L1834" s="71" t="s">
        <v>105</v>
      </c>
      <c r="M1834" s="73">
        <v>2</v>
      </c>
      <c r="N1834" s="71" t="s">
        <v>388</v>
      </c>
      <c r="O1834" s="73">
        <v>0.023</v>
      </c>
      <c r="P1834" s="71" t="s">
        <v>389</v>
      </c>
      <c r="Q1834" s="73">
        <v>4</v>
      </c>
      <c r="R1834" s="71" t="s">
        <v>388</v>
      </c>
      <c r="S1834" s="73">
        <v>0</v>
      </c>
      <c r="T1834" s="71" t="s">
        <v>390</v>
      </c>
      <c r="U1834" s="74">
        <v>1</v>
      </c>
      <c r="V1834" s="71" t="s">
        <v>391</v>
      </c>
      <c r="W1834" s="130">
        <v>46072.479166666664</v>
      </c>
      <c r="X1834" s="72">
        <v>46074.895833333336</v>
      </c>
      <c r="Y1834" s="72">
        <v>46078.024305555555</v>
      </c>
      <c r="Z1834" s="104" t="s">
        <v>382</v>
      </c>
      <c r="AA1834" s="104" t="s">
        <v>833</v>
      </c>
      <c r="AB1834" s="105">
        <v>46074.890972222223</v>
      </c>
      <c r="AC1834" s="105">
        <v>46075.548611111109</v>
      </c>
    </row>
    <row r="1835" s="70" customFormat="1" ht="11.25" customHeight="1">
      <c r="A1835" s="87"/>
      <c r="C1835" s="43" t="s">
        <v>3328</v>
      </c>
      <c r="D1835" s="71" t="s">
        <v>382</v>
      </c>
      <c r="E1835" s="71" t="str">
        <f>MID(D1835,1,2)</f>
        <v>IL</v>
      </c>
      <c r="F1835" s="71" t="s">
        <v>963</v>
      </c>
      <c r="G1835" s="71" t="str">
        <f>MID(F1835,1,2)</f>
        <v>IN</v>
      </c>
      <c r="H1835" s="43" t="s">
        <v>3025</v>
      </c>
      <c r="I1835" s="71" t="s">
        <v>3329</v>
      </c>
      <c r="J1835" s="71" t="s">
        <v>426</v>
      </c>
      <c r="K1835" s="43"/>
      <c r="L1835" s="71" t="s">
        <v>105</v>
      </c>
      <c r="M1835" s="73">
        <v>2</v>
      </c>
      <c r="N1835" s="71" t="s">
        <v>388</v>
      </c>
      <c r="O1835" s="73">
        <v>0.023</v>
      </c>
      <c r="P1835" s="71" t="s">
        <v>389</v>
      </c>
      <c r="Q1835" s="73">
        <v>4</v>
      </c>
      <c r="R1835" s="71" t="s">
        <v>388</v>
      </c>
      <c r="S1835" s="73">
        <v>0</v>
      </c>
      <c r="T1835" s="71" t="s">
        <v>390</v>
      </c>
      <c r="U1835" s="74">
        <v>1</v>
      </c>
      <c r="V1835" s="71" t="s">
        <v>391</v>
      </c>
      <c r="W1835" s="130">
        <v>46072.479166666664</v>
      </c>
      <c r="X1835" s="72">
        <v>46074.895833333336</v>
      </c>
      <c r="Y1835" s="72">
        <v>46078.024305555555</v>
      </c>
      <c r="Z1835" s="104" t="s">
        <v>833</v>
      </c>
      <c r="AA1835" s="104" t="s">
        <v>963</v>
      </c>
      <c r="AB1835" s="105">
        <v>46077.920138888891</v>
      </c>
      <c r="AC1835" s="105">
        <v>46078.165277777778</v>
      </c>
    </row>
    <row r="1836" s="70" customFormat="1" ht="11.25" customHeight="1">
      <c r="A1836" s="87"/>
      <c r="C1836" s="43" t="s">
        <v>3330</v>
      </c>
      <c r="D1836" s="71" t="s">
        <v>382</v>
      </c>
      <c r="E1836" s="71" t="str">
        <f>MID(D1836,1,2)</f>
        <v>IL</v>
      </c>
      <c r="F1836" s="71" t="s">
        <v>422</v>
      </c>
      <c r="G1836" s="71" t="str">
        <f>MID(F1836,1,2)</f>
        <v>US</v>
      </c>
      <c r="H1836" s="43" t="s">
        <v>3331</v>
      </c>
      <c r="I1836" s="71" t="s">
        <v>3332</v>
      </c>
      <c r="J1836" s="71" t="s">
        <v>435</v>
      </c>
      <c r="K1836" s="43"/>
      <c r="L1836" s="71" t="s">
        <v>105</v>
      </c>
      <c r="M1836" s="73">
        <v>173</v>
      </c>
      <c r="N1836" s="71" t="s">
        <v>388</v>
      </c>
      <c r="O1836" s="73">
        <v>1.44</v>
      </c>
      <c r="P1836" s="71" t="s">
        <v>389</v>
      </c>
      <c r="Q1836" s="73">
        <v>240</v>
      </c>
      <c r="R1836" s="71" t="s">
        <v>388</v>
      </c>
      <c r="S1836" s="73">
        <v>0</v>
      </c>
      <c r="T1836" s="71" t="s">
        <v>390</v>
      </c>
      <c r="U1836" s="74">
        <v>1</v>
      </c>
      <c r="V1836" s="71" t="s">
        <v>391</v>
      </c>
      <c r="W1836" s="130">
        <v>46072.604861111111</v>
      </c>
      <c r="X1836" s="72">
        <v>46075.993055555555</v>
      </c>
      <c r="Y1836" s="72">
        <v>46100.458333333336</v>
      </c>
      <c r="Z1836" s="104" t="s">
        <v>382</v>
      </c>
      <c r="AA1836" s="104" t="s">
        <v>471</v>
      </c>
      <c r="AB1836" s="105">
        <v>46098.513888888891</v>
      </c>
      <c r="AC1836" s="105"/>
    </row>
    <row r="1837" s="70" customFormat="1" ht="11.25" customHeight="1">
      <c r="A1837" s="87"/>
      <c r="C1837" s="43" t="s">
        <v>3330</v>
      </c>
      <c r="D1837" s="71" t="s">
        <v>382</v>
      </c>
      <c r="E1837" s="71" t="str">
        <f>MID(D1837,1,2)</f>
        <v>IL</v>
      </c>
      <c r="F1837" s="71" t="s">
        <v>422</v>
      </c>
      <c r="G1837" s="71" t="str">
        <f>MID(F1837,1,2)</f>
        <v>US</v>
      </c>
      <c r="H1837" s="43" t="s">
        <v>3331</v>
      </c>
      <c r="I1837" s="71" t="s">
        <v>3332</v>
      </c>
      <c r="J1837" s="71" t="s">
        <v>435</v>
      </c>
      <c r="K1837" s="43"/>
      <c r="L1837" s="71" t="s">
        <v>105</v>
      </c>
      <c r="M1837" s="73">
        <v>173</v>
      </c>
      <c r="N1837" s="71" t="s">
        <v>388</v>
      </c>
      <c r="O1837" s="73">
        <v>1.44</v>
      </c>
      <c r="P1837" s="71" t="s">
        <v>389</v>
      </c>
      <c r="Q1837" s="73">
        <v>240</v>
      </c>
      <c r="R1837" s="71" t="s">
        <v>388</v>
      </c>
      <c r="S1837" s="73">
        <v>0</v>
      </c>
      <c r="T1837" s="71" t="s">
        <v>390</v>
      </c>
      <c r="U1837" s="74">
        <v>1</v>
      </c>
      <c r="V1837" s="71" t="s">
        <v>391</v>
      </c>
      <c r="W1837" s="130">
        <v>46072.604861111111</v>
      </c>
      <c r="X1837" s="72">
        <v>46075.993055555555</v>
      </c>
      <c r="Y1837" s="72">
        <v>46100.458333333336</v>
      </c>
      <c r="Z1837" s="104" t="s">
        <v>471</v>
      </c>
      <c r="AA1837" s="104" t="s">
        <v>422</v>
      </c>
      <c r="AB1837" s="105">
        <v>46099.5625</v>
      </c>
      <c r="AC1837" s="105"/>
    </row>
    <row r="1838" s="70" customFormat="1" ht="11.25" customHeight="1">
      <c r="A1838" s="87"/>
      <c r="C1838" s="43" t="s">
        <v>3333</v>
      </c>
      <c r="D1838" s="71" t="s">
        <v>382</v>
      </c>
      <c r="E1838" s="71" t="str">
        <f>MID(D1838,1,2)</f>
        <v>IL</v>
      </c>
      <c r="F1838" s="71" t="s">
        <v>774</v>
      </c>
      <c r="G1838" s="71" t="str">
        <f>MID(F1838,1,2)</f>
        <v>CN</v>
      </c>
      <c r="H1838" s="43" t="s">
        <v>3334</v>
      </c>
      <c r="I1838" s="71" t="s">
        <v>3335</v>
      </c>
      <c r="J1838" s="71" t="s">
        <v>454</v>
      </c>
      <c r="K1838" s="43"/>
      <c r="L1838" s="71" t="s">
        <v>107</v>
      </c>
      <c r="M1838" s="73">
        <v>59</v>
      </c>
      <c r="N1838" s="71" t="s">
        <v>388</v>
      </c>
      <c r="O1838" s="73">
        <v>0.787</v>
      </c>
      <c r="P1838" s="71" t="s">
        <v>389</v>
      </c>
      <c r="Q1838" s="73">
        <v>131.5</v>
      </c>
      <c r="R1838" s="71" t="s">
        <v>388</v>
      </c>
      <c r="S1838" s="73">
        <v>0</v>
      </c>
      <c r="T1838" s="71" t="s">
        <v>390</v>
      </c>
      <c r="U1838" s="74">
        <v>1</v>
      </c>
      <c r="V1838" s="71" t="s">
        <v>391</v>
      </c>
      <c r="W1838" s="130">
        <v>46073.032962962963</v>
      </c>
      <c r="X1838" s="72">
        <v>46073.965277777781</v>
      </c>
      <c r="Y1838" s="72">
        <v>46078.71875</v>
      </c>
      <c r="Z1838" s="104" t="s">
        <v>382</v>
      </c>
      <c r="AA1838" s="104" t="s">
        <v>465</v>
      </c>
      <c r="AB1838" s="105">
        <v>46074.193055555559</v>
      </c>
      <c r="AC1838" s="105">
        <v>46074.4125</v>
      </c>
    </row>
    <row r="1839" s="70" customFormat="1" ht="11.25" customHeight="1">
      <c r="A1839" s="87"/>
      <c r="C1839" s="43" t="s">
        <v>3333</v>
      </c>
      <c r="D1839" s="71" t="s">
        <v>382</v>
      </c>
      <c r="E1839" s="71" t="str">
        <f>MID(D1839,1,2)</f>
        <v>IL</v>
      </c>
      <c r="F1839" s="71" t="s">
        <v>774</v>
      </c>
      <c r="G1839" s="71" t="str">
        <f>MID(F1839,1,2)</f>
        <v>CN</v>
      </c>
      <c r="H1839" s="43" t="s">
        <v>3334</v>
      </c>
      <c r="I1839" s="71" t="s">
        <v>3335</v>
      </c>
      <c r="J1839" s="71" t="s">
        <v>454</v>
      </c>
      <c r="K1839" s="43"/>
      <c r="L1839" s="71" t="s">
        <v>107</v>
      </c>
      <c r="M1839" s="73">
        <v>59</v>
      </c>
      <c r="N1839" s="71" t="s">
        <v>388</v>
      </c>
      <c r="O1839" s="73">
        <v>0.787</v>
      </c>
      <c r="P1839" s="71" t="s">
        <v>389</v>
      </c>
      <c r="Q1839" s="73">
        <v>131.5</v>
      </c>
      <c r="R1839" s="71" t="s">
        <v>388</v>
      </c>
      <c r="S1839" s="73">
        <v>0</v>
      </c>
      <c r="T1839" s="71" t="s">
        <v>390</v>
      </c>
      <c r="U1839" s="74">
        <v>1</v>
      </c>
      <c r="V1839" s="71" t="s">
        <v>391</v>
      </c>
      <c r="W1839" s="130">
        <v>46073.032962962963</v>
      </c>
      <c r="X1839" s="72">
        <v>46073.965277777781</v>
      </c>
      <c r="Y1839" s="72">
        <v>46078.71875</v>
      </c>
      <c r="Z1839" s="104" t="s">
        <v>465</v>
      </c>
      <c r="AA1839" s="104" t="s">
        <v>774</v>
      </c>
      <c r="AB1839" s="105">
        <v>46077.568055555559</v>
      </c>
      <c r="AC1839" s="105">
        <v>46078.040277777778</v>
      </c>
    </row>
    <row r="1840" s="70" customFormat="1" ht="11.25" customHeight="1">
      <c r="A1840" s="87"/>
      <c r="C1840" s="43" t="s">
        <v>3336</v>
      </c>
      <c r="D1840" s="71" t="s">
        <v>382</v>
      </c>
      <c r="E1840" s="71" t="str">
        <f>MID(D1840,1,2)</f>
        <v>IL</v>
      </c>
      <c r="F1840" s="71" t="s">
        <v>963</v>
      </c>
      <c r="G1840" s="71" t="str">
        <f>MID(F1840,1,2)</f>
        <v>IN</v>
      </c>
      <c r="H1840" s="43" t="s">
        <v>3025</v>
      </c>
      <c r="I1840" s="71" t="s">
        <v>3337</v>
      </c>
      <c r="J1840" s="71" t="s">
        <v>426</v>
      </c>
      <c r="K1840" s="43"/>
      <c r="L1840" s="71" t="s">
        <v>105</v>
      </c>
      <c r="M1840" s="73">
        <v>2</v>
      </c>
      <c r="N1840" s="71" t="s">
        <v>388</v>
      </c>
      <c r="O1840" s="73">
        <v>0.014</v>
      </c>
      <c r="P1840" s="71" t="s">
        <v>389</v>
      </c>
      <c r="Q1840" s="73">
        <v>2.5</v>
      </c>
      <c r="R1840" s="71" t="s">
        <v>388</v>
      </c>
      <c r="S1840" s="73">
        <v>0</v>
      </c>
      <c r="T1840" s="71" t="s">
        <v>390</v>
      </c>
      <c r="U1840" s="74">
        <v>1</v>
      </c>
      <c r="V1840" s="71" t="s">
        <v>391</v>
      </c>
      <c r="W1840" s="130">
        <v>46072.689606481479</v>
      </c>
      <c r="X1840" s="72">
        <v>46074.895833333336</v>
      </c>
      <c r="Y1840" s="72">
        <v>46078.024305555555</v>
      </c>
      <c r="Z1840" s="104" t="s">
        <v>382</v>
      </c>
      <c r="AA1840" s="104" t="s">
        <v>833</v>
      </c>
      <c r="AB1840" s="105">
        <v>46074.890972222223</v>
      </c>
      <c r="AC1840" s="105">
        <v>46075.548611111109</v>
      </c>
    </row>
    <row r="1841" s="70" customFormat="1" ht="11.25" customHeight="1">
      <c r="A1841" s="87"/>
      <c r="C1841" s="43" t="s">
        <v>3336</v>
      </c>
      <c r="D1841" s="71" t="s">
        <v>382</v>
      </c>
      <c r="E1841" s="71" t="str">
        <f>MID(D1841,1,2)</f>
        <v>IL</v>
      </c>
      <c r="F1841" s="71" t="s">
        <v>963</v>
      </c>
      <c r="G1841" s="71" t="str">
        <f>MID(F1841,1,2)</f>
        <v>IN</v>
      </c>
      <c r="H1841" s="43" t="s">
        <v>3025</v>
      </c>
      <c r="I1841" s="71" t="s">
        <v>3337</v>
      </c>
      <c r="J1841" s="71" t="s">
        <v>426</v>
      </c>
      <c r="K1841" s="43"/>
      <c r="L1841" s="71" t="s">
        <v>105</v>
      </c>
      <c r="M1841" s="73">
        <v>2</v>
      </c>
      <c r="N1841" s="71" t="s">
        <v>388</v>
      </c>
      <c r="O1841" s="73">
        <v>0.014</v>
      </c>
      <c r="P1841" s="71" t="s">
        <v>389</v>
      </c>
      <c r="Q1841" s="73">
        <v>2.5</v>
      </c>
      <c r="R1841" s="71" t="s">
        <v>388</v>
      </c>
      <c r="S1841" s="73">
        <v>0</v>
      </c>
      <c r="T1841" s="71" t="s">
        <v>390</v>
      </c>
      <c r="U1841" s="74">
        <v>1</v>
      </c>
      <c r="V1841" s="71" t="s">
        <v>391</v>
      </c>
      <c r="W1841" s="130">
        <v>46072.689606481479</v>
      </c>
      <c r="X1841" s="72">
        <v>46074.895833333336</v>
      </c>
      <c r="Y1841" s="72">
        <v>46078.024305555555</v>
      </c>
      <c r="Z1841" s="104" t="s">
        <v>833</v>
      </c>
      <c r="AA1841" s="104" t="s">
        <v>963</v>
      </c>
      <c r="AB1841" s="105">
        <v>46077.920138888891</v>
      </c>
      <c r="AC1841" s="105">
        <v>46078.165277777778</v>
      </c>
    </row>
    <row r="1842" s="70" customFormat="1" ht="11.25" customHeight="1">
      <c r="A1842" s="87"/>
      <c r="C1842" s="43" t="s">
        <v>3338</v>
      </c>
      <c r="D1842" s="71" t="s">
        <v>382</v>
      </c>
      <c r="E1842" s="71" t="str">
        <f>MID(D1842,1,2)</f>
        <v>IL</v>
      </c>
      <c r="F1842" s="71" t="s">
        <v>774</v>
      </c>
      <c r="G1842" s="71" t="str">
        <f>MID(F1842,1,2)</f>
        <v>CN</v>
      </c>
      <c r="H1842" s="43" t="s">
        <v>3334</v>
      </c>
      <c r="I1842" s="71" t="s">
        <v>3339</v>
      </c>
      <c r="J1842" s="71" t="s">
        <v>454</v>
      </c>
      <c r="K1842" s="43"/>
      <c r="L1842" s="71" t="s">
        <v>107</v>
      </c>
      <c r="M1842" s="73">
        <v>94</v>
      </c>
      <c r="N1842" s="71" t="s">
        <v>388</v>
      </c>
      <c r="O1842" s="73">
        <v>0.85</v>
      </c>
      <c r="P1842" s="71" t="s">
        <v>389</v>
      </c>
      <c r="Q1842" s="73">
        <v>142</v>
      </c>
      <c r="R1842" s="71" t="s">
        <v>388</v>
      </c>
      <c r="S1842" s="73">
        <v>0</v>
      </c>
      <c r="T1842" s="71" t="s">
        <v>390</v>
      </c>
      <c r="U1842" s="74">
        <v>2</v>
      </c>
      <c r="V1842" s="71" t="s">
        <v>391</v>
      </c>
      <c r="W1842" s="130">
        <v>46073.03297453704</v>
      </c>
      <c r="X1842" s="72">
        <v>46073.965277777781</v>
      </c>
      <c r="Y1842" s="72">
        <v>46078.71875</v>
      </c>
      <c r="Z1842" s="104" t="s">
        <v>382</v>
      </c>
      <c r="AA1842" s="104" t="s">
        <v>465</v>
      </c>
      <c r="AB1842" s="105">
        <v>46074.193055555559</v>
      </c>
      <c r="AC1842" s="105">
        <v>46074.4125</v>
      </c>
    </row>
    <row r="1843" s="70" customFormat="1" ht="11.25" customHeight="1">
      <c r="A1843" s="87"/>
      <c r="C1843" s="43" t="s">
        <v>3338</v>
      </c>
      <c r="D1843" s="71" t="s">
        <v>382</v>
      </c>
      <c r="E1843" s="71" t="str">
        <f>MID(D1843,1,2)</f>
        <v>IL</v>
      </c>
      <c r="F1843" s="71" t="s">
        <v>774</v>
      </c>
      <c r="G1843" s="71" t="str">
        <f>MID(F1843,1,2)</f>
        <v>CN</v>
      </c>
      <c r="H1843" s="43" t="s">
        <v>3334</v>
      </c>
      <c r="I1843" s="71" t="s">
        <v>3339</v>
      </c>
      <c r="J1843" s="71" t="s">
        <v>454</v>
      </c>
      <c r="K1843" s="43"/>
      <c r="L1843" s="71" t="s">
        <v>107</v>
      </c>
      <c r="M1843" s="73">
        <v>94</v>
      </c>
      <c r="N1843" s="71" t="s">
        <v>388</v>
      </c>
      <c r="O1843" s="73">
        <v>0.85</v>
      </c>
      <c r="P1843" s="71" t="s">
        <v>389</v>
      </c>
      <c r="Q1843" s="73">
        <v>142</v>
      </c>
      <c r="R1843" s="71" t="s">
        <v>388</v>
      </c>
      <c r="S1843" s="73">
        <v>0</v>
      </c>
      <c r="T1843" s="71" t="s">
        <v>390</v>
      </c>
      <c r="U1843" s="74">
        <v>2</v>
      </c>
      <c r="V1843" s="71" t="s">
        <v>391</v>
      </c>
      <c r="W1843" s="130">
        <v>46073.03297453704</v>
      </c>
      <c r="X1843" s="72">
        <v>46073.965277777781</v>
      </c>
      <c r="Y1843" s="72">
        <v>46078.71875</v>
      </c>
      <c r="Z1843" s="104" t="s">
        <v>465</v>
      </c>
      <c r="AA1843" s="104" t="s">
        <v>774</v>
      </c>
      <c r="AB1843" s="105">
        <v>46077.568055555559</v>
      </c>
      <c r="AC1843" s="105">
        <v>46078.040277777778</v>
      </c>
    </row>
    <row r="1844" s="70" customFormat="1" ht="11.25" customHeight="1">
      <c r="A1844" s="87"/>
      <c r="C1844" s="43" t="s">
        <v>3340</v>
      </c>
      <c r="D1844" s="71" t="s">
        <v>382</v>
      </c>
      <c r="E1844" s="71" t="str">
        <f>MID(D1844,1,2)</f>
        <v>IL</v>
      </c>
      <c r="F1844" s="71" t="s">
        <v>774</v>
      </c>
      <c r="G1844" s="71" t="str">
        <f>MID(F1844,1,2)</f>
        <v>CN</v>
      </c>
      <c r="H1844" s="43" t="s">
        <v>3247</v>
      </c>
      <c r="I1844" s="71" t="s">
        <v>3341</v>
      </c>
      <c r="J1844" s="71" t="s">
        <v>755</v>
      </c>
      <c r="K1844" s="43"/>
      <c r="L1844" s="71" t="s">
        <v>105</v>
      </c>
      <c r="M1844" s="73">
        <v>0.3</v>
      </c>
      <c r="N1844" s="71" t="s">
        <v>388</v>
      </c>
      <c r="O1844" s="73">
        <v>0.004</v>
      </c>
      <c r="P1844" s="71" t="s">
        <v>389</v>
      </c>
      <c r="Q1844" s="73">
        <v>1</v>
      </c>
      <c r="R1844" s="71" t="s">
        <v>388</v>
      </c>
      <c r="S1844" s="73">
        <v>0</v>
      </c>
      <c r="T1844" s="71" t="s">
        <v>390</v>
      </c>
      <c r="U1844" s="74">
        <v>1</v>
      </c>
      <c r="V1844" s="71" t="s">
        <v>391</v>
      </c>
      <c r="W1844" s="130">
        <v>46073.029490740744</v>
      </c>
      <c r="X1844" s="72">
        <v>46074.690972222219</v>
      </c>
      <c r="Y1844" s="72">
        <v>46076.420138888891</v>
      </c>
      <c r="Z1844" s="104" t="s">
        <v>382</v>
      </c>
      <c r="AA1844" s="104" t="s">
        <v>383</v>
      </c>
      <c r="AB1844" s="105">
        <v>46075.041666666664</v>
      </c>
      <c r="AC1844" s="105">
        <v>46075.236805555556</v>
      </c>
    </row>
    <row r="1845" s="70" customFormat="1" ht="11.25" customHeight="1">
      <c r="A1845" s="87"/>
      <c r="C1845" s="43" t="s">
        <v>3340</v>
      </c>
      <c r="D1845" s="71" t="s">
        <v>382</v>
      </c>
      <c r="E1845" s="71" t="str">
        <f>MID(D1845,1,2)</f>
        <v>IL</v>
      </c>
      <c r="F1845" s="71" t="s">
        <v>774</v>
      </c>
      <c r="G1845" s="71" t="str">
        <f>MID(F1845,1,2)</f>
        <v>CN</v>
      </c>
      <c r="H1845" s="43" t="s">
        <v>3247</v>
      </c>
      <c r="I1845" s="71" t="s">
        <v>3341</v>
      </c>
      <c r="J1845" s="71" t="s">
        <v>755</v>
      </c>
      <c r="K1845" s="43"/>
      <c r="L1845" s="71" t="s">
        <v>105</v>
      </c>
      <c r="M1845" s="73">
        <v>0.3</v>
      </c>
      <c r="N1845" s="71" t="s">
        <v>388</v>
      </c>
      <c r="O1845" s="73">
        <v>0.004</v>
      </c>
      <c r="P1845" s="71" t="s">
        <v>389</v>
      </c>
      <c r="Q1845" s="73">
        <v>1</v>
      </c>
      <c r="R1845" s="71" t="s">
        <v>388</v>
      </c>
      <c r="S1845" s="73">
        <v>0</v>
      </c>
      <c r="T1845" s="71" t="s">
        <v>390</v>
      </c>
      <c r="U1845" s="74">
        <v>1</v>
      </c>
      <c r="V1845" s="71" t="s">
        <v>391</v>
      </c>
      <c r="W1845" s="130">
        <v>46073.029490740744</v>
      </c>
      <c r="X1845" s="72">
        <v>46074.690972222219</v>
      </c>
      <c r="Y1845" s="72">
        <v>46076.420138888891</v>
      </c>
      <c r="Z1845" s="104" t="s">
        <v>383</v>
      </c>
      <c r="AA1845" s="104" t="s">
        <v>774</v>
      </c>
      <c r="AB1845" s="105">
        <v>46075.636805555558</v>
      </c>
      <c r="AC1845" s="105">
        <v>46076.392361111109</v>
      </c>
    </row>
    <row r="1846" s="70" customFormat="1" ht="11.25" customHeight="1">
      <c r="A1846" s="87"/>
      <c r="C1846" s="43" t="s">
        <v>3342</v>
      </c>
      <c r="D1846" s="71" t="s">
        <v>382</v>
      </c>
      <c r="E1846" s="71" t="str">
        <f>MID(D1846,1,2)</f>
        <v>IL</v>
      </c>
      <c r="F1846" s="71" t="s">
        <v>963</v>
      </c>
      <c r="G1846" s="71" t="str">
        <f>MID(F1846,1,2)</f>
        <v>IN</v>
      </c>
      <c r="H1846" s="43" t="s">
        <v>3025</v>
      </c>
      <c r="I1846" s="71" t="s">
        <v>3343</v>
      </c>
      <c r="J1846" s="71" t="s">
        <v>426</v>
      </c>
      <c r="K1846" s="43"/>
      <c r="L1846" s="71" t="s">
        <v>105</v>
      </c>
      <c r="M1846" s="73">
        <v>5</v>
      </c>
      <c r="N1846" s="71" t="s">
        <v>388</v>
      </c>
      <c r="O1846" s="73">
        <v>0.03</v>
      </c>
      <c r="P1846" s="71" t="s">
        <v>389</v>
      </c>
      <c r="Q1846" s="73">
        <v>5</v>
      </c>
      <c r="R1846" s="71" t="s">
        <v>388</v>
      </c>
      <c r="S1846" s="73">
        <v>0</v>
      </c>
      <c r="T1846" s="71" t="s">
        <v>390</v>
      </c>
      <c r="U1846" s="74">
        <v>1</v>
      </c>
      <c r="V1846" s="71" t="s">
        <v>391</v>
      </c>
      <c r="W1846" s="130">
        <v>46072.486111111109</v>
      </c>
      <c r="X1846" s="72">
        <v>46074.895833333336</v>
      </c>
      <c r="Y1846" s="72">
        <v>46078.024305555555</v>
      </c>
      <c r="Z1846" s="104" t="s">
        <v>382</v>
      </c>
      <c r="AA1846" s="104" t="s">
        <v>833</v>
      </c>
      <c r="AB1846" s="105">
        <v>46074.890972222223</v>
      </c>
      <c r="AC1846" s="105">
        <v>46075.548611111109</v>
      </c>
    </row>
    <row r="1847" s="70" customFormat="1" ht="11.25" customHeight="1">
      <c r="A1847" s="87"/>
      <c r="C1847" s="43" t="s">
        <v>3342</v>
      </c>
      <c r="D1847" s="71" t="s">
        <v>382</v>
      </c>
      <c r="E1847" s="71" t="str">
        <f>MID(D1847,1,2)</f>
        <v>IL</v>
      </c>
      <c r="F1847" s="71" t="s">
        <v>963</v>
      </c>
      <c r="G1847" s="71" t="str">
        <f>MID(F1847,1,2)</f>
        <v>IN</v>
      </c>
      <c r="H1847" s="43" t="s">
        <v>3025</v>
      </c>
      <c r="I1847" s="71" t="s">
        <v>3343</v>
      </c>
      <c r="J1847" s="71" t="s">
        <v>426</v>
      </c>
      <c r="K1847" s="43"/>
      <c r="L1847" s="71" t="s">
        <v>105</v>
      </c>
      <c r="M1847" s="73">
        <v>5</v>
      </c>
      <c r="N1847" s="71" t="s">
        <v>388</v>
      </c>
      <c r="O1847" s="73">
        <v>0.03</v>
      </c>
      <c r="P1847" s="71" t="s">
        <v>389</v>
      </c>
      <c r="Q1847" s="73">
        <v>5</v>
      </c>
      <c r="R1847" s="71" t="s">
        <v>388</v>
      </c>
      <c r="S1847" s="73">
        <v>0</v>
      </c>
      <c r="T1847" s="71" t="s">
        <v>390</v>
      </c>
      <c r="U1847" s="74">
        <v>1</v>
      </c>
      <c r="V1847" s="71" t="s">
        <v>391</v>
      </c>
      <c r="W1847" s="130">
        <v>46072.486111111109</v>
      </c>
      <c r="X1847" s="72">
        <v>46074.895833333336</v>
      </c>
      <c r="Y1847" s="72">
        <v>46078.024305555555</v>
      </c>
      <c r="Z1847" s="104" t="s">
        <v>833</v>
      </c>
      <c r="AA1847" s="104" t="s">
        <v>963</v>
      </c>
      <c r="AB1847" s="105">
        <v>46077.920138888891</v>
      </c>
      <c r="AC1847" s="105">
        <v>46078.165277777778</v>
      </c>
    </row>
    <row r="1848" s="70" customFormat="1" ht="11.25" customHeight="1">
      <c r="A1848" s="87"/>
      <c r="C1848" s="43" t="s">
        <v>3344</v>
      </c>
      <c r="D1848" s="71" t="s">
        <v>382</v>
      </c>
      <c r="E1848" s="71" t="str">
        <f>MID(D1848,1,2)</f>
        <v>IL</v>
      </c>
      <c r="F1848" s="71" t="s">
        <v>476</v>
      </c>
      <c r="G1848" s="71" t="str">
        <f>MID(F1848,1,2)</f>
        <v>SG</v>
      </c>
      <c r="H1848" s="43" t="s">
        <v>3345</v>
      </c>
      <c r="I1848" s="71" t="s">
        <v>3346</v>
      </c>
      <c r="J1848" s="71" t="s">
        <v>454</v>
      </c>
      <c r="K1848" s="43"/>
      <c r="L1848" s="71" t="s">
        <v>107</v>
      </c>
      <c r="M1848" s="73">
        <v>493</v>
      </c>
      <c r="N1848" s="71" t="s">
        <v>388</v>
      </c>
      <c r="O1848" s="73">
        <v>4.004</v>
      </c>
      <c r="P1848" s="71" t="s">
        <v>389</v>
      </c>
      <c r="Q1848" s="73">
        <v>667.5</v>
      </c>
      <c r="R1848" s="71" t="s">
        <v>388</v>
      </c>
      <c r="S1848" s="73">
        <v>0</v>
      </c>
      <c r="T1848" s="71" t="s">
        <v>390</v>
      </c>
      <c r="U1848" s="74">
        <v>4</v>
      </c>
      <c r="V1848" s="71" t="s">
        <v>391</v>
      </c>
      <c r="W1848" s="130">
        <v>46073.032986111109</v>
      </c>
      <c r="X1848" s="72">
        <v>46074.753472222219</v>
      </c>
      <c r="Y1848" s="72">
        <v>46077.6</v>
      </c>
      <c r="Z1848" s="104" t="s">
        <v>382</v>
      </c>
      <c r="AA1848" s="104" t="s">
        <v>748</v>
      </c>
      <c r="AB1848" s="105">
        <v>46074.552083333336</v>
      </c>
      <c r="AC1848" s="105">
        <v>46074.942361111112</v>
      </c>
    </row>
    <row r="1849" s="70" customFormat="1" ht="11.25" customHeight="1">
      <c r="A1849" s="87"/>
      <c r="C1849" s="43" t="s">
        <v>3344</v>
      </c>
      <c r="D1849" s="71" t="s">
        <v>382</v>
      </c>
      <c r="E1849" s="71" t="str">
        <f>MID(D1849,1,2)</f>
        <v>IL</v>
      </c>
      <c r="F1849" s="71" t="s">
        <v>476</v>
      </c>
      <c r="G1849" s="71" t="str">
        <f>MID(F1849,1,2)</f>
        <v>SG</v>
      </c>
      <c r="H1849" s="43" t="s">
        <v>3345</v>
      </c>
      <c r="I1849" s="71" t="s">
        <v>3346</v>
      </c>
      <c r="J1849" s="71" t="s">
        <v>454</v>
      </c>
      <c r="K1849" s="43"/>
      <c r="L1849" s="71" t="s">
        <v>107</v>
      </c>
      <c r="M1849" s="73">
        <v>493</v>
      </c>
      <c r="N1849" s="71" t="s">
        <v>388</v>
      </c>
      <c r="O1849" s="73">
        <v>4.004</v>
      </c>
      <c r="P1849" s="71" t="s">
        <v>389</v>
      </c>
      <c r="Q1849" s="73">
        <v>667.5</v>
      </c>
      <c r="R1849" s="71" t="s">
        <v>388</v>
      </c>
      <c r="S1849" s="73">
        <v>0</v>
      </c>
      <c r="T1849" s="71" t="s">
        <v>390</v>
      </c>
      <c r="U1849" s="74">
        <v>4</v>
      </c>
      <c r="V1849" s="71" t="s">
        <v>391</v>
      </c>
      <c r="W1849" s="130">
        <v>46073.032986111109</v>
      </c>
      <c r="X1849" s="72">
        <v>46074.753472222219</v>
      </c>
      <c r="Y1849" s="72">
        <v>46077.6</v>
      </c>
      <c r="Z1849" s="104" t="s">
        <v>748</v>
      </c>
      <c r="AA1849" s="104" t="s">
        <v>476</v>
      </c>
      <c r="AB1849" s="105">
        <v>46076.34097222222</v>
      </c>
      <c r="AC1849" s="105">
        <v>46077.086111111108</v>
      </c>
    </row>
    <row r="1850" s="70" customFormat="1" ht="11.25" customHeight="1">
      <c r="A1850" s="87"/>
      <c r="C1850" s="43" t="s">
        <v>3347</v>
      </c>
      <c r="D1850" s="71" t="s">
        <v>382</v>
      </c>
      <c r="E1850" s="71" t="str">
        <f>MID(D1850,1,2)</f>
        <v>IL</v>
      </c>
      <c r="F1850" s="71" t="s">
        <v>471</v>
      </c>
      <c r="G1850" s="71" t="str">
        <f>MID(F1850,1,2)</f>
        <v>US</v>
      </c>
      <c r="H1850" s="43" t="s">
        <v>3348</v>
      </c>
      <c r="I1850" s="71"/>
      <c r="J1850" s="71" t="s">
        <v>426</v>
      </c>
      <c r="K1850" s="43"/>
      <c r="L1850" s="71" t="s">
        <v>105</v>
      </c>
      <c r="M1850" s="73">
        <v>166</v>
      </c>
      <c r="N1850" s="71" t="s">
        <v>388</v>
      </c>
      <c r="O1850" s="73">
        <v>1.332</v>
      </c>
      <c r="P1850" s="71" t="s">
        <v>389</v>
      </c>
      <c r="Q1850" s="73">
        <v>222</v>
      </c>
      <c r="R1850" s="71" t="s">
        <v>388</v>
      </c>
      <c r="S1850" s="73">
        <v>0</v>
      </c>
      <c r="T1850" s="71" t="s">
        <v>390</v>
      </c>
      <c r="U1850" s="74">
        <v>3</v>
      </c>
      <c r="V1850" s="71" t="s">
        <v>391</v>
      </c>
      <c r="W1850" s="130">
        <v>46098.381944444445</v>
      </c>
      <c r="X1850" s="72">
        <v>46099.71875</v>
      </c>
      <c r="Y1850" s="72">
        <v>46107.680555555555</v>
      </c>
      <c r="Z1850" s="104" t="s">
        <v>382</v>
      </c>
      <c r="AA1850" s="104" t="s">
        <v>383</v>
      </c>
      <c r="AB1850" s="105">
        <v>46103.441666666666</v>
      </c>
      <c r="AC1850" s="105"/>
    </row>
    <row r="1851" s="70" customFormat="1" ht="11.25" customHeight="1">
      <c r="A1851" s="87"/>
      <c r="C1851" s="43" t="s">
        <v>3347</v>
      </c>
      <c r="D1851" s="71" t="s">
        <v>382</v>
      </c>
      <c r="E1851" s="71" t="str">
        <f>MID(D1851,1,2)</f>
        <v>IL</v>
      </c>
      <c r="F1851" s="71" t="s">
        <v>471</v>
      </c>
      <c r="G1851" s="71" t="str">
        <f>MID(F1851,1,2)</f>
        <v>US</v>
      </c>
      <c r="H1851" s="43" t="s">
        <v>3348</v>
      </c>
      <c r="I1851" s="71"/>
      <c r="J1851" s="71" t="s">
        <v>426</v>
      </c>
      <c r="K1851" s="43"/>
      <c r="L1851" s="71" t="s">
        <v>105</v>
      </c>
      <c r="M1851" s="73">
        <v>166</v>
      </c>
      <c r="N1851" s="71" t="s">
        <v>388</v>
      </c>
      <c r="O1851" s="73">
        <v>1.332</v>
      </c>
      <c r="P1851" s="71" t="s">
        <v>389</v>
      </c>
      <c r="Q1851" s="73">
        <v>222</v>
      </c>
      <c r="R1851" s="71" t="s">
        <v>388</v>
      </c>
      <c r="S1851" s="73">
        <v>0</v>
      </c>
      <c r="T1851" s="71" t="s">
        <v>390</v>
      </c>
      <c r="U1851" s="74">
        <v>3</v>
      </c>
      <c r="V1851" s="71" t="s">
        <v>391</v>
      </c>
      <c r="W1851" s="130">
        <v>46098.381944444445</v>
      </c>
      <c r="X1851" s="72">
        <v>46099.71875</v>
      </c>
      <c r="Y1851" s="72">
        <v>46107.680555555555</v>
      </c>
      <c r="Z1851" s="104" t="s">
        <v>383</v>
      </c>
      <c r="AA1851" s="104" t="s">
        <v>471</v>
      </c>
      <c r="AB1851" s="105"/>
      <c r="AC1851" s="105"/>
    </row>
    <row r="1852" s="70" customFormat="1" ht="11.25" customHeight="1">
      <c r="A1852" s="87"/>
      <c r="C1852" s="43" t="s">
        <v>3349</v>
      </c>
      <c r="D1852" s="71" t="s">
        <v>382</v>
      </c>
      <c r="E1852" s="71" t="str">
        <f>MID(D1852,1,2)</f>
        <v>IL</v>
      </c>
      <c r="F1852" s="71" t="s">
        <v>1175</v>
      </c>
      <c r="G1852" s="71" t="str">
        <f>MID(F1852,1,2)</f>
        <v>AE</v>
      </c>
      <c r="H1852" s="43" t="s">
        <v>3350</v>
      </c>
      <c r="I1852" s="71" t="s">
        <v>3351</v>
      </c>
      <c r="J1852" s="71" t="s">
        <v>811</v>
      </c>
      <c r="K1852" s="43"/>
      <c r="L1852" s="71" t="s">
        <v>105</v>
      </c>
      <c r="M1852" s="73">
        <v>588</v>
      </c>
      <c r="N1852" s="71" t="s">
        <v>388</v>
      </c>
      <c r="O1852" s="73">
        <v>2.621</v>
      </c>
      <c r="P1852" s="71" t="s">
        <v>389</v>
      </c>
      <c r="Q1852" s="73">
        <v>588</v>
      </c>
      <c r="R1852" s="71" t="s">
        <v>388</v>
      </c>
      <c r="S1852" s="73">
        <v>0</v>
      </c>
      <c r="T1852" s="71" t="s">
        <v>390</v>
      </c>
      <c r="U1852" s="74">
        <v>7</v>
      </c>
      <c r="V1852" s="71" t="s">
        <v>391</v>
      </c>
      <c r="W1852" s="130"/>
      <c r="X1852" s="72">
        <v>46073.464583333334</v>
      </c>
      <c r="Y1852" s="72">
        <v>46073.90625</v>
      </c>
      <c r="Z1852" s="104" t="s">
        <v>382</v>
      </c>
      <c r="AA1852" s="104" t="s">
        <v>1175</v>
      </c>
      <c r="AB1852" s="105">
        <v>46073.701388888891</v>
      </c>
      <c r="AC1852" s="105">
        <v>46073.902083333334</v>
      </c>
    </row>
    <row r="1853" s="70" customFormat="1" ht="11.25" customHeight="1">
      <c r="A1853" s="87"/>
      <c r="C1853" s="43" t="s">
        <v>3352</v>
      </c>
      <c r="D1853" s="71" t="s">
        <v>382</v>
      </c>
      <c r="E1853" s="71" t="str">
        <f>MID(D1853,1,2)</f>
        <v>IL</v>
      </c>
      <c r="F1853" s="71" t="s">
        <v>2393</v>
      </c>
      <c r="G1853" s="71" t="str">
        <f>MID(F1853,1,2)</f>
        <v>ES</v>
      </c>
      <c r="H1853" s="43" t="s">
        <v>3353</v>
      </c>
      <c r="I1853" s="71" t="s">
        <v>3354</v>
      </c>
      <c r="J1853" s="71" t="s">
        <v>811</v>
      </c>
      <c r="K1853" s="43"/>
      <c r="L1853" s="71" t="s">
        <v>105</v>
      </c>
      <c r="M1853" s="73">
        <v>63</v>
      </c>
      <c r="N1853" s="71" t="s">
        <v>388</v>
      </c>
      <c r="O1853" s="73">
        <v>0.23</v>
      </c>
      <c r="P1853" s="71" t="s">
        <v>389</v>
      </c>
      <c r="Q1853" s="73">
        <v>100</v>
      </c>
      <c r="R1853" s="71" t="s">
        <v>388</v>
      </c>
      <c r="S1853" s="73">
        <v>0</v>
      </c>
      <c r="T1853" s="71" t="s">
        <v>390</v>
      </c>
      <c r="U1853" s="74">
        <v>1</v>
      </c>
      <c r="V1853" s="71" t="s">
        <v>391</v>
      </c>
      <c r="W1853" s="130">
        <v>46072.65347222222</v>
      </c>
      <c r="X1853" s="72">
        <v>46073.270833333336</v>
      </c>
      <c r="Y1853" s="72">
        <v>46073.427083333336</v>
      </c>
      <c r="Z1853" s="104" t="s">
        <v>382</v>
      </c>
      <c r="AA1853" s="104" t="s">
        <v>2393</v>
      </c>
      <c r="AB1853" s="105">
        <v>46073.26666666667</v>
      </c>
      <c r="AC1853" s="105">
        <v>46073.41875</v>
      </c>
    </row>
    <row r="1854" s="70" customFormat="1" ht="11.25" customHeight="1">
      <c r="A1854" s="87"/>
      <c r="C1854" s="43" t="s">
        <v>3355</v>
      </c>
      <c r="D1854" s="71" t="s">
        <v>382</v>
      </c>
      <c r="E1854" s="71" t="str">
        <f>MID(D1854,1,2)</f>
        <v>IL</v>
      </c>
      <c r="F1854" s="71" t="s">
        <v>405</v>
      </c>
      <c r="G1854" s="71" t="str">
        <f>MID(F1854,1,2)</f>
        <v>CA</v>
      </c>
      <c r="H1854" s="43" t="s">
        <v>3356</v>
      </c>
      <c r="I1854" s="71" t="s">
        <v>3357</v>
      </c>
      <c r="J1854" s="71" t="s">
        <v>386</v>
      </c>
      <c r="K1854" s="43"/>
      <c r="L1854" s="71" t="s">
        <v>107</v>
      </c>
      <c r="M1854" s="73">
        <v>23</v>
      </c>
      <c r="N1854" s="71" t="s">
        <v>388</v>
      </c>
      <c r="O1854" s="73">
        <v>0.223</v>
      </c>
      <c r="P1854" s="71" t="s">
        <v>389</v>
      </c>
      <c r="Q1854" s="73">
        <v>37.5</v>
      </c>
      <c r="R1854" s="71" t="s">
        <v>388</v>
      </c>
      <c r="S1854" s="73">
        <v>0</v>
      </c>
      <c r="T1854" s="71" t="s">
        <v>390</v>
      </c>
      <c r="U1854" s="74">
        <v>1</v>
      </c>
      <c r="V1854" s="71" t="s">
        <v>417</v>
      </c>
      <c r="W1854" s="130">
        <v>46072.604861111111</v>
      </c>
      <c r="X1854" s="72">
        <v>46075.345138888886</v>
      </c>
      <c r="Y1854" s="72">
        <v>46076.711805555555</v>
      </c>
      <c r="Z1854" s="104" t="s">
        <v>382</v>
      </c>
      <c r="AA1854" s="104" t="s">
        <v>405</v>
      </c>
      <c r="AB1854" s="105">
        <v>46076.493055555555</v>
      </c>
      <c r="AC1854" s="105">
        <v>46076.708333333336</v>
      </c>
    </row>
    <row r="1855" s="70" customFormat="1" ht="11.25" customHeight="1">
      <c r="A1855" s="87"/>
      <c r="C1855" s="43" t="s">
        <v>3358</v>
      </c>
      <c r="D1855" s="71" t="s">
        <v>382</v>
      </c>
      <c r="E1855" s="71" t="str">
        <f>MID(D1855,1,2)</f>
        <v>IL</v>
      </c>
      <c r="F1855" s="71" t="s">
        <v>422</v>
      </c>
      <c r="G1855" s="71" t="str">
        <f>MID(F1855,1,2)</f>
        <v>US</v>
      </c>
      <c r="H1855" s="43" t="s">
        <v>3359</v>
      </c>
      <c r="I1855" s="71"/>
      <c r="J1855" s="71" t="s">
        <v>426</v>
      </c>
      <c r="K1855" s="43"/>
      <c r="L1855" s="71" t="s">
        <v>105</v>
      </c>
      <c r="M1855" s="73">
        <v>5892</v>
      </c>
      <c r="N1855" s="71" t="s">
        <v>388</v>
      </c>
      <c r="O1855" s="73">
        <v>26.316</v>
      </c>
      <c r="P1855" s="71" t="s">
        <v>389</v>
      </c>
      <c r="Q1855" s="73">
        <v>5892</v>
      </c>
      <c r="R1855" s="71" t="s">
        <v>388</v>
      </c>
      <c r="S1855" s="73">
        <v>0</v>
      </c>
      <c r="T1855" s="71" t="s">
        <v>390</v>
      </c>
      <c r="U1855" s="74">
        <v>18</v>
      </c>
      <c r="V1855" s="71" t="s">
        <v>391</v>
      </c>
      <c r="W1855" s="130">
        <v>46072.541666666664</v>
      </c>
      <c r="X1855" s="72">
        <v>46076.003472222219</v>
      </c>
      <c r="Y1855" s="72">
        <v>46078.253472222219</v>
      </c>
      <c r="Z1855" s="104" t="s">
        <v>382</v>
      </c>
      <c r="AA1855" s="104" t="s">
        <v>422</v>
      </c>
      <c r="AB1855" s="105">
        <v>46078.046527777777</v>
      </c>
      <c r="AC1855" s="105">
        <v>46078.241666666669</v>
      </c>
    </row>
    <row r="1856" s="70" customFormat="1" ht="11.25" customHeight="1">
      <c r="A1856" s="87"/>
      <c r="C1856" s="43" t="s">
        <v>3360</v>
      </c>
      <c r="D1856" s="71" t="s">
        <v>382</v>
      </c>
      <c r="E1856" s="71" t="str">
        <f>MID(D1856,1,2)</f>
        <v>IL</v>
      </c>
      <c r="F1856" s="71" t="s">
        <v>2453</v>
      </c>
      <c r="G1856" s="71" t="str">
        <f>MID(F1856,1,2)</f>
        <v>GE</v>
      </c>
      <c r="H1856" s="43" t="s">
        <v>3361</v>
      </c>
      <c r="I1856" s="71" t="s">
        <v>3362</v>
      </c>
      <c r="J1856" s="71" t="s">
        <v>400</v>
      </c>
      <c r="K1856" s="43"/>
      <c r="L1856" s="71" t="s">
        <v>105</v>
      </c>
      <c r="M1856" s="73">
        <v>98</v>
      </c>
      <c r="N1856" s="71" t="s">
        <v>388</v>
      </c>
      <c r="O1856" s="73">
        <v>0.816</v>
      </c>
      <c r="P1856" s="71" t="s">
        <v>389</v>
      </c>
      <c r="Q1856" s="73">
        <v>136</v>
      </c>
      <c r="R1856" s="71" t="s">
        <v>388</v>
      </c>
      <c r="S1856" s="73">
        <v>0</v>
      </c>
      <c r="T1856" s="71" t="s">
        <v>390</v>
      </c>
      <c r="U1856" s="74">
        <v>1</v>
      </c>
      <c r="V1856" s="71" t="s">
        <v>391</v>
      </c>
      <c r="W1856" s="130">
        <v>46072.891157407408</v>
      </c>
      <c r="X1856" s="72">
        <v>46073.340277777781</v>
      </c>
      <c r="Y1856" s="72">
        <v>46073.666666666664</v>
      </c>
      <c r="Z1856" s="104" t="s">
        <v>382</v>
      </c>
      <c r="AA1856" s="104" t="s">
        <v>2453</v>
      </c>
      <c r="AB1856" s="105">
        <v>46073.33125</v>
      </c>
      <c r="AC1856" s="105">
        <v>46073.509027777778</v>
      </c>
    </row>
    <row r="1857" s="70" customFormat="1" ht="11.25" customHeight="1">
      <c r="A1857" s="87"/>
      <c r="C1857" s="43" t="s">
        <v>3363</v>
      </c>
      <c r="D1857" s="71" t="s">
        <v>382</v>
      </c>
      <c r="E1857" s="71" t="str">
        <f>MID(D1857,1,2)</f>
        <v>IL</v>
      </c>
      <c r="F1857" s="71" t="s">
        <v>774</v>
      </c>
      <c r="G1857" s="71" t="str">
        <f>MID(F1857,1,2)</f>
        <v>CN</v>
      </c>
      <c r="H1857" s="43" t="s">
        <v>3247</v>
      </c>
      <c r="I1857" s="71" t="s">
        <v>3364</v>
      </c>
      <c r="J1857" s="71" t="s">
        <v>755</v>
      </c>
      <c r="K1857" s="43"/>
      <c r="L1857" s="71" t="s">
        <v>105</v>
      </c>
      <c r="M1857" s="73">
        <v>0.3</v>
      </c>
      <c r="N1857" s="71" t="s">
        <v>388</v>
      </c>
      <c r="O1857" s="73">
        <v>0.005</v>
      </c>
      <c r="P1857" s="71" t="s">
        <v>389</v>
      </c>
      <c r="Q1857" s="73">
        <v>1</v>
      </c>
      <c r="R1857" s="71" t="s">
        <v>388</v>
      </c>
      <c r="S1857" s="73">
        <v>0</v>
      </c>
      <c r="T1857" s="71" t="s">
        <v>390</v>
      </c>
      <c r="U1857" s="74">
        <v>1</v>
      </c>
      <c r="V1857" s="71" t="s">
        <v>391</v>
      </c>
      <c r="W1857" s="130">
        <v>46073.032986111109</v>
      </c>
      <c r="X1857" s="72">
        <v>46074.690972222219</v>
      </c>
      <c r="Y1857" s="72">
        <v>46076.420138888891</v>
      </c>
      <c r="Z1857" s="104" t="s">
        <v>382</v>
      </c>
      <c r="AA1857" s="104" t="s">
        <v>383</v>
      </c>
      <c r="AB1857" s="105">
        <v>46075.041666666664</v>
      </c>
      <c r="AC1857" s="105">
        <v>46075.236805555556</v>
      </c>
    </row>
    <row r="1858" s="70" customFormat="1" ht="11.25" customHeight="1">
      <c r="A1858" s="87"/>
      <c r="C1858" s="43" t="s">
        <v>3363</v>
      </c>
      <c r="D1858" s="71" t="s">
        <v>382</v>
      </c>
      <c r="E1858" s="71" t="str">
        <f>MID(D1858,1,2)</f>
        <v>IL</v>
      </c>
      <c r="F1858" s="71" t="s">
        <v>774</v>
      </c>
      <c r="G1858" s="71" t="str">
        <f>MID(F1858,1,2)</f>
        <v>CN</v>
      </c>
      <c r="H1858" s="43" t="s">
        <v>3247</v>
      </c>
      <c r="I1858" s="71" t="s">
        <v>3364</v>
      </c>
      <c r="J1858" s="71" t="s">
        <v>755</v>
      </c>
      <c r="K1858" s="43"/>
      <c r="L1858" s="71" t="s">
        <v>105</v>
      </c>
      <c r="M1858" s="73">
        <v>0.3</v>
      </c>
      <c r="N1858" s="71" t="s">
        <v>388</v>
      </c>
      <c r="O1858" s="73">
        <v>0.005</v>
      </c>
      <c r="P1858" s="71" t="s">
        <v>389</v>
      </c>
      <c r="Q1858" s="73">
        <v>1</v>
      </c>
      <c r="R1858" s="71" t="s">
        <v>388</v>
      </c>
      <c r="S1858" s="73">
        <v>0</v>
      </c>
      <c r="T1858" s="71" t="s">
        <v>390</v>
      </c>
      <c r="U1858" s="74">
        <v>1</v>
      </c>
      <c r="V1858" s="71" t="s">
        <v>391</v>
      </c>
      <c r="W1858" s="130">
        <v>46073.032986111109</v>
      </c>
      <c r="X1858" s="72">
        <v>46074.690972222219</v>
      </c>
      <c r="Y1858" s="72">
        <v>46076.420138888891</v>
      </c>
      <c r="Z1858" s="104" t="s">
        <v>383</v>
      </c>
      <c r="AA1858" s="104" t="s">
        <v>774</v>
      </c>
      <c r="AB1858" s="105">
        <v>46075.636805555558</v>
      </c>
      <c r="AC1858" s="105">
        <v>46076.392361111109</v>
      </c>
    </row>
    <row r="1859" s="70" customFormat="1" ht="11.25" customHeight="1">
      <c r="A1859" s="87"/>
      <c r="C1859" s="43" t="s">
        <v>3365</v>
      </c>
      <c r="D1859" s="71" t="s">
        <v>382</v>
      </c>
      <c r="E1859" s="71" t="str">
        <f>MID(D1859,1,2)</f>
        <v>IL</v>
      </c>
      <c r="F1859" s="71" t="s">
        <v>2383</v>
      </c>
      <c r="G1859" s="71" t="str">
        <f>MID(F1859,1,2)</f>
        <v>SE</v>
      </c>
      <c r="H1859" s="43" t="s">
        <v>3366</v>
      </c>
      <c r="I1859" s="71" t="s">
        <v>3367</v>
      </c>
      <c r="J1859" s="71" t="s">
        <v>811</v>
      </c>
      <c r="K1859" s="43"/>
      <c r="L1859" s="71" t="s">
        <v>105</v>
      </c>
      <c r="M1859" s="73">
        <v>268</v>
      </c>
      <c r="N1859" s="71" t="s">
        <v>388</v>
      </c>
      <c r="O1859" s="73">
        <v>1.11</v>
      </c>
      <c r="P1859" s="71" t="s">
        <v>389</v>
      </c>
      <c r="Q1859" s="73">
        <v>300</v>
      </c>
      <c r="R1859" s="71" t="s">
        <v>388</v>
      </c>
      <c r="S1859" s="73">
        <v>0</v>
      </c>
      <c r="T1859" s="71" t="s">
        <v>390</v>
      </c>
      <c r="U1859" s="74">
        <v>1</v>
      </c>
      <c r="V1859" s="71" t="s">
        <v>391</v>
      </c>
      <c r="W1859" s="130">
        <v>46077.763240740744</v>
      </c>
      <c r="X1859" s="72">
        <v>46078.021527777775</v>
      </c>
      <c r="Y1859" s="72">
        <v>46079.385416666664</v>
      </c>
      <c r="Z1859" s="104" t="s">
        <v>382</v>
      </c>
      <c r="AA1859" s="104" t="s">
        <v>748</v>
      </c>
      <c r="AB1859" s="105">
        <v>46078.668055555558</v>
      </c>
      <c r="AC1859" s="105">
        <v>46078.806944444441</v>
      </c>
    </row>
    <row r="1860" s="70" customFormat="1" ht="11.25" customHeight="1">
      <c r="A1860" s="87"/>
      <c r="C1860" s="43" t="s">
        <v>3365</v>
      </c>
      <c r="D1860" s="71" t="s">
        <v>382</v>
      </c>
      <c r="E1860" s="71" t="str">
        <f>MID(D1860,1,2)</f>
        <v>IL</v>
      </c>
      <c r="F1860" s="71" t="s">
        <v>2383</v>
      </c>
      <c r="G1860" s="71" t="str">
        <f>MID(F1860,1,2)</f>
        <v>SE</v>
      </c>
      <c r="H1860" s="43" t="s">
        <v>3366</v>
      </c>
      <c r="I1860" s="71" t="s">
        <v>3367</v>
      </c>
      <c r="J1860" s="71" t="s">
        <v>811</v>
      </c>
      <c r="K1860" s="43"/>
      <c r="L1860" s="71" t="s">
        <v>105</v>
      </c>
      <c r="M1860" s="73">
        <v>268</v>
      </c>
      <c r="N1860" s="71" t="s">
        <v>388</v>
      </c>
      <c r="O1860" s="73">
        <v>1.11</v>
      </c>
      <c r="P1860" s="71" t="s">
        <v>389</v>
      </c>
      <c r="Q1860" s="73">
        <v>300</v>
      </c>
      <c r="R1860" s="71" t="s">
        <v>388</v>
      </c>
      <c r="S1860" s="73">
        <v>0</v>
      </c>
      <c r="T1860" s="71" t="s">
        <v>390</v>
      </c>
      <c r="U1860" s="74">
        <v>1</v>
      </c>
      <c r="V1860" s="71" t="s">
        <v>391</v>
      </c>
      <c r="W1860" s="130">
        <v>46077.763240740744</v>
      </c>
      <c r="X1860" s="72">
        <v>46078.021527777775</v>
      </c>
      <c r="Y1860" s="72">
        <v>46079.385416666664</v>
      </c>
      <c r="Z1860" s="104" t="s">
        <v>748</v>
      </c>
      <c r="AA1860" s="104" t="s">
        <v>2383</v>
      </c>
      <c r="AB1860" s="105">
        <v>46079.196527777778</v>
      </c>
      <c r="AC1860" s="105">
        <v>46079.294444444444</v>
      </c>
    </row>
    <row r="1861" s="70" customFormat="1" ht="11.25" customHeight="1">
      <c r="A1861" s="87"/>
      <c r="C1861" s="43" t="s">
        <v>3368</v>
      </c>
      <c r="D1861" s="71" t="s">
        <v>382</v>
      </c>
      <c r="E1861" s="71" t="str">
        <f>MID(D1861,1,2)</f>
        <v>IL</v>
      </c>
      <c r="F1861" s="71" t="s">
        <v>443</v>
      </c>
      <c r="G1861" s="71" t="str">
        <f>MID(F1861,1,2)</f>
        <v>US</v>
      </c>
      <c r="H1861" s="43" t="s">
        <v>2967</v>
      </c>
      <c r="I1861" s="71" t="s">
        <v>3369</v>
      </c>
      <c r="J1861" s="71" t="s">
        <v>386</v>
      </c>
      <c r="K1861" s="43"/>
      <c r="L1861" s="71" t="s">
        <v>107</v>
      </c>
      <c r="M1861" s="73">
        <v>166</v>
      </c>
      <c r="N1861" s="71" t="s">
        <v>388</v>
      </c>
      <c r="O1861" s="73">
        <v>1.8</v>
      </c>
      <c r="P1861" s="71" t="s">
        <v>389</v>
      </c>
      <c r="Q1861" s="73">
        <v>300</v>
      </c>
      <c r="R1861" s="71" t="s">
        <v>388</v>
      </c>
      <c r="S1861" s="73">
        <v>0</v>
      </c>
      <c r="T1861" s="71" t="s">
        <v>390</v>
      </c>
      <c r="U1861" s="74">
        <v>2</v>
      </c>
      <c r="V1861" s="71" t="s">
        <v>536</v>
      </c>
      <c r="W1861" s="130"/>
      <c r="X1861" s="72">
        <v>46075.458333333336</v>
      </c>
      <c r="Y1861" s="72">
        <v>46081.450694444444</v>
      </c>
      <c r="Z1861" s="104" t="s">
        <v>382</v>
      </c>
      <c r="AA1861" s="104" t="s">
        <v>414</v>
      </c>
      <c r="AB1861" s="105">
        <v>46080.476388888892</v>
      </c>
      <c r="AC1861" s="105">
        <v>46080.698611111111</v>
      </c>
    </row>
    <row r="1862" s="70" customFormat="1" ht="11.25" customHeight="1">
      <c r="A1862" s="87"/>
      <c r="C1862" s="43" t="s">
        <v>3368</v>
      </c>
      <c r="D1862" s="71" t="s">
        <v>382</v>
      </c>
      <c r="E1862" s="71" t="str">
        <f>MID(D1862,1,2)</f>
        <v>IL</v>
      </c>
      <c r="F1862" s="71" t="s">
        <v>443</v>
      </c>
      <c r="G1862" s="71" t="str">
        <f>MID(F1862,1,2)</f>
        <v>US</v>
      </c>
      <c r="H1862" s="43" t="s">
        <v>2967</v>
      </c>
      <c r="I1862" s="71" t="s">
        <v>3369</v>
      </c>
      <c r="J1862" s="71" t="s">
        <v>386</v>
      </c>
      <c r="K1862" s="43"/>
      <c r="L1862" s="71" t="s">
        <v>107</v>
      </c>
      <c r="M1862" s="73">
        <v>166</v>
      </c>
      <c r="N1862" s="71" t="s">
        <v>388</v>
      </c>
      <c r="O1862" s="73">
        <v>1.8</v>
      </c>
      <c r="P1862" s="71" t="s">
        <v>389</v>
      </c>
      <c r="Q1862" s="73">
        <v>300</v>
      </c>
      <c r="R1862" s="71" t="s">
        <v>388</v>
      </c>
      <c r="S1862" s="73">
        <v>0</v>
      </c>
      <c r="T1862" s="71" t="s">
        <v>390</v>
      </c>
      <c r="U1862" s="74">
        <v>2</v>
      </c>
      <c r="V1862" s="71" t="s">
        <v>536</v>
      </c>
      <c r="W1862" s="130"/>
      <c r="X1862" s="72">
        <v>46075.458333333336</v>
      </c>
      <c r="Y1862" s="72">
        <v>46081.450694444444</v>
      </c>
      <c r="Z1862" s="104" t="s">
        <v>414</v>
      </c>
      <c r="AA1862" s="104" t="s">
        <v>443</v>
      </c>
      <c r="AB1862" s="105">
        <v>46081.286805555559</v>
      </c>
      <c r="AC1862" s="105">
        <v>46081.45416666667</v>
      </c>
    </row>
    <row r="1863" s="70" customFormat="1" ht="11.25" customHeight="1">
      <c r="A1863" s="87"/>
      <c r="C1863" s="43" t="s">
        <v>3370</v>
      </c>
      <c r="D1863" s="71" t="s">
        <v>382</v>
      </c>
      <c r="E1863" s="71" t="str">
        <f>MID(D1863,1,2)</f>
        <v>IL</v>
      </c>
      <c r="F1863" s="71" t="s">
        <v>443</v>
      </c>
      <c r="G1863" s="71" t="str">
        <f>MID(F1863,1,2)</f>
        <v>US</v>
      </c>
      <c r="H1863" s="43" t="s">
        <v>2967</v>
      </c>
      <c r="I1863" s="71" t="s">
        <v>3371</v>
      </c>
      <c r="J1863" s="71" t="s">
        <v>386</v>
      </c>
      <c r="K1863" s="43"/>
      <c r="L1863" s="71" t="s">
        <v>107</v>
      </c>
      <c r="M1863" s="73">
        <v>71</v>
      </c>
      <c r="N1863" s="71" t="s">
        <v>388</v>
      </c>
      <c r="O1863" s="73">
        <v>0.9</v>
      </c>
      <c r="P1863" s="71" t="s">
        <v>389</v>
      </c>
      <c r="Q1863" s="73">
        <v>150</v>
      </c>
      <c r="R1863" s="71" t="s">
        <v>388</v>
      </c>
      <c r="S1863" s="73">
        <v>0</v>
      </c>
      <c r="T1863" s="71" t="s">
        <v>390</v>
      </c>
      <c r="U1863" s="74">
        <v>1</v>
      </c>
      <c r="V1863" s="71" t="s">
        <v>536</v>
      </c>
      <c r="W1863" s="130"/>
      <c r="X1863" s="72">
        <v>46075.458333333336</v>
      </c>
      <c r="Y1863" s="72">
        <v>46081.450694444444</v>
      </c>
      <c r="Z1863" s="104" t="s">
        <v>382</v>
      </c>
      <c r="AA1863" s="104" t="s">
        <v>414</v>
      </c>
      <c r="AB1863" s="105">
        <v>46080.476388888892</v>
      </c>
      <c r="AC1863" s="105">
        <v>46080.698611111111</v>
      </c>
    </row>
    <row r="1864" s="70" customFormat="1" ht="11.25" customHeight="1">
      <c r="A1864" s="87"/>
      <c r="C1864" s="43" t="s">
        <v>3370</v>
      </c>
      <c r="D1864" s="71" t="s">
        <v>382</v>
      </c>
      <c r="E1864" s="71" t="str">
        <f>MID(D1864,1,2)</f>
        <v>IL</v>
      </c>
      <c r="F1864" s="71" t="s">
        <v>443</v>
      </c>
      <c r="G1864" s="71" t="str">
        <f>MID(F1864,1,2)</f>
        <v>US</v>
      </c>
      <c r="H1864" s="43" t="s">
        <v>2967</v>
      </c>
      <c r="I1864" s="71" t="s">
        <v>3371</v>
      </c>
      <c r="J1864" s="71" t="s">
        <v>386</v>
      </c>
      <c r="K1864" s="43"/>
      <c r="L1864" s="71" t="s">
        <v>107</v>
      </c>
      <c r="M1864" s="73">
        <v>71</v>
      </c>
      <c r="N1864" s="71" t="s">
        <v>388</v>
      </c>
      <c r="O1864" s="73">
        <v>0.9</v>
      </c>
      <c r="P1864" s="71" t="s">
        <v>389</v>
      </c>
      <c r="Q1864" s="73">
        <v>150</v>
      </c>
      <c r="R1864" s="71" t="s">
        <v>388</v>
      </c>
      <c r="S1864" s="73">
        <v>0</v>
      </c>
      <c r="T1864" s="71" t="s">
        <v>390</v>
      </c>
      <c r="U1864" s="74">
        <v>1</v>
      </c>
      <c r="V1864" s="71" t="s">
        <v>536</v>
      </c>
      <c r="W1864" s="130"/>
      <c r="X1864" s="72">
        <v>46075.458333333336</v>
      </c>
      <c r="Y1864" s="72">
        <v>46081.450694444444</v>
      </c>
      <c r="Z1864" s="104" t="s">
        <v>414</v>
      </c>
      <c r="AA1864" s="104" t="s">
        <v>443</v>
      </c>
      <c r="AB1864" s="105">
        <v>46081.286805555559</v>
      </c>
      <c r="AC1864" s="105">
        <v>46081.45416666667</v>
      </c>
    </row>
    <row r="1865" s="70" customFormat="1" ht="11.25" customHeight="1">
      <c r="A1865" s="87"/>
      <c r="C1865" s="43" t="s">
        <v>3372</v>
      </c>
      <c r="D1865" s="71" t="s">
        <v>382</v>
      </c>
      <c r="E1865" s="71" t="str">
        <f>MID(D1865,1,2)</f>
        <v>IL</v>
      </c>
      <c r="F1865" s="71" t="s">
        <v>443</v>
      </c>
      <c r="G1865" s="71" t="str">
        <f>MID(F1865,1,2)</f>
        <v>US</v>
      </c>
      <c r="H1865" s="43" t="s">
        <v>2967</v>
      </c>
      <c r="I1865" s="71" t="s">
        <v>3373</v>
      </c>
      <c r="J1865" s="71" t="s">
        <v>386</v>
      </c>
      <c r="K1865" s="43"/>
      <c r="L1865" s="71" t="s">
        <v>107</v>
      </c>
      <c r="M1865" s="73">
        <v>68</v>
      </c>
      <c r="N1865" s="71" t="s">
        <v>388</v>
      </c>
      <c r="O1865" s="73">
        <v>0.9</v>
      </c>
      <c r="P1865" s="71" t="s">
        <v>389</v>
      </c>
      <c r="Q1865" s="73">
        <v>150</v>
      </c>
      <c r="R1865" s="71" t="s">
        <v>388</v>
      </c>
      <c r="S1865" s="73">
        <v>0</v>
      </c>
      <c r="T1865" s="71" t="s">
        <v>390</v>
      </c>
      <c r="U1865" s="74">
        <v>1</v>
      </c>
      <c r="V1865" s="71" t="s">
        <v>536</v>
      </c>
      <c r="W1865" s="130"/>
      <c r="X1865" s="72">
        <v>46075.458333333336</v>
      </c>
      <c r="Y1865" s="72">
        <v>46081.450694444444</v>
      </c>
      <c r="Z1865" s="104" t="s">
        <v>382</v>
      </c>
      <c r="AA1865" s="104" t="s">
        <v>414</v>
      </c>
      <c r="AB1865" s="105">
        <v>46080.476388888892</v>
      </c>
      <c r="AC1865" s="105">
        <v>46080.698611111111</v>
      </c>
    </row>
    <row r="1866" s="70" customFormat="1" ht="11.25" customHeight="1">
      <c r="A1866" s="87"/>
      <c r="C1866" s="43" t="s">
        <v>3372</v>
      </c>
      <c r="D1866" s="71" t="s">
        <v>382</v>
      </c>
      <c r="E1866" s="71" t="str">
        <f>MID(D1866,1,2)</f>
        <v>IL</v>
      </c>
      <c r="F1866" s="71" t="s">
        <v>443</v>
      </c>
      <c r="G1866" s="71" t="str">
        <f>MID(F1866,1,2)</f>
        <v>US</v>
      </c>
      <c r="H1866" s="43" t="s">
        <v>2967</v>
      </c>
      <c r="I1866" s="71" t="s">
        <v>3373</v>
      </c>
      <c r="J1866" s="71" t="s">
        <v>386</v>
      </c>
      <c r="K1866" s="43"/>
      <c r="L1866" s="71" t="s">
        <v>107</v>
      </c>
      <c r="M1866" s="73">
        <v>68</v>
      </c>
      <c r="N1866" s="71" t="s">
        <v>388</v>
      </c>
      <c r="O1866" s="73">
        <v>0.9</v>
      </c>
      <c r="P1866" s="71" t="s">
        <v>389</v>
      </c>
      <c r="Q1866" s="73">
        <v>150</v>
      </c>
      <c r="R1866" s="71" t="s">
        <v>388</v>
      </c>
      <c r="S1866" s="73">
        <v>0</v>
      </c>
      <c r="T1866" s="71" t="s">
        <v>390</v>
      </c>
      <c r="U1866" s="74">
        <v>1</v>
      </c>
      <c r="V1866" s="71" t="s">
        <v>536</v>
      </c>
      <c r="W1866" s="130"/>
      <c r="X1866" s="72">
        <v>46075.458333333336</v>
      </c>
      <c r="Y1866" s="72">
        <v>46081.450694444444</v>
      </c>
      <c r="Z1866" s="104" t="s">
        <v>414</v>
      </c>
      <c r="AA1866" s="104" t="s">
        <v>443</v>
      </c>
      <c r="AB1866" s="105">
        <v>46081.286805555559</v>
      </c>
      <c r="AC1866" s="105">
        <v>46081.45416666667</v>
      </c>
    </row>
    <row r="1867" s="70" customFormat="1" ht="11.25" customHeight="1">
      <c r="A1867" s="87"/>
      <c r="C1867" s="43" t="s">
        <v>3374</v>
      </c>
      <c r="D1867" s="71" t="s">
        <v>382</v>
      </c>
      <c r="E1867" s="71" t="str">
        <f>MID(D1867,1,2)</f>
        <v>IL</v>
      </c>
      <c r="F1867" s="71" t="s">
        <v>443</v>
      </c>
      <c r="G1867" s="71" t="str">
        <f>MID(F1867,1,2)</f>
        <v>US</v>
      </c>
      <c r="H1867" s="43" t="s">
        <v>2967</v>
      </c>
      <c r="I1867" s="71" t="s">
        <v>3375</v>
      </c>
      <c r="J1867" s="71" t="s">
        <v>386</v>
      </c>
      <c r="K1867" s="43"/>
      <c r="L1867" s="71" t="s">
        <v>107</v>
      </c>
      <c r="M1867" s="73">
        <v>146</v>
      </c>
      <c r="N1867" s="71" t="s">
        <v>388</v>
      </c>
      <c r="O1867" s="73">
        <v>1.8</v>
      </c>
      <c r="P1867" s="71" t="s">
        <v>389</v>
      </c>
      <c r="Q1867" s="73">
        <v>300</v>
      </c>
      <c r="R1867" s="71" t="s">
        <v>388</v>
      </c>
      <c r="S1867" s="73">
        <v>0</v>
      </c>
      <c r="T1867" s="71" t="s">
        <v>390</v>
      </c>
      <c r="U1867" s="74">
        <v>2</v>
      </c>
      <c r="V1867" s="71" t="s">
        <v>536</v>
      </c>
      <c r="W1867" s="130">
        <v>46073.0225462963</v>
      </c>
      <c r="X1867" s="72">
        <v>46075.458333333336</v>
      </c>
      <c r="Y1867" s="72">
        <v>46081.450694444444</v>
      </c>
      <c r="Z1867" s="104" t="s">
        <v>382</v>
      </c>
      <c r="AA1867" s="104" t="s">
        <v>414</v>
      </c>
      <c r="AB1867" s="105">
        <v>46080.476388888892</v>
      </c>
      <c r="AC1867" s="105">
        <v>46080.698611111111</v>
      </c>
    </row>
    <row r="1868" s="70" customFormat="1" ht="11.25" customHeight="1">
      <c r="A1868" s="87"/>
      <c r="C1868" s="43" t="s">
        <v>3374</v>
      </c>
      <c r="D1868" s="71" t="s">
        <v>382</v>
      </c>
      <c r="E1868" s="71" t="str">
        <f>MID(D1868,1,2)</f>
        <v>IL</v>
      </c>
      <c r="F1868" s="71" t="s">
        <v>443</v>
      </c>
      <c r="G1868" s="71" t="str">
        <f>MID(F1868,1,2)</f>
        <v>US</v>
      </c>
      <c r="H1868" s="43" t="s">
        <v>2967</v>
      </c>
      <c r="I1868" s="71" t="s">
        <v>3375</v>
      </c>
      <c r="J1868" s="71" t="s">
        <v>386</v>
      </c>
      <c r="K1868" s="43"/>
      <c r="L1868" s="71" t="s">
        <v>107</v>
      </c>
      <c r="M1868" s="73">
        <v>146</v>
      </c>
      <c r="N1868" s="71" t="s">
        <v>388</v>
      </c>
      <c r="O1868" s="73">
        <v>1.8</v>
      </c>
      <c r="P1868" s="71" t="s">
        <v>389</v>
      </c>
      <c r="Q1868" s="73">
        <v>300</v>
      </c>
      <c r="R1868" s="71" t="s">
        <v>388</v>
      </c>
      <c r="S1868" s="73">
        <v>0</v>
      </c>
      <c r="T1868" s="71" t="s">
        <v>390</v>
      </c>
      <c r="U1868" s="74">
        <v>2</v>
      </c>
      <c r="V1868" s="71" t="s">
        <v>536</v>
      </c>
      <c r="W1868" s="130">
        <v>46073.0225462963</v>
      </c>
      <c r="X1868" s="72">
        <v>46075.458333333336</v>
      </c>
      <c r="Y1868" s="72">
        <v>46081.450694444444</v>
      </c>
      <c r="Z1868" s="104" t="s">
        <v>414</v>
      </c>
      <c r="AA1868" s="104" t="s">
        <v>443</v>
      </c>
      <c r="AB1868" s="105">
        <v>46081.286805555559</v>
      </c>
      <c r="AC1868" s="105">
        <v>46081.45416666667</v>
      </c>
    </row>
    <row r="1869" s="70" customFormat="1" ht="11.25" customHeight="1">
      <c r="A1869" s="87"/>
      <c r="C1869" s="43" t="s">
        <v>3376</v>
      </c>
      <c r="D1869" s="71" t="s">
        <v>382</v>
      </c>
      <c r="E1869" s="71" t="str">
        <f>MID(D1869,1,2)</f>
        <v>IL</v>
      </c>
      <c r="F1869" s="71" t="s">
        <v>443</v>
      </c>
      <c r="G1869" s="71" t="str">
        <f>MID(F1869,1,2)</f>
        <v>US</v>
      </c>
      <c r="H1869" s="43" t="s">
        <v>2967</v>
      </c>
      <c r="I1869" s="71" t="s">
        <v>3377</v>
      </c>
      <c r="J1869" s="71" t="s">
        <v>386</v>
      </c>
      <c r="K1869" s="43"/>
      <c r="L1869" s="71" t="s">
        <v>107</v>
      </c>
      <c r="M1869" s="73">
        <v>141</v>
      </c>
      <c r="N1869" s="71" t="s">
        <v>388</v>
      </c>
      <c r="O1869" s="73">
        <v>1.8</v>
      </c>
      <c r="P1869" s="71" t="s">
        <v>389</v>
      </c>
      <c r="Q1869" s="73">
        <v>300</v>
      </c>
      <c r="R1869" s="71" t="s">
        <v>388</v>
      </c>
      <c r="S1869" s="73">
        <v>0</v>
      </c>
      <c r="T1869" s="71" t="s">
        <v>390</v>
      </c>
      <c r="U1869" s="74">
        <v>2</v>
      </c>
      <c r="V1869" s="71" t="s">
        <v>536</v>
      </c>
      <c r="W1869" s="130">
        <v>46073.019085648149</v>
      </c>
      <c r="X1869" s="72">
        <v>46075.458333333336</v>
      </c>
      <c r="Y1869" s="72">
        <v>46081.450694444444</v>
      </c>
      <c r="Z1869" s="104" t="s">
        <v>382</v>
      </c>
      <c r="AA1869" s="104" t="s">
        <v>414</v>
      </c>
      <c r="AB1869" s="105">
        <v>46080.476388888892</v>
      </c>
      <c r="AC1869" s="105">
        <v>46080.698611111111</v>
      </c>
    </row>
    <row r="1870" s="70" customFormat="1" ht="11.25" customHeight="1">
      <c r="A1870" s="87"/>
      <c r="C1870" s="43" t="s">
        <v>3376</v>
      </c>
      <c r="D1870" s="71" t="s">
        <v>382</v>
      </c>
      <c r="E1870" s="71" t="str">
        <f>MID(D1870,1,2)</f>
        <v>IL</v>
      </c>
      <c r="F1870" s="71" t="s">
        <v>443</v>
      </c>
      <c r="G1870" s="71" t="str">
        <f>MID(F1870,1,2)</f>
        <v>US</v>
      </c>
      <c r="H1870" s="43" t="s">
        <v>2967</v>
      </c>
      <c r="I1870" s="71" t="s">
        <v>3377</v>
      </c>
      <c r="J1870" s="71" t="s">
        <v>386</v>
      </c>
      <c r="K1870" s="43"/>
      <c r="L1870" s="71" t="s">
        <v>107</v>
      </c>
      <c r="M1870" s="73">
        <v>141</v>
      </c>
      <c r="N1870" s="71" t="s">
        <v>388</v>
      </c>
      <c r="O1870" s="73">
        <v>1.8</v>
      </c>
      <c r="P1870" s="71" t="s">
        <v>389</v>
      </c>
      <c r="Q1870" s="73">
        <v>300</v>
      </c>
      <c r="R1870" s="71" t="s">
        <v>388</v>
      </c>
      <c r="S1870" s="73">
        <v>0</v>
      </c>
      <c r="T1870" s="71" t="s">
        <v>390</v>
      </c>
      <c r="U1870" s="74">
        <v>2</v>
      </c>
      <c r="V1870" s="71" t="s">
        <v>536</v>
      </c>
      <c r="W1870" s="130">
        <v>46073.019085648149</v>
      </c>
      <c r="X1870" s="72">
        <v>46075.458333333336</v>
      </c>
      <c r="Y1870" s="72">
        <v>46081.450694444444</v>
      </c>
      <c r="Z1870" s="104" t="s">
        <v>414</v>
      </c>
      <c r="AA1870" s="104" t="s">
        <v>443</v>
      </c>
      <c r="AB1870" s="105">
        <v>46081.286805555559</v>
      </c>
      <c r="AC1870" s="105">
        <v>46081.45416666667</v>
      </c>
    </row>
    <row r="1871" s="70" customFormat="1" ht="11.25" customHeight="1">
      <c r="A1871" s="87"/>
      <c r="C1871" s="43" t="s">
        <v>3378</v>
      </c>
      <c r="D1871" s="71" t="s">
        <v>382</v>
      </c>
      <c r="E1871" s="71" t="str">
        <f>MID(D1871,1,2)</f>
        <v>IL</v>
      </c>
      <c r="F1871" s="71" t="s">
        <v>1341</v>
      </c>
      <c r="G1871" s="71" t="str">
        <f>MID(F1871,1,2)</f>
        <v>IE</v>
      </c>
      <c r="H1871" s="43" t="s">
        <v>3379</v>
      </c>
      <c r="I1871" s="71" t="s">
        <v>3380</v>
      </c>
      <c r="J1871" s="71" t="s">
        <v>386</v>
      </c>
      <c r="K1871" s="43" t="s">
        <v>1344</v>
      </c>
      <c r="L1871" s="71" t="s">
        <v>107</v>
      </c>
      <c r="M1871" s="73">
        <v>534</v>
      </c>
      <c r="N1871" s="71" t="s">
        <v>388</v>
      </c>
      <c r="O1871" s="73">
        <v>2.89</v>
      </c>
      <c r="P1871" s="71" t="s">
        <v>389</v>
      </c>
      <c r="Q1871" s="73">
        <v>2500</v>
      </c>
      <c r="R1871" s="71" t="s">
        <v>388</v>
      </c>
      <c r="S1871" s="73">
        <v>0</v>
      </c>
      <c r="T1871" s="71" t="s">
        <v>390</v>
      </c>
      <c r="U1871" s="74">
        <v>2</v>
      </c>
      <c r="V1871" s="71" t="s">
        <v>391</v>
      </c>
      <c r="W1871" s="130">
        <v>46078.694444444445</v>
      </c>
      <c r="X1871" s="72">
        <v>46083.104166666664</v>
      </c>
      <c r="Y1871" s="72">
        <v>46083.225694444445</v>
      </c>
      <c r="Z1871" s="104" t="s">
        <v>382</v>
      </c>
      <c r="AA1871" s="104" t="s">
        <v>466</v>
      </c>
      <c r="AB1871" s="105">
        <v>46083.104166666664</v>
      </c>
      <c r="AC1871" s="105">
        <v>46083.225694444445</v>
      </c>
    </row>
    <row r="1872" s="70" customFormat="1" ht="11.25" customHeight="1">
      <c r="A1872" s="87"/>
      <c r="C1872" s="43" t="s">
        <v>3381</v>
      </c>
      <c r="D1872" s="71" t="s">
        <v>382</v>
      </c>
      <c r="E1872" s="71" t="str">
        <f>MID(D1872,1,2)</f>
        <v>IL</v>
      </c>
      <c r="F1872" s="71" t="s">
        <v>1428</v>
      </c>
      <c r="G1872" s="71" t="str">
        <f>MID(F1872,1,2)</f>
        <v>PL</v>
      </c>
      <c r="H1872" s="43" t="s">
        <v>2171</v>
      </c>
      <c r="I1872" s="71" t="s">
        <v>2987</v>
      </c>
      <c r="J1872" s="71" t="s">
        <v>386</v>
      </c>
      <c r="K1872" s="43"/>
      <c r="L1872" s="71" t="s">
        <v>107</v>
      </c>
      <c r="M1872" s="73">
        <v>541</v>
      </c>
      <c r="N1872" s="71" t="s">
        <v>388</v>
      </c>
      <c r="O1872" s="73">
        <v>3.396</v>
      </c>
      <c r="P1872" s="71" t="s">
        <v>389</v>
      </c>
      <c r="Q1872" s="73">
        <v>566</v>
      </c>
      <c r="R1872" s="71" t="s">
        <v>388</v>
      </c>
      <c r="S1872" s="73">
        <v>0</v>
      </c>
      <c r="T1872" s="71" t="s">
        <v>390</v>
      </c>
      <c r="U1872" s="74">
        <v>1</v>
      </c>
      <c r="V1872" s="71" t="s">
        <v>391</v>
      </c>
      <c r="W1872" s="130">
        <v>46072.762083333335</v>
      </c>
      <c r="X1872" s="72">
        <v>46074.552083333336</v>
      </c>
      <c r="Y1872" s="72">
        <v>46086.25</v>
      </c>
      <c r="Z1872" s="104" t="s">
        <v>382</v>
      </c>
      <c r="AA1872" s="104" t="s">
        <v>1117</v>
      </c>
      <c r="AB1872" s="105">
        <v>46074.552083333336</v>
      </c>
      <c r="AC1872" s="105"/>
    </row>
    <row r="1873" s="70" customFormat="1" ht="11.25" customHeight="1">
      <c r="A1873" s="87"/>
      <c r="C1873" s="43" t="s">
        <v>3381</v>
      </c>
      <c r="D1873" s="71" t="s">
        <v>382</v>
      </c>
      <c r="E1873" s="71" t="str">
        <f>MID(D1873,1,2)</f>
        <v>IL</v>
      </c>
      <c r="F1873" s="71" t="s">
        <v>1428</v>
      </c>
      <c r="G1873" s="71" t="str">
        <f>MID(F1873,1,2)</f>
        <v>PL</v>
      </c>
      <c r="H1873" s="43" t="s">
        <v>2171</v>
      </c>
      <c r="I1873" s="71" t="s">
        <v>2987</v>
      </c>
      <c r="J1873" s="71" t="s">
        <v>386</v>
      </c>
      <c r="K1873" s="43"/>
      <c r="L1873" s="71" t="s">
        <v>107</v>
      </c>
      <c r="M1873" s="73">
        <v>541</v>
      </c>
      <c r="N1873" s="71" t="s">
        <v>388</v>
      </c>
      <c r="O1873" s="73">
        <v>3.396</v>
      </c>
      <c r="P1873" s="71" t="s">
        <v>389</v>
      </c>
      <c r="Q1873" s="73">
        <v>566</v>
      </c>
      <c r="R1873" s="71" t="s">
        <v>388</v>
      </c>
      <c r="S1873" s="73">
        <v>0</v>
      </c>
      <c r="T1873" s="71" t="s">
        <v>390</v>
      </c>
      <c r="U1873" s="74">
        <v>1</v>
      </c>
      <c r="V1873" s="71" t="s">
        <v>391</v>
      </c>
      <c r="W1873" s="130">
        <v>46072.762083333335</v>
      </c>
      <c r="X1873" s="72">
        <v>46074.552083333336</v>
      </c>
      <c r="Y1873" s="72">
        <v>46086.25</v>
      </c>
      <c r="Z1873" s="104" t="s">
        <v>1117</v>
      </c>
      <c r="AA1873" s="104" t="s">
        <v>383</v>
      </c>
      <c r="AB1873" s="105">
        <v>46075.416666666664</v>
      </c>
      <c r="AC1873" s="105">
        <v>46075.603472222225</v>
      </c>
    </row>
    <row r="1874" s="70" customFormat="1" ht="11.25" customHeight="1">
      <c r="A1874" s="87"/>
      <c r="C1874" s="43" t="s">
        <v>3381</v>
      </c>
      <c r="D1874" s="71" t="s">
        <v>382</v>
      </c>
      <c r="E1874" s="71" t="str">
        <f>MID(D1874,1,2)</f>
        <v>IL</v>
      </c>
      <c r="F1874" s="71" t="s">
        <v>1428</v>
      </c>
      <c r="G1874" s="71" t="str">
        <f>MID(F1874,1,2)</f>
        <v>PL</v>
      </c>
      <c r="H1874" s="43" t="s">
        <v>2171</v>
      </c>
      <c r="I1874" s="71" t="s">
        <v>2987</v>
      </c>
      <c r="J1874" s="71" t="s">
        <v>386</v>
      </c>
      <c r="K1874" s="43"/>
      <c r="L1874" s="71" t="s">
        <v>107</v>
      </c>
      <c r="M1874" s="73">
        <v>541</v>
      </c>
      <c r="N1874" s="71" t="s">
        <v>388</v>
      </c>
      <c r="O1874" s="73">
        <v>3.396</v>
      </c>
      <c r="P1874" s="71" t="s">
        <v>389</v>
      </c>
      <c r="Q1874" s="73">
        <v>566</v>
      </c>
      <c r="R1874" s="71" t="s">
        <v>388</v>
      </c>
      <c r="S1874" s="73">
        <v>0</v>
      </c>
      <c r="T1874" s="71" t="s">
        <v>390</v>
      </c>
      <c r="U1874" s="74">
        <v>1</v>
      </c>
      <c r="V1874" s="71" t="s">
        <v>391</v>
      </c>
      <c r="W1874" s="130">
        <v>46072.762083333335</v>
      </c>
      <c r="X1874" s="72">
        <v>46074.552083333336</v>
      </c>
      <c r="Y1874" s="72">
        <v>46086.25</v>
      </c>
      <c r="Z1874" s="104" t="s">
        <v>383</v>
      </c>
      <c r="AA1874" s="104" t="s">
        <v>1428</v>
      </c>
      <c r="AB1874" s="105">
        <v>46085.87222222222</v>
      </c>
      <c r="AC1874" s="105">
        <v>46086.25</v>
      </c>
    </row>
    <row r="1875" s="70" customFormat="1" ht="11.25" customHeight="1">
      <c r="A1875" s="87"/>
      <c r="C1875" s="43" t="s">
        <v>3382</v>
      </c>
      <c r="D1875" s="71" t="s">
        <v>382</v>
      </c>
      <c r="E1875" s="71" t="str">
        <f>MID(D1875,1,2)</f>
        <v>IL</v>
      </c>
      <c r="F1875" s="71" t="s">
        <v>522</v>
      </c>
      <c r="G1875" s="71" t="str">
        <f>MID(F1875,1,2)</f>
        <v>CZ</v>
      </c>
      <c r="H1875" s="43" t="s">
        <v>2981</v>
      </c>
      <c r="I1875" s="71" t="s">
        <v>3383</v>
      </c>
      <c r="J1875" s="71" t="s">
        <v>386</v>
      </c>
      <c r="K1875" s="43"/>
      <c r="L1875" s="71" t="s">
        <v>107</v>
      </c>
      <c r="M1875" s="73">
        <v>57</v>
      </c>
      <c r="N1875" s="71" t="s">
        <v>388</v>
      </c>
      <c r="O1875" s="73">
        <v>0.285</v>
      </c>
      <c r="P1875" s="71" t="s">
        <v>389</v>
      </c>
      <c r="Q1875" s="73">
        <v>57</v>
      </c>
      <c r="R1875" s="71" t="s">
        <v>388</v>
      </c>
      <c r="S1875" s="73">
        <v>0</v>
      </c>
      <c r="T1875" s="71" t="s">
        <v>390</v>
      </c>
      <c r="U1875" s="74">
        <v>5</v>
      </c>
      <c r="V1875" s="71" t="s">
        <v>391</v>
      </c>
      <c r="W1875" s="130">
        <v>46075.81486111111</v>
      </c>
      <c r="X1875" s="72">
        <v>46077.576388888891</v>
      </c>
      <c r="Y1875" s="72">
        <v>46081.523611111108</v>
      </c>
      <c r="Z1875" s="104" t="s">
        <v>383</v>
      </c>
      <c r="AA1875" s="104" t="s">
        <v>522</v>
      </c>
      <c r="AB1875" s="105">
        <v>46079.744444444441</v>
      </c>
      <c r="AC1875" s="105">
        <v>46081.583333333336</v>
      </c>
    </row>
    <row r="1876" s="70" customFormat="1" ht="11.25" customHeight="1">
      <c r="A1876" s="87"/>
      <c r="C1876" s="43" t="s">
        <v>3382</v>
      </c>
      <c r="D1876" s="71" t="s">
        <v>382</v>
      </c>
      <c r="E1876" s="71" t="str">
        <f>MID(D1876,1,2)</f>
        <v>IL</v>
      </c>
      <c r="F1876" s="71" t="s">
        <v>522</v>
      </c>
      <c r="G1876" s="71" t="str">
        <f>MID(F1876,1,2)</f>
        <v>CZ</v>
      </c>
      <c r="H1876" s="43" t="s">
        <v>2981</v>
      </c>
      <c r="I1876" s="71" t="s">
        <v>3383</v>
      </c>
      <c r="J1876" s="71" t="s">
        <v>386</v>
      </c>
      <c r="K1876" s="43"/>
      <c r="L1876" s="71" t="s">
        <v>107</v>
      </c>
      <c r="M1876" s="73">
        <v>57</v>
      </c>
      <c r="N1876" s="71" t="s">
        <v>388</v>
      </c>
      <c r="O1876" s="73">
        <v>0.285</v>
      </c>
      <c r="P1876" s="71" t="s">
        <v>389</v>
      </c>
      <c r="Q1876" s="73">
        <v>57</v>
      </c>
      <c r="R1876" s="71" t="s">
        <v>388</v>
      </c>
      <c r="S1876" s="73">
        <v>0</v>
      </c>
      <c r="T1876" s="71" t="s">
        <v>390</v>
      </c>
      <c r="U1876" s="74">
        <v>5</v>
      </c>
      <c r="V1876" s="71" t="s">
        <v>391</v>
      </c>
      <c r="W1876" s="130">
        <v>46075.81486111111</v>
      </c>
      <c r="X1876" s="72">
        <v>46077.576388888891</v>
      </c>
      <c r="Y1876" s="72">
        <v>46081.523611111108</v>
      </c>
      <c r="Z1876" s="104" t="s">
        <v>382</v>
      </c>
      <c r="AA1876" s="104" t="s">
        <v>383</v>
      </c>
      <c r="AB1876" s="105">
        <v>46077.563194444447</v>
      </c>
      <c r="AC1876" s="105">
        <v>46077.720138888886</v>
      </c>
    </row>
    <row r="1877" s="70" customFormat="1" ht="11.25" customHeight="1">
      <c r="A1877" s="87"/>
      <c r="C1877" s="43" t="s">
        <v>3384</v>
      </c>
      <c r="D1877" s="71" t="s">
        <v>382</v>
      </c>
      <c r="E1877" s="71" t="str">
        <f>MID(D1877,1,2)</f>
        <v>IL</v>
      </c>
      <c r="F1877" s="71" t="s">
        <v>809</v>
      </c>
      <c r="G1877" s="71" t="str">
        <f>MID(F1877,1,2)</f>
        <v>IN</v>
      </c>
      <c r="H1877" s="43" t="s">
        <v>3385</v>
      </c>
      <c r="I1877" s="71" t="s">
        <v>3386</v>
      </c>
      <c r="J1877" s="71" t="s">
        <v>426</v>
      </c>
      <c r="K1877" s="43"/>
      <c r="L1877" s="71" t="s">
        <v>105</v>
      </c>
      <c r="M1877" s="73">
        <v>140.8</v>
      </c>
      <c r="N1877" s="71" t="s">
        <v>388</v>
      </c>
      <c r="O1877" s="73">
        <v>1.064</v>
      </c>
      <c r="P1877" s="71" t="s">
        <v>389</v>
      </c>
      <c r="Q1877" s="73">
        <v>177.5</v>
      </c>
      <c r="R1877" s="71" t="s">
        <v>388</v>
      </c>
      <c r="S1877" s="73">
        <v>0</v>
      </c>
      <c r="T1877" s="71" t="s">
        <v>390</v>
      </c>
      <c r="U1877" s="74">
        <v>1</v>
      </c>
      <c r="V1877" s="71" t="s">
        <v>391</v>
      </c>
      <c r="W1877" s="130"/>
      <c r="X1877" s="72">
        <v>46079.315972222219</v>
      </c>
      <c r="Y1877" s="72">
        <v>46079.815972222219</v>
      </c>
      <c r="Z1877" s="104" t="s">
        <v>382</v>
      </c>
      <c r="AA1877" s="104" t="s">
        <v>809</v>
      </c>
      <c r="AB1877" s="105">
        <v>46079.34652777778</v>
      </c>
      <c r="AC1877" s="105">
        <v>46079.575</v>
      </c>
    </row>
    <row r="1878" s="70" customFormat="1" ht="11.25" customHeight="1">
      <c r="A1878" s="87"/>
      <c r="C1878" s="43" t="s">
        <v>3387</v>
      </c>
      <c r="D1878" s="71" t="s">
        <v>382</v>
      </c>
      <c r="E1878" s="71" t="str">
        <f>MID(D1878,1,2)</f>
        <v>IL</v>
      </c>
      <c r="F1878" s="71" t="s">
        <v>680</v>
      </c>
      <c r="G1878" s="71" t="str">
        <f>MID(F1878,1,2)</f>
        <v>DE</v>
      </c>
      <c r="H1878" s="43" t="s">
        <v>3388</v>
      </c>
      <c r="I1878" s="71"/>
      <c r="J1878" s="71" t="s">
        <v>811</v>
      </c>
      <c r="K1878" s="43"/>
      <c r="L1878" s="71" t="s">
        <v>105</v>
      </c>
      <c r="M1878" s="73">
        <v>88</v>
      </c>
      <c r="N1878" s="71" t="s">
        <v>388</v>
      </c>
      <c r="O1878" s="73">
        <v>0.072</v>
      </c>
      <c r="P1878" s="71" t="s">
        <v>389</v>
      </c>
      <c r="Q1878" s="73">
        <v>100</v>
      </c>
      <c r="R1878" s="71" t="s">
        <v>388</v>
      </c>
      <c r="S1878" s="73">
        <v>0</v>
      </c>
      <c r="T1878" s="71" t="s">
        <v>390</v>
      </c>
      <c r="U1878" s="74">
        <v>1</v>
      </c>
      <c r="V1878" s="71" t="s">
        <v>391</v>
      </c>
      <c r="W1878" s="130"/>
      <c r="X1878" s="72">
        <v>46074.095138888886</v>
      </c>
      <c r="Y1878" s="72">
        <v>46075.934027777781</v>
      </c>
      <c r="Z1878" s="104" t="s">
        <v>382</v>
      </c>
      <c r="AA1878" s="104" t="s">
        <v>748</v>
      </c>
      <c r="AB1878" s="105">
        <v>46074.552083333336</v>
      </c>
      <c r="AC1878" s="105">
        <v>46074.675694444442</v>
      </c>
    </row>
    <row r="1879" s="70" customFormat="1" ht="11.25" customHeight="1">
      <c r="A1879" s="87"/>
      <c r="C1879" s="43" t="s">
        <v>3387</v>
      </c>
      <c r="D1879" s="71" t="s">
        <v>382</v>
      </c>
      <c r="E1879" s="71" t="str">
        <f>MID(D1879,1,2)</f>
        <v>IL</v>
      </c>
      <c r="F1879" s="71" t="s">
        <v>680</v>
      </c>
      <c r="G1879" s="71" t="str">
        <f>MID(F1879,1,2)</f>
        <v>DE</v>
      </c>
      <c r="H1879" s="43" t="s">
        <v>3388</v>
      </c>
      <c r="I1879" s="71"/>
      <c r="J1879" s="71" t="s">
        <v>811</v>
      </c>
      <c r="K1879" s="43"/>
      <c r="L1879" s="71" t="s">
        <v>105</v>
      </c>
      <c r="M1879" s="73">
        <v>88</v>
      </c>
      <c r="N1879" s="71" t="s">
        <v>388</v>
      </c>
      <c r="O1879" s="73">
        <v>0.072</v>
      </c>
      <c r="P1879" s="71" t="s">
        <v>389</v>
      </c>
      <c r="Q1879" s="73">
        <v>100</v>
      </c>
      <c r="R1879" s="71" t="s">
        <v>388</v>
      </c>
      <c r="S1879" s="73">
        <v>0</v>
      </c>
      <c r="T1879" s="71" t="s">
        <v>390</v>
      </c>
      <c r="U1879" s="74">
        <v>1</v>
      </c>
      <c r="V1879" s="71" t="s">
        <v>391</v>
      </c>
      <c r="W1879" s="130"/>
      <c r="X1879" s="72">
        <v>46074.095138888886</v>
      </c>
      <c r="Y1879" s="72">
        <v>46075.934027777781</v>
      </c>
      <c r="Z1879" s="104" t="s">
        <v>748</v>
      </c>
      <c r="AA1879" s="104" t="s">
        <v>680</v>
      </c>
      <c r="AB1879" s="105">
        <v>46075.88125</v>
      </c>
      <c r="AC1879" s="105">
        <v>46075.910416666666</v>
      </c>
    </row>
    <row r="1880" s="70" customFormat="1" ht="11.25" customHeight="1">
      <c r="A1880" s="87"/>
      <c r="C1880" s="43" t="s">
        <v>3389</v>
      </c>
      <c r="D1880" s="71" t="s">
        <v>382</v>
      </c>
      <c r="E1880" s="71" t="str">
        <f>MID(D1880,1,2)</f>
        <v>IL</v>
      </c>
      <c r="F1880" s="71" t="s">
        <v>1234</v>
      </c>
      <c r="G1880" s="71" t="str">
        <f>MID(F1880,1,2)</f>
        <v>PH</v>
      </c>
      <c r="H1880" s="43" t="s">
        <v>3390</v>
      </c>
      <c r="I1880" s="71" t="s">
        <v>3391</v>
      </c>
      <c r="J1880" s="71" t="s">
        <v>400</v>
      </c>
      <c r="K1880" s="43"/>
      <c r="L1880" s="71" t="s">
        <v>105</v>
      </c>
      <c r="M1880" s="73">
        <v>7</v>
      </c>
      <c r="N1880" s="71" t="s">
        <v>388</v>
      </c>
      <c r="O1880" s="73">
        <v>0.092</v>
      </c>
      <c r="P1880" s="71" t="s">
        <v>389</v>
      </c>
      <c r="Q1880" s="73">
        <v>15.5</v>
      </c>
      <c r="R1880" s="71" t="s">
        <v>388</v>
      </c>
      <c r="S1880" s="73">
        <v>0</v>
      </c>
      <c r="T1880" s="71" t="s">
        <v>390</v>
      </c>
      <c r="U1880" s="74">
        <v>1</v>
      </c>
      <c r="V1880" s="71" t="s">
        <v>391</v>
      </c>
      <c r="W1880" s="130">
        <v>46072.645833333336</v>
      </c>
      <c r="X1880" s="72">
        <v>46074.638194444444</v>
      </c>
      <c r="Y1880" s="72">
        <v>46076.753472222219</v>
      </c>
      <c r="Z1880" s="104" t="s">
        <v>382</v>
      </c>
      <c r="AA1880" s="104" t="s">
        <v>833</v>
      </c>
      <c r="AB1880" s="105">
        <v>46074.94027777778</v>
      </c>
      <c r="AC1880" s="105">
        <v>46074.958333333336</v>
      </c>
    </row>
    <row r="1881" s="70" customFormat="1" ht="11.25" customHeight="1">
      <c r="A1881" s="87"/>
      <c r="C1881" s="43" t="s">
        <v>3389</v>
      </c>
      <c r="D1881" s="71" t="s">
        <v>382</v>
      </c>
      <c r="E1881" s="71" t="str">
        <f>MID(D1881,1,2)</f>
        <v>IL</v>
      </c>
      <c r="F1881" s="71" t="s">
        <v>1234</v>
      </c>
      <c r="G1881" s="71" t="str">
        <f>MID(F1881,1,2)</f>
        <v>PH</v>
      </c>
      <c r="H1881" s="43" t="s">
        <v>3390</v>
      </c>
      <c r="I1881" s="71" t="s">
        <v>3391</v>
      </c>
      <c r="J1881" s="71" t="s">
        <v>400</v>
      </c>
      <c r="K1881" s="43"/>
      <c r="L1881" s="71" t="s">
        <v>105</v>
      </c>
      <c r="M1881" s="73">
        <v>7</v>
      </c>
      <c r="N1881" s="71" t="s">
        <v>388</v>
      </c>
      <c r="O1881" s="73">
        <v>0.092</v>
      </c>
      <c r="P1881" s="71" t="s">
        <v>389</v>
      </c>
      <c r="Q1881" s="73">
        <v>15.5</v>
      </c>
      <c r="R1881" s="71" t="s">
        <v>388</v>
      </c>
      <c r="S1881" s="73">
        <v>0</v>
      </c>
      <c r="T1881" s="71" t="s">
        <v>390</v>
      </c>
      <c r="U1881" s="74">
        <v>1</v>
      </c>
      <c r="V1881" s="71" t="s">
        <v>391</v>
      </c>
      <c r="W1881" s="130">
        <v>46072.645833333336</v>
      </c>
      <c r="X1881" s="72">
        <v>46074.638194444444</v>
      </c>
      <c r="Y1881" s="72">
        <v>46076.753472222219</v>
      </c>
      <c r="Z1881" s="104" t="s">
        <v>833</v>
      </c>
      <c r="AA1881" s="104" t="s">
        <v>1234</v>
      </c>
      <c r="AB1881" s="105">
        <v>46076.571527777778</v>
      </c>
      <c r="AC1881" s="105">
        <v>46076.728472222225</v>
      </c>
    </row>
    <row r="1882" s="70" customFormat="1" ht="11.25" customHeight="1">
      <c r="A1882" s="87"/>
      <c r="C1882" s="43" t="s">
        <v>3392</v>
      </c>
      <c r="D1882" s="71" t="s">
        <v>382</v>
      </c>
      <c r="E1882" s="71" t="str">
        <f>MID(D1882,1,2)</f>
        <v>IL</v>
      </c>
      <c r="F1882" s="71" t="s">
        <v>506</v>
      </c>
      <c r="G1882" s="71" t="str">
        <f>MID(F1882,1,2)</f>
        <v>CH</v>
      </c>
      <c r="H1882" s="43" t="s">
        <v>3393</v>
      </c>
      <c r="I1882" s="71" t="s">
        <v>3394</v>
      </c>
      <c r="J1882" s="71" t="s">
        <v>386</v>
      </c>
      <c r="K1882" s="43"/>
      <c r="L1882" s="71" t="s">
        <v>107</v>
      </c>
      <c r="M1882" s="73">
        <v>22</v>
      </c>
      <c r="N1882" s="71" t="s">
        <v>388</v>
      </c>
      <c r="O1882" s="73">
        <v>0.672</v>
      </c>
      <c r="P1882" s="71" t="s">
        <v>389</v>
      </c>
      <c r="Q1882" s="73">
        <v>112</v>
      </c>
      <c r="R1882" s="71" t="s">
        <v>388</v>
      </c>
      <c r="S1882" s="73">
        <v>0</v>
      </c>
      <c r="T1882" s="71" t="s">
        <v>390</v>
      </c>
      <c r="U1882" s="74">
        <v>1</v>
      </c>
      <c r="V1882" s="71" t="s">
        <v>391</v>
      </c>
      <c r="W1882" s="130"/>
      <c r="X1882" s="72">
        <v>46077.690972222219</v>
      </c>
      <c r="Y1882" s="72">
        <v>46079.37222222222</v>
      </c>
      <c r="Z1882" s="104" t="s">
        <v>382</v>
      </c>
      <c r="AA1882" s="104" t="s">
        <v>383</v>
      </c>
      <c r="AB1882" s="105">
        <v>46077.701388888891</v>
      </c>
      <c r="AC1882" s="105">
        <v>46077.852083333331</v>
      </c>
    </row>
    <row r="1883" s="70" customFormat="1" ht="11.25" customHeight="1">
      <c r="A1883" s="87"/>
      <c r="C1883" s="43" t="s">
        <v>3392</v>
      </c>
      <c r="D1883" s="71" t="s">
        <v>382</v>
      </c>
      <c r="E1883" s="71" t="str">
        <f>MID(D1883,1,2)</f>
        <v>IL</v>
      </c>
      <c r="F1883" s="71" t="s">
        <v>506</v>
      </c>
      <c r="G1883" s="71" t="str">
        <f>MID(F1883,1,2)</f>
        <v>CH</v>
      </c>
      <c r="H1883" s="43" t="s">
        <v>3393</v>
      </c>
      <c r="I1883" s="71" t="s">
        <v>3394</v>
      </c>
      <c r="J1883" s="71" t="s">
        <v>386</v>
      </c>
      <c r="K1883" s="43"/>
      <c r="L1883" s="71" t="s">
        <v>107</v>
      </c>
      <c r="M1883" s="73">
        <v>22</v>
      </c>
      <c r="N1883" s="71" t="s">
        <v>388</v>
      </c>
      <c r="O1883" s="73">
        <v>0.672</v>
      </c>
      <c r="P1883" s="71" t="s">
        <v>389</v>
      </c>
      <c r="Q1883" s="73">
        <v>112</v>
      </c>
      <c r="R1883" s="71" t="s">
        <v>388</v>
      </c>
      <c r="S1883" s="73">
        <v>0</v>
      </c>
      <c r="T1883" s="71" t="s">
        <v>390</v>
      </c>
      <c r="U1883" s="74">
        <v>1</v>
      </c>
      <c r="V1883" s="71" t="s">
        <v>391</v>
      </c>
      <c r="W1883" s="130"/>
      <c r="X1883" s="72">
        <v>46077.690972222219</v>
      </c>
      <c r="Y1883" s="72">
        <v>46079.37222222222</v>
      </c>
      <c r="Z1883" s="104" t="s">
        <v>383</v>
      </c>
      <c r="AA1883" s="104" t="s">
        <v>506</v>
      </c>
      <c r="AB1883" s="105">
        <v>46079.173611111109</v>
      </c>
      <c r="AC1883" s="105">
        <v>46079.834027777775</v>
      </c>
    </row>
    <row r="1884" s="70" customFormat="1" ht="11.25" customHeight="1">
      <c r="A1884" s="87"/>
      <c r="C1884" s="43" t="s">
        <v>3395</v>
      </c>
      <c r="D1884" s="71" t="s">
        <v>382</v>
      </c>
      <c r="E1884" s="71" t="str">
        <f>MID(D1884,1,2)</f>
        <v>IL</v>
      </c>
      <c r="F1884" s="71" t="s">
        <v>414</v>
      </c>
      <c r="G1884" s="71" t="str">
        <f>MID(F1884,1,2)</f>
        <v>US</v>
      </c>
      <c r="H1884" s="43" t="s">
        <v>3396</v>
      </c>
      <c r="I1884" s="71" t="s">
        <v>3397</v>
      </c>
      <c r="J1884" s="71" t="s">
        <v>454</v>
      </c>
      <c r="K1884" s="43" t="s">
        <v>431</v>
      </c>
      <c r="L1884" s="71" t="s">
        <v>107</v>
      </c>
      <c r="M1884" s="73">
        <v>1</v>
      </c>
      <c r="N1884" s="71" t="s">
        <v>388</v>
      </c>
      <c r="O1884" s="73">
        <v>0.002</v>
      </c>
      <c r="P1884" s="71" t="s">
        <v>389</v>
      </c>
      <c r="Q1884" s="73">
        <v>1</v>
      </c>
      <c r="R1884" s="71" t="s">
        <v>388</v>
      </c>
      <c r="S1884" s="73">
        <v>0</v>
      </c>
      <c r="T1884" s="71" t="s">
        <v>390</v>
      </c>
      <c r="U1884" s="74">
        <v>1</v>
      </c>
      <c r="V1884" s="71" t="s">
        <v>427</v>
      </c>
      <c r="W1884" s="130">
        <v>46072.611111111109</v>
      </c>
      <c r="X1884" s="72">
        <v>46078.03125</v>
      </c>
      <c r="Y1884" s="72">
        <v>46078.24375</v>
      </c>
      <c r="Z1884" s="104" t="s">
        <v>382</v>
      </c>
      <c r="AA1884" s="104" t="s">
        <v>414</v>
      </c>
      <c r="AB1884" s="105">
        <v>46078.040277777778</v>
      </c>
      <c r="AC1884" s="105">
        <v>46078.234027777777</v>
      </c>
    </row>
    <row r="1885" s="70" customFormat="1" ht="11.25" customHeight="1">
      <c r="A1885" s="87"/>
      <c r="C1885" s="43" t="s">
        <v>3398</v>
      </c>
      <c r="D1885" s="71" t="s">
        <v>382</v>
      </c>
      <c r="E1885" s="71" t="str">
        <f>MID(D1885,1,2)</f>
        <v>IL</v>
      </c>
      <c r="F1885" s="71" t="s">
        <v>414</v>
      </c>
      <c r="G1885" s="71" t="str">
        <f>MID(F1885,1,2)</f>
        <v>US</v>
      </c>
      <c r="H1885" s="43" t="s">
        <v>3396</v>
      </c>
      <c r="I1885" s="71" t="s">
        <v>3399</v>
      </c>
      <c r="J1885" s="71" t="s">
        <v>454</v>
      </c>
      <c r="K1885" s="43" t="s">
        <v>431</v>
      </c>
      <c r="L1885" s="71" t="s">
        <v>107</v>
      </c>
      <c r="M1885" s="73">
        <v>2</v>
      </c>
      <c r="N1885" s="71" t="s">
        <v>388</v>
      </c>
      <c r="O1885" s="73">
        <v>0.012</v>
      </c>
      <c r="P1885" s="71" t="s">
        <v>389</v>
      </c>
      <c r="Q1885" s="73">
        <v>2</v>
      </c>
      <c r="R1885" s="71" t="s">
        <v>388</v>
      </c>
      <c r="S1885" s="73">
        <v>0</v>
      </c>
      <c r="T1885" s="71" t="s">
        <v>390</v>
      </c>
      <c r="U1885" s="74">
        <v>1</v>
      </c>
      <c r="V1885" s="71" t="s">
        <v>427</v>
      </c>
      <c r="W1885" s="130">
        <v>46072.611111111109</v>
      </c>
      <c r="X1885" s="72">
        <v>46078.03125</v>
      </c>
      <c r="Y1885" s="72">
        <v>46078.24375</v>
      </c>
      <c r="Z1885" s="104" t="s">
        <v>382</v>
      </c>
      <c r="AA1885" s="104" t="s">
        <v>414</v>
      </c>
      <c r="AB1885" s="105">
        <v>46078.040277777778</v>
      </c>
      <c r="AC1885" s="105">
        <v>46078.234027777777</v>
      </c>
    </row>
    <row r="1886" s="70" customFormat="1" ht="11.25" customHeight="1">
      <c r="A1886" s="87"/>
      <c r="C1886" s="43" t="s">
        <v>3400</v>
      </c>
      <c r="D1886" s="71" t="s">
        <v>382</v>
      </c>
      <c r="E1886" s="71" t="str">
        <f>MID(D1886,1,2)</f>
        <v>IL</v>
      </c>
      <c r="F1886" s="71" t="s">
        <v>476</v>
      </c>
      <c r="G1886" s="71" t="str">
        <f>MID(F1886,1,2)</f>
        <v>SG</v>
      </c>
      <c r="H1886" s="43" t="s">
        <v>3345</v>
      </c>
      <c r="I1886" s="71" t="s">
        <v>3401</v>
      </c>
      <c r="J1886" s="71" t="s">
        <v>454</v>
      </c>
      <c r="K1886" s="43"/>
      <c r="L1886" s="71" t="s">
        <v>107</v>
      </c>
      <c r="M1886" s="73">
        <v>541</v>
      </c>
      <c r="N1886" s="71" t="s">
        <v>388</v>
      </c>
      <c r="O1886" s="73">
        <v>3.269</v>
      </c>
      <c r="P1886" s="71" t="s">
        <v>389</v>
      </c>
      <c r="Q1886" s="73">
        <v>545</v>
      </c>
      <c r="R1886" s="71" t="s">
        <v>388</v>
      </c>
      <c r="S1886" s="73">
        <v>0</v>
      </c>
      <c r="T1886" s="71" t="s">
        <v>390</v>
      </c>
      <c r="U1886" s="74">
        <v>3</v>
      </c>
      <c r="V1886" s="71" t="s">
        <v>391</v>
      </c>
      <c r="W1886" s="130">
        <v>46072.6718287037</v>
      </c>
      <c r="X1886" s="72">
        <v>46074.753472222219</v>
      </c>
      <c r="Y1886" s="72">
        <v>46077.6</v>
      </c>
      <c r="Z1886" s="104" t="s">
        <v>382</v>
      </c>
      <c r="AA1886" s="104" t="s">
        <v>748</v>
      </c>
      <c r="AB1886" s="105">
        <v>46074.552083333336</v>
      </c>
      <c r="AC1886" s="105">
        <v>46074.942361111112</v>
      </c>
    </row>
    <row r="1887" s="70" customFormat="1" ht="11.25" customHeight="1">
      <c r="A1887" s="87"/>
      <c r="C1887" s="43" t="s">
        <v>3400</v>
      </c>
      <c r="D1887" s="71" t="s">
        <v>382</v>
      </c>
      <c r="E1887" s="71" t="str">
        <f>MID(D1887,1,2)</f>
        <v>IL</v>
      </c>
      <c r="F1887" s="71" t="s">
        <v>476</v>
      </c>
      <c r="G1887" s="71" t="str">
        <f>MID(F1887,1,2)</f>
        <v>SG</v>
      </c>
      <c r="H1887" s="43" t="s">
        <v>3345</v>
      </c>
      <c r="I1887" s="71" t="s">
        <v>3401</v>
      </c>
      <c r="J1887" s="71" t="s">
        <v>454</v>
      </c>
      <c r="K1887" s="43"/>
      <c r="L1887" s="71" t="s">
        <v>107</v>
      </c>
      <c r="M1887" s="73">
        <v>541</v>
      </c>
      <c r="N1887" s="71" t="s">
        <v>388</v>
      </c>
      <c r="O1887" s="73">
        <v>3.269</v>
      </c>
      <c r="P1887" s="71" t="s">
        <v>389</v>
      </c>
      <c r="Q1887" s="73">
        <v>545</v>
      </c>
      <c r="R1887" s="71" t="s">
        <v>388</v>
      </c>
      <c r="S1887" s="73">
        <v>0</v>
      </c>
      <c r="T1887" s="71" t="s">
        <v>390</v>
      </c>
      <c r="U1887" s="74">
        <v>3</v>
      </c>
      <c r="V1887" s="71" t="s">
        <v>391</v>
      </c>
      <c r="W1887" s="130">
        <v>46072.6718287037</v>
      </c>
      <c r="X1887" s="72">
        <v>46074.753472222219</v>
      </c>
      <c r="Y1887" s="72">
        <v>46077.6</v>
      </c>
      <c r="Z1887" s="104" t="s">
        <v>748</v>
      </c>
      <c r="AA1887" s="104" t="s">
        <v>476</v>
      </c>
      <c r="AB1887" s="105">
        <v>46076.34097222222</v>
      </c>
      <c r="AC1887" s="105">
        <v>46077.086111111108</v>
      </c>
    </row>
    <row r="1888" s="70" customFormat="1" ht="11.25" customHeight="1">
      <c r="A1888" s="87"/>
      <c r="C1888" s="43" t="s">
        <v>3402</v>
      </c>
      <c r="D1888" s="71" t="s">
        <v>382</v>
      </c>
      <c r="E1888" s="71" t="str">
        <f>MID(D1888,1,2)</f>
        <v>IL</v>
      </c>
      <c r="F1888" s="71" t="s">
        <v>419</v>
      </c>
      <c r="G1888" s="71" t="str">
        <f>MID(F1888,1,2)</f>
        <v>US</v>
      </c>
      <c r="H1888" s="43" t="s">
        <v>3403</v>
      </c>
      <c r="I1888" s="71" t="s">
        <v>3404</v>
      </c>
      <c r="J1888" s="71" t="s">
        <v>454</v>
      </c>
      <c r="K1888" s="43"/>
      <c r="L1888" s="71" t="s">
        <v>107</v>
      </c>
      <c r="M1888" s="73">
        <v>30</v>
      </c>
      <c r="N1888" s="71" t="s">
        <v>388</v>
      </c>
      <c r="O1888" s="73">
        <v>0.232</v>
      </c>
      <c r="P1888" s="71" t="s">
        <v>389</v>
      </c>
      <c r="Q1888" s="73">
        <v>39</v>
      </c>
      <c r="R1888" s="71" t="s">
        <v>388</v>
      </c>
      <c r="S1888" s="73">
        <v>0</v>
      </c>
      <c r="T1888" s="71" t="s">
        <v>390</v>
      </c>
      <c r="U1888" s="74">
        <v>1</v>
      </c>
      <c r="V1888" s="71" t="s">
        <v>446</v>
      </c>
      <c r="W1888" s="130">
        <v>46072.625694444447</v>
      </c>
      <c r="X1888" s="72">
        <v>46073.479166666664</v>
      </c>
      <c r="Y1888" s="72">
        <v>46074.456944444442</v>
      </c>
      <c r="Z1888" s="104" t="s">
        <v>382</v>
      </c>
      <c r="AA1888" s="104" t="s">
        <v>422</v>
      </c>
      <c r="AB1888" s="105">
        <v>46073.47152777778</v>
      </c>
      <c r="AC1888" s="105">
        <v>46073.68125</v>
      </c>
    </row>
    <row r="1889" s="70" customFormat="1" ht="11.25" customHeight="1">
      <c r="A1889" s="87"/>
      <c r="C1889" s="43" t="s">
        <v>3402</v>
      </c>
      <c r="D1889" s="71" t="s">
        <v>382</v>
      </c>
      <c r="E1889" s="71" t="str">
        <f>MID(D1889,1,2)</f>
        <v>IL</v>
      </c>
      <c r="F1889" s="71" t="s">
        <v>419</v>
      </c>
      <c r="G1889" s="71" t="str">
        <f>MID(F1889,1,2)</f>
        <v>US</v>
      </c>
      <c r="H1889" s="43" t="s">
        <v>3403</v>
      </c>
      <c r="I1889" s="71" t="s">
        <v>3404</v>
      </c>
      <c r="J1889" s="71" t="s">
        <v>454</v>
      </c>
      <c r="K1889" s="43"/>
      <c r="L1889" s="71" t="s">
        <v>107</v>
      </c>
      <c r="M1889" s="73">
        <v>30</v>
      </c>
      <c r="N1889" s="71" t="s">
        <v>388</v>
      </c>
      <c r="O1889" s="73">
        <v>0.232</v>
      </c>
      <c r="P1889" s="71" t="s">
        <v>389</v>
      </c>
      <c r="Q1889" s="73">
        <v>39</v>
      </c>
      <c r="R1889" s="71" t="s">
        <v>388</v>
      </c>
      <c r="S1889" s="73">
        <v>0</v>
      </c>
      <c r="T1889" s="71" t="s">
        <v>390</v>
      </c>
      <c r="U1889" s="74">
        <v>1</v>
      </c>
      <c r="V1889" s="71" t="s">
        <v>446</v>
      </c>
      <c r="W1889" s="130">
        <v>46072.625694444447</v>
      </c>
      <c r="X1889" s="72">
        <v>46073.479166666664</v>
      </c>
      <c r="Y1889" s="72">
        <v>46074.456944444442</v>
      </c>
      <c r="Z1889" s="104" t="s">
        <v>422</v>
      </c>
      <c r="AA1889" s="104" t="s">
        <v>419</v>
      </c>
      <c r="AB1889" s="105">
        <v>46074.344444444447</v>
      </c>
      <c r="AC1889" s="105">
        <v>46074.461111111108</v>
      </c>
    </row>
    <row r="1890" s="70" customFormat="1" ht="11.25" customHeight="1">
      <c r="A1890" s="87"/>
      <c r="C1890" s="43" t="s">
        <v>3405</v>
      </c>
      <c r="D1890" s="71" t="s">
        <v>382</v>
      </c>
      <c r="E1890" s="71" t="str">
        <f>MID(D1890,1,2)</f>
        <v>IL</v>
      </c>
      <c r="F1890" s="71" t="s">
        <v>414</v>
      </c>
      <c r="G1890" s="71" t="str">
        <f>MID(F1890,1,2)</f>
        <v>US</v>
      </c>
      <c r="H1890" s="43" t="s">
        <v>3396</v>
      </c>
      <c r="I1890" s="71" t="s">
        <v>3406</v>
      </c>
      <c r="J1890" s="71" t="s">
        <v>483</v>
      </c>
      <c r="K1890" s="43"/>
      <c r="L1890" s="71" t="s">
        <v>105</v>
      </c>
      <c r="M1890" s="73">
        <v>2</v>
      </c>
      <c r="N1890" s="71" t="s">
        <v>388</v>
      </c>
      <c r="O1890" s="73">
        <v>0.015</v>
      </c>
      <c r="P1890" s="71" t="s">
        <v>389</v>
      </c>
      <c r="Q1890" s="73">
        <v>2.5</v>
      </c>
      <c r="R1890" s="71" t="s">
        <v>388</v>
      </c>
      <c r="S1890" s="73">
        <v>0</v>
      </c>
      <c r="T1890" s="71" t="s">
        <v>390</v>
      </c>
      <c r="U1890" s="74">
        <v>1</v>
      </c>
      <c r="V1890" s="71" t="s">
        <v>427</v>
      </c>
      <c r="W1890" s="130">
        <v>46072.625694444447</v>
      </c>
      <c r="X1890" s="72">
        <v>46078.03125</v>
      </c>
      <c r="Y1890" s="72">
        <v>46078.24375</v>
      </c>
      <c r="Z1890" s="104" t="s">
        <v>382</v>
      </c>
      <c r="AA1890" s="104" t="s">
        <v>414</v>
      </c>
      <c r="AB1890" s="105">
        <v>46078.040277777778</v>
      </c>
      <c r="AC1890" s="105">
        <v>46078.234027777777</v>
      </c>
    </row>
    <row r="1891" s="70" customFormat="1" ht="11.25" customHeight="1">
      <c r="A1891" s="87"/>
      <c r="C1891" s="43" t="s">
        <v>3407</v>
      </c>
      <c r="D1891" s="71" t="s">
        <v>382</v>
      </c>
      <c r="E1891" s="71" t="str">
        <f>MID(D1891,1,2)</f>
        <v>IL</v>
      </c>
      <c r="F1891" s="71" t="s">
        <v>522</v>
      </c>
      <c r="G1891" s="71" t="str">
        <f>MID(F1891,1,2)</f>
        <v>CZ</v>
      </c>
      <c r="H1891" s="43" t="s">
        <v>3408</v>
      </c>
      <c r="I1891" s="71" t="s">
        <v>3409</v>
      </c>
      <c r="J1891" s="71" t="s">
        <v>386</v>
      </c>
      <c r="K1891" s="43"/>
      <c r="L1891" s="71" t="s">
        <v>107</v>
      </c>
      <c r="M1891" s="73">
        <v>2.5</v>
      </c>
      <c r="N1891" s="71" t="s">
        <v>388</v>
      </c>
      <c r="O1891" s="73">
        <v>0.012</v>
      </c>
      <c r="P1891" s="71" t="s">
        <v>389</v>
      </c>
      <c r="Q1891" s="73">
        <v>2.5</v>
      </c>
      <c r="R1891" s="71" t="s">
        <v>388</v>
      </c>
      <c r="S1891" s="73">
        <v>0</v>
      </c>
      <c r="T1891" s="71" t="s">
        <v>390</v>
      </c>
      <c r="U1891" s="74">
        <v>1</v>
      </c>
      <c r="V1891" s="71" t="s">
        <v>391</v>
      </c>
      <c r="W1891" s="130">
        <v>46075.417361111111</v>
      </c>
      <c r="X1891" s="72">
        <v>46077.013888888891</v>
      </c>
      <c r="Y1891" s="72">
        <v>46078.496527777781</v>
      </c>
      <c r="Z1891" s="104" t="s">
        <v>382</v>
      </c>
      <c r="AA1891" s="104" t="s">
        <v>496</v>
      </c>
      <c r="AB1891" s="105">
        <v>46078.013888888891</v>
      </c>
      <c r="AC1891" s="105"/>
    </row>
    <row r="1892" s="70" customFormat="1" ht="11.25" customHeight="1">
      <c r="A1892" s="87"/>
      <c r="C1892" s="43" t="s">
        <v>3407</v>
      </c>
      <c r="D1892" s="71" t="s">
        <v>382</v>
      </c>
      <c r="E1892" s="71" t="str">
        <f>MID(D1892,1,2)</f>
        <v>IL</v>
      </c>
      <c r="F1892" s="71" t="s">
        <v>522</v>
      </c>
      <c r="G1892" s="71" t="str">
        <f>MID(F1892,1,2)</f>
        <v>CZ</v>
      </c>
      <c r="H1892" s="43" t="s">
        <v>3408</v>
      </c>
      <c r="I1892" s="71" t="s">
        <v>3409</v>
      </c>
      <c r="J1892" s="71" t="s">
        <v>386</v>
      </c>
      <c r="K1892" s="43"/>
      <c r="L1892" s="71" t="s">
        <v>107</v>
      </c>
      <c r="M1892" s="73">
        <v>2.5</v>
      </c>
      <c r="N1892" s="71" t="s">
        <v>388</v>
      </c>
      <c r="O1892" s="73">
        <v>0.012</v>
      </c>
      <c r="P1892" s="71" t="s">
        <v>389</v>
      </c>
      <c r="Q1892" s="73">
        <v>2.5</v>
      </c>
      <c r="R1892" s="71" t="s">
        <v>388</v>
      </c>
      <c r="S1892" s="73">
        <v>0</v>
      </c>
      <c r="T1892" s="71" t="s">
        <v>390</v>
      </c>
      <c r="U1892" s="74">
        <v>1</v>
      </c>
      <c r="V1892" s="71" t="s">
        <v>391</v>
      </c>
      <c r="W1892" s="130">
        <v>46075.417361111111</v>
      </c>
      <c r="X1892" s="72">
        <v>46077.013888888891</v>
      </c>
      <c r="Y1892" s="72">
        <v>46078.496527777781</v>
      </c>
      <c r="Z1892" s="104" t="s">
        <v>496</v>
      </c>
      <c r="AA1892" s="104" t="s">
        <v>522</v>
      </c>
      <c r="AB1892" s="105">
        <v>46078.458333333336</v>
      </c>
      <c r="AC1892" s="105">
        <v>46078.541666666664</v>
      </c>
    </row>
    <row r="1893" s="70" customFormat="1" ht="11.25" customHeight="1">
      <c r="A1893" s="87"/>
      <c r="C1893" s="43" t="s">
        <v>3410</v>
      </c>
      <c r="D1893" s="71" t="s">
        <v>382</v>
      </c>
      <c r="E1893" s="71" t="str">
        <f>MID(D1893,1,2)</f>
        <v>IL</v>
      </c>
      <c r="F1893" s="71" t="s">
        <v>468</v>
      </c>
      <c r="G1893" s="71" t="str">
        <f>MID(F1893,1,2)</f>
        <v>US</v>
      </c>
      <c r="H1893" s="43" t="s">
        <v>1617</v>
      </c>
      <c r="I1893" s="71" t="s">
        <v>3411</v>
      </c>
      <c r="J1893" s="71" t="s">
        <v>386</v>
      </c>
      <c r="K1893" s="43"/>
      <c r="L1893" s="71" t="s">
        <v>107</v>
      </c>
      <c r="M1893" s="73">
        <v>49</v>
      </c>
      <c r="N1893" s="71" t="s">
        <v>388</v>
      </c>
      <c r="O1893" s="73">
        <v>0.266</v>
      </c>
      <c r="P1893" s="71" t="s">
        <v>389</v>
      </c>
      <c r="Q1893" s="73">
        <v>49</v>
      </c>
      <c r="R1893" s="71" t="s">
        <v>388</v>
      </c>
      <c r="S1893" s="73">
        <v>0</v>
      </c>
      <c r="T1893" s="71" t="s">
        <v>390</v>
      </c>
      <c r="U1893" s="74">
        <v>1</v>
      </c>
      <c r="V1893" s="71" t="s">
        <v>391</v>
      </c>
      <c r="W1893" s="130">
        <v>46072.63958333333</v>
      </c>
      <c r="X1893" s="72">
        <v>46074.965277777781</v>
      </c>
      <c r="Y1893" s="72">
        <v>46104.416666666664</v>
      </c>
      <c r="Z1893" s="104" t="s">
        <v>382</v>
      </c>
      <c r="AA1893" s="104" t="s">
        <v>422</v>
      </c>
      <c r="AB1893" s="105">
        <v>46075.472222222219</v>
      </c>
      <c r="AC1893" s="105">
        <v>46075.679861111108</v>
      </c>
    </row>
    <row r="1894" s="70" customFormat="1" ht="11.25" customHeight="1">
      <c r="A1894" s="87"/>
      <c r="C1894" s="43" t="s">
        <v>3410</v>
      </c>
      <c r="D1894" s="71" t="s">
        <v>382</v>
      </c>
      <c r="E1894" s="71" t="str">
        <f>MID(D1894,1,2)</f>
        <v>IL</v>
      </c>
      <c r="F1894" s="71" t="s">
        <v>468</v>
      </c>
      <c r="G1894" s="71" t="str">
        <f>MID(F1894,1,2)</f>
        <v>US</v>
      </c>
      <c r="H1894" s="43" t="s">
        <v>1617</v>
      </c>
      <c r="I1894" s="71" t="s">
        <v>3411</v>
      </c>
      <c r="J1894" s="71" t="s">
        <v>386</v>
      </c>
      <c r="K1894" s="43"/>
      <c r="L1894" s="71" t="s">
        <v>107</v>
      </c>
      <c r="M1894" s="73">
        <v>49</v>
      </c>
      <c r="N1894" s="71" t="s">
        <v>388</v>
      </c>
      <c r="O1894" s="73">
        <v>0.266</v>
      </c>
      <c r="P1894" s="71" t="s">
        <v>389</v>
      </c>
      <c r="Q1894" s="73">
        <v>49</v>
      </c>
      <c r="R1894" s="71" t="s">
        <v>388</v>
      </c>
      <c r="S1894" s="73">
        <v>0</v>
      </c>
      <c r="T1894" s="71" t="s">
        <v>390</v>
      </c>
      <c r="U1894" s="74">
        <v>1</v>
      </c>
      <c r="V1894" s="71" t="s">
        <v>391</v>
      </c>
      <c r="W1894" s="130">
        <v>46072.63958333333</v>
      </c>
      <c r="X1894" s="72">
        <v>46074.965277777781</v>
      </c>
      <c r="Y1894" s="72">
        <v>46104.416666666664</v>
      </c>
      <c r="Z1894" s="104" t="s">
        <v>422</v>
      </c>
      <c r="AA1894" s="104" t="s">
        <v>468</v>
      </c>
      <c r="AB1894" s="105"/>
      <c r="AC1894" s="105"/>
    </row>
    <row r="1895" s="70" customFormat="1" ht="11.25" customHeight="1">
      <c r="A1895" s="87"/>
      <c r="C1895" s="43" t="s">
        <v>3412</v>
      </c>
      <c r="D1895" s="71" t="s">
        <v>382</v>
      </c>
      <c r="E1895" s="71" t="str">
        <f>MID(D1895,1,2)</f>
        <v>IL</v>
      </c>
      <c r="F1895" s="71" t="s">
        <v>1583</v>
      </c>
      <c r="G1895" s="71" t="str">
        <f>MID(F1895,1,2)</f>
        <v>BR</v>
      </c>
      <c r="H1895" s="43" t="s">
        <v>2675</v>
      </c>
      <c r="I1895" s="71" t="s">
        <v>3413</v>
      </c>
      <c r="J1895" s="71" t="s">
        <v>411</v>
      </c>
      <c r="K1895" s="43"/>
      <c r="L1895" s="71" t="s">
        <v>105</v>
      </c>
      <c r="M1895" s="73">
        <v>10.5</v>
      </c>
      <c r="N1895" s="71" t="s">
        <v>388</v>
      </c>
      <c r="O1895" s="73">
        <v>0.338</v>
      </c>
      <c r="P1895" s="71" t="s">
        <v>389</v>
      </c>
      <c r="Q1895" s="73">
        <v>56.5</v>
      </c>
      <c r="R1895" s="71" t="s">
        <v>388</v>
      </c>
      <c r="S1895" s="73">
        <v>0</v>
      </c>
      <c r="T1895" s="71" t="s">
        <v>390</v>
      </c>
      <c r="U1895" s="74">
        <v>4</v>
      </c>
      <c r="V1895" s="71" t="s">
        <v>391</v>
      </c>
      <c r="W1895" s="130">
        <v>46072.953148148146</v>
      </c>
      <c r="X1895" s="72">
        <v>46073.690972222219</v>
      </c>
      <c r="Y1895" s="72">
        <v>46084</v>
      </c>
      <c r="Z1895" s="104" t="s">
        <v>382</v>
      </c>
      <c r="AA1895" s="104" t="s">
        <v>383</v>
      </c>
      <c r="AB1895" s="105">
        <v>46073.699305555558</v>
      </c>
      <c r="AC1895" s="105">
        <v>46073.840277777781</v>
      </c>
    </row>
    <row r="1896" s="70" customFormat="1" ht="11.25" customHeight="1">
      <c r="A1896" s="87"/>
      <c r="C1896" s="43" t="s">
        <v>3412</v>
      </c>
      <c r="D1896" s="71" t="s">
        <v>382</v>
      </c>
      <c r="E1896" s="71" t="str">
        <f>MID(D1896,1,2)</f>
        <v>IL</v>
      </c>
      <c r="F1896" s="71" t="s">
        <v>1583</v>
      </c>
      <c r="G1896" s="71" t="str">
        <f>MID(F1896,1,2)</f>
        <v>BR</v>
      </c>
      <c r="H1896" s="43" t="s">
        <v>2675</v>
      </c>
      <c r="I1896" s="71" t="s">
        <v>3413</v>
      </c>
      <c r="J1896" s="71" t="s">
        <v>411</v>
      </c>
      <c r="K1896" s="43"/>
      <c r="L1896" s="71" t="s">
        <v>105</v>
      </c>
      <c r="M1896" s="73">
        <v>10.5</v>
      </c>
      <c r="N1896" s="71" t="s">
        <v>388</v>
      </c>
      <c r="O1896" s="73">
        <v>0.338</v>
      </c>
      <c r="P1896" s="71" t="s">
        <v>389</v>
      </c>
      <c r="Q1896" s="73">
        <v>56.5</v>
      </c>
      <c r="R1896" s="71" t="s">
        <v>388</v>
      </c>
      <c r="S1896" s="73">
        <v>0</v>
      </c>
      <c r="T1896" s="71" t="s">
        <v>390</v>
      </c>
      <c r="U1896" s="74">
        <v>4</v>
      </c>
      <c r="V1896" s="71" t="s">
        <v>391</v>
      </c>
      <c r="W1896" s="130">
        <v>46072.953148148146</v>
      </c>
      <c r="X1896" s="72">
        <v>46073.690972222219</v>
      </c>
      <c r="Y1896" s="72">
        <v>46084</v>
      </c>
      <c r="Z1896" s="104" t="s">
        <v>383</v>
      </c>
      <c r="AA1896" s="104" t="s">
        <v>1349</v>
      </c>
      <c r="AB1896" s="105">
        <v>46074.524305555555</v>
      </c>
      <c r="AC1896" s="105">
        <v>46074.961111111108</v>
      </c>
    </row>
    <row r="1897" s="70" customFormat="1" ht="11.25" customHeight="1">
      <c r="A1897" s="87"/>
      <c r="C1897" s="43" t="s">
        <v>3412</v>
      </c>
      <c r="D1897" s="71" t="s">
        <v>382</v>
      </c>
      <c r="E1897" s="71" t="str">
        <f>MID(D1897,1,2)</f>
        <v>IL</v>
      </c>
      <c r="F1897" s="71" t="s">
        <v>1583</v>
      </c>
      <c r="G1897" s="71" t="str">
        <f>MID(F1897,1,2)</f>
        <v>BR</v>
      </c>
      <c r="H1897" s="43" t="s">
        <v>2675</v>
      </c>
      <c r="I1897" s="71" t="s">
        <v>3413</v>
      </c>
      <c r="J1897" s="71" t="s">
        <v>411</v>
      </c>
      <c r="K1897" s="43"/>
      <c r="L1897" s="71" t="s">
        <v>105</v>
      </c>
      <c r="M1897" s="73">
        <v>10.5</v>
      </c>
      <c r="N1897" s="71" t="s">
        <v>388</v>
      </c>
      <c r="O1897" s="73">
        <v>0.338</v>
      </c>
      <c r="P1897" s="71" t="s">
        <v>389</v>
      </c>
      <c r="Q1897" s="73">
        <v>56.5</v>
      </c>
      <c r="R1897" s="71" t="s">
        <v>388</v>
      </c>
      <c r="S1897" s="73">
        <v>0</v>
      </c>
      <c r="T1897" s="71" t="s">
        <v>390</v>
      </c>
      <c r="U1897" s="74">
        <v>4</v>
      </c>
      <c r="V1897" s="71" t="s">
        <v>391</v>
      </c>
      <c r="W1897" s="130">
        <v>46072.953148148146</v>
      </c>
      <c r="X1897" s="72">
        <v>46073.690972222219</v>
      </c>
      <c r="Y1897" s="72">
        <v>46084</v>
      </c>
      <c r="Z1897" s="104" t="s">
        <v>1349</v>
      </c>
      <c r="AA1897" s="104" t="s">
        <v>1583</v>
      </c>
      <c r="AB1897" s="105">
        <v>46079.409722222219</v>
      </c>
      <c r="AC1897" s="105">
        <v>46079.663194444445</v>
      </c>
    </row>
    <row r="1898" s="70" customFormat="1" ht="11.25" customHeight="1">
      <c r="A1898" s="87"/>
      <c r="C1898" s="43" t="s">
        <v>3414</v>
      </c>
      <c r="D1898" s="71" t="s">
        <v>382</v>
      </c>
      <c r="E1898" s="71" t="str">
        <f>MID(D1898,1,2)</f>
        <v>IL</v>
      </c>
      <c r="F1898" s="71" t="s">
        <v>422</v>
      </c>
      <c r="G1898" s="71" t="str">
        <f>MID(F1898,1,2)</f>
        <v>US</v>
      </c>
      <c r="H1898" s="43" t="s">
        <v>3218</v>
      </c>
      <c r="I1898" s="71" t="s">
        <v>3415</v>
      </c>
      <c r="J1898" s="71" t="s">
        <v>386</v>
      </c>
      <c r="K1898" s="43" t="s">
        <v>431</v>
      </c>
      <c r="L1898" s="71" t="s">
        <v>107</v>
      </c>
      <c r="M1898" s="73">
        <v>54</v>
      </c>
      <c r="N1898" s="71" t="s">
        <v>388</v>
      </c>
      <c r="O1898" s="73">
        <v>0.418</v>
      </c>
      <c r="P1898" s="71" t="s">
        <v>389</v>
      </c>
      <c r="Q1898" s="73">
        <v>70</v>
      </c>
      <c r="R1898" s="71" t="s">
        <v>388</v>
      </c>
      <c r="S1898" s="73">
        <v>0</v>
      </c>
      <c r="T1898" s="71" t="s">
        <v>390</v>
      </c>
      <c r="U1898" s="74">
        <v>2</v>
      </c>
      <c r="V1898" s="71" t="s">
        <v>391</v>
      </c>
      <c r="W1898" s="130">
        <v>46072.667361111111</v>
      </c>
      <c r="X1898" s="72">
        <v>46073.458333333336</v>
      </c>
      <c r="Y1898" s="72">
        <v>46074.690972222219</v>
      </c>
      <c r="Z1898" s="104" t="s">
        <v>382</v>
      </c>
      <c r="AA1898" s="104" t="s">
        <v>422</v>
      </c>
      <c r="AB1898" s="105">
        <v>46074.470833333333</v>
      </c>
      <c r="AC1898" s="105">
        <v>46074.672222222223</v>
      </c>
    </row>
    <row r="1899" s="70" customFormat="1" ht="11.25" customHeight="1">
      <c r="A1899" s="87"/>
      <c r="C1899" s="43" t="s">
        <v>3416</v>
      </c>
      <c r="D1899" s="71" t="s">
        <v>382</v>
      </c>
      <c r="E1899" s="71" t="str">
        <f>MID(D1899,1,2)</f>
        <v>IL</v>
      </c>
      <c r="F1899" s="71" t="s">
        <v>3417</v>
      </c>
      <c r="G1899" s="71" t="str">
        <f>MID(F1899,1,2)</f>
        <v>LT</v>
      </c>
      <c r="H1899" s="43" t="s">
        <v>3418</v>
      </c>
      <c r="I1899" s="71" t="s">
        <v>3419</v>
      </c>
      <c r="J1899" s="71" t="s">
        <v>386</v>
      </c>
      <c r="K1899" s="43"/>
      <c r="L1899" s="71" t="s">
        <v>107</v>
      </c>
      <c r="M1899" s="73">
        <v>232</v>
      </c>
      <c r="N1899" s="71" t="s">
        <v>388</v>
      </c>
      <c r="O1899" s="73">
        <v>1.38</v>
      </c>
      <c r="P1899" s="71" t="s">
        <v>389</v>
      </c>
      <c r="Q1899" s="73">
        <v>232</v>
      </c>
      <c r="R1899" s="71" t="s">
        <v>388</v>
      </c>
      <c r="S1899" s="73">
        <v>0</v>
      </c>
      <c r="T1899" s="71" t="s">
        <v>390</v>
      </c>
      <c r="U1899" s="74">
        <v>1</v>
      </c>
      <c r="V1899" s="71" t="s">
        <v>391</v>
      </c>
      <c r="W1899" s="130">
        <v>46075.6099537037</v>
      </c>
      <c r="X1899" s="72">
        <v>46076.907638888886</v>
      </c>
      <c r="Y1899" s="72">
        <v>46077</v>
      </c>
      <c r="Z1899" s="104" t="s">
        <v>382</v>
      </c>
      <c r="AA1899" s="104" t="s">
        <v>748</v>
      </c>
      <c r="AB1899" s="105">
        <v>46076.840277777781</v>
      </c>
      <c r="AC1899" s="105"/>
    </row>
    <row r="1900" s="70" customFormat="1" ht="11.25" customHeight="1">
      <c r="A1900" s="87"/>
      <c r="C1900" s="43" t="s">
        <v>3416</v>
      </c>
      <c r="D1900" s="71" t="s">
        <v>382</v>
      </c>
      <c r="E1900" s="71" t="str">
        <f>MID(D1900,1,2)</f>
        <v>IL</v>
      </c>
      <c r="F1900" s="71" t="s">
        <v>3417</v>
      </c>
      <c r="G1900" s="71" t="str">
        <f>MID(F1900,1,2)</f>
        <v>LT</v>
      </c>
      <c r="H1900" s="43" t="s">
        <v>3418</v>
      </c>
      <c r="I1900" s="71" t="s">
        <v>3419</v>
      </c>
      <c r="J1900" s="71" t="s">
        <v>386</v>
      </c>
      <c r="K1900" s="43"/>
      <c r="L1900" s="71" t="s">
        <v>107</v>
      </c>
      <c r="M1900" s="73">
        <v>232</v>
      </c>
      <c r="N1900" s="71" t="s">
        <v>388</v>
      </c>
      <c r="O1900" s="73">
        <v>1.38</v>
      </c>
      <c r="P1900" s="71" t="s">
        <v>389</v>
      </c>
      <c r="Q1900" s="73">
        <v>232</v>
      </c>
      <c r="R1900" s="71" t="s">
        <v>388</v>
      </c>
      <c r="S1900" s="73">
        <v>0</v>
      </c>
      <c r="T1900" s="71" t="s">
        <v>390</v>
      </c>
      <c r="U1900" s="74">
        <v>1</v>
      </c>
      <c r="V1900" s="71" t="s">
        <v>391</v>
      </c>
      <c r="W1900" s="130">
        <v>46075.6099537037</v>
      </c>
      <c r="X1900" s="72">
        <v>46076.907638888886</v>
      </c>
      <c r="Y1900" s="72">
        <v>46077</v>
      </c>
      <c r="Z1900" s="104" t="s">
        <v>748</v>
      </c>
      <c r="AA1900" s="104" t="s">
        <v>3417</v>
      </c>
      <c r="AB1900" s="105">
        <v>46077.220138888886</v>
      </c>
      <c r="AC1900" s="105">
        <v>46077.354861111111</v>
      </c>
    </row>
    <row r="1901" s="70" customFormat="1" ht="11.25" customHeight="1">
      <c r="A1901" s="87"/>
      <c r="C1901" s="43" t="s">
        <v>3420</v>
      </c>
      <c r="D1901" s="71" t="s">
        <v>382</v>
      </c>
      <c r="E1901" s="71" t="str">
        <f>MID(D1901,1,2)</f>
        <v>IL</v>
      </c>
      <c r="F1901" s="71" t="s">
        <v>651</v>
      </c>
      <c r="G1901" s="71" t="str">
        <f>MID(F1901,1,2)</f>
        <v>BR</v>
      </c>
      <c r="H1901" s="43" t="s">
        <v>3421</v>
      </c>
      <c r="I1901" s="71" t="s">
        <v>3422</v>
      </c>
      <c r="J1901" s="71" t="s">
        <v>386</v>
      </c>
      <c r="K1901" s="43"/>
      <c r="L1901" s="71" t="s">
        <v>107</v>
      </c>
      <c r="M1901" s="73">
        <v>9</v>
      </c>
      <c r="N1901" s="71" t="s">
        <v>388</v>
      </c>
      <c r="O1901" s="73">
        <v>0.101</v>
      </c>
      <c r="P1901" s="71" t="s">
        <v>389</v>
      </c>
      <c r="Q1901" s="73">
        <v>17</v>
      </c>
      <c r="R1901" s="71" t="s">
        <v>388</v>
      </c>
      <c r="S1901" s="73">
        <v>0</v>
      </c>
      <c r="T1901" s="71" t="s">
        <v>390</v>
      </c>
      <c r="U1901" s="74">
        <v>1</v>
      </c>
      <c r="V1901" s="71" t="s">
        <v>391</v>
      </c>
      <c r="W1901" s="130">
        <v>46072.695833333331</v>
      </c>
      <c r="X1901" s="72">
        <v>46075.586805555555</v>
      </c>
      <c r="Y1901" s="72">
        <v>46077.395833333336</v>
      </c>
      <c r="Z1901" s="104" t="s">
        <v>382</v>
      </c>
      <c r="AA1901" s="104" t="s">
        <v>590</v>
      </c>
      <c r="AB1901" s="105">
        <v>46075.575694444444</v>
      </c>
      <c r="AC1901" s="105">
        <v>46075.970833333333</v>
      </c>
    </row>
    <row r="1902" s="70" customFormat="1" ht="11.25" customHeight="1">
      <c r="A1902" s="87"/>
      <c r="C1902" s="43" t="s">
        <v>3420</v>
      </c>
      <c r="D1902" s="71" t="s">
        <v>382</v>
      </c>
      <c r="E1902" s="71" t="str">
        <f>MID(D1902,1,2)</f>
        <v>IL</v>
      </c>
      <c r="F1902" s="71" t="s">
        <v>651</v>
      </c>
      <c r="G1902" s="71" t="str">
        <f>MID(F1902,1,2)</f>
        <v>BR</v>
      </c>
      <c r="H1902" s="43" t="s">
        <v>3421</v>
      </c>
      <c r="I1902" s="71" t="s">
        <v>3422</v>
      </c>
      <c r="J1902" s="71" t="s">
        <v>386</v>
      </c>
      <c r="K1902" s="43"/>
      <c r="L1902" s="71" t="s">
        <v>107</v>
      </c>
      <c r="M1902" s="73">
        <v>9</v>
      </c>
      <c r="N1902" s="71" t="s">
        <v>388</v>
      </c>
      <c r="O1902" s="73">
        <v>0.101</v>
      </c>
      <c r="P1902" s="71" t="s">
        <v>389</v>
      </c>
      <c r="Q1902" s="73">
        <v>17</v>
      </c>
      <c r="R1902" s="71" t="s">
        <v>388</v>
      </c>
      <c r="S1902" s="73">
        <v>0</v>
      </c>
      <c r="T1902" s="71" t="s">
        <v>390</v>
      </c>
      <c r="U1902" s="74">
        <v>1</v>
      </c>
      <c r="V1902" s="71" t="s">
        <v>391</v>
      </c>
      <c r="W1902" s="130">
        <v>46072.695833333331</v>
      </c>
      <c r="X1902" s="72">
        <v>46075.586805555555</v>
      </c>
      <c r="Y1902" s="72">
        <v>46077.395833333336</v>
      </c>
      <c r="Z1902" s="104" t="s">
        <v>590</v>
      </c>
      <c r="AA1902" s="104" t="s">
        <v>651</v>
      </c>
      <c r="AB1902" s="105">
        <v>46076.996527777781</v>
      </c>
      <c r="AC1902" s="105">
        <v>46077.260416666664</v>
      </c>
    </row>
    <row r="1903" s="70" customFormat="1" ht="11.25" customHeight="1">
      <c r="A1903" s="87"/>
      <c r="C1903" s="43" t="s">
        <v>3423</v>
      </c>
      <c r="D1903" s="71" t="s">
        <v>382</v>
      </c>
      <c r="E1903" s="71" t="str">
        <f>MID(D1903,1,2)</f>
        <v>IL</v>
      </c>
      <c r="F1903" s="71" t="s">
        <v>2090</v>
      </c>
      <c r="G1903" s="71" t="str">
        <f>MID(F1903,1,2)</f>
        <v>NO</v>
      </c>
      <c r="H1903" s="43" t="s">
        <v>3424</v>
      </c>
      <c r="I1903" s="71"/>
      <c r="J1903" s="71" t="s">
        <v>400</v>
      </c>
      <c r="K1903" s="43"/>
      <c r="L1903" s="71" t="s">
        <v>105</v>
      </c>
      <c r="M1903" s="73">
        <v>37</v>
      </c>
      <c r="N1903" s="71" t="s">
        <v>388</v>
      </c>
      <c r="O1903" s="73">
        <v>0.254</v>
      </c>
      <c r="P1903" s="71" t="s">
        <v>389</v>
      </c>
      <c r="Q1903" s="73">
        <v>42.5</v>
      </c>
      <c r="R1903" s="71" t="s">
        <v>388</v>
      </c>
      <c r="S1903" s="73">
        <v>0</v>
      </c>
      <c r="T1903" s="71" t="s">
        <v>390</v>
      </c>
      <c r="U1903" s="74">
        <v>1</v>
      </c>
      <c r="V1903" s="71" t="s">
        <v>391</v>
      </c>
      <c r="W1903" s="130"/>
      <c r="X1903" s="72">
        <v>46076.679166666669</v>
      </c>
      <c r="Y1903" s="72">
        <v>46078.679166666669</v>
      </c>
      <c r="Z1903" s="104" t="s">
        <v>382</v>
      </c>
      <c r="AA1903" s="104" t="s">
        <v>2090</v>
      </c>
      <c r="AB1903" s="105">
        <v>46077.64166666667</v>
      </c>
      <c r="AC1903" s="105"/>
    </row>
    <row r="1904" s="70" customFormat="1" ht="11.25" customHeight="1">
      <c r="A1904" s="87"/>
      <c r="C1904" s="43" t="s">
        <v>3425</v>
      </c>
      <c r="D1904" s="71" t="s">
        <v>382</v>
      </c>
      <c r="E1904" s="71" t="str">
        <f>MID(D1904,1,2)</f>
        <v>IL</v>
      </c>
      <c r="F1904" s="71" t="s">
        <v>978</v>
      </c>
      <c r="G1904" s="71" t="str">
        <f>MID(F1904,1,2)</f>
        <v>PL</v>
      </c>
      <c r="H1904" s="43" t="s">
        <v>3426</v>
      </c>
      <c r="I1904" s="71" t="s">
        <v>3427</v>
      </c>
      <c r="J1904" s="71" t="s">
        <v>400</v>
      </c>
      <c r="K1904" s="43"/>
      <c r="L1904" s="71" t="s">
        <v>105</v>
      </c>
      <c r="M1904" s="73">
        <v>43</v>
      </c>
      <c r="N1904" s="71" t="s">
        <v>388</v>
      </c>
      <c r="O1904" s="73">
        <v>0.254</v>
      </c>
      <c r="P1904" s="71" t="s">
        <v>389</v>
      </c>
      <c r="Q1904" s="73">
        <v>43</v>
      </c>
      <c r="R1904" s="71" t="s">
        <v>388</v>
      </c>
      <c r="S1904" s="73">
        <v>0</v>
      </c>
      <c r="T1904" s="71" t="s">
        <v>390</v>
      </c>
      <c r="U1904" s="74">
        <v>1</v>
      </c>
      <c r="V1904" s="71" t="s">
        <v>391</v>
      </c>
      <c r="W1904" s="130"/>
      <c r="X1904" s="72">
        <v>46077.709722222222</v>
      </c>
      <c r="Y1904" s="72">
        <v>46078.709722222222</v>
      </c>
      <c r="Z1904" s="104" t="s">
        <v>382</v>
      </c>
      <c r="AA1904" s="104" t="s">
        <v>978</v>
      </c>
      <c r="AB1904" s="105">
        <v>46077.64166666667</v>
      </c>
      <c r="AC1904" s="105"/>
    </row>
    <row r="1905" s="70" customFormat="1" ht="11.25" customHeight="1">
      <c r="A1905" s="87"/>
      <c r="C1905" s="43" t="s">
        <v>3428</v>
      </c>
      <c r="D1905" s="71" t="s">
        <v>382</v>
      </c>
      <c r="E1905" s="71" t="str">
        <f>MID(D1905,1,2)</f>
        <v>IL</v>
      </c>
      <c r="F1905" s="71" t="s">
        <v>1341</v>
      </c>
      <c r="G1905" s="71" t="str">
        <f>MID(F1905,1,2)</f>
        <v>IE</v>
      </c>
      <c r="H1905" s="43" t="s">
        <v>3429</v>
      </c>
      <c r="I1905" s="71" t="s">
        <v>3430</v>
      </c>
      <c r="J1905" s="71" t="s">
        <v>386</v>
      </c>
      <c r="K1905" s="43" t="s">
        <v>1344</v>
      </c>
      <c r="L1905" s="71" t="s">
        <v>107</v>
      </c>
      <c r="M1905" s="73">
        <v>502</v>
      </c>
      <c r="N1905" s="71" t="s">
        <v>388</v>
      </c>
      <c r="O1905" s="73">
        <v>2.89</v>
      </c>
      <c r="P1905" s="71" t="s">
        <v>389</v>
      </c>
      <c r="Q1905" s="73">
        <v>2500</v>
      </c>
      <c r="R1905" s="71" t="s">
        <v>388</v>
      </c>
      <c r="S1905" s="73">
        <v>0</v>
      </c>
      <c r="T1905" s="71" t="s">
        <v>390</v>
      </c>
      <c r="U1905" s="74">
        <v>2</v>
      </c>
      <c r="V1905" s="71" t="s">
        <v>391</v>
      </c>
      <c r="W1905" s="130">
        <v>46077.438194444447</v>
      </c>
      <c r="X1905" s="72">
        <v>46079.854166666664</v>
      </c>
      <c r="Y1905" s="72">
        <v>46083.121527777781</v>
      </c>
      <c r="Z1905" s="104" t="s">
        <v>382</v>
      </c>
      <c r="AA1905" s="104" t="s">
        <v>466</v>
      </c>
      <c r="AB1905" s="105">
        <v>46079.897916666669</v>
      </c>
      <c r="AC1905" s="105">
        <v>46080.030555555553</v>
      </c>
    </row>
    <row r="1906" s="70" customFormat="1" ht="11.25" customHeight="1">
      <c r="A1906" s="87"/>
      <c r="C1906" s="43" t="s">
        <v>3431</v>
      </c>
      <c r="D1906" s="71" t="s">
        <v>382</v>
      </c>
      <c r="E1906" s="71" t="str">
        <f>MID(D1906,1,2)</f>
        <v>IL</v>
      </c>
      <c r="F1906" s="71" t="s">
        <v>597</v>
      </c>
      <c r="G1906" s="71" t="str">
        <f>MID(F1906,1,2)</f>
        <v>NL</v>
      </c>
      <c r="H1906" s="43" t="s">
        <v>3432</v>
      </c>
      <c r="I1906" s="71"/>
      <c r="J1906" s="71" t="s">
        <v>435</v>
      </c>
      <c r="K1906" s="43"/>
      <c r="L1906" s="71" t="s">
        <v>105</v>
      </c>
      <c r="M1906" s="73">
        <v>8</v>
      </c>
      <c r="N1906" s="71" t="s">
        <v>388</v>
      </c>
      <c r="O1906" s="73">
        <v>0.038</v>
      </c>
      <c r="P1906" s="71" t="s">
        <v>389</v>
      </c>
      <c r="Q1906" s="73">
        <v>8</v>
      </c>
      <c r="R1906" s="71" t="s">
        <v>388</v>
      </c>
      <c r="S1906" s="73">
        <v>0</v>
      </c>
      <c r="T1906" s="71" t="s">
        <v>390</v>
      </c>
      <c r="U1906" s="74">
        <v>1</v>
      </c>
      <c r="V1906" s="71" t="s">
        <v>391</v>
      </c>
      <c r="W1906" s="130"/>
      <c r="X1906" s="72">
        <v>46073.719444444447</v>
      </c>
      <c r="Y1906" s="72">
        <v>46074.719444444447</v>
      </c>
      <c r="Z1906" s="104" t="s">
        <v>382</v>
      </c>
      <c r="AA1906" s="104" t="s">
        <v>597</v>
      </c>
      <c r="AB1906" s="105">
        <v>46074.341666666667</v>
      </c>
      <c r="AC1906" s="105">
        <v>46074.341666666667</v>
      </c>
    </row>
    <row r="1907" s="70" customFormat="1" ht="11.25" customHeight="1">
      <c r="A1907" s="87"/>
      <c r="C1907" s="43" t="s">
        <v>3433</v>
      </c>
      <c r="D1907" s="71" t="s">
        <v>382</v>
      </c>
      <c r="E1907" s="71" t="str">
        <f>MID(D1907,1,2)</f>
        <v>IL</v>
      </c>
      <c r="F1907" s="71" t="s">
        <v>465</v>
      </c>
      <c r="G1907" s="71" t="str">
        <f>MID(F1907,1,2)</f>
        <v>AZ</v>
      </c>
      <c r="H1907" s="43"/>
      <c r="I1907" s="71" t="s">
        <v>3434</v>
      </c>
      <c r="J1907" s="71" t="s">
        <v>426</v>
      </c>
      <c r="K1907" s="43"/>
      <c r="L1907" s="71" t="s">
        <v>105</v>
      </c>
      <c r="M1907" s="73">
        <v>11615</v>
      </c>
      <c r="N1907" s="71" t="s">
        <v>388</v>
      </c>
      <c r="O1907" s="73">
        <v>52.047</v>
      </c>
      <c r="P1907" s="71" t="s">
        <v>389</v>
      </c>
      <c r="Q1907" s="73">
        <v>13650</v>
      </c>
      <c r="R1907" s="71" t="s">
        <v>388</v>
      </c>
      <c r="S1907" s="73">
        <v>0</v>
      </c>
      <c r="T1907" s="71" t="s">
        <v>390</v>
      </c>
      <c r="U1907" s="74">
        <v>3</v>
      </c>
      <c r="V1907" s="71" t="s">
        <v>391</v>
      </c>
      <c r="W1907" s="130"/>
      <c r="X1907" s="72">
        <v>46103.644444444442</v>
      </c>
      <c r="Y1907" s="72">
        <v>46109.177083333336</v>
      </c>
      <c r="Z1907" s="104"/>
      <c r="AA1907" s="104"/>
      <c r="AB1907" s="105"/>
      <c r="AC1907" s="105"/>
    </row>
    <row r="1908" s="70" customFormat="1" ht="11.25" customHeight="1">
      <c r="A1908" s="87"/>
      <c r="C1908" s="43" t="s">
        <v>3435</v>
      </c>
      <c r="D1908" s="71" t="s">
        <v>382</v>
      </c>
      <c r="E1908" s="71" t="str">
        <f>MID(D1908,1,2)</f>
        <v>IL</v>
      </c>
      <c r="F1908" s="71" t="s">
        <v>414</v>
      </c>
      <c r="G1908" s="71" t="str">
        <f>MID(F1908,1,2)</f>
        <v>US</v>
      </c>
      <c r="H1908" s="43" t="s">
        <v>3436</v>
      </c>
      <c r="I1908" s="71" t="s">
        <v>3437</v>
      </c>
      <c r="J1908" s="71" t="s">
        <v>426</v>
      </c>
      <c r="K1908" s="43"/>
      <c r="L1908" s="71" t="s">
        <v>105</v>
      </c>
      <c r="M1908" s="73">
        <v>182</v>
      </c>
      <c r="N1908" s="71" t="s">
        <v>388</v>
      </c>
      <c r="O1908" s="73">
        <v>0.662</v>
      </c>
      <c r="P1908" s="71" t="s">
        <v>389</v>
      </c>
      <c r="Q1908" s="73">
        <v>182</v>
      </c>
      <c r="R1908" s="71" t="s">
        <v>388</v>
      </c>
      <c r="S1908" s="73">
        <v>0</v>
      </c>
      <c r="T1908" s="71" t="s">
        <v>390</v>
      </c>
      <c r="U1908" s="74">
        <v>1</v>
      </c>
      <c r="V1908" s="71" t="s">
        <v>391</v>
      </c>
      <c r="W1908" s="130">
        <v>46072.834027777775</v>
      </c>
      <c r="X1908" s="72">
        <v>46075.03125</v>
      </c>
      <c r="Y1908" s="72">
        <v>46075.239583333336</v>
      </c>
      <c r="Z1908" s="104" t="s">
        <v>382</v>
      </c>
      <c r="AA1908" s="104" t="s">
        <v>414</v>
      </c>
      <c r="AB1908" s="105">
        <v>46075.033333333333</v>
      </c>
      <c r="AC1908" s="105">
        <v>46075.222916666666</v>
      </c>
    </row>
    <row r="1909" s="70" customFormat="1" ht="11.25" customHeight="1">
      <c r="A1909" s="87"/>
      <c r="C1909" s="43" t="s">
        <v>3438</v>
      </c>
      <c r="D1909" s="71" t="s">
        <v>382</v>
      </c>
      <c r="E1909" s="71" t="str">
        <f>MID(D1909,1,2)</f>
        <v>IL</v>
      </c>
      <c r="F1909" s="71" t="s">
        <v>419</v>
      </c>
      <c r="G1909" s="71" t="str">
        <f>MID(F1909,1,2)</f>
        <v>US</v>
      </c>
      <c r="H1909" s="43" t="s">
        <v>3439</v>
      </c>
      <c r="I1909" s="71" t="s">
        <v>3440</v>
      </c>
      <c r="J1909" s="71" t="s">
        <v>426</v>
      </c>
      <c r="K1909" s="43"/>
      <c r="L1909" s="71" t="s">
        <v>105</v>
      </c>
      <c r="M1909" s="73">
        <v>114</v>
      </c>
      <c r="N1909" s="71" t="s">
        <v>388</v>
      </c>
      <c r="O1909" s="73">
        <v>0.662</v>
      </c>
      <c r="P1909" s="71" t="s">
        <v>389</v>
      </c>
      <c r="Q1909" s="73">
        <v>114</v>
      </c>
      <c r="R1909" s="71" t="s">
        <v>388</v>
      </c>
      <c r="S1909" s="73">
        <v>0</v>
      </c>
      <c r="T1909" s="71" t="s">
        <v>390</v>
      </c>
      <c r="U1909" s="74">
        <v>1</v>
      </c>
      <c r="V1909" s="71" t="s">
        <v>391</v>
      </c>
      <c r="W1909" s="130">
        <v>46072.834027777775</v>
      </c>
      <c r="X1909" s="72">
        <v>46074.965277777781</v>
      </c>
      <c r="Y1909" s="72">
        <v>46078.708333333336</v>
      </c>
      <c r="Z1909" s="104" t="s">
        <v>382</v>
      </c>
      <c r="AA1909" s="104" t="s">
        <v>422</v>
      </c>
      <c r="AB1909" s="105">
        <v>46075.472222222219</v>
      </c>
      <c r="AC1909" s="105">
        <v>46075.679861111108</v>
      </c>
    </row>
    <row r="1910" s="70" customFormat="1" ht="11.25" customHeight="1">
      <c r="A1910" s="87"/>
      <c r="C1910" s="43" t="s">
        <v>3438</v>
      </c>
      <c r="D1910" s="71" t="s">
        <v>382</v>
      </c>
      <c r="E1910" s="71" t="str">
        <f>MID(D1910,1,2)</f>
        <v>IL</v>
      </c>
      <c r="F1910" s="71" t="s">
        <v>419</v>
      </c>
      <c r="G1910" s="71" t="str">
        <f>MID(F1910,1,2)</f>
        <v>US</v>
      </c>
      <c r="H1910" s="43" t="s">
        <v>3439</v>
      </c>
      <c r="I1910" s="71" t="s">
        <v>3440</v>
      </c>
      <c r="J1910" s="71" t="s">
        <v>426</v>
      </c>
      <c r="K1910" s="43"/>
      <c r="L1910" s="71" t="s">
        <v>105</v>
      </c>
      <c r="M1910" s="73">
        <v>114</v>
      </c>
      <c r="N1910" s="71" t="s">
        <v>388</v>
      </c>
      <c r="O1910" s="73">
        <v>0.662</v>
      </c>
      <c r="P1910" s="71" t="s">
        <v>389</v>
      </c>
      <c r="Q1910" s="73">
        <v>114</v>
      </c>
      <c r="R1910" s="71" t="s">
        <v>388</v>
      </c>
      <c r="S1910" s="73">
        <v>0</v>
      </c>
      <c r="T1910" s="71" t="s">
        <v>390</v>
      </c>
      <c r="U1910" s="74">
        <v>1</v>
      </c>
      <c r="V1910" s="71" t="s">
        <v>391</v>
      </c>
      <c r="W1910" s="130">
        <v>46072.834027777775</v>
      </c>
      <c r="X1910" s="72">
        <v>46074.965277777781</v>
      </c>
      <c r="Y1910" s="72">
        <v>46078.708333333336</v>
      </c>
      <c r="Z1910" s="104" t="s">
        <v>422</v>
      </c>
      <c r="AA1910" s="104" t="s">
        <v>419</v>
      </c>
      <c r="AB1910" s="105">
        <v>46077.495833333334</v>
      </c>
      <c r="AC1910" s="105">
        <v>46078.255555555559</v>
      </c>
    </row>
    <row r="1911" s="70" customFormat="1" ht="11.25" customHeight="1">
      <c r="A1911" s="87"/>
      <c r="C1911" s="43" t="s">
        <v>3441</v>
      </c>
      <c r="D1911" s="71" t="s">
        <v>382</v>
      </c>
      <c r="E1911" s="71" t="str">
        <f>MID(D1911,1,2)</f>
        <v>IL</v>
      </c>
      <c r="F1911" s="71" t="s">
        <v>383</v>
      </c>
      <c r="G1911" s="71" t="str">
        <f>MID(F1911,1,2)</f>
        <v>DE</v>
      </c>
      <c r="H1911" s="43" t="s">
        <v>3442</v>
      </c>
      <c r="I1911" s="71" t="s">
        <v>3443</v>
      </c>
      <c r="J1911" s="71" t="s">
        <v>400</v>
      </c>
      <c r="K1911" s="43"/>
      <c r="L1911" s="71" t="s">
        <v>105</v>
      </c>
      <c r="M1911" s="73">
        <v>45</v>
      </c>
      <c r="N1911" s="71" t="s">
        <v>388</v>
      </c>
      <c r="O1911" s="73">
        <v>0.175</v>
      </c>
      <c r="P1911" s="71" t="s">
        <v>389</v>
      </c>
      <c r="Q1911" s="73">
        <v>45</v>
      </c>
      <c r="R1911" s="71" t="s">
        <v>388</v>
      </c>
      <c r="S1911" s="73">
        <v>0</v>
      </c>
      <c r="T1911" s="71" t="s">
        <v>390</v>
      </c>
      <c r="U1911" s="74">
        <v>1</v>
      </c>
      <c r="V1911" s="71" t="s">
        <v>391</v>
      </c>
      <c r="W1911" s="130">
        <v>46073.361111111109</v>
      </c>
      <c r="X1911" s="72">
        <v>46075.25</v>
      </c>
      <c r="Y1911" s="72">
        <v>46075.409722222219</v>
      </c>
      <c r="Z1911" s="104" t="s">
        <v>382</v>
      </c>
      <c r="AA1911" s="104" t="s">
        <v>383</v>
      </c>
      <c r="AB1911" s="105">
        <v>46075.25277777778</v>
      </c>
      <c r="AC1911" s="105">
        <v>46075.394444444442</v>
      </c>
    </row>
    <row r="1912" s="70" customFormat="1" ht="11.25" customHeight="1">
      <c r="A1912" s="87"/>
      <c r="C1912" s="43" t="s">
        <v>3444</v>
      </c>
      <c r="D1912" s="71" t="s">
        <v>382</v>
      </c>
      <c r="E1912" s="71" t="str">
        <f>MID(D1912,1,2)</f>
        <v>IL</v>
      </c>
      <c r="F1912" s="71" t="s">
        <v>978</v>
      </c>
      <c r="G1912" s="71" t="str">
        <f>MID(F1912,1,2)</f>
        <v>PL</v>
      </c>
      <c r="H1912" s="43" t="s">
        <v>3445</v>
      </c>
      <c r="I1912" s="71" t="s">
        <v>3446</v>
      </c>
      <c r="J1912" s="71" t="s">
        <v>811</v>
      </c>
      <c r="K1912" s="43"/>
      <c r="L1912" s="71" t="s">
        <v>105</v>
      </c>
      <c r="M1912" s="73">
        <v>94</v>
      </c>
      <c r="N1912" s="71" t="s">
        <v>388</v>
      </c>
      <c r="O1912" s="73">
        <v>0.371</v>
      </c>
      <c r="P1912" s="71" t="s">
        <v>389</v>
      </c>
      <c r="Q1912" s="73">
        <v>100</v>
      </c>
      <c r="R1912" s="71" t="s">
        <v>388</v>
      </c>
      <c r="S1912" s="73">
        <v>0</v>
      </c>
      <c r="T1912" s="71" t="s">
        <v>390</v>
      </c>
      <c r="U1912" s="74">
        <v>6</v>
      </c>
      <c r="V1912" s="71" t="s">
        <v>391</v>
      </c>
      <c r="W1912" s="130">
        <v>46075.666666666664</v>
      </c>
      <c r="X1912" s="72">
        <v>46076.331944444442</v>
      </c>
      <c r="Y1912" s="72">
        <v>46077.847222222219</v>
      </c>
      <c r="Z1912" s="104" t="s">
        <v>382</v>
      </c>
      <c r="AA1912" s="104" t="s">
        <v>978</v>
      </c>
      <c r="AB1912" s="105">
        <v>46077.71597222222</v>
      </c>
      <c r="AC1912" s="105">
        <v>46077.834722222222</v>
      </c>
    </row>
    <row r="1913" s="70" customFormat="1" ht="11.25" customHeight="1">
      <c r="A1913" s="87"/>
      <c r="C1913" s="43" t="s">
        <v>3447</v>
      </c>
      <c r="D1913" s="71" t="s">
        <v>382</v>
      </c>
      <c r="E1913" s="71" t="str">
        <f>MID(D1913,1,2)</f>
        <v>IL</v>
      </c>
      <c r="F1913" s="71" t="s">
        <v>496</v>
      </c>
      <c r="G1913" s="71" t="str">
        <f>MID(F1913,1,2)</f>
        <v>RO</v>
      </c>
      <c r="H1913" s="43" t="s">
        <v>3279</v>
      </c>
      <c r="I1913" s="71" t="s">
        <v>3448</v>
      </c>
      <c r="J1913" s="71" t="s">
        <v>386</v>
      </c>
      <c r="K1913" s="43"/>
      <c r="L1913" s="71" t="s">
        <v>107</v>
      </c>
      <c r="M1913" s="73">
        <v>1</v>
      </c>
      <c r="N1913" s="71" t="s">
        <v>388</v>
      </c>
      <c r="O1913" s="73">
        <v>0.001</v>
      </c>
      <c r="P1913" s="71" t="s">
        <v>389</v>
      </c>
      <c r="Q1913" s="73">
        <v>1</v>
      </c>
      <c r="R1913" s="71" t="s">
        <v>388</v>
      </c>
      <c r="S1913" s="73">
        <v>0</v>
      </c>
      <c r="T1913" s="71" t="s">
        <v>390</v>
      </c>
      <c r="U1913" s="74">
        <v>1</v>
      </c>
      <c r="V1913" s="71" t="s">
        <v>391</v>
      </c>
      <c r="W1913" s="130">
        <v>46075.361805555556</v>
      </c>
      <c r="X1913" s="72">
        <v>46077.013888888891</v>
      </c>
      <c r="Y1913" s="72">
        <v>46077.128472222219</v>
      </c>
      <c r="Z1913" s="104" t="s">
        <v>382</v>
      </c>
      <c r="AA1913" s="104" t="s">
        <v>496</v>
      </c>
      <c r="AB1913" s="105">
        <v>46077.013888888891</v>
      </c>
      <c r="AC1913" s="105">
        <v>46077.140277777777</v>
      </c>
    </row>
    <row r="1914" s="70" customFormat="1" ht="11.25" customHeight="1">
      <c r="A1914" s="87"/>
      <c r="C1914" s="43" t="s">
        <v>3449</v>
      </c>
      <c r="D1914" s="71" t="s">
        <v>382</v>
      </c>
      <c r="E1914" s="71" t="str">
        <f>MID(D1914,1,2)</f>
        <v>IL</v>
      </c>
      <c r="F1914" s="71" t="s">
        <v>480</v>
      </c>
      <c r="G1914" s="71" t="str">
        <f>MID(F1914,1,2)</f>
        <v>CA</v>
      </c>
      <c r="H1914" s="43" t="s">
        <v>3450</v>
      </c>
      <c r="I1914" s="71" t="s">
        <v>3451</v>
      </c>
      <c r="J1914" s="71" t="s">
        <v>386</v>
      </c>
      <c r="K1914" s="43"/>
      <c r="L1914" s="71" t="s">
        <v>107</v>
      </c>
      <c r="M1914" s="73">
        <v>65</v>
      </c>
      <c r="N1914" s="71" t="s">
        <v>388</v>
      </c>
      <c r="O1914" s="73">
        <v>0.22</v>
      </c>
      <c r="P1914" s="71" t="s">
        <v>389</v>
      </c>
      <c r="Q1914" s="73">
        <v>100</v>
      </c>
      <c r="R1914" s="71" t="s">
        <v>388</v>
      </c>
      <c r="S1914" s="73">
        <v>0</v>
      </c>
      <c r="T1914" s="71" t="s">
        <v>390</v>
      </c>
      <c r="U1914" s="74">
        <v>1</v>
      </c>
      <c r="V1914" s="71" t="s">
        <v>391</v>
      </c>
      <c r="W1914" s="130">
        <v>46075.673611111109</v>
      </c>
      <c r="X1914" s="72">
        <v>46078.458333333336</v>
      </c>
      <c r="Y1914" s="72">
        <v>46080.5</v>
      </c>
      <c r="Z1914" s="104" t="s">
        <v>382</v>
      </c>
      <c r="AA1914" s="104" t="s">
        <v>405</v>
      </c>
      <c r="AB1914" s="105">
        <v>46078.535416666666</v>
      </c>
      <c r="AC1914" s="105">
        <v>46078.7375</v>
      </c>
    </row>
    <row r="1915" s="70" customFormat="1" ht="11.25" customHeight="1">
      <c r="A1915" s="87"/>
      <c r="C1915" s="43" t="s">
        <v>3449</v>
      </c>
      <c r="D1915" s="71" t="s">
        <v>382</v>
      </c>
      <c r="E1915" s="71" t="str">
        <f>MID(D1915,1,2)</f>
        <v>IL</v>
      </c>
      <c r="F1915" s="71" t="s">
        <v>480</v>
      </c>
      <c r="G1915" s="71" t="str">
        <f>MID(F1915,1,2)</f>
        <v>CA</v>
      </c>
      <c r="H1915" s="43" t="s">
        <v>3450</v>
      </c>
      <c r="I1915" s="71" t="s">
        <v>3451</v>
      </c>
      <c r="J1915" s="71" t="s">
        <v>386</v>
      </c>
      <c r="K1915" s="43"/>
      <c r="L1915" s="71" t="s">
        <v>107</v>
      </c>
      <c r="M1915" s="73">
        <v>65</v>
      </c>
      <c r="N1915" s="71" t="s">
        <v>388</v>
      </c>
      <c r="O1915" s="73">
        <v>0.22</v>
      </c>
      <c r="P1915" s="71" t="s">
        <v>389</v>
      </c>
      <c r="Q1915" s="73">
        <v>100</v>
      </c>
      <c r="R1915" s="71" t="s">
        <v>388</v>
      </c>
      <c r="S1915" s="73">
        <v>0</v>
      </c>
      <c r="T1915" s="71" t="s">
        <v>390</v>
      </c>
      <c r="U1915" s="74">
        <v>1</v>
      </c>
      <c r="V1915" s="71" t="s">
        <v>391</v>
      </c>
      <c r="W1915" s="130">
        <v>46075.673611111109</v>
      </c>
      <c r="X1915" s="72">
        <v>46078.458333333336</v>
      </c>
      <c r="Y1915" s="72">
        <v>46080.5</v>
      </c>
      <c r="Z1915" s="104" t="s">
        <v>405</v>
      </c>
      <c r="AA1915" s="104" t="s">
        <v>480</v>
      </c>
      <c r="AB1915" s="105">
        <v>46080.120138888888</v>
      </c>
      <c r="AC1915" s="105">
        <v>46080.739583333336</v>
      </c>
    </row>
    <row r="1916" s="70" customFormat="1" ht="11.25" customHeight="1">
      <c r="A1916" s="87"/>
      <c r="C1916" s="43" t="s">
        <v>3452</v>
      </c>
      <c r="D1916" s="71" t="s">
        <v>382</v>
      </c>
      <c r="E1916" s="71" t="str">
        <f>MID(D1916,1,2)</f>
        <v>IL</v>
      </c>
      <c r="F1916" s="71" t="s">
        <v>383</v>
      </c>
      <c r="G1916" s="71" t="str">
        <f>MID(F1916,1,2)</f>
        <v>DE</v>
      </c>
      <c r="H1916" s="43" t="s">
        <v>2981</v>
      </c>
      <c r="I1916" s="71" t="s">
        <v>3453</v>
      </c>
      <c r="J1916" s="71" t="s">
        <v>386</v>
      </c>
      <c r="K1916" s="43"/>
      <c r="L1916" s="71" t="s">
        <v>107</v>
      </c>
      <c r="M1916" s="73">
        <v>656</v>
      </c>
      <c r="N1916" s="71" t="s">
        <v>388</v>
      </c>
      <c r="O1916" s="73">
        <v>11.088</v>
      </c>
      <c r="P1916" s="71" t="s">
        <v>389</v>
      </c>
      <c r="Q1916" s="73">
        <v>1848</v>
      </c>
      <c r="R1916" s="71" t="s">
        <v>388</v>
      </c>
      <c r="S1916" s="73">
        <v>0</v>
      </c>
      <c r="T1916" s="71" t="s">
        <v>390</v>
      </c>
      <c r="U1916" s="74">
        <v>7</v>
      </c>
      <c r="V1916" s="71" t="s">
        <v>391</v>
      </c>
      <c r="W1916" s="130">
        <v>46075.75236111111</v>
      </c>
      <c r="X1916" s="72">
        <v>46077.576388888891</v>
      </c>
      <c r="Y1916" s="72">
        <v>46080.083333333336</v>
      </c>
      <c r="Z1916" s="104" t="s">
        <v>383</v>
      </c>
      <c r="AA1916" s="104" t="s">
        <v>680</v>
      </c>
      <c r="AB1916" s="105">
        <v>46079.979166666664</v>
      </c>
      <c r="AC1916" s="105">
        <v>46080.229166666664</v>
      </c>
    </row>
    <row r="1917" s="70" customFormat="1" ht="11.25" customHeight="1">
      <c r="A1917" s="87"/>
      <c r="C1917" s="43" t="s">
        <v>3452</v>
      </c>
      <c r="D1917" s="71" t="s">
        <v>382</v>
      </c>
      <c r="E1917" s="71" t="str">
        <f>MID(D1917,1,2)</f>
        <v>IL</v>
      </c>
      <c r="F1917" s="71" t="s">
        <v>383</v>
      </c>
      <c r="G1917" s="71" t="str">
        <f>MID(F1917,1,2)</f>
        <v>DE</v>
      </c>
      <c r="H1917" s="43" t="s">
        <v>2981</v>
      </c>
      <c r="I1917" s="71" t="s">
        <v>3453</v>
      </c>
      <c r="J1917" s="71" t="s">
        <v>386</v>
      </c>
      <c r="K1917" s="43"/>
      <c r="L1917" s="71" t="s">
        <v>107</v>
      </c>
      <c r="M1917" s="73">
        <v>656</v>
      </c>
      <c r="N1917" s="71" t="s">
        <v>388</v>
      </c>
      <c r="O1917" s="73">
        <v>11.088</v>
      </c>
      <c r="P1917" s="71" t="s">
        <v>389</v>
      </c>
      <c r="Q1917" s="73">
        <v>1848</v>
      </c>
      <c r="R1917" s="71" t="s">
        <v>388</v>
      </c>
      <c r="S1917" s="73">
        <v>0</v>
      </c>
      <c r="T1917" s="71" t="s">
        <v>390</v>
      </c>
      <c r="U1917" s="74">
        <v>7</v>
      </c>
      <c r="V1917" s="71" t="s">
        <v>391</v>
      </c>
      <c r="W1917" s="130">
        <v>46075.75236111111</v>
      </c>
      <c r="X1917" s="72">
        <v>46077.576388888891</v>
      </c>
      <c r="Y1917" s="72">
        <v>46080.083333333336</v>
      </c>
      <c r="Z1917" s="104" t="s">
        <v>382</v>
      </c>
      <c r="AA1917" s="104" t="s">
        <v>383</v>
      </c>
      <c r="AB1917" s="105">
        <v>46077.563194444447</v>
      </c>
      <c r="AC1917" s="105">
        <v>46077.720138888886</v>
      </c>
    </row>
    <row r="1918" s="70" customFormat="1" ht="11.25" customHeight="1">
      <c r="A1918" s="87"/>
      <c r="C1918" s="43" t="s">
        <v>3454</v>
      </c>
      <c r="D1918" s="71" t="s">
        <v>382</v>
      </c>
      <c r="E1918" s="71" t="str">
        <f>MID(D1918,1,2)</f>
        <v>IL</v>
      </c>
      <c r="F1918" s="71" t="s">
        <v>476</v>
      </c>
      <c r="G1918" s="71" t="str">
        <f>MID(F1918,1,2)</f>
        <v>SG</v>
      </c>
      <c r="H1918" s="43" t="s">
        <v>3455</v>
      </c>
      <c r="I1918" s="71" t="s">
        <v>3456</v>
      </c>
      <c r="J1918" s="71" t="s">
        <v>454</v>
      </c>
      <c r="K1918" s="43"/>
      <c r="L1918" s="71" t="s">
        <v>107</v>
      </c>
      <c r="M1918" s="73">
        <v>69</v>
      </c>
      <c r="N1918" s="71" t="s">
        <v>388</v>
      </c>
      <c r="O1918" s="73">
        <v>0.355</v>
      </c>
      <c r="P1918" s="71" t="s">
        <v>389</v>
      </c>
      <c r="Q1918" s="73">
        <v>69</v>
      </c>
      <c r="R1918" s="71" t="s">
        <v>388</v>
      </c>
      <c r="S1918" s="73">
        <v>0</v>
      </c>
      <c r="T1918" s="71" t="s">
        <v>390</v>
      </c>
      <c r="U1918" s="74">
        <v>1</v>
      </c>
      <c r="V1918" s="71" t="s">
        <v>391</v>
      </c>
      <c r="W1918" s="130">
        <v>46075.752372685187</v>
      </c>
      <c r="X1918" s="72">
        <v>46076.652777777781</v>
      </c>
      <c r="Y1918" s="72">
        <v>46080.704861111109</v>
      </c>
      <c r="Z1918" s="104" t="s">
        <v>382</v>
      </c>
      <c r="AA1918" s="104" t="s">
        <v>383</v>
      </c>
      <c r="AB1918" s="105">
        <v>46077.563194444447</v>
      </c>
      <c r="AC1918" s="105">
        <v>46077.720138888886</v>
      </c>
    </row>
    <row r="1919" s="70" customFormat="1" ht="11.25" customHeight="1">
      <c r="A1919" s="87"/>
      <c r="C1919" s="43" t="s">
        <v>3454</v>
      </c>
      <c r="D1919" s="71" t="s">
        <v>382</v>
      </c>
      <c r="E1919" s="71" t="str">
        <f>MID(D1919,1,2)</f>
        <v>IL</v>
      </c>
      <c r="F1919" s="71" t="s">
        <v>476</v>
      </c>
      <c r="G1919" s="71" t="str">
        <f>MID(F1919,1,2)</f>
        <v>SG</v>
      </c>
      <c r="H1919" s="43" t="s">
        <v>3455</v>
      </c>
      <c r="I1919" s="71" t="s">
        <v>3456</v>
      </c>
      <c r="J1919" s="71" t="s">
        <v>454</v>
      </c>
      <c r="K1919" s="43"/>
      <c r="L1919" s="71" t="s">
        <v>107</v>
      </c>
      <c r="M1919" s="73">
        <v>69</v>
      </c>
      <c r="N1919" s="71" t="s">
        <v>388</v>
      </c>
      <c r="O1919" s="73">
        <v>0.355</v>
      </c>
      <c r="P1919" s="71" t="s">
        <v>389</v>
      </c>
      <c r="Q1919" s="73">
        <v>69</v>
      </c>
      <c r="R1919" s="71" t="s">
        <v>388</v>
      </c>
      <c r="S1919" s="73">
        <v>0</v>
      </c>
      <c r="T1919" s="71" t="s">
        <v>390</v>
      </c>
      <c r="U1919" s="74">
        <v>1</v>
      </c>
      <c r="V1919" s="71" t="s">
        <v>391</v>
      </c>
      <c r="W1919" s="130">
        <v>46075.752372685187</v>
      </c>
      <c r="X1919" s="72">
        <v>46076.652777777781</v>
      </c>
      <c r="Y1919" s="72">
        <v>46080.704861111109</v>
      </c>
      <c r="Z1919" s="104" t="s">
        <v>383</v>
      </c>
      <c r="AA1919" s="104" t="s">
        <v>476</v>
      </c>
      <c r="AB1919" s="105">
        <v>46078.928472222222</v>
      </c>
      <c r="AC1919" s="105">
        <v>46079.704861111109</v>
      </c>
    </row>
    <row r="1920" s="70" customFormat="1" ht="11.25" customHeight="1">
      <c r="A1920" s="87"/>
      <c r="C1920" s="43" t="s">
        <v>3457</v>
      </c>
      <c r="D1920" s="71" t="s">
        <v>382</v>
      </c>
      <c r="E1920" s="71" t="str">
        <f>MID(D1920,1,2)</f>
        <v>IL</v>
      </c>
      <c r="F1920" s="71" t="s">
        <v>443</v>
      </c>
      <c r="G1920" s="71" t="str">
        <f>MID(F1920,1,2)</f>
        <v>US</v>
      </c>
      <c r="H1920" s="43" t="s">
        <v>3458</v>
      </c>
      <c r="I1920" s="71" t="s">
        <v>3459</v>
      </c>
      <c r="J1920" s="71" t="s">
        <v>454</v>
      </c>
      <c r="K1920" s="43"/>
      <c r="L1920" s="71" t="s">
        <v>107</v>
      </c>
      <c r="M1920" s="73">
        <v>48</v>
      </c>
      <c r="N1920" s="71" t="s">
        <v>388</v>
      </c>
      <c r="O1920" s="73">
        <v>0.642</v>
      </c>
      <c r="P1920" s="71" t="s">
        <v>389</v>
      </c>
      <c r="Q1920" s="73">
        <v>107</v>
      </c>
      <c r="R1920" s="71" t="s">
        <v>388</v>
      </c>
      <c r="S1920" s="73">
        <v>0</v>
      </c>
      <c r="T1920" s="71" t="s">
        <v>390</v>
      </c>
      <c r="U1920" s="74">
        <v>1</v>
      </c>
      <c r="V1920" s="71" t="s">
        <v>391</v>
      </c>
      <c r="W1920" s="130">
        <v>46075.396527777775</v>
      </c>
      <c r="X1920" s="72">
        <v>46077.479166666664</v>
      </c>
      <c r="Y1920" s="72">
        <v>46083.479166666664</v>
      </c>
      <c r="Z1920" s="104" t="s">
        <v>382</v>
      </c>
      <c r="AA1920" s="104" t="s">
        <v>1960</v>
      </c>
      <c r="AB1920" s="105">
        <v>46078.0125</v>
      </c>
      <c r="AC1920" s="105">
        <v>46078.23333333333</v>
      </c>
    </row>
    <row r="1921" s="70" customFormat="1" ht="11.25" customHeight="1">
      <c r="A1921" s="87"/>
      <c r="C1921" s="43" t="s">
        <v>3457</v>
      </c>
      <c r="D1921" s="71" t="s">
        <v>382</v>
      </c>
      <c r="E1921" s="71" t="str">
        <f>MID(D1921,1,2)</f>
        <v>IL</v>
      </c>
      <c r="F1921" s="71" t="s">
        <v>443</v>
      </c>
      <c r="G1921" s="71" t="str">
        <f>MID(F1921,1,2)</f>
        <v>US</v>
      </c>
      <c r="H1921" s="43" t="s">
        <v>3458</v>
      </c>
      <c r="I1921" s="71" t="s">
        <v>3459</v>
      </c>
      <c r="J1921" s="71" t="s">
        <v>454</v>
      </c>
      <c r="K1921" s="43"/>
      <c r="L1921" s="71" t="s">
        <v>107</v>
      </c>
      <c r="M1921" s="73">
        <v>48</v>
      </c>
      <c r="N1921" s="71" t="s">
        <v>388</v>
      </c>
      <c r="O1921" s="73">
        <v>0.642</v>
      </c>
      <c r="P1921" s="71" t="s">
        <v>389</v>
      </c>
      <c r="Q1921" s="73">
        <v>107</v>
      </c>
      <c r="R1921" s="71" t="s">
        <v>388</v>
      </c>
      <c r="S1921" s="73">
        <v>0</v>
      </c>
      <c r="T1921" s="71" t="s">
        <v>390</v>
      </c>
      <c r="U1921" s="74">
        <v>1</v>
      </c>
      <c r="V1921" s="71" t="s">
        <v>391</v>
      </c>
      <c r="W1921" s="130">
        <v>46075.396527777775</v>
      </c>
      <c r="X1921" s="72">
        <v>46077.479166666664</v>
      </c>
      <c r="Y1921" s="72">
        <v>46083.479166666664</v>
      </c>
      <c r="Z1921" s="104" t="s">
        <v>1960</v>
      </c>
      <c r="AA1921" s="104" t="s">
        <v>443</v>
      </c>
      <c r="AB1921" s="105">
        <v>46079.442361111112</v>
      </c>
      <c r="AC1921" s="105">
        <v>46079.54375</v>
      </c>
    </row>
    <row r="1922" s="70" customFormat="1" ht="11.25" customHeight="1">
      <c r="A1922" s="87"/>
      <c r="C1922" s="43" t="s">
        <v>3460</v>
      </c>
      <c r="D1922" s="71" t="s">
        <v>382</v>
      </c>
      <c r="E1922" s="71" t="str">
        <f>MID(D1922,1,2)</f>
        <v>IL</v>
      </c>
      <c r="F1922" s="71" t="s">
        <v>414</v>
      </c>
      <c r="G1922" s="71" t="str">
        <f>MID(F1922,1,2)</f>
        <v>US</v>
      </c>
      <c r="H1922" s="43" t="s">
        <v>3396</v>
      </c>
      <c r="I1922" s="71" t="s">
        <v>3461</v>
      </c>
      <c r="J1922" s="71" t="s">
        <v>386</v>
      </c>
      <c r="K1922" s="43" t="s">
        <v>431</v>
      </c>
      <c r="L1922" s="71" t="s">
        <v>107</v>
      </c>
      <c r="M1922" s="73">
        <v>321</v>
      </c>
      <c r="N1922" s="71" t="s">
        <v>388</v>
      </c>
      <c r="O1922" s="73">
        <v>3.281</v>
      </c>
      <c r="P1922" s="71" t="s">
        <v>389</v>
      </c>
      <c r="Q1922" s="73">
        <v>547</v>
      </c>
      <c r="R1922" s="71" t="s">
        <v>388</v>
      </c>
      <c r="S1922" s="73">
        <v>0</v>
      </c>
      <c r="T1922" s="71" t="s">
        <v>390</v>
      </c>
      <c r="U1922" s="74">
        <v>2</v>
      </c>
      <c r="V1922" s="71" t="s">
        <v>391</v>
      </c>
      <c r="W1922" s="130">
        <v>46075.368055555555</v>
      </c>
      <c r="X1922" s="72">
        <v>46078.03125</v>
      </c>
      <c r="Y1922" s="72">
        <v>46078.24375</v>
      </c>
      <c r="Z1922" s="104" t="s">
        <v>382</v>
      </c>
      <c r="AA1922" s="104" t="s">
        <v>414</v>
      </c>
      <c r="AB1922" s="105">
        <v>46078.040277777778</v>
      </c>
      <c r="AC1922" s="105">
        <v>46078.234027777777</v>
      </c>
    </row>
    <row r="1923" s="70" customFormat="1" ht="11.25" customHeight="1">
      <c r="A1923" s="87"/>
      <c r="C1923" s="43" t="s">
        <v>3462</v>
      </c>
      <c r="D1923" s="71" t="s">
        <v>382</v>
      </c>
      <c r="E1923" s="71" t="str">
        <f>MID(D1923,1,2)</f>
        <v>IL</v>
      </c>
      <c r="F1923" s="71" t="s">
        <v>526</v>
      </c>
      <c r="G1923" s="71" t="str">
        <f>MID(F1923,1,2)</f>
        <v>US</v>
      </c>
      <c r="H1923" s="43" t="s">
        <v>3463</v>
      </c>
      <c r="I1923" s="71" t="s">
        <v>3464</v>
      </c>
      <c r="J1923" s="71" t="s">
        <v>386</v>
      </c>
      <c r="K1923" s="43"/>
      <c r="L1923" s="71" t="s">
        <v>107</v>
      </c>
      <c r="M1923" s="73">
        <v>170</v>
      </c>
      <c r="N1923" s="71" t="s">
        <v>388</v>
      </c>
      <c r="O1923" s="73">
        <v>1.512</v>
      </c>
      <c r="P1923" s="71" t="s">
        <v>389</v>
      </c>
      <c r="Q1923" s="73">
        <v>252</v>
      </c>
      <c r="R1923" s="71" t="s">
        <v>388</v>
      </c>
      <c r="S1923" s="73">
        <v>10</v>
      </c>
      <c r="T1923" s="71" t="s">
        <v>390</v>
      </c>
      <c r="U1923" s="74">
        <v>2</v>
      </c>
      <c r="V1923" s="71" t="s">
        <v>391</v>
      </c>
      <c r="W1923" s="130">
        <v>46075.375694444447</v>
      </c>
      <c r="X1923" s="72">
        <v>46077.03125</v>
      </c>
      <c r="Y1923" s="72">
        <v>46077.253472222219</v>
      </c>
      <c r="Z1923" s="104" t="s">
        <v>382</v>
      </c>
      <c r="AA1923" s="104" t="s">
        <v>526</v>
      </c>
      <c r="AB1923" s="105">
        <v>46077.03402777778</v>
      </c>
      <c r="AC1923" s="105">
        <v>46077.25625</v>
      </c>
    </row>
    <row r="1924" s="70" customFormat="1" ht="11.25" customHeight="1">
      <c r="A1924" s="87"/>
      <c r="C1924" s="43" t="s">
        <v>3465</v>
      </c>
      <c r="D1924" s="71" t="s">
        <v>382</v>
      </c>
      <c r="E1924" s="71" t="str">
        <f>MID(D1924,1,2)</f>
        <v>IL</v>
      </c>
      <c r="F1924" s="71" t="s">
        <v>702</v>
      </c>
      <c r="G1924" s="71" t="str">
        <f>MID(F1924,1,2)</f>
        <v>JP</v>
      </c>
      <c r="H1924" s="43" t="s">
        <v>3466</v>
      </c>
      <c r="I1924" s="71" t="s">
        <v>3467</v>
      </c>
      <c r="J1924" s="71" t="s">
        <v>386</v>
      </c>
      <c r="K1924" s="43"/>
      <c r="L1924" s="71" t="s">
        <v>107</v>
      </c>
      <c r="M1924" s="73">
        <v>2764</v>
      </c>
      <c r="N1924" s="71" t="s">
        <v>388</v>
      </c>
      <c r="O1924" s="73">
        <v>15.6</v>
      </c>
      <c r="P1924" s="71" t="s">
        <v>389</v>
      </c>
      <c r="Q1924" s="73">
        <v>2764</v>
      </c>
      <c r="R1924" s="71" t="s">
        <v>388</v>
      </c>
      <c r="S1924" s="73">
        <v>0</v>
      </c>
      <c r="T1924" s="71" t="s">
        <v>390</v>
      </c>
      <c r="U1924" s="74">
        <v>10</v>
      </c>
      <c r="V1924" s="71" t="s">
        <v>391</v>
      </c>
      <c r="W1924" s="130">
        <v>46076.624305555553</v>
      </c>
      <c r="X1924" s="72">
        <v>46078.788194444445</v>
      </c>
      <c r="Y1924" s="72">
        <v>46079.559027777781</v>
      </c>
      <c r="Z1924" s="104" t="s">
        <v>382</v>
      </c>
      <c r="AA1924" s="104" t="s">
        <v>702</v>
      </c>
      <c r="AB1924" s="105">
        <v>46078.804166666669</v>
      </c>
      <c r="AC1924" s="105">
        <v>46079.56527777778</v>
      </c>
    </row>
    <row r="1925" s="70" customFormat="1" ht="11.25" customHeight="1">
      <c r="A1925" s="87"/>
      <c r="C1925" s="43" t="s">
        <v>3468</v>
      </c>
      <c r="D1925" s="71" t="s">
        <v>382</v>
      </c>
      <c r="E1925" s="71" t="str">
        <f>MID(D1925,1,2)</f>
        <v>IL</v>
      </c>
      <c r="F1925" s="71" t="s">
        <v>485</v>
      </c>
      <c r="G1925" s="71" t="str">
        <f>MID(F1925,1,2)</f>
        <v>US</v>
      </c>
      <c r="H1925" s="43" t="s">
        <v>3469</v>
      </c>
      <c r="I1925" s="71" t="s">
        <v>3470</v>
      </c>
      <c r="J1925" s="71" t="s">
        <v>400</v>
      </c>
      <c r="K1925" s="43"/>
      <c r="L1925" s="71" t="s">
        <v>105</v>
      </c>
      <c r="M1925" s="73">
        <v>115</v>
      </c>
      <c r="N1925" s="71" t="s">
        <v>388</v>
      </c>
      <c r="O1925" s="73">
        <v>1.854</v>
      </c>
      <c r="P1925" s="71" t="s">
        <v>389</v>
      </c>
      <c r="Q1925" s="73">
        <v>309</v>
      </c>
      <c r="R1925" s="71" t="s">
        <v>388</v>
      </c>
      <c r="S1925" s="73">
        <v>0</v>
      </c>
      <c r="T1925" s="71" t="s">
        <v>390</v>
      </c>
      <c r="U1925" s="74">
        <v>1</v>
      </c>
      <c r="V1925" s="71" t="s">
        <v>391</v>
      </c>
      <c r="W1925" s="130">
        <v>46076.835972222223</v>
      </c>
      <c r="X1925" s="72">
        <v>46079.458333333336</v>
      </c>
      <c r="Y1925" s="72">
        <v>46084.583333333336</v>
      </c>
      <c r="Z1925" s="104" t="s">
        <v>382</v>
      </c>
      <c r="AA1925" s="104" t="s">
        <v>414</v>
      </c>
      <c r="AB1925" s="105">
        <v>46080.476388888892</v>
      </c>
      <c r="AC1925" s="105">
        <v>46080.698611111111</v>
      </c>
    </row>
    <row r="1926" s="70" customFormat="1" ht="11.25" customHeight="1">
      <c r="A1926" s="87"/>
      <c r="C1926" s="43" t="s">
        <v>3468</v>
      </c>
      <c r="D1926" s="71" t="s">
        <v>382</v>
      </c>
      <c r="E1926" s="71" t="str">
        <f>MID(D1926,1,2)</f>
        <v>IL</v>
      </c>
      <c r="F1926" s="71" t="s">
        <v>485</v>
      </c>
      <c r="G1926" s="71" t="str">
        <f>MID(F1926,1,2)</f>
        <v>US</v>
      </c>
      <c r="H1926" s="43" t="s">
        <v>3469</v>
      </c>
      <c r="I1926" s="71" t="s">
        <v>3470</v>
      </c>
      <c r="J1926" s="71" t="s">
        <v>400</v>
      </c>
      <c r="K1926" s="43"/>
      <c r="L1926" s="71" t="s">
        <v>105</v>
      </c>
      <c r="M1926" s="73">
        <v>115</v>
      </c>
      <c r="N1926" s="71" t="s">
        <v>388</v>
      </c>
      <c r="O1926" s="73">
        <v>1.854</v>
      </c>
      <c r="P1926" s="71" t="s">
        <v>389</v>
      </c>
      <c r="Q1926" s="73">
        <v>309</v>
      </c>
      <c r="R1926" s="71" t="s">
        <v>388</v>
      </c>
      <c r="S1926" s="73">
        <v>0</v>
      </c>
      <c r="T1926" s="71" t="s">
        <v>390</v>
      </c>
      <c r="U1926" s="74">
        <v>1</v>
      </c>
      <c r="V1926" s="71" t="s">
        <v>391</v>
      </c>
      <c r="W1926" s="130">
        <v>46076.835972222223</v>
      </c>
      <c r="X1926" s="72">
        <v>46079.458333333336</v>
      </c>
      <c r="Y1926" s="72">
        <v>46084.583333333336</v>
      </c>
      <c r="Z1926" s="104" t="s">
        <v>414</v>
      </c>
      <c r="AA1926" s="104" t="s">
        <v>485</v>
      </c>
      <c r="AB1926" s="105">
        <v>46081.06875</v>
      </c>
      <c r="AC1926" s="105">
        <v>46082.513194444444</v>
      </c>
    </row>
    <row r="1927" s="70" customFormat="1" ht="11.25" customHeight="1">
      <c r="A1927" s="87"/>
      <c r="C1927" s="43" t="s">
        <v>3471</v>
      </c>
      <c r="D1927" s="71" t="s">
        <v>382</v>
      </c>
      <c r="E1927" s="71" t="str">
        <f>MID(D1927,1,2)</f>
        <v>IL</v>
      </c>
      <c r="F1927" s="71" t="s">
        <v>522</v>
      </c>
      <c r="G1927" s="71" t="str">
        <f>MID(F1927,1,2)</f>
        <v>CZ</v>
      </c>
      <c r="H1927" s="43" t="s">
        <v>3472</v>
      </c>
      <c r="I1927" s="71" t="s">
        <v>3473</v>
      </c>
      <c r="J1927" s="71" t="s">
        <v>386</v>
      </c>
      <c r="K1927" s="43"/>
      <c r="L1927" s="71" t="s">
        <v>107</v>
      </c>
      <c r="M1927" s="73">
        <v>166</v>
      </c>
      <c r="N1927" s="71" t="s">
        <v>388</v>
      </c>
      <c r="O1927" s="73">
        <v>1.5</v>
      </c>
      <c r="P1927" s="71" t="s">
        <v>389</v>
      </c>
      <c r="Q1927" s="73">
        <v>250</v>
      </c>
      <c r="R1927" s="71" t="s">
        <v>388</v>
      </c>
      <c r="S1927" s="73">
        <v>0</v>
      </c>
      <c r="T1927" s="71" t="s">
        <v>390</v>
      </c>
      <c r="U1927" s="74">
        <v>1</v>
      </c>
      <c r="V1927" s="71" t="s">
        <v>391</v>
      </c>
      <c r="W1927" s="130"/>
      <c r="X1927" s="72">
        <v>46079.003472222219</v>
      </c>
      <c r="Y1927" s="72">
        <v>46082.333333333336</v>
      </c>
      <c r="Z1927" s="104" t="s">
        <v>382</v>
      </c>
      <c r="AA1927" s="104" t="s">
        <v>383</v>
      </c>
      <c r="AB1927" s="105">
        <v>46078.970138888886</v>
      </c>
      <c r="AC1927" s="105">
        <v>46079.282638888886</v>
      </c>
    </row>
    <row r="1928" s="70" customFormat="1" ht="11.25" customHeight="1">
      <c r="A1928" s="87"/>
      <c r="C1928" s="43" t="s">
        <v>3471</v>
      </c>
      <c r="D1928" s="71" t="s">
        <v>382</v>
      </c>
      <c r="E1928" s="71" t="str">
        <f>MID(D1928,1,2)</f>
        <v>IL</v>
      </c>
      <c r="F1928" s="71" t="s">
        <v>522</v>
      </c>
      <c r="G1928" s="71" t="str">
        <f>MID(F1928,1,2)</f>
        <v>CZ</v>
      </c>
      <c r="H1928" s="43" t="s">
        <v>3472</v>
      </c>
      <c r="I1928" s="71" t="s">
        <v>3473</v>
      </c>
      <c r="J1928" s="71" t="s">
        <v>386</v>
      </c>
      <c r="K1928" s="43"/>
      <c r="L1928" s="71" t="s">
        <v>107</v>
      </c>
      <c r="M1928" s="73">
        <v>166</v>
      </c>
      <c r="N1928" s="71" t="s">
        <v>388</v>
      </c>
      <c r="O1928" s="73">
        <v>1.5</v>
      </c>
      <c r="P1928" s="71" t="s">
        <v>389</v>
      </c>
      <c r="Q1928" s="73">
        <v>250</v>
      </c>
      <c r="R1928" s="71" t="s">
        <v>388</v>
      </c>
      <c r="S1928" s="73">
        <v>0</v>
      </c>
      <c r="T1928" s="71" t="s">
        <v>390</v>
      </c>
      <c r="U1928" s="74">
        <v>1</v>
      </c>
      <c r="V1928" s="71" t="s">
        <v>391</v>
      </c>
      <c r="W1928" s="130"/>
      <c r="X1928" s="72">
        <v>46079.003472222219</v>
      </c>
      <c r="Y1928" s="72">
        <v>46082.333333333336</v>
      </c>
      <c r="Z1928" s="104" t="s">
        <v>383</v>
      </c>
      <c r="AA1928" s="104" t="s">
        <v>522</v>
      </c>
      <c r="AB1928" s="105">
        <v>46079.947916666664</v>
      </c>
      <c r="AC1928" s="105">
        <v>46080.271527777775</v>
      </c>
    </row>
    <row r="1929" s="70" customFormat="1" ht="11.25" customHeight="1">
      <c r="A1929" s="87"/>
      <c r="C1929" s="43" t="s">
        <v>3474</v>
      </c>
      <c r="D1929" s="71" t="s">
        <v>382</v>
      </c>
      <c r="E1929" s="71" t="str">
        <f>MID(D1929,1,2)</f>
        <v>IL</v>
      </c>
      <c r="F1929" s="71" t="s">
        <v>414</v>
      </c>
      <c r="G1929" s="71" t="str">
        <f>MID(F1929,1,2)</f>
        <v>US</v>
      </c>
      <c r="H1929" s="43" t="s">
        <v>3396</v>
      </c>
      <c r="I1929" s="71" t="s">
        <v>3475</v>
      </c>
      <c r="J1929" s="71" t="s">
        <v>454</v>
      </c>
      <c r="K1929" s="43" t="s">
        <v>431</v>
      </c>
      <c r="L1929" s="71" t="s">
        <v>107</v>
      </c>
      <c r="M1929" s="73">
        <v>5</v>
      </c>
      <c r="N1929" s="71" t="s">
        <v>388</v>
      </c>
      <c r="O1929" s="73">
        <v>0.017</v>
      </c>
      <c r="P1929" s="71" t="s">
        <v>389</v>
      </c>
      <c r="Q1929" s="73">
        <v>5</v>
      </c>
      <c r="R1929" s="71" t="s">
        <v>388</v>
      </c>
      <c r="S1929" s="73">
        <v>0</v>
      </c>
      <c r="T1929" s="71" t="s">
        <v>390</v>
      </c>
      <c r="U1929" s="74">
        <v>1</v>
      </c>
      <c r="V1929" s="71" t="s">
        <v>427</v>
      </c>
      <c r="W1929" s="130">
        <v>46075.410416666666</v>
      </c>
      <c r="X1929" s="72">
        <v>46078.03125</v>
      </c>
      <c r="Y1929" s="72">
        <v>46078.24375</v>
      </c>
      <c r="Z1929" s="104" t="s">
        <v>382</v>
      </c>
      <c r="AA1929" s="104" t="s">
        <v>414</v>
      </c>
      <c r="AB1929" s="105">
        <v>46078.040277777778</v>
      </c>
      <c r="AC1929" s="105">
        <v>46078.234027777777</v>
      </c>
    </row>
    <row r="1930" s="70" customFormat="1" ht="11.25" customHeight="1">
      <c r="A1930" s="87"/>
      <c r="C1930" s="43" t="s">
        <v>3476</v>
      </c>
      <c r="D1930" s="71" t="s">
        <v>382</v>
      </c>
      <c r="E1930" s="71" t="str">
        <f>MID(D1930,1,2)</f>
        <v>IL</v>
      </c>
      <c r="F1930" s="71" t="s">
        <v>863</v>
      </c>
      <c r="G1930" s="71" t="str">
        <f>MID(F1930,1,2)</f>
        <v>DE</v>
      </c>
      <c r="H1930" s="43" t="s">
        <v>3477</v>
      </c>
      <c r="I1930" s="71" t="s">
        <v>3478</v>
      </c>
      <c r="J1930" s="71" t="s">
        <v>386</v>
      </c>
      <c r="K1930" s="43"/>
      <c r="L1930" s="71" t="s">
        <v>107</v>
      </c>
      <c r="M1930" s="73">
        <v>100</v>
      </c>
      <c r="N1930" s="71" t="s">
        <v>388</v>
      </c>
      <c r="O1930" s="73">
        <v>0.346</v>
      </c>
      <c r="P1930" s="71" t="s">
        <v>389</v>
      </c>
      <c r="Q1930" s="73">
        <v>100</v>
      </c>
      <c r="R1930" s="71" t="s">
        <v>388</v>
      </c>
      <c r="S1930" s="73">
        <v>0</v>
      </c>
      <c r="T1930" s="71" t="s">
        <v>390</v>
      </c>
      <c r="U1930" s="74">
        <v>1</v>
      </c>
      <c r="V1930" s="71" t="s">
        <v>391</v>
      </c>
      <c r="W1930" s="130">
        <v>46078.770740740743</v>
      </c>
      <c r="X1930" s="72">
        <v>46079.753472222219</v>
      </c>
      <c r="Y1930" s="72">
        <v>46085.083333333336</v>
      </c>
      <c r="Z1930" s="104" t="s">
        <v>383</v>
      </c>
      <c r="AA1930" s="104" t="s">
        <v>3479</v>
      </c>
      <c r="AB1930" s="105"/>
      <c r="AC1930" s="105"/>
    </row>
    <row r="1931" s="70" customFormat="1" ht="11.25" customHeight="1">
      <c r="A1931" s="87"/>
      <c r="C1931" s="43" t="s">
        <v>3476</v>
      </c>
      <c r="D1931" s="71" t="s">
        <v>382</v>
      </c>
      <c r="E1931" s="71" t="str">
        <f>MID(D1931,1,2)</f>
        <v>IL</v>
      </c>
      <c r="F1931" s="71" t="s">
        <v>863</v>
      </c>
      <c r="G1931" s="71" t="str">
        <f>MID(F1931,1,2)</f>
        <v>DE</v>
      </c>
      <c r="H1931" s="43" t="s">
        <v>3477</v>
      </c>
      <c r="I1931" s="71" t="s">
        <v>3478</v>
      </c>
      <c r="J1931" s="71" t="s">
        <v>386</v>
      </c>
      <c r="K1931" s="43"/>
      <c r="L1931" s="71" t="s">
        <v>107</v>
      </c>
      <c r="M1931" s="73">
        <v>100</v>
      </c>
      <c r="N1931" s="71" t="s">
        <v>388</v>
      </c>
      <c r="O1931" s="73">
        <v>0.346</v>
      </c>
      <c r="P1931" s="71" t="s">
        <v>389</v>
      </c>
      <c r="Q1931" s="73">
        <v>100</v>
      </c>
      <c r="R1931" s="71" t="s">
        <v>388</v>
      </c>
      <c r="S1931" s="73">
        <v>0</v>
      </c>
      <c r="T1931" s="71" t="s">
        <v>390</v>
      </c>
      <c r="U1931" s="74">
        <v>1</v>
      </c>
      <c r="V1931" s="71" t="s">
        <v>391</v>
      </c>
      <c r="W1931" s="130">
        <v>46078.770740740743</v>
      </c>
      <c r="X1931" s="72">
        <v>46079.753472222219</v>
      </c>
      <c r="Y1931" s="72">
        <v>46085.083333333336</v>
      </c>
      <c r="Z1931" s="104" t="s">
        <v>382</v>
      </c>
      <c r="AA1931" s="104" t="s">
        <v>748</v>
      </c>
      <c r="AB1931" s="105">
        <v>46079.638888888891</v>
      </c>
      <c r="AC1931" s="105"/>
    </row>
    <row r="1932" s="70" customFormat="1" ht="11.25" customHeight="1">
      <c r="A1932" s="87"/>
      <c r="C1932" s="43" t="s">
        <v>3476</v>
      </c>
      <c r="D1932" s="71" t="s">
        <v>382</v>
      </c>
      <c r="E1932" s="71" t="str">
        <f>MID(D1932,1,2)</f>
        <v>IL</v>
      </c>
      <c r="F1932" s="71" t="s">
        <v>863</v>
      </c>
      <c r="G1932" s="71" t="str">
        <f>MID(F1932,1,2)</f>
        <v>DE</v>
      </c>
      <c r="H1932" s="43" t="s">
        <v>3477</v>
      </c>
      <c r="I1932" s="71" t="s">
        <v>3478</v>
      </c>
      <c r="J1932" s="71" t="s">
        <v>386</v>
      </c>
      <c r="K1932" s="43"/>
      <c r="L1932" s="71" t="s">
        <v>107</v>
      </c>
      <c r="M1932" s="73">
        <v>100</v>
      </c>
      <c r="N1932" s="71" t="s">
        <v>388</v>
      </c>
      <c r="O1932" s="73">
        <v>0.346</v>
      </c>
      <c r="P1932" s="71" t="s">
        <v>389</v>
      </c>
      <c r="Q1932" s="73">
        <v>100</v>
      </c>
      <c r="R1932" s="71" t="s">
        <v>388</v>
      </c>
      <c r="S1932" s="73">
        <v>0</v>
      </c>
      <c r="T1932" s="71" t="s">
        <v>390</v>
      </c>
      <c r="U1932" s="74">
        <v>1</v>
      </c>
      <c r="V1932" s="71" t="s">
        <v>391</v>
      </c>
      <c r="W1932" s="130">
        <v>46078.770740740743</v>
      </c>
      <c r="X1932" s="72">
        <v>46079.753472222219</v>
      </c>
      <c r="Y1932" s="72">
        <v>46085.083333333336</v>
      </c>
      <c r="Z1932" s="104" t="s">
        <v>748</v>
      </c>
      <c r="AA1932" s="104" t="s">
        <v>383</v>
      </c>
      <c r="AB1932" s="105">
        <v>46080.185416666667</v>
      </c>
      <c r="AC1932" s="105">
        <v>46080.241666666669</v>
      </c>
    </row>
    <row r="1933" s="70" customFormat="1" ht="11.25" customHeight="1">
      <c r="A1933" s="87"/>
      <c r="C1933" s="43" t="s">
        <v>3480</v>
      </c>
      <c r="D1933" s="71" t="s">
        <v>382</v>
      </c>
      <c r="E1933" s="71" t="str">
        <f>MID(D1933,1,2)</f>
        <v>IL</v>
      </c>
      <c r="F1933" s="71" t="s">
        <v>405</v>
      </c>
      <c r="G1933" s="71" t="str">
        <f>MID(F1933,1,2)</f>
        <v>CA</v>
      </c>
      <c r="H1933" s="43" t="s">
        <v>3481</v>
      </c>
      <c r="I1933" s="71" t="s">
        <v>3482</v>
      </c>
      <c r="J1933" s="71" t="s">
        <v>386</v>
      </c>
      <c r="K1933" s="43"/>
      <c r="L1933" s="71" t="s">
        <v>107</v>
      </c>
      <c r="M1933" s="73">
        <v>140</v>
      </c>
      <c r="N1933" s="71" t="s">
        <v>388</v>
      </c>
      <c r="O1933" s="73">
        <v>1.368</v>
      </c>
      <c r="P1933" s="71" t="s">
        <v>389</v>
      </c>
      <c r="Q1933" s="73">
        <v>228</v>
      </c>
      <c r="R1933" s="71" t="s">
        <v>388</v>
      </c>
      <c r="S1933" s="73">
        <v>0</v>
      </c>
      <c r="T1933" s="71" t="s">
        <v>390</v>
      </c>
      <c r="U1933" s="74">
        <v>1</v>
      </c>
      <c r="V1933" s="71" t="s">
        <v>391</v>
      </c>
      <c r="W1933" s="130">
        <v>46075.52847222222</v>
      </c>
      <c r="X1933" s="72">
        <v>46078.458333333336</v>
      </c>
      <c r="Y1933" s="72">
        <v>46080.831944444442</v>
      </c>
      <c r="Z1933" s="104" t="s">
        <v>382</v>
      </c>
      <c r="AA1933" s="104" t="s">
        <v>405</v>
      </c>
      <c r="AB1933" s="105">
        <v>46080.638888888891</v>
      </c>
      <c r="AC1933" s="105">
        <v>46080.906944444447</v>
      </c>
    </row>
    <row r="1934" s="70" customFormat="1" ht="11.25" customHeight="1">
      <c r="A1934" s="87"/>
      <c r="C1934" s="43" t="s">
        <v>3483</v>
      </c>
      <c r="D1934" s="71" t="s">
        <v>382</v>
      </c>
      <c r="E1934" s="71" t="str">
        <f>MID(D1934,1,2)</f>
        <v>IL</v>
      </c>
      <c r="F1934" s="71" t="s">
        <v>476</v>
      </c>
      <c r="G1934" s="71" t="str">
        <f>MID(F1934,1,2)</f>
        <v>SG</v>
      </c>
      <c r="H1934" s="43" t="s">
        <v>3484</v>
      </c>
      <c r="I1934" s="71" t="s">
        <v>3485</v>
      </c>
      <c r="J1934" s="71" t="s">
        <v>386</v>
      </c>
      <c r="K1934" s="43"/>
      <c r="L1934" s="71" t="s">
        <v>107</v>
      </c>
      <c r="M1934" s="73">
        <v>34</v>
      </c>
      <c r="N1934" s="71" t="s">
        <v>388</v>
      </c>
      <c r="O1934" s="73">
        <v>0.288</v>
      </c>
      <c r="P1934" s="71" t="s">
        <v>389</v>
      </c>
      <c r="Q1934" s="73">
        <v>48</v>
      </c>
      <c r="R1934" s="71" t="s">
        <v>388</v>
      </c>
      <c r="S1934" s="73">
        <v>0</v>
      </c>
      <c r="T1934" s="71" t="s">
        <v>390</v>
      </c>
      <c r="U1934" s="74">
        <v>1</v>
      </c>
      <c r="V1934" s="71" t="s">
        <v>391</v>
      </c>
      <c r="W1934" s="130">
        <v>46075.662048611113</v>
      </c>
      <c r="X1934" s="72">
        <v>46093.583333333336</v>
      </c>
      <c r="Y1934" s="72">
        <v>46099.802083333336</v>
      </c>
      <c r="Z1934" s="104" t="s">
        <v>382</v>
      </c>
      <c r="AA1934" s="104" t="s">
        <v>383</v>
      </c>
      <c r="AB1934" s="105">
        <v>46093.740277777775</v>
      </c>
      <c r="AC1934" s="105">
        <v>46093.885416666664</v>
      </c>
    </row>
    <row r="1935" s="70" customFormat="1" ht="11.25" customHeight="1">
      <c r="A1935" s="87"/>
      <c r="C1935" s="43" t="s">
        <v>3483</v>
      </c>
      <c r="D1935" s="71" t="s">
        <v>382</v>
      </c>
      <c r="E1935" s="71" t="str">
        <f>MID(D1935,1,2)</f>
        <v>IL</v>
      </c>
      <c r="F1935" s="71" t="s">
        <v>476</v>
      </c>
      <c r="G1935" s="71" t="str">
        <f>MID(F1935,1,2)</f>
        <v>SG</v>
      </c>
      <c r="H1935" s="43" t="s">
        <v>3484</v>
      </c>
      <c r="I1935" s="71" t="s">
        <v>3485</v>
      </c>
      <c r="J1935" s="71" t="s">
        <v>386</v>
      </c>
      <c r="K1935" s="43"/>
      <c r="L1935" s="71" t="s">
        <v>107</v>
      </c>
      <c r="M1935" s="73">
        <v>34</v>
      </c>
      <c r="N1935" s="71" t="s">
        <v>388</v>
      </c>
      <c r="O1935" s="73">
        <v>0.288</v>
      </c>
      <c r="P1935" s="71" t="s">
        <v>389</v>
      </c>
      <c r="Q1935" s="73">
        <v>48</v>
      </c>
      <c r="R1935" s="71" t="s">
        <v>388</v>
      </c>
      <c r="S1935" s="73">
        <v>0</v>
      </c>
      <c r="T1935" s="71" t="s">
        <v>390</v>
      </c>
      <c r="U1935" s="74">
        <v>1</v>
      </c>
      <c r="V1935" s="71" t="s">
        <v>391</v>
      </c>
      <c r="W1935" s="130">
        <v>46075.662048611113</v>
      </c>
      <c r="X1935" s="72">
        <v>46093.583333333336</v>
      </c>
      <c r="Y1935" s="72">
        <v>46099.802083333336</v>
      </c>
      <c r="Z1935" s="104" t="s">
        <v>383</v>
      </c>
      <c r="AA1935" s="104" t="s">
        <v>403</v>
      </c>
      <c r="AB1935" s="105">
        <v>46097.5375</v>
      </c>
      <c r="AC1935" s="105">
        <v>46098.334027777775</v>
      </c>
    </row>
    <row r="1936" s="70" customFormat="1" ht="11.25" customHeight="1">
      <c r="A1936" s="87"/>
      <c r="C1936" s="43" t="s">
        <v>3483</v>
      </c>
      <c r="D1936" s="71" t="s">
        <v>382</v>
      </c>
      <c r="E1936" s="71" t="str">
        <f>MID(D1936,1,2)</f>
        <v>IL</v>
      </c>
      <c r="F1936" s="71" t="s">
        <v>476</v>
      </c>
      <c r="G1936" s="71" t="str">
        <f>MID(F1936,1,2)</f>
        <v>SG</v>
      </c>
      <c r="H1936" s="43" t="s">
        <v>3484</v>
      </c>
      <c r="I1936" s="71" t="s">
        <v>3485</v>
      </c>
      <c r="J1936" s="71" t="s">
        <v>386</v>
      </c>
      <c r="K1936" s="43"/>
      <c r="L1936" s="71" t="s">
        <v>107</v>
      </c>
      <c r="M1936" s="73">
        <v>34</v>
      </c>
      <c r="N1936" s="71" t="s">
        <v>388</v>
      </c>
      <c r="O1936" s="73">
        <v>0.288</v>
      </c>
      <c r="P1936" s="71" t="s">
        <v>389</v>
      </c>
      <c r="Q1936" s="73">
        <v>48</v>
      </c>
      <c r="R1936" s="71" t="s">
        <v>388</v>
      </c>
      <c r="S1936" s="73">
        <v>0</v>
      </c>
      <c r="T1936" s="71" t="s">
        <v>390</v>
      </c>
      <c r="U1936" s="74">
        <v>1</v>
      </c>
      <c r="V1936" s="71" t="s">
        <v>391</v>
      </c>
      <c r="W1936" s="130">
        <v>46075.662048611113</v>
      </c>
      <c r="X1936" s="72">
        <v>46093.583333333336</v>
      </c>
      <c r="Y1936" s="72">
        <v>46099.802083333336</v>
      </c>
      <c r="Z1936" s="104" t="s">
        <v>403</v>
      </c>
      <c r="AA1936" s="104" t="s">
        <v>476</v>
      </c>
      <c r="AB1936" s="105">
        <v>46099.62777777778</v>
      </c>
      <c r="AC1936" s="105">
        <v>46099.791666666664</v>
      </c>
    </row>
    <row r="1937" s="70" customFormat="1" ht="11.25" customHeight="1">
      <c r="A1937" s="87"/>
      <c r="C1937" s="43" t="s">
        <v>3486</v>
      </c>
      <c r="D1937" s="71" t="s">
        <v>382</v>
      </c>
      <c r="E1937" s="71" t="str">
        <f>MID(D1937,1,2)</f>
        <v>IL</v>
      </c>
      <c r="F1937" s="71" t="s">
        <v>414</v>
      </c>
      <c r="G1937" s="71" t="str">
        <f>MID(F1937,1,2)</f>
        <v>US</v>
      </c>
      <c r="H1937" s="43" t="s">
        <v>3396</v>
      </c>
      <c r="I1937" s="71" t="s">
        <v>3487</v>
      </c>
      <c r="J1937" s="71" t="s">
        <v>386</v>
      </c>
      <c r="K1937" s="43" t="s">
        <v>431</v>
      </c>
      <c r="L1937" s="71" t="s">
        <v>107</v>
      </c>
      <c r="M1937" s="73">
        <v>6</v>
      </c>
      <c r="N1937" s="71" t="s">
        <v>388</v>
      </c>
      <c r="O1937" s="73">
        <v>0.047</v>
      </c>
      <c r="P1937" s="71" t="s">
        <v>389</v>
      </c>
      <c r="Q1937" s="73">
        <v>8</v>
      </c>
      <c r="R1937" s="71" t="s">
        <v>388</v>
      </c>
      <c r="S1937" s="73">
        <v>0</v>
      </c>
      <c r="T1937" s="71" t="s">
        <v>390</v>
      </c>
      <c r="U1937" s="74">
        <v>1</v>
      </c>
      <c r="V1937" s="71" t="s">
        <v>427</v>
      </c>
      <c r="W1937" s="130">
        <v>46075.423611111109</v>
      </c>
      <c r="X1937" s="72">
        <v>46078.03125</v>
      </c>
      <c r="Y1937" s="72">
        <v>46078.24375</v>
      </c>
      <c r="Z1937" s="104" t="s">
        <v>382</v>
      </c>
      <c r="AA1937" s="104" t="s">
        <v>414</v>
      </c>
      <c r="AB1937" s="105">
        <v>46078.040277777778</v>
      </c>
      <c r="AC1937" s="105">
        <v>46078.234027777777</v>
      </c>
    </row>
    <row r="1938" s="70" customFormat="1" ht="11.25" customHeight="1">
      <c r="A1938" s="87"/>
      <c r="C1938" s="43" t="s">
        <v>3488</v>
      </c>
      <c r="D1938" s="71" t="s">
        <v>382</v>
      </c>
      <c r="E1938" s="71" t="str">
        <f>MID(D1938,1,2)</f>
        <v>IL</v>
      </c>
      <c r="F1938" s="71" t="s">
        <v>419</v>
      </c>
      <c r="G1938" s="71" t="str">
        <f>MID(F1938,1,2)</f>
        <v>US</v>
      </c>
      <c r="H1938" s="43" t="s">
        <v>3489</v>
      </c>
      <c r="I1938" s="71" t="s">
        <v>3490</v>
      </c>
      <c r="J1938" s="71" t="s">
        <v>386</v>
      </c>
      <c r="K1938" s="43"/>
      <c r="L1938" s="71" t="s">
        <v>107</v>
      </c>
      <c r="M1938" s="73">
        <v>86</v>
      </c>
      <c r="N1938" s="71" t="s">
        <v>388</v>
      </c>
      <c r="O1938" s="73">
        <v>1.577</v>
      </c>
      <c r="P1938" s="71" t="s">
        <v>389</v>
      </c>
      <c r="Q1938" s="73">
        <v>263</v>
      </c>
      <c r="R1938" s="71" t="s">
        <v>388</v>
      </c>
      <c r="S1938" s="73">
        <v>0</v>
      </c>
      <c r="T1938" s="71" t="s">
        <v>390</v>
      </c>
      <c r="U1938" s="74">
        <v>1</v>
      </c>
      <c r="V1938" s="71" t="s">
        <v>391</v>
      </c>
      <c r="W1938" s="130">
        <v>46076.0441087963</v>
      </c>
      <c r="X1938" s="72">
        <v>46076.965277777781</v>
      </c>
      <c r="Y1938" s="72">
        <v>46082.666666666664</v>
      </c>
      <c r="Z1938" s="104" t="s">
        <v>382</v>
      </c>
      <c r="AA1938" s="104" t="s">
        <v>422</v>
      </c>
      <c r="AB1938" s="105">
        <v>46080.960416666669</v>
      </c>
      <c r="AC1938" s="105">
        <v>46081.152777777781</v>
      </c>
    </row>
    <row r="1939" s="70" customFormat="1" ht="11.25" customHeight="1">
      <c r="A1939" s="87"/>
      <c r="C1939" s="43" t="s">
        <v>3488</v>
      </c>
      <c r="D1939" s="71" t="s">
        <v>382</v>
      </c>
      <c r="E1939" s="71" t="str">
        <f>MID(D1939,1,2)</f>
        <v>IL</v>
      </c>
      <c r="F1939" s="71" t="s">
        <v>419</v>
      </c>
      <c r="G1939" s="71" t="str">
        <f>MID(F1939,1,2)</f>
        <v>US</v>
      </c>
      <c r="H1939" s="43" t="s">
        <v>3489</v>
      </c>
      <c r="I1939" s="71" t="s">
        <v>3490</v>
      </c>
      <c r="J1939" s="71" t="s">
        <v>386</v>
      </c>
      <c r="K1939" s="43"/>
      <c r="L1939" s="71" t="s">
        <v>107</v>
      </c>
      <c r="M1939" s="73">
        <v>86</v>
      </c>
      <c r="N1939" s="71" t="s">
        <v>388</v>
      </c>
      <c r="O1939" s="73">
        <v>1.577</v>
      </c>
      <c r="P1939" s="71" t="s">
        <v>389</v>
      </c>
      <c r="Q1939" s="73">
        <v>263</v>
      </c>
      <c r="R1939" s="71" t="s">
        <v>388</v>
      </c>
      <c r="S1939" s="73">
        <v>0</v>
      </c>
      <c r="T1939" s="71" t="s">
        <v>390</v>
      </c>
      <c r="U1939" s="74">
        <v>1</v>
      </c>
      <c r="V1939" s="71" t="s">
        <v>391</v>
      </c>
      <c r="W1939" s="130">
        <v>46076.0441087963</v>
      </c>
      <c r="X1939" s="72">
        <v>46076.965277777781</v>
      </c>
      <c r="Y1939" s="72">
        <v>46082.666666666664</v>
      </c>
      <c r="Z1939" s="104" t="s">
        <v>422</v>
      </c>
      <c r="AA1939" s="104" t="s">
        <v>419</v>
      </c>
      <c r="AB1939" s="105">
        <v>46081.44027777778</v>
      </c>
      <c r="AC1939" s="105">
        <v>46082.172222222223</v>
      </c>
    </row>
    <row r="1940" s="70" customFormat="1" ht="11.25" customHeight="1">
      <c r="A1940" s="87"/>
      <c r="C1940" s="43" t="s">
        <v>3491</v>
      </c>
      <c r="D1940" s="71" t="s">
        <v>382</v>
      </c>
      <c r="E1940" s="71" t="str">
        <f>MID(D1940,1,2)</f>
        <v>IL</v>
      </c>
      <c r="F1940" s="71" t="s">
        <v>3148</v>
      </c>
      <c r="G1940" s="71" t="str">
        <f>MID(F1940,1,2)</f>
        <v>UZ</v>
      </c>
      <c r="H1940" s="43" t="s">
        <v>3492</v>
      </c>
      <c r="I1940" s="71"/>
      <c r="J1940" s="71" t="s">
        <v>426</v>
      </c>
      <c r="K1940" s="43"/>
      <c r="L1940" s="71" t="s">
        <v>105</v>
      </c>
      <c r="M1940" s="73">
        <v>60</v>
      </c>
      <c r="N1940" s="71" t="s">
        <v>388</v>
      </c>
      <c r="O1940" s="73">
        <v>1.178</v>
      </c>
      <c r="P1940" s="71" t="s">
        <v>389</v>
      </c>
      <c r="Q1940" s="73">
        <v>196.5</v>
      </c>
      <c r="R1940" s="71" t="s">
        <v>388</v>
      </c>
      <c r="S1940" s="73">
        <v>0</v>
      </c>
      <c r="T1940" s="71" t="s">
        <v>390</v>
      </c>
      <c r="U1940" s="74">
        <v>1</v>
      </c>
      <c r="V1940" s="71" t="s">
        <v>391</v>
      </c>
      <c r="W1940" s="130">
        <v>46075.438194444447</v>
      </c>
      <c r="X1940" s="72">
        <v>46097.888888888891</v>
      </c>
      <c r="Y1940" s="72">
        <v>46097.996527777781</v>
      </c>
      <c r="Z1940" s="104" t="s">
        <v>382</v>
      </c>
      <c r="AA1940" s="104" t="s">
        <v>3148</v>
      </c>
      <c r="AB1940" s="105"/>
      <c r="AC1940" s="105"/>
    </row>
    <row r="1941" s="70" customFormat="1" ht="11.25" customHeight="1">
      <c r="A1941" s="87"/>
      <c r="C1941" s="43" t="s">
        <v>3493</v>
      </c>
      <c r="D1941" s="71" t="s">
        <v>382</v>
      </c>
      <c r="E1941" s="71" t="str">
        <f>MID(D1941,1,2)</f>
        <v>IL</v>
      </c>
      <c r="F1941" s="71" t="s">
        <v>3494</v>
      </c>
      <c r="G1941" s="71" t="str">
        <f>MID(F1941,1,2)</f>
        <v>DE</v>
      </c>
      <c r="H1941" s="43" t="s">
        <v>3495</v>
      </c>
      <c r="I1941" s="71" t="s">
        <v>3496</v>
      </c>
      <c r="J1941" s="71" t="s">
        <v>386</v>
      </c>
      <c r="K1941" s="43"/>
      <c r="L1941" s="71" t="s">
        <v>107</v>
      </c>
      <c r="M1941" s="73">
        <v>132</v>
      </c>
      <c r="N1941" s="71" t="s">
        <v>388</v>
      </c>
      <c r="O1941" s="73">
        <v>1.049</v>
      </c>
      <c r="P1941" s="71" t="s">
        <v>389</v>
      </c>
      <c r="Q1941" s="73">
        <v>175</v>
      </c>
      <c r="R1941" s="71" t="s">
        <v>388</v>
      </c>
      <c r="S1941" s="73">
        <v>0</v>
      </c>
      <c r="T1941" s="71" t="s">
        <v>390</v>
      </c>
      <c r="U1941" s="74">
        <v>2</v>
      </c>
      <c r="V1941" s="71" t="s">
        <v>391</v>
      </c>
      <c r="W1941" s="130">
        <v>46089.445138888892</v>
      </c>
      <c r="X1941" s="72">
        <v>46092</v>
      </c>
      <c r="Y1941" s="72">
        <v>46100.496527777781</v>
      </c>
      <c r="Z1941" s="104" t="s">
        <v>382</v>
      </c>
      <c r="AA1941" s="104" t="s">
        <v>383</v>
      </c>
      <c r="AB1941" s="105">
        <v>46100.42291666667</v>
      </c>
      <c r="AC1941" s="105">
        <v>46100.552777777775</v>
      </c>
    </row>
    <row r="1942" s="70" customFormat="1" ht="11.25" customHeight="1">
      <c r="A1942" s="87"/>
      <c r="C1942" s="43" t="s">
        <v>3497</v>
      </c>
      <c r="D1942" s="71" t="s">
        <v>382</v>
      </c>
      <c r="E1942" s="71" t="str">
        <f>MID(D1942,1,2)</f>
        <v>IL</v>
      </c>
      <c r="F1942" s="71" t="s">
        <v>414</v>
      </c>
      <c r="G1942" s="71" t="str">
        <f>MID(F1942,1,2)</f>
        <v>US</v>
      </c>
      <c r="H1942" s="43" t="s">
        <v>3396</v>
      </c>
      <c r="I1942" s="71" t="s">
        <v>3498</v>
      </c>
      <c r="J1942" s="71" t="s">
        <v>454</v>
      </c>
      <c r="K1942" s="43" t="s">
        <v>431</v>
      </c>
      <c r="L1942" s="71" t="s">
        <v>107</v>
      </c>
      <c r="M1942" s="73">
        <v>3</v>
      </c>
      <c r="N1942" s="71" t="s">
        <v>388</v>
      </c>
      <c r="O1942" s="73">
        <v>0.012</v>
      </c>
      <c r="P1942" s="71" t="s">
        <v>389</v>
      </c>
      <c r="Q1942" s="73">
        <v>3</v>
      </c>
      <c r="R1942" s="71" t="s">
        <v>388</v>
      </c>
      <c r="S1942" s="73">
        <v>0</v>
      </c>
      <c r="T1942" s="71" t="s">
        <v>390</v>
      </c>
      <c r="U1942" s="74">
        <v>1</v>
      </c>
      <c r="V1942" s="71" t="s">
        <v>427</v>
      </c>
      <c r="W1942" s="130">
        <v>46075.45208333333</v>
      </c>
      <c r="X1942" s="72">
        <v>46078.03125</v>
      </c>
      <c r="Y1942" s="72">
        <v>46078.24375</v>
      </c>
      <c r="Z1942" s="104" t="s">
        <v>382</v>
      </c>
      <c r="AA1942" s="104" t="s">
        <v>414</v>
      </c>
      <c r="AB1942" s="105">
        <v>46078.040277777778</v>
      </c>
      <c r="AC1942" s="105">
        <v>46078.234027777777</v>
      </c>
    </row>
    <row r="1943" s="70" customFormat="1" ht="11.25" customHeight="1">
      <c r="A1943" s="87"/>
      <c r="C1943" s="43" t="s">
        <v>3499</v>
      </c>
      <c r="D1943" s="71" t="s">
        <v>382</v>
      </c>
      <c r="E1943" s="71" t="str">
        <f>MID(D1943,1,2)</f>
        <v>IL</v>
      </c>
      <c r="F1943" s="71" t="s">
        <v>3500</v>
      </c>
      <c r="G1943" s="71" t="str">
        <f>MID(F1943,1,2)</f>
        <v>NG</v>
      </c>
      <c r="H1943" s="43" t="s">
        <v>3501</v>
      </c>
      <c r="I1943" s="71"/>
      <c r="J1943" s="71" t="s">
        <v>426</v>
      </c>
      <c r="K1943" s="43"/>
      <c r="L1943" s="71" t="s">
        <v>105</v>
      </c>
      <c r="M1943" s="73">
        <v>1335</v>
      </c>
      <c r="N1943" s="71" t="s">
        <v>388</v>
      </c>
      <c r="O1943" s="73">
        <v>4.454</v>
      </c>
      <c r="P1943" s="71" t="s">
        <v>389</v>
      </c>
      <c r="Q1943" s="73">
        <v>1335</v>
      </c>
      <c r="R1943" s="71" t="s">
        <v>388</v>
      </c>
      <c r="S1943" s="73">
        <v>0</v>
      </c>
      <c r="T1943" s="71" t="s">
        <v>390</v>
      </c>
      <c r="U1943" s="74">
        <v>5</v>
      </c>
      <c r="V1943" s="71" t="s">
        <v>391</v>
      </c>
      <c r="W1943" s="130"/>
      <c r="X1943" s="72">
        <v>46078.628472222219</v>
      </c>
      <c r="Y1943" s="72">
        <v>46080.513888888891</v>
      </c>
      <c r="Z1943" s="104" t="s">
        <v>382</v>
      </c>
      <c r="AA1943" s="104" t="s">
        <v>684</v>
      </c>
      <c r="AB1943" s="105">
        <v>46078.547222222223</v>
      </c>
      <c r="AC1943" s="105"/>
    </row>
    <row r="1944" s="70" customFormat="1" ht="11.25" customHeight="1">
      <c r="A1944" s="87"/>
      <c r="C1944" s="43" t="s">
        <v>3499</v>
      </c>
      <c r="D1944" s="71" t="s">
        <v>382</v>
      </c>
      <c r="E1944" s="71" t="str">
        <f>MID(D1944,1,2)</f>
        <v>IL</v>
      </c>
      <c r="F1944" s="71" t="s">
        <v>3500</v>
      </c>
      <c r="G1944" s="71" t="str">
        <f>MID(F1944,1,2)</f>
        <v>NG</v>
      </c>
      <c r="H1944" s="43" t="s">
        <v>3501</v>
      </c>
      <c r="I1944" s="71"/>
      <c r="J1944" s="71" t="s">
        <v>426</v>
      </c>
      <c r="K1944" s="43"/>
      <c r="L1944" s="71" t="s">
        <v>105</v>
      </c>
      <c r="M1944" s="73">
        <v>1335</v>
      </c>
      <c r="N1944" s="71" t="s">
        <v>388</v>
      </c>
      <c r="O1944" s="73">
        <v>4.454</v>
      </c>
      <c r="P1944" s="71" t="s">
        <v>389</v>
      </c>
      <c r="Q1944" s="73">
        <v>1335</v>
      </c>
      <c r="R1944" s="71" t="s">
        <v>388</v>
      </c>
      <c r="S1944" s="73">
        <v>0</v>
      </c>
      <c r="T1944" s="71" t="s">
        <v>390</v>
      </c>
      <c r="U1944" s="74">
        <v>5</v>
      </c>
      <c r="V1944" s="71" t="s">
        <v>391</v>
      </c>
      <c r="W1944" s="130"/>
      <c r="X1944" s="72">
        <v>46078.628472222219</v>
      </c>
      <c r="Y1944" s="72">
        <v>46080.513888888891</v>
      </c>
      <c r="Z1944" s="104" t="s">
        <v>684</v>
      </c>
      <c r="AA1944" s="104" t="s">
        <v>1117</v>
      </c>
      <c r="AB1944" s="105">
        <v>46079.01666666667</v>
      </c>
      <c r="AC1944" s="105">
        <v>46079.057638888888</v>
      </c>
    </row>
    <row r="1945" s="70" customFormat="1" ht="11.25" customHeight="1">
      <c r="A1945" s="87"/>
      <c r="C1945" s="43" t="s">
        <v>3499</v>
      </c>
      <c r="D1945" s="71" t="s">
        <v>382</v>
      </c>
      <c r="E1945" s="71" t="str">
        <f>MID(D1945,1,2)</f>
        <v>IL</v>
      </c>
      <c r="F1945" s="71" t="s">
        <v>3500</v>
      </c>
      <c r="G1945" s="71" t="str">
        <f>MID(F1945,1,2)</f>
        <v>NG</v>
      </c>
      <c r="H1945" s="43" t="s">
        <v>3501</v>
      </c>
      <c r="I1945" s="71"/>
      <c r="J1945" s="71" t="s">
        <v>426</v>
      </c>
      <c r="K1945" s="43"/>
      <c r="L1945" s="71" t="s">
        <v>105</v>
      </c>
      <c r="M1945" s="73">
        <v>1335</v>
      </c>
      <c r="N1945" s="71" t="s">
        <v>388</v>
      </c>
      <c r="O1945" s="73">
        <v>4.454</v>
      </c>
      <c r="P1945" s="71" t="s">
        <v>389</v>
      </c>
      <c r="Q1945" s="73">
        <v>1335</v>
      </c>
      <c r="R1945" s="71" t="s">
        <v>388</v>
      </c>
      <c r="S1945" s="73">
        <v>0</v>
      </c>
      <c r="T1945" s="71" t="s">
        <v>390</v>
      </c>
      <c r="U1945" s="74">
        <v>5</v>
      </c>
      <c r="V1945" s="71" t="s">
        <v>391</v>
      </c>
      <c r="W1945" s="130"/>
      <c r="X1945" s="72">
        <v>46078.628472222219</v>
      </c>
      <c r="Y1945" s="72">
        <v>46080.513888888891</v>
      </c>
      <c r="Z1945" s="104" t="s">
        <v>1117</v>
      </c>
      <c r="AA1945" s="104" t="s">
        <v>3500</v>
      </c>
      <c r="AB1945" s="105">
        <v>46080.281944444447</v>
      </c>
      <c r="AC1945" s="105">
        <v>46080.524305555555</v>
      </c>
    </row>
    <row r="1946" s="70" customFormat="1" ht="11.25" customHeight="1">
      <c r="A1946" s="87"/>
      <c r="C1946" s="43" t="s">
        <v>3502</v>
      </c>
      <c r="D1946" s="71" t="s">
        <v>382</v>
      </c>
      <c r="E1946" s="71" t="str">
        <f>MID(D1946,1,2)</f>
        <v>IL</v>
      </c>
      <c r="F1946" s="71" t="s">
        <v>471</v>
      </c>
      <c r="G1946" s="71" t="str">
        <f>MID(F1946,1,2)</f>
        <v>US</v>
      </c>
      <c r="H1946" s="43" t="s">
        <v>3503</v>
      </c>
      <c r="I1946" s="71" t="s">
        <v>3504</v>
      </c>
      <c r="J1946" s="71" t="s">
        <v>386</v>
      </c>
      <c r="K1946" s="43"/>
      <c r="L1946" s="71" t="s">
        <v>107</v>
      </c>
      <c r="M1946" s="73">
        <v>113</v>
      </c>
      <c r="N1946" s="71" t="s">
        <v>388</v>
      </c>
      <c r="O1946" s="73">
        <v>0.447</v>
      </c>
      <c r="P1946" s="71" t="s">
        <v>389</v>
      </c>
      <c r="Q1946" s="73">
        <v>113</v>
      </c>
      <c r="R1946" s="71" t="s">
        <v>388</v>
      </c>
      <c r="S1946" s="73">
        <v>0</v>
      </c>
      <c r="T1946" s="71" t="s">
        <v>390</v>
      </c>
      <c r="U1946" s="74">
        <v>2</v>
      </c>
      <c r="V1946" s="71" t="s">
        <v>391</v>
      </c>
      <c r="W1946" s="130">
        <v>46075.520833333336</v>
      </c>
      <c r="X1946" s="72">
        <v>46077.51875</v>
      </c>
      <c r="Y1946" s="72">
        <v>46078.613194444442</v>
      </c>
      <c r="Z1946" s="104" t="s">
        <v>382</v>
      </c>
      <c r="AA1946" s="104" t="s">
        <v>1960</v>
      </c>
      <c r="AB1946" s="105">
        <v>46078.0125</v>
      </c>
      <c r="AC1946" s="105">
        <v>46078.23333333333</v>
      </c>
    </row>
    <row r="1947" s="70" customFormat="1" ht="11.25" customHeight="1">
      <c r="A1947" s="87"/>
      <c r="C1947" s="43" t="s">
        <v>3502</v>
      </c>
      <c r="D1947" s="71" t="s">
        <v>382</v>
      </c>
      <c r="E1947" s="71" t="str">
        <f>MID(D1947,1,2)</f>
        <v>IL</v>
      </c>
      <c r="F1947" s="71" t="s">
        <v>471</v>
      </c>
      <c r="G1947" s="71" t="str">
        <f>MID(F1947,1,2)</f>
        <v>US</v>
      </c>
      <c r="H1947" s="43" t="s">
        <v>3503</v>
      </c>
      <c r="I1947" s="71" t="s">
        <v>3504</v>
      </c>
      <c r="J1947" s="71" t="s">
        <v>386</v>
      </c>
      <c r="K1947" s="43"/>
      <c r="L1947" s="71" t="s">
        <v>107</v>
      </c>
      <c r="M1947" s="73">
        <v>113</v>
      </c>
      <c r="N1947" s="71" t="s">
        <v>388</v>
      </c>
      <c r="O1947" s="73">
        <v>0.447</v>
      </c>
      <c r="P1947" s="71" t="s">
        <v>389</v>
      </c>
      <c r="Q1947" s="73">
        <v>113</v>
      </c>
      <c r="R1947" s="71" t="s">
        <v>388</v>
      </c>
      <c r="S1947" s="73">
        <v>0</v>
      </c>
      <c r="T1947" s="71" t="s">
        <v>390</v>
      </c>
      <c r="U1947" s="74">
        <v>2</v>
      </c>
      <c r="V1947" s="71" t="s">
        <v>391</v>
      </c>
      <c r="W1947" s="130">
        <v>46075.520833333336</v>
      </c>
      <c r="X1947" s="72">
        <v>46077.51875</v>
      </c>
      <c r="Y1947" s="72">
        <v>46078.613194444442</v>
      </c>
      <c r="Z1947" s="104" t="s">
        <v>1960</v>
      </c>
      <c r="AA1947" s="104" t="s">
        <v>471</v>
      </c>
      <c r="AB1947" s="105">
        <v>46078.539583333331</v>
      </c>
      <c r="AC1947" s="105">
        <v>46078.580555555556</v>
      </c>
    </row>
    <row r="1948" s="70" customFormat="1" ht="11.25" customHeight="1">
      <c r="A1948" s="87"/>
      <c r="C1948" s="43" t="s">
        <v>3505</v>
      </c>
      <c r="D1948" s="71" t="s">
        <v>382</v>
      </c>
      <c r="E1948" s="71" t="str">
        <f>MID(D1948,1,2)</f>
        <v>IL</v>
      </c>
      <c r="F1948" s="71" t="s">
        <v>496</v>
      </c>
      <c r="G1948" s="71" t="str">
        <f>MID(F1948,1,2)</f>
        <v>RO</v>
      </c>
      <c r="H1948" s="43" t="s">
        <v>3506</v>
      </c>
      <c r="I1948" s="71" t="s">
        <v>3507</v>
      </c>
      <c r="J1948" s="71" t="s">
        <v>426</v>
      </c>
      <c r="K1948" s="43"/>
      <c r="L1948" s="71" t="s">
        <v>105</v>
      </c>
      <c r="M1948" s="73">
        <v>102</v>
      </c>
      <c r="N1948" s="71" t="s">
        <v>388</v>
      </c>
      <c r="O1948" s="73">
        <v>0.631</v>
      </c>
      <c r="P1948" s="71" t="s">
        <v>389</v>
      </c>
      <c r="Q1948" s="73">
        <v>105.5</v>
      </c>
      <c r="R1948" s="71" t="s">
        <v>388</v>
      </c>
      <c r="S1948" s="73">
        <v>0</v>
      </c>
      <c r="T1948" s="71" t="s">
        <v>390</v>
      </c>
      <c r="U1948" s="74">
        <v>1</v>
      </c>
      <c r="V1948" s="71" t="s">
        <v>391</v>
      </c>
      <c r="W1948" s="130">
        <v>46075.479861111111</v>
      </c>
      <c r="X1948" s="72">
        <v>46076.333333333336</v>
      </c>
      <c r="Y1948" s="72">
        <v>46077.472222222219</v>
      </c>
      <c r="Z1948" s="104" t="s">
        <v>382</v>
      </c>
      <c r="AA1948" s="104" t="s">
        <v>408</v>
      </c>
      <c r="AB1948" s="105">
        <v>46076.534722222219</v>
      </c>
      <c r="AC1948" s="105"/>
    </row>
    <row r="1949" s="70" customFormat="1" ht="11.25" customHeight="1">
      <c r="A1949" s="87"/>
      <c r="C1949" s="43" t="s">
        <v>3505</v>
      </c>
      <c r="D1949" s="71" t="s">
        <v>382</v>
      </c>
      <c r="E1949" s="71" t="str">
        <f>MID(D1949,1,2)</f>
        <v>IL</v>
      </c>
      <c r="F1949" s="71" t="s">
        <v>496</v>
      </c>
      <c r="G1949" s="71" t="str">
        <f>MID(F1949,1,2)</f>
        <v>RO</v>
      </c>
      <c r="H1949" s="43" t="s">
        <v>3506</v>
      </c>
      <c r="I1949" s="71" t="s">
        <v>3507</v>
      </c>
      <c r="J1949" s="71" t="s">
        <v>426</v>
      </c>
      <c r="K1949" s="43"/>
      <c r="L1949" s="71" t="s">
        <v>105</v>
      </c>
      <c r="M1949" s="73">
        <v>102</v>
      </c>
      <c r="N1949" s="71" t="s">
        <v>388</v>
      </c>
      <c r="O1949" s="73">
        <v>0.631</v>
      </c>
      <c r="P1949" s="71" t="s">
        <v>389</v>
      </c>
      <c r="Q1949" s="73">
        <v>105.5</v>
      </c>
      <c r="R1949" s="71" t="s">
        <v>388</v>
      </c>
      <c r="S1949" s="73">
        <v>0</v>
      </c>
      <c r="T1949" s="71" t="s">
        <v>390</v>
      </c>
      <c r="U1949" s="74">
        <v>1</v>
      </c>
      <c r="V1949" s="71" t="s">
        <v>391</v>
      </c>
      <c r="W1949" s="130">
        <v>46075.479861111111</v>
      </c>
      <c r="X1949" s="72">
        <v>46076.333333333336</v>
      </c>
      <c r="Y1949" s="72">
        <v>46077.472222222219</v>
      </c>
      <c r="Z1949" s="104" t="s">
        <v>408</v>
      </c>
      <c r="AA1949" s="104" t="s">
        <v>496</v>
      </c>
      <c r="AB1949" s="105">
        <v>46076.743055555555</v>
      </c>
      <c r="AC1949" s="105">
        <v>46076.826388888891</v>
      </c>
    </row>
    <row r="1950" s="70" customFormat="1" ht="11.25" customHeight="1">
      <c r="A1950" s="87"/>
      <c r="C1950" s="43" t="s">
        <v>3508</v>
      </c>
      <c r="D1950" s="71" t="s">
        <v>382</v>
      </c>
      <c r="E1950" s="71" t="str">
        <f>MID(D1950,1,2)</f>
        <v>IL</v>
      </c>
      <c r="F1950" s="71" t="s">
        <v>422</v>
      </c>
      <c r="G1950" s="71" t="str">
        <f>MID(F1950,1,2)</f>
        <v>US</v>
      </c>
      <c r="H1950" s="43" t="s">
        <v>3509</v>
      </c>
      <c r="I1950" s="71"/>
      <c r="J1950" s="71" t="s">
        <v>426</v>
      </c>
      <c r="K1950" s="43"/>
      <c r="L1950" s="71" t="s">
        <v>105</v>
      </c>
      <c r="M1950" s="73">
        <v>4096</v>
      </c>
      <c r="N1950" s="71" t="s">
        <v>388</v>
      </c>
      <c r="O1950" s="73">
        <v>16.656</v>
      </c>
      <c r="P1950" s="71" t="s">
        <v>389</v>
      </c>
      <c r="Q1950" s="73">
        <v>4096</v>
      </c>
      <c r="R1950" s="71" t="s">
        <v>388</v>
      </c>
      <c r="S1950" s="73">
        <v>0</v>
      </c>
      <c r="T1950" s="71" t="s">
        <v>390</v>
      </c>
      <c r="U1950" s="74">
        <v>14</v>
      </c>
      <c r="V1950" s="71" t="s">
        <v>391</v>
      </c>
      <c r="W1950" s="130">
        <v>46076.490277777775</v>
      </c>
      <c r="X1950" s="72">
        <v>46077.003472222219</v>
      </c>
      <c r="Y1950" s="72">
        <v>46078.247916666667</v>
      </c>
      <c r="Z1950" s="104" t="s">
        <v>382</v>
      </c>
      <c r="AA1950" s="104" t="s">
        <v>422</v>
      </c>
      <c r="AB1950" s="105">
        <v>46078.040972222225</v>
      </c>
      <c r="AC1950" s="105">
        <v>46078.239583333336</v>
      </c>
    </row>
    <row r="1951" s="70" customFormat="1" ht="11.25" customHeight="1">
      <c r="A1951" s="87"/>
      <c r="C1951" s="43" t="s">
        <v>3510</v>
      </c>
      <c r="D1951" s="71" t="s">
        <v>382</v>
      </c>
      <c r="E1951" s="71" t="str">
        <f>MID(D1951,1,2)</f>
        <v>IL</v>
      </c>
      <c r="F1951" s="71" t="s">
        <v>496</v>
      </c>
      <c r="G1951" s="71" t="str">
        <f>MID(F1951,1,2)</f>
        <v>RO</v>
      </c>
      <c r="H1951" s="43" t="s">
        <v>3511</v>
      </c>
      <c r="I1951" s="71" t="s">
        <v>3512</v>
      </c>
      <c r="J1951" s="71" t="s">
        <v>811</v>
      </c>
      <c r="K1951" s="43"/>
      <c r="L1951" s="71" t="s">
        <v>105</v>
      </c>
      <c r="M1951" s="73">
        <v>20</v>
      </c>
      <c r="N1951" s="71" t="s">
        <v>388</v>
      </c>
      <c r="O1951" s="73">
        <v>0.027</v>
      </c>
      <c r="P1951" s="71" t="s">
        <v>389</v>
      </c>
      <c r="Q1951" s="73">
        <v>100</v>
      </c>
      <c r="R1951" s="71" t="s">
        <v>388</v>
      </c>
      <c r="S1951" s="73">
        <v>0</v>
      </c>
      <c r="T1951" s="71" t="s">
        <v>390</v>
      </c>
      <c r="U1951" s="74">
        <v>1</v>
      </c>
      <c r="V1951" s="71" t="s">
        <v>391</v>
      </c>
      <c r="W1951" s="130">
        <v>46075.625694444447</v>
      </c>
      <c r="X1951" s="72">
        <v>46076.243055555555</v>
      </c>
      <c r="Y1951" s="72">
        <v>46076.470138888886</v>
      </c>
      <c r="Z1951" s="104" t="s">
        <v>382</v>
      </c>
      <c r="AA1951" s="104" t="s">
        <v>496</v>
      </c>
      <c r="AB1951" s="105">
        <v>46076.241666666669</v>
      </c>
      <c r="AC1951" s="105">
        <v>46076.347916666666</v>
      </c>
    </row>
    <row r="1952" s="70" customFormat="1" ht="11.25" customHeight="1">
      <c r="A1952" s="87"/>
      <c r="C1952" s="43" t="s">
        <v>3513</v>
      </c>
      <c r="D1952" s="71" t="s">
        <v>382</v>
      </c>
      <c r="E1952" s="71" t="str">
        <f>MID(D1952,1,2)</f>
        <v>IL</v>
      </c>
      <c r="F1952" s="71" t="s">
        <v>573</v>
      </c>
      <c r="G1952" s="71" t="str">
        <f>MID(F1952,1,2)</f>
        <v>CH</v>
      </c>
      <c r="H1952" s="43" t="s">
        <v>3514</v>
      </c>
      <c r="I1952" s="71" t="s">
        <v>3515</v>
      </c>
      <c r="J1952" s="71" t="s">
        <v>426</v>
      </c>
      <c r="K1952" s="43"/>
      <c r="L1952" s="71" t="s">
        <v>105</v>
      </c>
      <c r="M1952" s="73">
        <v>163</v>
      </c>
      <c r="N1952" s="71" t="s">
        <v>388</v>
      </c>
      <c r="O1952" s="73">
        <v>0.891</v>
      </c>
      <c r="P1952" s="71" t="s">
        <v>389</v>
      </c>
      <c r="Q1952" s="73">
        <v>163</v>
      </c>
      <c r="R1952" s="71" t="s">
        <v>388</v>
      </c>
      <c r="S1952" s="73">
        <v>0</v>
      </c>
      <c r="T1952" s="71" t="s">
        <v>390</v>
      </c>
      <c r="U1952" s="74">
        <v>1</v>
      </c>
      <c r="V1952" s="71" t="s">
        <v>391</v>
      </c>
      <c r="W1952" s="130">
        <v>46075.821805555555</v>
      </c>
      <c r="X1952" s="72">
        <v>46077.576388888891</v>
      </c>
      <c r="Y1952" s="72">
        <v>46079.42291666667</v>
      </c>
      <c r="Z1952" s="104" t="s">
        <v>382</v>
      </c>
      <c r="AA1952" s="104" t="s">
        <v>383</v>
      </c>
      <c r="AB1952" s="105">
        <v>46077.563194444447</v>
      </c>
      <c r="AC1952" s="105">
        <v>46077.720138888886</v>
      </c>
    </row>
    <row r="1953" s="70" customFormat="1" ht="11.25" customHeight="1">
      <c r="A1953" s="87"/>
      <c r="C1953" s="43" t="s">
        <v>3513</v>
      </c>
      <c r="D1953" s="71" t="s">
        <v>382</v>
      </c>
      <c r="E1953" s="71" t="str">
        <f>MID(D1953,1,2)</f>
        <v>IL</v>
      </c>
      <c r="F1953" s="71" t="s">
        <v>573</v>
      </c>
      <c r="G1953" s="71" t="str">
        <f>MID(F1953,1,2)</f>
        <v>CH</v>
      </c>
      <c r="H1953" s="43" t="s">
        <v>3514</v>
      </c>
      <c r="I1953" s="71" t="s">
        <v>3515</v>
      </c>
      <c r="J1953" s="71" t="s">
        <v>426</v>
      </c>
      <c r="K1953" s="43"/>
      <c r="L1953" s="71" t="s">
        <v>105</v>
      </c>
      <c r="M1953" s="73">
        <v>163</v>
      </c>
      <c r="N1953" s="71" t="s">
        <v>388</v>
      </c>
      <c r="O1953" s="73">
        <v>0.891</v>
      </c>
      <c r="P1953" s="71" t="s">
        <v>389</v>
      </c>
      <c r="Q1953" s="73">
        <v>163</v>
      </c>
      <c r="R1953" s="71" t="s">
        <v>388</v>
      </c>
      <c r="S1953" s="73">
        <v>0</v>
      </c>
      <c r="T1953" s="71" t="s">
        <v>390</v>
      </c>
      <c r="U1953" s="74">
        <v>1</v>
      </c>
      <c r="V1953" s="71" t="s">
        <v>391</v>
      </c>
      <c r="W1953" s="130">
        <v>46075.821805555555</v>
      </c>
      <c r="X1953" s="72">
        <v>46077.576388888891</v>
      </c>
      <c r="Y1953" s="72">
        <v>46079.42291666667</v>
      </c>
      <c r="Z1953" s="104" t="s">
        <v>383</v>
      </c>
      <c r="AA1953" s="104" t="s">
        <v>573</v>
      </c>
      <c r="AB1953" s="105">
        <v>46079.011805555558</v>
      </c>
      <c r="AC1953" s="105">
        <v>46079.419444444444</v>
      </c>
    </row>
    <row r="1954" s="70" customFormat="1" ht="11.25" customHeight="1">
      <c r="A1954" s="87"/>
      <c r="C1954" s="43" t="s">
        <v>3516</v>
      </c>
      <c r="D1954" s="71" t="s">
        <v>382</v>
      </c>
      <c r="E1954" s="71" t="str">
        <f>MID(D1954,1,2)</f>
        <v>IL</v>
      </c>
      <c r="F1954" s="71" t="s">
        <v>573</v>
      </c>
      <c r="G1954" s="71" t="str">
        <f>MID(F1954,1,2)</f>
        <v>CH</v>
      </c>
      <c r="H1954" s="43" t="s">
        <v>3514</v>
      </c>
      <c r="I1954" s="71" t="s">
        <v>3517</v>
      </c>
      <c r="J1954" s="71" t="s">
        <v>386</v>
      </c>
      <c r="K1954" s="43"/>
      <c r="L1954" s="71" t="s">
        <v>107</v>
      </c>
      <c r="M1954" s="73">
        <v>132</v>
      </c>
      <c r="N1954" s="71" t="s">
        <v>388</v>
      </c>
      <c r="O1954" s="73">
        <v>0.432</v>
      </c>
      <c r="P1954" s="71" t="s">
        <v>389</v>
      </c>
      <c r="Q1954" s="73">
        <v>132</v>
      </c>
      <c r="R1954" s="71" t="s">
        <v>388</v>
      </c>
      <c r="S1954" s="73">
        <v>0</v>
      </c>
      <c r="T1954" s="71" t="s">
        <v>390</v>
      </c>
      <c r="U1954" s="74">
        <v>1</v>
      </c>
      <c r="V1954" s="71" t="s">
        <v>391</v>
      </c>
      <c r="W1954" s="130">
        <v>46075.964201388888</v>
      </c>
      <c r="X1954" s="72">
        <v>46076.895833333336</v>
      </c>
      <c r="Y1954" s="72">
        <v>46080.42291666667</v>
      </c>
      <c r="Z1954" s="104" t="s">
        <v>382</v>
      </c>
      <c r="AA1954" s="104" t="s">
        <v>383</v>
      </c>
      <c r="AB1954" s="105">
        <v>46077.563194444447</v>
      </c>
      <c r="AC1954" s="105">
        <v>46077.720138888886</v>
      </c>
    </row>
    <row r="1955" s="70" customFormat="1" ht="11.25" customHeight="1">
      <c r="A1955" s="87"/>
      <c r="C1955" s="43" t="s">
        <v>3516</v>
      </c>
      <c r="D1955" s="71" t="s">
        <v>382</v>
      </c>
      <c r="E1955" s="71" t="str">
        <f>MID(D1955,1,2)</f>
        <v>IL</v>
      </c>
      <c r="F1955" s="71" t="s">
        <v>573</v>
      </c>
      <c r="G1955" s="71" t="str">
        <f>MID(F1955,1,2)</f>
        <v>CH</v>
      </c>
      <c r="H1955" s="43" t="s">
        <v>3514</v>
      </c>
      <c r="I1955" s="71" t="s">
        <v>3517</v>
      </c>
      <c r="J1955" s="71" t="s">
        <v>386</v>
      </c>
      <c r="K1955" s="43"/>
      <c r="L1955" s="71" t="s">
        <v>107</v>
      </c>
      <c r="M1955" s="73">
        <v>132</v>
      </c>
      <c r="N1955" s="71" t="s">
        <v>388</v>
      </c>
      <c r="O1955" s="73">
        <v>0.432</v>
      </c>
      <c r="P1955" s="71" t="s">
        <v>389</v>
      </c>
      <c r="Q1955" s="73">
        <v>132</v>
      </c>
      <c r="R1955" s="71" t="s">
        <v>388</v>
      </c>
      <c r="S1955" s="73">
        <v>0</v>
      </c>
      <c r="T1955" s="71" t="s">
        <v>390</v>
      </c>
      <c r="U1955" s="74">
        <v>1</v>
      </c>
      <c r="V1955" s="71" t="s">
        <v>391</v>
      </c>
      <c r="W1955" s="130">
        <v>46075.964201388888</v>
      </c>
      <c r="X1955" s="72">
        <v>46076.895833333336</v>
      </c>
      <c r="Y1955" s="72">
        <v>46080.42291666667</v>
      </c>
      <c r="Z1955" s="104" t="s">
        <v>383</v>
      </c>
      <c r="AA1955" s="104" t="s">
        <v>573</v>
      </c>
      <c r="AB1955" s="105">
        <v>46079.011805555558</v>
      </c>
      <c r="AC1955" s="105">
        <v>46079.419444444444</v>
      </c>
    </row>
    <row r="1956" s="70" customFormat="1" ht="11.25" customHeight="1">
      <c r="A1956" s="87"/>
      <c r="C1956" s="43" t="s">
        <v>3518</v>
      </c>
      <c r="D1956" s="71" t="s">
        <v>382</v>
      </c>
      <c r="E1956" s="71" t="str">
        <f>MID(D1956,1,2)</f>
        <v>IL</v>
      </c>
      <c r="F1956" s="71" t="s">
        <v>667</v>
      </c>
      <c r="G1956" s="71" t="str">
        <f>MID(F1956,1,2)</f>
        <v>DE</v>
      </c>
      <c r="H1956" s="43" t="s">
        <v>3519</v>
      </c>
      <c r="I1956" s="71" t="s">
        <v>3520</v>
      </c>
      <c r="J1956" s="71" t="s">
        <v>400</v>
      </c>
      <c r="K1956" s="43"/>
      <c r="L1956" s="71" t="s">
        <v>105</v>
      </c>
      <c r="M1956" s="73">
        <v>30</v>
      </c>
      <c r="N1956" s="71" t="s">
        <v>388</v>
      </c>
      <c r="O1956" s="73">
        <v>0.099</v>
      </c>
      <c r="P1956" s="71" t="s">
        <v>389</v>
      </c>
      <c r="Q1956" s="73">
        <v>30</v>
      </c>
      <c r="R1956" s="71" t="s">
        <v>388</v>
      </c>
      <c r="S1956" s="73">
        <v>0</v>
      </c>
      <c r="T1956" s="71" t="s">
        <v>390</v>
      </c>
      <c r="U1956" s="74">
        <v>1</v>
      </c>
      <c r="V1956" s="71" t="s">
        <v>391</v>
      </c>
      <c r="W1956" s="130">
        <v>46075.717615740738</v>
      </c>
      <c r="X1956" s="72">
        <v>46076.715277777781</v>
      </c>
      <c r="Y1956" s="72">
        <v>46076.84375</v>
      </c>
      <c r="Z1956" s="104" t="s">
        <v>382</v>
      </c>
      <c r="AA1956" s="104" t="s">
        <v>667</v>
      </c>
      <c r="AB1956" s="105">
        <v>46076.714583333334</v>
      </c>
      <c r="AC1956" s="105">
        <v>46076.849305555559</v>
      </c>
    </row>
    <row r="1957" s="70" customFormat="1" ht="11.25" customHeight="1">
      <c r="A1957" s="87"/>
      <c r="C1957" s="43" t="s">
        <v>3521</v>
      </c>
      <c r="D1957" s="71" t="s">
        <v>382</v>
      </c>
      <c r="E1957" s="71" t="str">
        <f>MID(D1957,1,2)</f>
        <v>IL</v>
      </c>
      <c r="F1957" s="71" t="s">
        <v>667</v>
      </c>
      <c r="G1957" s="71" t="str">
        <f>MID(F1957,1,2)</f>
        <v>DE</v>
      </c>
      <c r="H1957" s="43" t="s">
        <v>3519</v>
      </c>
      <c r="I1957" s="71" t="s">
        <v>3522</v>
      </c>
      <c r="J1957" s="71" t="s">
        <v>400</v>
      </c>
      <c r="K1957" s="43"/>
      <c r="L1957" s="71" t="s">
        <v>105</v>
      </c>
      <c r="M1957" s="73">
        <v>11</v>
      </c>
      <c r="N1957" s="71" t="s">
        <v>388</v>
      </c>
      <c r="O1957" s="73">
        <v>0.051</v>
      </c>
      <c r="P1957" s="71" t="s">
        <v>389</v>
      </c>
      <c r="Q1957" s="73">
        <v>11</v>
      </c>
      <c r="R1957" s="71" t="s">
        <v>388</v>
      </c>
      <c r="S1957" s="73">
        <v>0</v>
      </c>
      <c r="T1957" s="71" t="s">
        <v>390</v>
      </c>
      <c r="U1957" s="74">
        <v>1</v>
      </c>
      <c r="V1957" s="71" t="s">
        <v>446</v>
      </c>
      <c r="W1957" s="130">
        <v>46075.717627314814</v>
      </c>
      <c r="X1957" s="72">
        <v>46076.715277777781</v>
      </c>
      <c r="Y1957" s="72">
        <v>46076.84375</v>
      </c>
      <c r="Z1957" s="104" t="s">
        <v>382</v>
      </c>
      <c r="AA1957" s="104" t="s">
        <v>667</v>
      </c>
      <c r="AB1957" s="105">
        <v>46076.714583333334</v>
      </c>
      <c r="AC1957" s="105">
        <v>46076.849305555559</v>
      </c>
    </row>
    <row r="1958" s="70" customFormat="1" ht="11.25" customHeight="1">
      <c r="A1958" s="87"/>
      <c r="C1958" s="43" t="s">
        <v>3523</v>
      </c>
      <c r="D1958" s="71" t="s">
        <v>382</v>
      </c>
      <c r="E1958" s="71" t="str">
        <f>MID(D1958,1,2)</f>
        <v>IL</v>
      </c>
      <c r="F1958" s="71" t="s">
        <v>414</v>
      </c>
      <c r="G1958" s="71" t="str">
        <f>MID(F1958,1,2)</f>
        <v>US</v>
      </c>
      <c r="H1958" s="43" t="s">
        <v>3396</v>
      </c>
      <c r="I1958" s="71" t="s">
        <v>3524</v>
      </c>
      <c r="J1958" s="71" t="s">
        <v>483</v>
      </c>
      <c r="K1958" s="43"/>
      <c r="L1958" s="71" t="s">
        <v>105</v>
      </c>
      <c r="M1958" s="73">
        <v>1</v>
      </c>
      <c r="N1958" s="71" t="s">
        <v>388</v>
      </c>
      <c r="O1958" s="73">
        <v>0.011</v>
      </c>
      <c r="P1958" s="71" t="s">
        <v>389</v>
      </c>
      <c r="Q1958" s="73">
        <v>2</v>
      </c>
      <c r="R1958" s="71" t="s">
        <v>388</v>
      </c>
      <c r="S1958" s="73">
        <v>0</v>
      </c>
      <c r="T1958" s="71" t="s">
        <v>390</v>
      </c>
      <c r="U1958" s="74">
        <v>1</v>
      </c>
      <c r="V1958" s="71" t="s">
        <v>427</v>
      </c>
      <c r="W1958" s="130">
        <v>46075.49375</v>
      </c>
      <c r="X1958" s="72">
        <v>46078.03125</v>
      </c>
      <c r="Y1958" s="72">
        <v>46078.24375</v>
      </c>
      <c r="Z1958" s="104" t="s">
        <v>382</v>
      </c>
      <c r="AA1958" s="104" t="s">
        <v>414</v>
      </c>
      <c r="AB1958" s="105">
        <v>46078.040277777778</v>
      </c>
      <c r="AC1958" s="105">
        <v>46078.234027777777</v>
      </c>
    </row>
    <row r="1959" s="70" customFormat="1" ht="11.25" customHeight="1">
      <c r="A1959" s="87"/>
      <c r="C1959" s="43" t="s">
        <v>3525</v>
      </c>
      <c r="D1959" s="71" t="s">
        <v>382</v>
      </c>
      <c r="E1959" s="71" t="str">
        <f>MID(D1959,1,2)</f>
        <v>IL</v>
      </c>
      <c r="F1959" s="71" t="s">
        <v>422</v>
      </c>
      <c r="G1959" s="71" t="str">
        <f>MID(F1959,1,2)</f>
        <v>US</v>
      </c>
      <c r="H1959" s="43" t="s">
        <v>3526</v>
      </c>
      <c r="I1959" s="71"/>
      <c r="J1959" s="71" t="s">
        <v>426</v>
      </c>
      <c r="K1959" s="43"/>
      <c r="L1959" s="71" t="s">
        <v>105</v>
      </c>
      <c r="M1959" s="73">
        <v>3347</v>
      </c>
      <c r="N1959" s="71" t="s">
        <v>388</v>
      </c>
      <c r="O1959" s="73">
        <v>13.08</v>
      </c>
      <c r="P1959" s="71" t="s">
        <v>389</v>
      </c>
      <c r="Q1959" s="73">
        <v>3347</v>
      </c>
      <c r="R1959" s="71" t="s">
        <v>388</v>
      </c>
      <c r="S1959" s="73">
        <v>0</v>
      </c>
      <c r="T1959" s="71" t="s">
        <v>390</v>
      </c>
      <c r="U1959" s="74">
        <v>11</v>
      </c>
      <c r="V1959" s="71" t="s">
        <v>391</v>
      </c>
      <c r="W1959" s="130">
        <v>46075.618055555555</v>
      </c>
      <c r="X1959" s="72">
        <v>46077.003472222219</v>
      </c>
      <c r="Y1959" s="72">
        <v>46079.211805555555</v>
      </c>
      <c r="Z1959" s="104" t="s">
        <v>382</v>
      </c>
      <c r="AA1959" s="104" t="s">
        <v>422</v>
      </c>
      <c r="AB1959" s="105">
        <v>46078.040972222225</v>
      </c>
      <c r="AC1959" s="105">
        <v>46078.239583333336</v>
      </c>
    </row>
    <row r="1960" s="70" customFormat="1" ht="11.25" customHeight="1">
      <c r="A1960" s="87"/>
      <c r="C1960" s="43" t="s">
        <v>3527</v>
      </c>
      <c r="D1960" s="71" t="s">
        <v>382</v>
      </c>
      <c r="E1960" s="71" t="str">
        <f>MID(D1960,1,2)</f>
        <v>IL</v>
      </c>
      <c r="F1960" s="71" t="s">
        <v>1538</v>
      </c>
      <c r="G1960" s="71" t="str">
        <f>MID(F1960,1,2)</f>
        <v>KR</v>
      </c>
      <c r="H1960" s="43" t="s">
        <v>3528</v>
      </c>
      <c r="I1960" s="71" t="s">
        <v>3529</v>
      </c>
      <c r="J1960" s="71" t="s">
        <v>755</v>
      </c>
      <c r="K1960" s="43"/>
      <c r="L1960" s="71" t="s">
        <v>105</v>
      </c>
      <c r="M1960" s="73">
        <v>185</v>
      </c>
      <c r="N1960" s="71" t="s">
        <v>388</v>
      </c>
      <c r="O1960" s="73">
        <v>2.251</v>
      </c>
      <c r="P1960" s="71" t="s">
        <v>389</v>
      </c>
      <c r="Q1960" s="73">
        <v>375.5</v>
      </c>
      <c r="R1960" s="71" t="s">
        <v>388</v>
      </c>
      <c r="S1960" s="73">
        <v>0</v>
      </c>
      <c r="T1960" s="71" t="s">
        <v>390</v>
      </c>
      <c r="U1960" s="74">
        <v>3</v>
      </c>
      <c r="V1960" s="71" t="s">
        <v>391</v>
      </c>
      <c r="W1960" s="130">
        <v>46075.555555555555</v>
      </c>
      <c r="X1960" s="72">
        <v>46076.590277777781</v>
      </c>
      <c r="Y1960" s="72">
        <v>46081.447916666664</v>
      </c>
      <c r="Z1960" s="104" t="s">
        <v>382</v>
      </c>
      <c r="AA1960" s="104" t="s">
        <v>441</v>
      </c>
      <c r="AB1960" s="105">
        <v>46078.64375</v>
      </c>
      <c r="AC1960" s="105">
        <v>46078.838888888888</v>
      </c>
    </row>
    <row r="1961" s="70" customFormat="1" ht="11.25" customHeight="1">
      <c r="A1961" s="87"/>
      <c r="C1961" s="43" t="s">
        <v>3527</v>
      </c>
      <c r="D1961" s="71" t="s">
        <v>382</v>
      </c>
      <c r="E1961" s="71" t="str">
        <f>MID(D1961,1,2)</f>
        <v>IL</v>
      </c>
      <c r="F1961" s="71" t="s">
        <v>1538</v>
      </c>
      <c r="G1961" s="71" t="str">
        <f>MID(F1961,1,2)</f>
        <v>KR</v>
      </c>
      <c r="H1961" s="43" t="s">
        <v>3528</v>
      </c>
      <c r="I1961" s="71" t="s">
        <v>3529</v>
      </c>
      <c r="J1961" s="71" t="s">
        <v>755</v>
      </c>
      <c r="K1961" s="43"/>
      <c r="L1961" s="71" t="s">
        <v>105</v>
      </c>
      <c r="M1961" s="73">
        <v>185</v>
      </c>
      <c r="N1961" s="71" t="s">
        <v>388</v>
      </c>
      <c r="O1961" s="73">
        <v>2.251</v>
      </c>
      <c r="P1961" s="71" t="s">
        <v>389</v>
      </c>
      <c r="Q1961" s="73">
        <v>375.5</v>
      </c>
      <c r="R1961" s="71" t="s">
        <v>388</v>
      </c>
      <c r="S1961" s="73">
        <v>0</v>
      </c>
      <c r="T1961" s="71" t="s">
        <v>390</v>
      </c>
      <c r="U1961" s="74">
        <v>3</v>
      </c>
      <c r="V1961" s="71" t="s">
        <v>391</v>
      </c>
      <c r="W1961" s="130">
        <v>46075.555555555555</v>
      </c>
      <c r="X1961" s="72">
        <v>46076.590277777781</v>
      </c>
      <c r="Y1961" s="72">
        <v>46081.447916666664</v>
      </c>
      <c r="Z1961" s="104" t="s">
        <v>441</v>
      </c>
      <c r="AA1961" s="104" t="s">
        <v>1538</v>
      </c>
      <c r="AB1961" s="105">
        <v>46080.890277777777</v>
      </c>
      <c r="AC1961" s="105">
        <v>46081.42291666667</v>
      </c>
    </row>
    <row r="1962" s="70" customFormat="1" ht="11.25" customHeight="1">
      <c r="A1962" s="87"/>
      <c r="C1962" s="43" t="s">
        <v>3530</v>
      </c>
      <c r="D1962" s="71" t="s">
        <v>382</v>
      </c>
      <c r="E1962" s="71" t="str">
        <f>MID(D1962,1,2)</f>
        <v>IL</v>
      </c>
      <c r="F1962" s="71" t="s">
        <v>471</v>
      </c>
      <c r="G1962" s="71" t="str">
        <f>MID(F1962,1,2)</f>
        <v>US</v>
      </c>
      <c r="H1962" s="43" t="s">
        <v>3531</v>
      </c>
      <c r="I1962" s="71" t="s">
        <v>3532</v>
      </c>
      <c r="J1962" s="71" t="s">
        <v>386</v>
      </c>
      <c r="K1962" s="43"/>
      <c r="L1962" s="71" t="s">
        <v>107</v>
      </c>
      <c r="M1962" s="73">
        <v>450</v>
      </c>
      <c r="N1962" s="71" t="s">
        <v>388</v>
      </c>
      <c r="O1962" s="73">
        <v>4.294</v>
      </c>
      <c r="P1962" s="71" t="s">
        <v>389</v>
      </c>
      <c r="Q1962" s="73">
        <v>716</v>
      </c>
      <c r="R1962" s="71" t="s">
        <v>388</v>
      </c>
      <c r="S1962" s="73">
        <v>0</v>
      </c>
      <c r="T1962" s="71" t="s">
        <v>390</v>
      </c>
      <c r="U1962" s="74">
        <v>5</v>
      </c>
      <c r="V1962" s="71" t="s">
        <v>391</v>
      </c>
      <c r="W1962" s="130">
        <v>46075.584027777775</v>
      </c>
      <c r="X1962" s="72">
        <v>46078.003472222219</v>
      </c>
      <c r="Y1962" s="72">
        <v>46080.5</v>
      </c>
      <c r="Z1962" s="104" t="s">
        <v>382</v>
      </c>
      <c r="AA1962" s="104" t="s">
        <v>422</v>
      </c>
      <c r="AB1962" s="105">
        <v>46079.006944444445</v>
      </c>
      <c r="AC1962" s="105">
        <v>46079.209027777775</v>
      </c>
    </row>
    <row r="1963" s="70" customFormat="1" ht="11.25" customHeight="1">
      <c r="A1963" s="87"/>
      <c r="C1963" s="43" t="s">
        <v>3530</v>
      </c>
      <c r="D1963" s="71" t="s">
        <v>382</v>
      </c>
      <c r="E1963" s="71" t="str">
        <f>MID(D1963,1,2)</f>
        <v>IL</v>
      </c>
      <c r="F1963" s="71" t="s">
        <v>471</v>
      </c>
      <c r="G1963" s="71" t="str">
        <f>MID(F1963,1,2)</f>
        <v>US</v>
      </c>
      <c r="H1963" s="43" t="s">
        <v>3531</v>
      </c>
      <c r="I1963" s="71" t="s">
        <v>3532</v>
      </c>
      <c r="J1963" s="71" t="s">
        <v>386</v>
      </c>
      <c r="K1963" s="43"/>
      <c r="L1963" s="71" t="s">
        <v>107</v>
      </c>
      <c r="M1963" s="73">
        <v>450</v>
      </c>
      <c r="N1963" s="71" t="s">
        <v>388</v>
      </c>
      <c r="O1963" s="73">
        <v>4.294</v>
      </c>
      <c r="P1963" s="71" t="s">
        <v>389</v>
      </c>
      <c r="Q1963" s="73">
        <v>716</v>
      </c>
      <c r="R1963" s="71" t="s">
        <v>388</v>
      </c>
      <c r="S1963" s="73">
        <v>0</v>
      </c>
      <c r="T1963" s="71" t="s">
        <v>390</v>
      </c>
      <c r="U1963" s="74">
        <v>5</v>
      </c>
      <c r="V1963" s="71" t="s">
        <v>391</v>
      </c>
      <c r="W1963" s="130">
        <v>46075.584027777775</v>
      </c>
      <c r="X1963" s="72">
        <v>46078.003472222219</v>
      </c>
      <c r="Y1963" s="72">
        <v>46080.5</v>
      </c>
      <c r="Z1963" s="104" t="s">
        <v>422</v>
      </c>
      <c r="AA1963" s="104" t="s">
        <v>471</v>
      </c>
      <c r="AB1963" s="105">
        <v>46079.604861111111</v>
      </c>
      <c r="AC1963" s="105">
        <v>46081.427083333336</v>
      </c>
    </row>
    <row r="1964" s="70" customFormat="1" ht="11.25" customHeight="1">
      <c r="A1964" s="87"/>
      <c r="C1964" s="43" t="s">
        <v>3533</v>
      </c>
      <c r="D1964" s="71" t="s">
        <v>382</v>
      </c>
      <c r="E1964" s="71" t="str">
        <f>MID(D1964,1,2)</f>
        <v>IL</v>
      </c>
      <c r="F1964" s="71" t="s">
        <v>510</v>
      </c>
      <c r="G1964" s="71" t="str">
        <f>MID(F1964,1,2)</f>
        <v>US</v>
      </c>
      <c r="H1964" s="43" t="s">
        <v>3534</v>
      </c>
      <c r="I1964" s="71" t="s">
        <v>3535</v>
      </c>
      <c r="J1964" s="71" t="s">
        <v>386</v>
      </c>
      <c r="K1964" s="43"/>
      <c r="L1964" s="71" t="s">
        <v>107</v>
      </c>
      <c r="M1964" s="73">
        <v>201</v>
      </c>
      <c r="N1964" s="71" t="s">
        <v>388</v>
      </c>
      <c r="O1964" s="73">
        <v>1.663</v>
      </c>
      <c r="P1964" s="71" t="s">
        <v>389</v>
      </c>
      <c r="Q1964" s="73">
        <v>2800</v>
      </c>
      <c r="R1964" s="71" t="s">
        <v>388</v>
      </c>
      <c r="S1964" s="73">
        <v>0</v>
      </c>
      <c r="T1964" s="71" t="s">
        <v>390</v>
      </c>
      <c r="U1964" s="74">
        <v>1</v>
      </c>
      <c r="V1964" s="71" t="s">
        <v>391</v>
      </c>
      <c r="W1964" s="130">
        <v>46075.507638888892</v>
      </c>
      <c r="X1964" s="72">
        <v>46081.338888888888</v>
      </c>
      <c r="Y1964" s="72">
        <v>46084.6875</v>
      </c>
      <c r="Z1964" s="104" t="s">
        <v>382</v>
      </c>
      <c r="AA1964" s="104" t="s">
        <v>466</v>
      </c>
      <c r="AB1964" s="105">
        <v>46081.338888888888</v>
      </c>
      <c r="AC1964" s="105">
        <v>46081.461805555555</v>
      </c>
    </row>
    <row r="1965" s="70" customFormat="1" ht="11.25" customHeight="1">
      <c r="A1965" s="87"/>
      <c r="C1965" s="43" t="s">
        <v>3533</v>
      </c>
      <c r="D1965" s="71" t="s">
        <v>382</v>
      </c>
      <c r="E1965" s="71" t="str">
        <f>MID(D1965,1,2)</f>
        <v>IL</v>
      </c>
      <c r="F1965" s="71" t="s">
        <v>510</v>
      </c>
      <c r="G1965" s="71" t="str">
        <f>MID(F1965,1,2)</f>
        <v>US</v>
      </c>
      <c r="H1965" s="43" t="s">
        <v>3534</v>
      </c>
      <c r="I1965" s="71" t="s">
        <v>3535</v>
      </c>
      <c r="J1965" s="71" t="s">
        <v>386</v>
      </c>
      <c r="K1965" s="43"/>
      <c r="L1965" s="71" t="s">
        <v>107</v>
      </c>
      <c r="M1965" s="73">
        <v>201</v>
      </c>
      <c r="N1965" s="71" t="s">
        <v>388</v>
      </c>
      <c r="O1965" s="73">
        <v>1.663</v>
      </c>
      <c r="P1965" s="71" t="s">
        <v>389</v>
      </c>
      <c r="Q1965" s="73">
        <v>2800</v>
      </c>
      <c r="R1965" s="71" t="s">
        <v>388</v>
      </c>
      <c r="S1965" s="73">
        <v>0</v>
      </c>
      <c r="T1965" s="71" t="s">
        <v>390</v>
      </c>
      <c r="U1965" s="74">
        <v>1</v>
      </c>
      <c r="V1965" s="71" t="s">
        <v>391</v>
      </c>
      <c r="W1965" s="130">
        <v>46075.507638888892</v>
      </c>
      <c r="X1965" s="72">
        <v>46081.338888888888</v>
      </c>
      <c r="Y1965" s="72">
        <v>46084.6875</v>
      </c>
      <c r="Z1965" s="104" t="s">
        <v>466</v>
      </c>
      <c r="AA1965" s="104" t="s">
        <v>510</v>
      </c>
      <c r="AB1965" s="105">
        <v>46084.136111111111</v>
      </c>
      <c r="AC1965" s="105">
        <v>46084.263888888891</v>
      </c>
    </row>
    <row r="1966" s="70" customFormat="1" ht="11.25" customHeight="1">
      <c r="A1966" s="87"/>
      <c r="C1966" s="43" t="s">
        <v>3536</v>
      </c>
      <c r="D1966" s="71" t="s">
        <v>382</v>
      </c>
      <c r="E1966" s="71" t="str">
        <f>MID(D1966,1,2)</f>
        <v>IL</v>
      </c>
      <c r="F1966" s="71" t="s">
        <v>383</v>
      </c>
      <c r="G1966" s="71" t="str">
        <f>MID(F1966,1,2)</f>
        <v>DE</v>
      </c>
      <c r="H1966" s="43" t="s">
        <v>3537</v>
      </c>
      <c r="I1966" s="71" t="s">
        <v>3538</v>
      </c>
      <c r="J1966" s="71" t="s">
        <v>435</v>
      </c>
      <c r="K1966" s="43"/>
      <c r="L1966" s="71" t="s">
        <v>105</v>
      </c>
      <c r="M1966" s="73">
        <v>63</v>
      </c>
      <c r="N1966" s="71" t="s">
        <v>388</v>
      </c>
      <c r="O1966" s="73">
        <v>0.481</v>
      </c>
      <c r="P1966" s="71" t="s">
        <v>389</v>
      </c>
      <c r="Q1966" s="73">
        <v>80.5</v>
      </c>
      <c r="R1966" s="71" t="s">
        <v>388</v>
      </c>
      <c r="S1966" s="73">
        <v>0</v>
      </c>
      <c r="T1966" s="71" t="s">
        <v>390</v>
      </c>
      <c r="U1966" s="74">
        <v>1</v>
      </c>
      <c r="V1966" s="71" t="s">
        <v>391</v>
      </c>
      <c r="W1966" s="130">
        <v>46075.703715277778</v>
      </c>
      <c r="X1966" s="72">
        <v>46076.565972222219</v>
      </c>
      <c r="Y1966" s="72">
        <v>46076.715277777781</v>
      </c>
      <c r="Z1966" s="104" t="s">
        <v>382</v>
      </c>
      <c r="AA1966" s="104" t="s">
        <v>383</v>
      </c>
      <c r="AB1966" s="105">
        <v>46076.554861111108</v>
      </c>
      <c r="AC1966" s="105">
        <v>46076.714583333334</v>
      </c>
    </row>
    <row r="1967" s="70" customFormat="1" ht="11.25" customHeight="1">
      <c r="A1967" s="87"/>
      <c r="C1967" s="43" t="s">
        <v>3539</v>
      </c>
      <c r="D1967" s="71" t="s">
        <v>382</v>
      </c>
      <c r="E1967" s="71" t="str">
        <f>MID(D1967,1,2)</f>
        <v>IL</v>
      </c>
      <c r="F1967" s="71" t="s">
        <v>471</v>
      </c>
      <c r="G1967" s="71" t="str">
        <f>MID(F1967,1,2)</f>
        <v>US</v>
      </c>
      <c r="H1967" s="43" t="s">
        <v>3540</v>
      </c>
      <c r="I1967" s="71" t="s">
        <v>3541</v>
      </c>
      <c r="J1967" s="71" t="s">
        <v>386</v>
      </c>
      <c r="K1967" s="43"/>
      <c r="L1967" s="71" t="s">
        <v>107</v>
      </c>
      <c r="M1967" s="73">
        <v>21</v>
      </c>
      <c r="N1967" s="71" t="s">
        <v>388</v>
      </c>
      <c r="O1967" s="73">
        <v>0.104</v>
      </c>
      <c r="P1967" s="71" t="s">
        <v>389</v>
      </c>
      <c r="Q1967" s="73">
        <v>21</v>
      </c>
      <c r="R1967" s="71" t="s">
        <v>388</v>
      </c>
      <c r="S1967" s="73">
        <v>0</v>
      </c>
      <c r="T1967" s="71" t="s">
        <v>390</v>
      </c>
      <c r="U1967" s="74">
        <v>1</v>
      </c>
      <c r="V1967" s="71" t="s">
        <v>391</v>
      </c>
      <c r="W1967" s="130"/>
      <c r="X1967" s="72">
        <v>46077.576388888891</v>
      </c>
      <c r="Y1967" s="72">
        <v>46078.559027777781</v>
      </c>
      <c r="Z1967" s="104" t="s">
        <v>382</v>
      </c>
      <c r="AA1967" s="104" t="s">
        <v>383</v>
      </c>
      <c r="AB1967" s="105">
        <v>46077.563194444447</v>
      </c>
      <c r="AC1967" s="105">
        <v>46077.720138888886</v>
      </c>
    </row>
    <row r="1968" s="70" customFormat="1" ht="11.25" customHeight="1">
      <c r="A1968" s="87"/>
      <c r="C1968" s="43" t="s">
        <v>3539</v>
      </c>
      <c r="D1968" s="71" t="s">
        <v>382</v>
      </c>
      <c r="E1968" s="71" t="str">
        <f>MID(D1968,1,2)</f>
        <v>IL</v>
      </c>
      <c r="F1968" s="71" t="s">
        <v>471</v>
      </c>
      <c r="G1968" s="71" t="str">
        <f>MID(F1968,1,2)</f>
        <v>US</v>
      </c>
      <c r="H1968" s="43" t="s">
        <v>3540</v>
      </c>
      <c r="I1968" s="71" t="s">
        <v>3541</v>
      </c>
      <c r="J1968" s="71" t="s">
        <v>386</v>
      </c>
      <c r="K1968" s="43"/>
      <c r="L1968" s="71" t="s">
        <v>107</v>
      </c>
      <c r="M1968" s="73">
        <v>21</v>
      </c>
      <c r="N1968" s="71" t="s">
        <v>388</v>
      </c>
      <c r="O1968" s="73">
        <v>0.104</v>
      </c>
      <c r="P1968" s="71" t="s">
        <v>389</v>
      </c>
      <c r="Q1968" s="73">
        <v>21</v>
      </c>
      <c r="R1968" s="71" t="s">
        <v>388</v>
      </c>
      <c r="S1968" s="73">
        <v>0</v>
      </c>
      <c r="T1968" s="71" t="s">
        <v>390</v>
      </c>
      <c r="U1968" s="74">
        <v>1</v>
      </c>
      <c r="V1968" s="71" t="s">
        <v>391</v>
      </c>
      <c r="W1968" s="130"/>
      <c r="X1968" s="72">
        <v>46077.576388888891</v>
      </c>
      <c r="Y1968" s="72">
        <v>46078.559027777781</v>
      </c>
      <c r="Z1968" s="104" t="s">
        <v>383</v>
      </c>
      <c r="AA1968" s="104" t="s">
        <v>471</v>
      </c>
      <c r="AB1968" s="105">
        <v>46078.451388888891</v>
      </c>
      <c r="AC1968" s="105">
        <v>46078.538194444445</v>
      </c>
    </row>
    <row r="1969" s="70" customFormat="1" ht="11.25" customHeight="1">
      <c r="A1969" s="87"/>
      <c r="C1969" s="43" t="s">
        <v>3542</v>
      </c>
      <c r="D1969" s="71" t="s">
        <v>382</v>
      </c>
      <c r="E1969" s="71" t="str">
        <f>MID(D1969,1,2)</f>
        <v>IL</v>
      </c>
      <c r="F1969" s="71" t="s">
        <v>471</v>
      </c>
      <c r="G1969" s="71" t="str">
        <f>MID(F1969,1,2)</f>
        <v>US</v>
      </c>
      <c r="H1969" s="43" t="s">
        <v>3543</v>
      </c>
      <c r="I1969" s="71" t="s">
        <v>3544</v>
      </c>
      <c r="J1969" s="71" t="s">
        <v>386</v>
      </c>
      <c r="K1969" s="43"/>
      <c r="L1969" s="71" t="s">
        <v>107</v>
      </c>
      <c r="M1969" s="73">
        <v>1152</v>
      </c>
      <c r="N1969" s="71" t="s">
        <v>388</v>
      </c>
      <c r="O1969" s="73">
        <v>8.531</v>
      </c>
      <c r="P1969" s="71" t="s">
        <v>389</v>
      </c>
      <c r="Q1969" s="73">
        <v>1422</v>
      </c>
      <c r="R1969" s="71" t="s">
        <v>388</v>
      </c>
      <c r="S1969" s="73">
        <v>0</v>
      </c>
      <c r="T1969" s="71" t="s">
        <v>390</v>
      </c>
      <c r="U1969" s="74">
        <v>5</v>
      </c>
      <c r="V1969" s="71" t="s">
        <v>391</v>
      </c>
      <c r="W1969" s="130">
        <v>46078.676944444444</v>
      </c>
      <c r="X1969" s="72">
        <v>46080.522916666669</v>
      </c>
      <c r="Y1969" s="72">
        <v>46082.048611111109</v>
      </c>
      <c r="Z1969" s="104" t="s">
        <v>382</v>
      </c>
      <c r="AA1969" s="104" t="s">
        <v>577</v>
      </c>
      <c r="AB1969" s="105">
        <v>46080.661805555559</v>
      </c>
      <c r="AC1969" s="105">
        <v>46080.808333333334</v>
      </c>
    </row>
    <row r="1970" s="70" customFormat="1" ht="11.25" customHeight="1">
      <c r="A1970" s="87"/>
      <c r="C1970" s="43" t="s">
        <v>3542</v>
      </c>
      <c r="D1970" s="71" t="s">
        <v>382</v>
      </c>
      <c r="E1970" s="71" t="str">
        <f>MID(D1970,1,2)</f>
        <v>IL</v>
      </c>
      <c r="F1970" s="71" t="s">
        <v>471</v>
      </c>
      <c r="G1970" s="71" t="str">
        <f>MID(F1970,1,2)</f>
        <v>US</v>
      </c>
      <c r="H1970" s="43" t="s">
        <v>3543</v>
      </c>
      <c r="I1970" s="71" t="s">
        <v>3544</v>
      </c>
      <c r="J1970" s="71" t="s">
        <v>386</v>
      </c>
      <c r="K1970" s="43"/>
      <c r="L1970" s="71" t="s">
        <v>107</v>
      </c>
      <c r="M1970" s="73">
        <v>1152</v>
      </c>
      <c r="N1970" s="71" t="s">
        <v>388</v>
      </c>
      <c r="O1970" s="73">
        <v>8.531</v>
      </c>
      <c r="P1970" s="71" t="s">
        <v>389</v>
      </c>
      <c r="Q1970" s="73">
        <v>1422</v>
      </c>
      <c r="R1970" s="71" t="s">
        <v>388</v>
      </c>
      <c r="S1970" s="73">
        <v>0</v>
      </c>
      <c r="T1970" s="71" t="s">
        <v>390</v>
      </c>
      <c r="U1970" s="74">
        <v>5</v>
      </c>
      <c r="V1970" s="71" t="s">
        <v>391</v>
      </c>
      <c r="W1970" s="130">
        <v>46078.676944444444</v>
      </c>
      <c r="X1970" s="72">
        <v>46080.522916666669</v>
      </c>
      <c r="Y1970" s="72">
        <v>46082.048611111109</v>
      </c>
      <c r="Z1970" s="104" t="s">
        <v>577</v>
      </c>
      <c r="AA1970" s="104" t="s">
        <v>471</v>
      </c>
      <c r="AB1970" s="105">
        <v>46081.959027777775</v>
      </c>
      <c r="AC1970" s="105">
        <v>46082.043055555558</v>
      </c>
    </row>
    <row r="1971" s="70" customFormat="1" ht="11.25" customHeight="1">
      <c r="A1971" s="87"/>
      <c r="C1971" s="43" t="s">
        <v>3545</v>
      </c>
      <c r="D1971" s="71" t="s">
        <v>382</v>
      </c>
      <c r="E1971" s="71" t="str">
        <f>MID(D1971,1,2)</f>
        <v>IL</v>
      </c>
      <c r="F1971" s="71" t="s">
        <v>471</v>
      </c>
      <c r="G1971" s="71" t="str">
        <f>MID(F1971,1,2)</f>
        <v>US</v>
      </c>
      <c r="H1971" s="43" t="s">
        <v>3546</v>
      </c>
      <c r="I1971" s="71" t="s">
        <v>3547</v>
      </c>
      <c r="J1971" s="71" t="s">
        <v>386</v>
      </c>
      <c r="K1971" s="43"/>
      <c r="L1971" s="71" t="s">
        <v>107</v>
      </c>
      <c r="M1971" s="73">
        <v>88</v>
      </c>
      <c r="N1971" s="71" t="s">
        <v>388</v>
      </c>
      <c r="O1971" s="73">
        <v>0.765</v>
      </c>
      <c r="P1971" s="71" t="s">
        <v>389</v>
      </c>
      <c r="Q1971" s="73">
        <v>127.5</v>
      </c>
      <c r="R1971" s="71" t="s">
        <v>388</v>
      </c>
      <c r="S1971" s="73">
        <v>0</v>
      </c>
      <c r="T1971" s="71" t="s">
        <v>390</v>
      </c>
      <c r="U1971" s="74">
        <v>4</v>
      </c>
      <c r="V1971" s="71" t="s">
        <v>391</v>
      </c>
      <c r="W1971" s="130">
        <v>46078.680405092593</v>
      </c>
      <c r="X1971" s="72">
        <v>46080.544444444444</v>
      </c>
      <c r="Y1971" s="72">
        <v>46083.909722222219</v>
      </c>
      <c r="Z1971" s="104" t="s">
        <v>382</v>
      </c>
      <c r="AA1971" s="104" t="s">
        <v>577</v>
      </c>
      <c r="AB1971" s="105">
        <v>46080.661805555559</v>
      </c>
      <c r="AC1971" s="105">
        <v>46080.808333333334</v>
      </c>
    </row>
    <row r="1972" s="70" customFormat="1" ht="11.25" customHeight="1">
      <c r="A1972" s="87"/>
      <c r="C1972" s="43" t="s">
        <v>3545</v>
      </c>
      <c r="D1972" s="71" t="s">
        <v>382</v>
      </c>
      <c r="E1972" s="71" t="str">
        <f>MID(D1972,1,2)</f>
        <v>IL</v>
      </c>
      <c r="F1972" s="71" t="s">
        <v>471</v>
      </c>
      <c r="G1972" s="71" t="str">
        <f>MID(F1972,1,2)</f>
        <v>US</v>
      </c>
      <c r="H1972" s="43" t="s">
        <v>3546</v>
      </c>
      <c r="I1972" s="71" t="s">
        <v>3547</v>
      </c>
      <c r="J1972" s="71" t="s">
        <v>386</v>
      </c>
      <c r="K1972" s="43"/>
      <c r="L1972" s="71" t="s">
        <v>107</v>
      </c>
      <c r="M1972" s="73">
        <v>88</v>
      </c>
      <c r="N1972" s="71" t="s">
        <v>388</v>
      </c>
      <c r="O1972" s="73">
        <v>0.765</v>
      </c>
      <c r="P1972" s="71" t="s">
        <v>389</v>
      </c>
      <c r="Q1972" s="73">
        <v>127.5</v>
      </c>
      <c r="R1972" s="71" t="s">
        <v>388</v>
      </c>
      <c r="S1972" s="73">
        <v>0</v>
      </c>
      <c r="T1972" s="71" t="s">
        <v>390</v>
      </c>
      <c r="U1972" s="74">
        <v>4</v>
      </c>
      <c r="V1972" s="71" t="s">
        <v>391</v>
      </c>
      <c r="W1972" s="130">
        <v>46078.680405092593</v>
      </c>
      <c r="X1972" s="72">
        <v>46080.544444444444</v>
      </c>
      <c r="Y1972" s="72">
        <v>46083.909722222219</v>
      </c>
      <c r="Z1972" s="104" t="s">
        <v>577</v>
      </c>
      <c r="AA1972" s="104" t="s">
        <v>471</v>
      </c>
      <c r="AB1972" s="105">
        <v>46083.825694444444</v>
      </c>
      <c r="AC1972" s="105">
        <v>46083.901388888888</v>
      </c>
    </row>
    <row r="1973" s="70" customFormat="1" ht="11.25" customHeight="1">
      <c r="A1973" s="87"/>
      <c r="C1973" s="43" t="s">
        <v>3548</v>
      </c>
      <c r="D1973" s="71" t="s">
        <v>382</v>
      </c>
      <c r="E1973" s="71" t="str">
        <f>MID(D1973,1,2)</f>
        <v>IL</v>
      </c>
      <c r="F1973" s="71" t="s">
        <v>667</v>
      </c>
      <c r="G1973" s="71" t="str">
        <f>MID(F1973,1,2)</f>
        <v>DE</v>
      </c>
      <c r="H1973" s="43" t="s">
        <v>3549</v>
      </c>
      <c r="I1973" s="71" t="s">
        <v>3550</v>
      </c>
      <c r="J1973" s="71" t="s">
        <v>386</v>
      </c>
      <c r="K1973" s="43"/>
      <c r="L1973" s="71" t="s">
        <v>107</v>
      </c>
      <c r="M1973" s="73">
        <v>366</v>
      </c>
      <c r="N1973" s="71" t="s">
        <v>388</v>
      </c>
      <c r="O1973" s="73">
        <v>3.681</v>
      </c>
      <c r="P1973" s="71" t="s">
        <v>389</v>
      </c>
      <c r="Q1973" s="73">
        <v>613.5</v>
      </c>
      <c r="R1973" s="71" t="s">
        <v>388</v>
      </c>
      <c r="S1973" s="73">
        <v>0</v>
      </c>
      <c r="T1973" s="71" t="s">
        <v>390</v>
      </c>
      <c r="U1973" s="74">
        <v>2</v>
      </c>
      <c r="V1973" s="71" t="s">
        <v>391</v>
      </c>
      <c r="W1973" s="130">
        <v>46078.680405092593</v>
      </c>
      <c r="X1973" s="72">
        <v>46080.532638888886</v>
      </c>
      <c r="Y1973" s="72">
        <v>46085.577777777777</v>
      </c>
      <c r="Z1973" s="104" t="s">
        <v>667</v>
      </c>
      <c r="AA1973" s="104" t="s">
        <v>677</v>
      </c>
      <c r="AB1973" s="105">
        <v>46085.375</v>
      </c>
      <c r="AC1973" s="105">
        <v>46085.577777777777</v>
      </c>
    </row>
    <row r="1974" s="70" customFormat="1" ht="11.25" customHeight="1">
      <c r="A1974" s="87"/>
      <c r="C1974" s="43" t="s">
        <v>3548</v>
      </c>
      <c r="D1974" s="71" t="s">
        <v>382</v>
      </c>
      <c r="E1974" s="71" t="str">
        <f>MID(D1974,1,2)</f>
        <v>IL</v>
      </c>
      <c r="F1974" s="71" t="s">
        <v>667</v>
      </c>
      <c r="G1974" s="71" t="str">
        <f>MID(F1974,1,2)</f>
        <v>DE</v>
      </c>
      <c r="H1974" s="43" t="s">
        <v>3549</v>
      </c>
      <c r="I1974" s="71" t="s">
        <v>3550</v>
      </c>
      <c r="J1974" s="71" t="s">
        <v>386</v>
      </c>
      <c r="K1974" s="43"/>
      <c r="L1974" s="71" t="s">
        <v>107</v>
      </c>
      <c r="M1974" s="73">
        <v>366</v>
      </c>
      <c r="N1974" s="71" t="s">
        <v>388</v>
      </c>
      <c r="O1974" s="73">
        <v>3.681</v>
      </c>
      <c r="P1974" s="71" t="s">
        <v>389</v>
      </c>
      <c r="Q1974" s="73">
        <v>613.5</v>
      </c>
      <c r="R1974" s="71" t="s">
        <v>388</v>
      </c>
      <c r="S1974" s="73">
        <v>0</v>
      </c>
      <c r="T1974" s="71" t="s">
        <v>390</v>
      </c>
      <c r="U1974" s="74">
        <v>2</v>
      </c>
      <c r="V1974" s="71" t="s">
        <v>391</v>
      </c>
      <c r="W1974" s="130">
        <v>46078.680405092593</v>
      </c>
      <c r="X1974" s="72">
        <v>46080.532638888886</v>
      </c>
      <c r="Y1974" s="72">
        <v>46085.577777777777</v>
      </c>
      <c r="Z1974" s="104" t="s">
        <v>382</v>
      </c>
      <c r="AA1974" s="104" t="s">
        <v>383</v>
      </c>
      <c r="AB1974" s="105">
        <v>46080.56527777778</v>
      </c>
      <c r="AC1974" s="105">
        <v>46080.703472222223</v>
      </c>
    </row>
    <row r="1975" s="70" customFormat="1" ht="11.25" customHeight="1">
      <c r="A1975" s="87"/>
      <c r="C1975" s="43" t="s">
        <v>3548</v>
      </c>
      <c r="D1975" s="71" t="s">
        <v>382</v>
      </c>
      <c r="E1975" s="71" t="str">
        <f>MID(D1975,1,2)</f>
        <v>IL</v>
      </c>
      <c r="F1975" s="71" t="s">
        <v>667</v>
      </c>
      <c r="G1975" s="71" t="str">
        <f>MID(F1975,1,2)</f>
        <v>DE</v>
      </c>
      <c r="H1975" s="43" t="s">
        <v>3549</v>
      </c>
      <c r="I1975" s="71" t="s">
        <v>3550</v>
      </c>
      <c r="J1975" s="71" t="s">
        <v>386</v>
      </c>
      <c r="K1975" s="43"/>
      <c r="L1975" s="71" t="s">
        <v>107</v>
      </c>
      <c r="M1975" s="73">
        <v>366</v>
      </c>
      <c r="N1975" s="71" t="s">
        <v>388</v>
      </c>
      <c r="O1975" s="73">
        <v>3.681</v>
      </c>
      <c r="P1975" s="71" t="s">
        <v>389</v>
      </c>
      <c r="Q1975" s="73">
        <v>613.5</v>
      </c>
      <c r="R1975" s="71" t="s">
        <v>388</v>
      </c>
      <c r="S1975" s="73">
        <v>0</v>
      </c>
      <c r="T1975" s="71" t="s">
        <v>390</v>
      </c>
      <c r="U1975" s="74">
        <v>2</v>
      </c>
      <c r="V1975" s="71" t="s">
        <v>391</v>
      </c>
      <c r="W1975" s="130">
        <v>46078.680405092593</v>
      </c>
      <c r="X1975" s="72">
        <v>46080.532638888886</v>
      </c>
      <c r="Y1975" s="72">
        <v>46085.577777777777</v>
      </c>
      <c r="Z1975" s="104" t="s">
        <v>383</v>
      </c>
      <c r="AA1975" s="104" t="s">
        <v>667</v>
      </c>
      <c r="AB1975" s="105">
        <v>46081.447916666664</v>
      </c>
      <c r="AC1975" s="105">
        <v>46081.671527777777</v>
      </c>
    </row>
    <row r="1976" s="70" customFormat="1" ht="11.25" customHeight="1">
      <c r="A1976" s="87"/>
      <c r="C1976" s="43" t="s">
        <v>3551</v>
      </c>
      <c r="D1976" s="71" t="s">
        <v>382</v>
      </c>
      <c r="E1976" s="71" t="str">
        <f>MID(D1976,1,2)</f>
        <v>IL</v>
      </c>
      <c r="F1976" s="71" t="s">
        <v>667</v>
      </c>
      <c r="G1976" s="71" t="str">
        <f>MID(F1976,1,2)</f>
        <v>DE</v>
      </c>
      <c r="H1976" s="43" t="s">
        <v>3552</v>
      </c>
      <c r="I1976" s="71" t="s">
        <v>3553</v>
      </c>
      <c r="J1976" s="71" t="s">
        <v>386</v>
      </c>
      <c r="K1976" s="43"/>
      <c r="L1976" s="71" t="s">
        <v>107</v>
      </c>
      <c r="M1976" s="73">
        <v>86</v>
      </c>
      <c r="N1976" s="71" t="s">
        <v>388</v>
      </c>
      <c r="O1976" s="73">
        <v>1.12</v>
      </c>
      <c r="P1976" s="71" t="s">
        <v>389</v>
      </c>
      <c r="Q1976" s="73">
        <v>187</v>
      </c>
      <c r="R1976" s="71" t="s">
        <v>388</v>
      </c>
      <c r="S1976" s="73">
        <v>0</v>
      </c>
      <c r="T1976" s="71" t="s">
        <v>390</v>
      </c>
      <c r="U1976" s="74">
        <v>2</v>
      </c>
      <c r="V1976" s="71" t="s">
        <v>391</v>
      </c>
      <c r="W1976" s="130">
        <v>46078.680405092593</v>
      </c>
      <c r="X1976" s="72">
        <v>46079.536805555559</v>
      </c>
      <c r="Y1976" s="72">
        <v>46083.542361111111</v>
      </c>
      <c r="Z1976" s="104" t="s">
        <v>667</v>
      </c>
      <c r="AA1976" s="104" t="s">
        <v>677</v>
      </c>
      <c r="AB1976" s="105">
        <v>46083.375</v>
      </c>
      <c r="AC1976" s="105">
        <v>46083.542361111111</v>
      </c>
    </row>
    <row r="1977" s="70" customFormat="1" ht="11.25" customHeight="1">
      <c r="A1977" s="87"/>
      <c r="C1977" s="43" t="s">
        <v>3551</v>
      </c>
      <c r="D1977" s="71" t="s">
        <v>382</v>
      </c>
      <c r="E1977" s="71" t="str">
        <f>MID(D1977,1,2)</f>
        <v>IL</v>
      </c>
      <c r="F1977" s="71" t="s">
        <v>667</v>
      </c>
      <c r="G1977" s="71" t="str">
        <f>MID(F1977,1,2)</f>
        <v>DE</v>
      </c>
      <c r="H1977" s="43" t="s">
        <v>3552</v>
      </c>
      <c r="I1977" s="71" t="s">
        <v>3553</v>
      </c>
      <c r="J1977" s="71" t="s">
        <v>386</v>
      </c>
      <c r="K1977" s="43"/>
      <c r="L1977" s="71" t="s">
        <v>107</v>
      </c>
      <c r="M1977" s="73">
        <v>86</v>
      </c>
      <c r="N1977" s="71" t="s">
        <v>388</v>
      </c>
      <c r="O1977" s="73">
        <v>1.12</v>
      </c>
      <c r="P1977" s="71" t="s">
        <v>389</v>
      </c>
      <c r="Q1977" s="73">
        <v>187</v>
      </c>
      <c r="R1977" s="71" t="s">
        <v>388</v>
      </c>
      <c r="S1977" s="73">
        <v>0</v>
      </c>
      <c r="T1977" s="71" t="s">
        <v>390</v>
      </c>
      <c r="U1977" s="74">
        <v>2</v>
      </c>
      <c r="V1977" s="71" t="s">
        <v>391</v>
      </c>
      <c r="W1977" s="130">
        <v>46078.680405092593</v>
      </c>
      <c r="X1977" s="72">
        <v>46079.536805555559</v>
      </c>
      <c r="Y1977" s="72">
        <v>46083.542361111111</v>
      </c>
      <c r="Z1977" s="104" t="s">
        <v>382</v>
      </c>
      <c r="AA1977" s="104" t="s">
        <v>667</v>
      </c>
      <c r="AB1977" s="105">
        <v>46079.724305555559</v>
      </c>
      <c r="AC1977" s="105">
        <v>46079.854166666664</v>
      </c>
    </row>
    <row r="1978" s="70" customFormat="1" ht="11.25" customHeight="1">
      <c r="A1978" s="87"/>
      <c r="C1978" s="43" t="s">
        <v>3554</v>
      </c>
      <c r="D1978" s="71" t="s">
        <v>382</v>
      </c>
      <c r="E1978" s="71" t="str">
        <f>MID(D1978,1,2)</f>
        <v>IL</v>
      </c>
      <c r="F1978" s="71" t="s">
        <v>667</v>
      </c>
      <c r="G1978" s="71" t="str">
        <f>MID(F1978,1,2)</f>
        <v>DE</v>
      </c>
      <c r="H1978" s="43" t="s">
        <v>3555</v>
      </c>
      <c r="I1978" s="71" t="s">
        <v>3556</v>
      </c>
      <c r="J1978" s="71" t="s">
        <v>386</v>
      </c>
      <c r="K1978" s="43"/>
      <c r="L1978" s="71" t="s">
        <v>107</v>
      </c>
      <c r="M1978" s="73">
        <v>17</v>
      </c>
      <c r="N1978" s="71" t="s">
        <v>388</v>
      </c>
      <c r="O1978" s="73">
        <v>0.56</v>
      </c>
      <c r="P1978" s="71" t="s">
        <v>389</v>
      </c>
      <c r="Q1978" s="73">
        <v>100</v>
      </c>
      <c r="R1978" s="71" t="s">
        <v>388</v>
      </c>
      <c r="S1978" s="73">
        <v>0</v>
      </c>
      <c r="T1978" s="71" t="s">
        <v>390</v>
      </c>
      <c r="U1978" s="74">
        <v>1</v>
      </c>
      <c r="V1978" s="71" t="s">
        <v>391</v>
      </c>
      <c r="W1978" s="130">
        <v>46078.67695601852</v>
      </c>
      <c r="X1978" s="72">
        <v>46079.540277777778</v>
      </c>
      <c r="Y1978" s="72">
        <v>46087.499305555553</v>
      </c>
      <c r="Z1978" s="104" t="s">
        <v>667</v>
      </c>
      <c r="AA1978" s="104" t="s">
        <v>677</v>
      </c>
      <c r="AB1978" s="105">
        <v>46087.375</v>
      </c>
      <c r="AC1978" s="105">
        <v>46087.499305555553</v>
      </c>
    </row>
    <row r="1979" s="70" customFormat="1" ht="11.25" customHeight="1">
      <c r="A1979" s="87"/>
      <c r="C1979" s="43" t="s">
        <v>3554</v>
      </c>
      <c r="D1979" s="71" t="s">
        <v>382</v>
      </c>
      <c r="E1979" s="71" t="str">
        <f>MID(D1979,1,2)</f>
        <v>IL</v>
      </c>
      <c r="F1979" s="71" t="s">
        <v>667</v>
      </c>
      <c r="G1979" s="71" t="str">
        <f>MID(F1979,1,2)</f>
        <v>DE</v>
      </c>
      <c r="H1979" s="43" t="s">
        <v>3555</v>
      </c>
      <c r="I1979" s="71" t="s">
        <v>3556</v>
      </c>
      <c r="J1979" s="71" t="s">
        <v>386</v>
      </c>
      <c r="K1979" s="43"/>
      <c r="L1979" s="71" t="s">
        <v>107</v>
      </c>
      <c r="M1979" s="73">
        <v>17</v>
      </c>
      <c r="N1979" s="71" t="s">
        <v>388</v>
      </c>
      <c r="O1979" s="73">
        <v>0.56</v>
      </c>
      <c r="P1979" s="71" t="s">
        <v>389</v>
      </c>
      <c r="Q1979" s="73">
        <v>100</v>
      </c>
      <c r="R1979" s="71" t="s">
        <v>388</v>
      </c>
      <c r="S1979" s="73">
        <v>0</v>
      </c>
      <c r="T1979" s="71" t="s">
        <v>390</v>
      </c>
      <c r="U1979" s="74">
        <v>1</v>
      </c>
      <c r="V1979" s="71" t="s">
        <v>391</v>
      </c>
      <c r="W1979" s="130">
        <v>46078.67695601852</v>
      </c>
      <c r="X1979" s="72">
        <v>46079.540277777778</v>
      </c>
      <c r="Y1979" s="72">
        <v>46087.499305555553</v>
      </c>
      <c r="Z1979" s="104" t="s">
        <v>382</v>
      </c>
      <c r="AA1979" s="104" t="s">
        <v>667</v>
      </c>
      <c r="AB1979" s="105">
        <v>46079.724305555559</v>
      </c>
      <c r="AC1979" s="105">
        <v>46079.854166666664</v>
      </c>
    </row>
    <row r="1980" s="70" customFormat="1" ht="11.25" customHeight="1">
      <c r="A1980" s="87"/>
      <c r="C1980" s="43" t="s">
        <v>3557</v>
      </c>
      <c r="D1980" s="71" t="s">
        <v>382</v>
      </c>
      <c r="E1980" s="71" t="str">
        <f>MID(D1980,1,2)</f>
        <v>IL</v>
      </c>
      <c r="F1980" s="71" t="s">
        <v>573</v>
      </c>
      <c r="G1980" s="71" t="str">
        <f>MID(F1980,1,2)</f>
        <v>CH</v>
      </c>
      <c r="H1980" s="43" t="s">
        <v>3558</v>
      </c>
      <c r="I1980" s="71" t="s">
        <v>3559</v>
      </c>
      <c r="J1980" s="71" t="s">
        <v>400</v>
      </c>
      <c r="K1980" s="43"/>
      <c r="L1980" s="71" t="s">
        <v>105</v>
      </c>
      <c r="M1980" s="73">
        <v>177</v>
      </c>
      <c r="N1980" s="71" t="s">
        <v>388</v>
      </c>
      <c r="O1980" s="73">
        <v>0.907</v>
      </c>
      <c r="P1980" s="71" t="s">
        <v>389</v>
      </c>
      <c r="Q1980" s="73">
        <v>177</v>
      </c>
      <c r="R1980" s="71" t="s">
        <v>388</v>
      </c>
      <c r="S1980" s="73">
        <v>0</v>
      </c>
      <c r="T1980" s="71" t="s">
        <v>390</v>
      </c>
      <c r="U1980" s="74">
        <v>1</v>
      </c>
      <c r="V1980" s="71" t="s">
        <v>391</v>
      </c>
      <c r="W1980" s="130"/>
      <c r="X1980" s="72">
        <v>46077.576388888891</v>
      </c>
      <c r="Y1980" s="72">
        <v>46080.417361111111</v>
      </c>
      <c r="Z1980" s="104" t="s">
        <v>382</v>
      </c>
      <c r="AA1980" s="104" t="s">
        <v>383</v>
      </c>
      <c r="AB1980" s="105">
        <v>46078.970138888886</v>
      </c>
      <c r="AC1980" s="105">
        <v>46079.282638888886</v>
      </c>
    </row>
    <row r="1981" s="70" customFormat="1" ht="11.25" customHeight="1">
      <c r="A1981" s="87"/>
      <c r="C1981" s="43" t="s">
        <v>3557</v>
      </c>
      <c r="D1981" s="71" t="s">
        <v>382</v>
      </c>
      <c r="E1981" s="71" t="str">
        <f>MID(D1981,1,2)</f>
        <v>IL</v>
      </c>
      <c r="F1981" s="71" t="s">
        <v>573</v>
      </c>
      <c r="G1981" s="71" t="str">
        <f>MID(F1981,1,2)</f>
        <v>CH</v>
      </c>
      <c r="H1981" s="43" t="s">
        <v>3558</v>
      </c>
      <c r="I1981" s="71" t="s">
        <v>3559</v>
      </c>
      <c r="J1981" s="71" t="s">
        <v>400</v>
      </c>
      <c r="K1981" s="43"/>
      <c r="L1981" s="71" t="s">
        <v>105</v>
      </c>
      <c r="M1981" s="73">
        <v>177</v>
      </c>
      <c r="N1981" s="71" t="s">
        <v>388</v>
      </c>
      <c r="O1981" s="73">
        <v>0.907</v>
      </c>
      <c r="P1981" s="71" t="s">
        <v>389</v>
      </c>
      <c r="Q1981" s="73">
        <v>177</v>
      </c>
      <c r="R1981" s="71" t="s">
        <v>388</v>
      </c>
      <c r="S1981" s="73">
        <v>0</v>
      </c>
      <c r="T1981" s="71" t="s">
        <v>390</v>
      </c>
      <c r="U1981" s="74">
        <v>1</v>
      </c>
      <c r="V1981" s="71" t="s">
        <v>391</v>
      </c>
      <c r="W1981" s="130"/>
      <c r="X1981" s="72">
        <v>46077.576388888891</v>
      </c>
      <c r="Y1981" s="72">
        <v>46080.417361111111</v>
      </c>
      <c r="Z1981" s="104" t="s">
        <v>383</v>
      </c>
      <c r="AA1981" s="104" t="s">
        <v>573</v>
      </c>
      <c r="AB1981" s="105">
        <v>46080.09375</v>
      </c>
      <c r="AC1981" s="105">
        <v>46080.394444444442</v>
      </c>
    </row>
    <row r="1982" s="70" customFormat="1" ht="11.25" customHeight="1">
      <c r="A1982" s="87"/>
      <c r="C1982" s="43" t="s">
        <v>3560</v>
      </c>
      <c r="D1982" s="71" t="s">
        <v>382</v>
      </c>
      <c r="E1982" s="71" t="str">
        <f>MID(D1982,1,2)</f>
        <v>IL</v>
      </c>
      <c r="F1982" s="71" t="s">
        <v>573</v>
      </c>
      <c r="G1982" s="71" t="str">
        <f>MID(F1982,1,2)</f>
        <v>CH</v>
      </c>
      <c r="H1982" s="43" t="s">
        <v>3561</v>
      </c>
      <c r="I1982" s="71" t="s">
        <v>3562</v>
      </c>
      <c r="J1982" s="71" t="s">
        <v>400</v>
      </c>
      <c r="K1982" s="43"/>
      <c r="L1982" s="71" t="s">
        <v>105</v>
      </c>
      <c r="M1982" s="73">
        <v>108</v>
      </c>
      <c r="N1982" s="71" t="s">
        <v>388</v>
      </c>
      <c r="O1982" s="73">
        <v>0.625</v>
      </c>
      <c r="P1982" s="71" t="s">
        <v>389</v>
      </c>
      <c r="Q1982" s="73">
        <v>108</v>
      </c>
      <c r="R1982" s="71" t="s">
        <v>388</v>
      </c>
      <c r="S1982" s="73">
        <v>0</v>
      </c>
      <c r="T1982" s="71" t="s">
        <v>390</v>
      </c>
      <c r="U1982" s="74">
        <v>1</v>
      </c>
      <c r="V1982" s="71" t="s">
        <v>391</v>
      </c>
      <c r="W1982" s="130"/>
      <c r="X1982" s="72">
        <v>46078.003472222219</v>
      </c>
      <c r="Y1982" s="72">
        <v>46081.3125</v>
      </c>
      <c r="Z1982" s="104" t="s">
        <v>382</v>
      </c>
      <c r="AA1982" s="104" t="s">
        <v>383</v>
      </c>
      <c r="AB1982" s="105">
        <v>46078.970138888886</v>
      </c>
      <c r="AC1982" s="105">
        <v>46079.282638888886</v>
      </c>
    </row>
    <row r="1983" s="70" customFormat="1" ht="11.25" customHeight="1">
      <c r="A1983" s="87"/>
      <c r="C1983" s="43" t="s">
        <v>3560</v>
      </c>
      <c r="D1983" s="71" t="s">
        <v>382</v>
      </c>
      <c r="E1983" s="71" t="str">
        <f>MID(D1983,1,2)</f>
        <v>IL</v>
      </c>
      <c r="F1983" s="71" t="s">
        <v>573</v>
      </c>
      <c r="G1983" s="71" t="str">
        <f>MID(F1983,1,2)</f>
        <v>CH</v>
      </c>
      <c r="H1983" s="43" t="s">
        <v>3561</v>
      </c>
      <c r="I1983" s="71" t="s">
        <v>3562</v>
      </c>
      <c r="J1983" s="71" t="s">
        <v>400</v>
      </c>
      <c r="K1983" s="43"/>
      <c r="L1983" s="71" t="s">
        <v>105</v>
      </c>
      <c r="M1983" s="73">
        <v>108</v>
      </c>
      <c r="N1983" s="71" t="s">
        <v>388</v>
      </c>
      <c r="O1983" s="73">
        <v>0.625</v>
      </c>
      <c r="P1983" s="71" t="s">
        <v>389</v>
      </c>
      <c r="Q1983" s="73">
        <v>108</v>
      </c>
      <c r="R1983" s="71" t="s">
        <v>388</v>
      </c>
      <c r="S1983" s="73">
        <v>0</v>
      </c>
      <c r="T1983" s="71" t="s">
        <v>390</v>
      </c>
      <c r="U1983" s="74">
        <v>1</v>
      </c>
      <c r="V1983" s="71" t="s">
        <v>391</v>
      </c>
      <c r="W1983" s="130"/>
      <c r="X1983" s="72">
        <v>46078.003472222219</v>
      </c>
      <c r="Y1983" s="72">
        <v>46081.3125</v>
      </c>
      <c r="Z1983" s="104" t="s">
        <v>383</v>
      </c>
      <c r="AA1983" s="104" t="s">
        <v>573</v>
      </c>
      <c r="AB1983" s="105">
        <v>46080.979166666664</v>
      </c>
      <c r="AC1983" s="105">
        <v>46081.270833333336</v>
      </c>
    </row>
    <row r="1984" s="70" customFormat="1" ht="11.25" customHeight="1">
      <c r="A1984" s="87"/>
      <c r="C1984" s="43" t="s">
        <v>3563</v>
      </c>
      <c r="D1984" s="71" t="s">
        <v>382</v>
      </c>
      <c r="E1984" s="71" t="str">
        <f>MID(D1984,1,2)</f>
        <v>IL</v>
      </c>
      <c r="F1984" s="71" t="s">
        <v>443</v>
      </c>
      <c r="G1984" s="71" t="str">
        <f>MID(F1984,1,2)</f>
        <v>US</v>
      </c>
      <c r="H1984" s="43" t="s">
        <v>3458</v>
      </c>
      <c r="I1984" s="71" t="s">
        <v>3564</v>
      </c>
      <c r="J1984" s="71" t="s">
        <v>755</v>
      </c>
      <c r="K1984" s="43"/>
      <c r="L1984" s="71" t="s">
        <v>105</v>
      </c>
      <c r="M1984" s="73">
        <v>98</v>
      </c>
      <c r="N1984" s="71" t="s">
        <v>388</v>
      </c>
      <c r="O1984" s="73">
        <v>1.217</v>
      </c>
      <c r="P1984" s="71" t="s">
        <v>389</v>
      </c>
      <c r="Q1984" s="73">
        <v>203</v>
      </c>
      <c r="R1984" s="71" t="s">
        <v>388</v>
      </c>
      <c r="S1984" s="73">
        <v>0</v>
      </c>
      <c r="T1984" s="71" t="s">
        <v>390</v>
      </c>
      <c r="U1984" s="74">
        <v>2</v>
      </c>
      <c r="V1984" s="71" t="s">
        <v>391</v>
      </c>
      <c r="W1984" s="130">
        <v>46075.570138888892</v>
      </c>
      <c r="X1984" s="72">
        <v>46077.479166666664</v>
      </c>
      <c r="Y1984" s="72">
        <v>46083.479166666664</v>
      </c>
      <c r="Z1984" s="104" t="s">
        <v>382</v>
      </c>
      <c r="AA1984" s="104" t="s">
        <v>1960</v>
      </c>
      <c r="AB1984" s="105">
        <v>46078.0125</v>
      </c>
      <c r="AC1984" s="105">
        <v>46078.23333333333</v>
      </c>
    </row>
    <row r="1985" s="70" customFormat="1" ht="11.25" customHeight="1">
      <c r="A1985" s="87"/>
      <c r="C1985" s="43" t="s">
        <v>3563</v>
      </c>
      <c r="D1985" s="71" t="s">
        <v>382</v>
      </c>
      <c r="E1985" s="71" t="str">
        <f>MID(D1985,1,2)</f>
        <v>IL</v>
      </c>
      <c r="F1985" s="71" t="s">
        <v>443</v>
      </c>
      <c r="G1985" s="71" t="str">
        <f>MID(F1985,1,2)</f>
        <v>US</v>
      </c>
      <c r="H1985" s="43" t="s">
        <v>3458</v>
      </c>
      <c r="I1985" s="71" t="s">
        <v>3564</v>
      </c>
      <c r="J1985" s="71" t="s">
        <v>755</v>
      </c>
      <c r="K1985" s="43"/>
      <c r="L1985" s="71" t="s">
        <v>105</v>
      </c>
      <c r="M1985" s="73">
        <v>98</v>
      </c>
      <c r="N1985" s="71" t="s">
        <v>388</v>
      </c>
      <c r="O1985" s="73">
        <v>1.217</v>
      </c>
      <c r="P1985" s="71" t="s">
        <v>389</v>
      </c>
      <c r="Q1985" s="73">
        <v>203</v>
      </c>
      <c r="R1985" s="71" t="s">
        <v>388</v>
      </c>
      <c r="S1985" s="73">
        <v>0</v>
      </c>
      <c r="T1985" s="71" t="s">
        <v>390</v>
      </c>
      <c r="U1985" s="74">
        <v>2</v>
      </c>
      <c r="V1985" s="71" t="s">
        <v>391</v>
      </c>
      <c r="W1985" s="130">
        <v>46075.570138888892</v>
      </c>
      <c r="X1985" s="72">
        <v>46077.479166666664</v>
      </c>
      <c r="Y1985" s="72">
        <v>46083.479166666664</v>
      </c>
      <c r="Z1985" s="104" t="s">
        <v>1960</v>
      </c>
      <c r="AA1985" s="104" t="s">
        <v>443</v>
      </c>
      <c r="AB1985" s="105">
        <v>46079.442361111112</v>
      </c>
      <c r="AC1985" s="105">
        <v>46079.54375</v>
      </c>
    </row>
    <row r="1986" s="70" customFormat="1" ht="11.25" customHeight="1">
      <c r="A1986" s="87"/>
      <c r="C1986" s="43" t="s">
        <v>3565</v>
      </c>
      <c r="D1986" s="71" t="s">
        <v>382</v>
      </c>
      <c r="E1986" s="71" t="str">
        <f>MID(D1986,1,2)</f>
        <v>IL</v>
      </c>
      <c r="F1986" s="71" t="s">
        <v>597</v>
      </c>
      <c r="G1986" s="71" t="str">
        <f>MID(F1986,1,2)</f>
        <v>NL</v>
      </c>
      <c r="H1986" s="43" t="s">
        <v>3566</v>
      </c>
      <c r="I1986" s="71" t="s">
        <v>3567</v>
      </c>
      <c r="J1986" s="71" t="s">
        <v>386</v>
      </c>
      <c r="K1986" s="43"/>
      <c r="L1986" s="71" t="s">
        <v>107</v>
      </c>
      <c r="M1986" s="73">
        <v>118</v>
      </c>
      <c r="N1986" s="71" t="s">
        <v>388</v>
      </c>
      <c r="O1986" s="73">
        <v>1.716</v>
      </c>
      <c r="P1986" s="71" t="s">
        <v>389</v>
      </c>
      <c r="Q1986" s="73">
        <v>286</v>
      </c>
      <c r="R1986" s="71" t="s">
        <v>388</v>
      </c>
      <c r="S1986" s="73">
        <v>0</v>
      </c>
      <c r="T1986" s="71" t="s">
        <v>390</v>
      </c>
      <c r="U1986" s="74">
        <v>1</v>
      </c>
      <c r="V1986" s="71" t="s">
        <v>391</v>
      </c>
      <c r="W1986" s="130">
        <v>46076.746400462966</v>
      </c>
      <c r="X1986" s="72">
        <v>46078.586805555555</v>
      </c>
      <c r="Y1986" s="72">
        <v>46081.402777777781</v>
      </c>
      <c r="Z1986" s="104" t="s">
        <v>382</v>
      </c>
      <c r="AA1986" s="104" t="s">
        <v>590</v>
      </c>
      <c r="AB1986" s="105">
        <v>46078.728472222225</v>
      </c>
      <c r="AC1986" s="105">
        <v>46078.981944444444</v>
      </c>
    </row>
    <row r="1987" s="70" customFormat="1" ht="11.25" customHeight="1">
      <c r="A1987" s="87"/>
      <c r="C1987" s="43" t="s">
        <v>3565</v>
      </c>
      <c r="D1987" s="71" t="s">
        <v>382</v>
      </c>
      <c r="E1987" s="71" t="str">
        <f>MID(D1987,1,2)</f>
        <v>IL</v>
      </c>
      <c r="F1987" s="71" t="s">
        <v>597</v>
      </c>
      <c r="G1987" s="71" t="str">
        <f>MID(F1987,1,2)</f>
        <v>NL</v>
      </c>
      <c r="H1987" s="43" t="s">
        <v>3566</v>
      </c>
      <c r="I1987" s="71" t="s">
        <v>3567</v>
      </c>
      <c r="J1987" s="71" t="s">
        <v>386</v>
      </c>
      <c r="K1987" s="43"/>
      <c r="L1987" s="71" t="s">
        <v>107</v>
      </c>
      <c r="M1987" s="73">
        <v>118</v>
      </c>
      <c r="N1987" s="71" t="s">
        <v>388</v>
      </c>
      <c r="O1987" s="73">
        <v>1.716</v>
      </c>
      <c r="P1987" s="71" t="s">
        <v>389</v>
      </c>
      <c r="Q1987" s="73">
        <v>286</v>
      </c>
      <c r="R1987" s="71" t="s">
        <v>388</v>
      </c>
      <c r="S1987" s="73">
        <v>0</v>
      </c>
      <c r="T1987" s="71" t="s">
        <v>390</v>
      </c>
      <c r="U1987" s="74">
        <v>1</v>
      </c>
      <c r="V1987" s="71" t="s">
        <v>391</v>
      </c>
      <c r="W1987" s="130">
        <v>46076.746400462966</v>
      </c>
      <c r="X1987" s="72">
        <v>46078.586805555555</v>
      </c>
      <c r="Y1987" s="72">
        <v>46081.402777777781</v>
      </c>
      <c r="Z1987" s="104" t="s">
        <v>590</v>
      </c>
      <c r="AA1987" s="104" t="s">
        <v>597</v>
      </c>
      <c r="AB1987" s="105">
        <v>46082.304166666669</v>
      </c>
      <c r="AC1987" s="105">
        <v>46082.457638888889</v>
      </c>
    </row>
    <row r="1988" s="70" customFormat="1" ht="11.25" customHeight="1">
      <c r="A1988" s="87"/>
      <c r="C1988" s="43" t="s">
        <v>3568</v>
      </c>
      <c r="D1988" s="71" t="s">
        <v>382</v>
      </c>
      <c r="E1988" s="71" t="str">
        <f>MID(D1988,1,2)</f>
        <v>IL</v>
      </c>
      <c r="F1988" s="71" t="s">
        <v>471</v>
      </c>
      <c r="G1988" s="71" t="str">
        <f>MID(F1988,1,2)</f>
        <v>US</v>
      </c>
      <c r="H1988" s="43" t="s">
        <v>3569</v>
      </c>
      <c r="I1988" s="71" t="s">
        <v>3570</v>
      </c>
      <c r="J1988" s="71" t="s">
        <v>386</v>
      </c>
      <c r="K1988" s="43"/>
      <c r="L1988" s="71" t="s">
        <v>107</v>
      </c>
      <c r="M1988" s="73">
        <v>348</v>
      </c>
      <c r="N1988" s="71" t="s">
        <v>388</v>
      </c>
      <c r="O1988" s="73">
        <v>1.584</v>
      </c>
      <c r="P1988" s="71" t="s">
        <v>389</v>
      </c>
      <c r="Q1988" s="73">
        <v>348</v>
      </c>
      <c r="R1988" s="71" t="s">
        <v>388</v>
      </c>
      <c r="S1988" s="73">
        <v>0</v>
      </c>
      <c r="T1988" s="71" t="s">
        <v>390</v>
      </c>
      <c r="U1988" s="74">
        <v>4</v>
      </c>
      <c r="V1988" s="71" t="s">
        <v>391</v>
      </c>
      <c r="W1988" s="130">
        <v>46077.273541666669</v>
      </c>
      <c r="X1988" s="72">
        <v>46075.604861111111</v>
      </c>
      <c r="Y1988" s="72">
        <v>46085.458333333336</v>
      </c>
      <c r="Z1988" s="104" t="s">
        <v>382</v>
      </c>
      <c r="AA1988" s="104" t="s">
        <v>414</v>
      </c>
      <c r="AB1988" s="105">
        <v>46080.476388888892</v>
      </c>
      <c r="AC1988" s="105">
        <v>46080.698611111111</v>
      </c>
    </row>
    <row r="1989" s="70" customFormat="1" ht="11.25" customHeight="1">
      <c r="A1989" s="87"/>
      <c r="C1989" s="43" t="s">
        <v>3568</v>
      </c>
      <c r="D1989" s="71" t="s">
        <v>382</v>
      </c>
      <c r="E1989" s="71" t="str">
        <f>MID(D1989,1,2)</f>
        <v>IL</v>
      </c>
      <c r="F1989" s="71" t="s">
        <v>471</v>
      </c>
      <c r="G1989" s="71" t="str">
        <f>MID(F1989,1,2)</f>
        <v>US</v>
      </c>
      <c r="H1989" s="43" t="s">
        <v>3569</v>
      </c>
      <c r="I1989" s="71" t="s">
        <v>3570</v>
      </c>
      <c r="J1989" s="71" t="s">
        <v>386</v>
      </c>
      <c r="K1989" s="43"/>
      <c r="L1989" s="71" t="s">
        <v>107</v>
      </c>
      <c r="M1989" s="73">
        <v>348</v>
      </c>
      <c r="N1989" s="71" t="s">
        <v>388</v>
      </c>
      <c r="O1989" s="73">
        <v>1.584</v>
      </c>
      <c r="P1989" s="71" t="s">
        <v>389</v>
      </c>
      <c r="Q1989" s="73">
        <v>348</v>
      </c>
      <c r="R1989" s="71" t="s">
        <v>388</v>
      </c>
      <c r="S1989" s="73">
        <v>0</v>
      </c>
      <c r="T1989" s="71" t="s">
        <v>390</v>
      </c>
      <c r="U1989" s="74">
        <v>4</v>
      </c>
      <c r="V1989" s="71" t="s">
        <v>391</v>
      </c>
      <c r="W1989" s="130">
        <v>46077.273541666669</v>
      </c>
      <c r="X1989" s="72">
        <v>46075.604861111111</v>
      </c>
      <c r="Y1989" s="72">
        <v>46085.458333333336</v>
      </c>
      <c r="Z1989" s="104" t="s">
        <v>414</v>
      </c>
      <c r="AA1989" s="104" t="s">
        <v>471</v>
      </c>
      <c r="AB1989" s="105">
        <v>46081.7</v>
      </c>
      <c r="AC1989" s="105"/>
    </row>
    <row r="1990" s="70" customFormat="1" ht="11.25" customHeight="1">
      <c r="A1990" s="87"/>
      <c r="C1990" s="43" t="s">
        <v>3571</v>
      </c>
      <c r="D1990" s="71" t="s">
        <v>382</v>
      </c>
      <c r="E1990" s="71" t="str">
        <f>MID(D1990,1,2)</f>
        <v>IL</v>
      </c>
      <c r="F1990" s="71" t="s">
        <v>817</v>
      </c>
      <c r="G1990" s="71" t="str">
        <f>MID(F1990,1,2)</f>
        <v>IN</v>
      </c>
      <c r="H1990" s="43" t="s">
        <v>3572</v>
      </c>
      <c r="I1990" s="71" t="s">
        <v>3573</v>
      </c>
      <c r="J1990" s="71" t="s">
        <v>426</v>
      </c>
      <c r="K1990" s="43"/>
      <c r="L1990" s="71" t="s">
        <v>105</v>
      </c>
      <c r="M1990" s="73">
        <v>364</v>
      </c>
      <c r="N1990" s="71" t="s">
        <v>388</v>
      </c>
      <c r="O1990" s="73">
        <v>2.704</v>
      </c>
      <c r="P1990" s="71" t="s">
        <v>389</v>
      </c>
      <c r="Q1990" s="73">
        <v>451</v>
      </c>
      <c r="R1990" s="71" t="s">
        <v>388</v>
      </c>
      <c r="S1990" s="73">
        <v>0</v>
      </c>
      <c r="T1990" s="71" t="s">
        <v>390</v>
      </c>
      <c r="U1990" s="74">
        <v>3</v>
      </c>
      <c r="V1990" s="71" t="s">
        <v>391</v>
      </c>
      <c r="W1990" s="130"/>
      <c r="X1990" s="72">
        <v>46077.486111111109</v>
      </c>
      <c r="Y1990" s="72">
        <v>46077.868055555555</v>
      </c>
      <c r="Z1990" s="104" t="s">
        <v>382</v>
      </c>
      <c r="AA1990" s="104" t="s">
        <v>817</v>
      </c>
      <c r="AB1990" s="105">
        <v>46077.50277777778</v>
      </c>
      <c r="AC1990" s="105">
        <v>46077.884027777778</v>
      </c>
    </row>
    <row r="1991" s="70" customFormat="1" ht="11.25" customHeight="1">
      <c r="A1991" s="87"/>
      <c r="C1991" s="43" t="s">
        <v>3574</v>
      </c>
      <c r="D1991" s="71" t="s">
        <v>382</v>
      </c>
      <c r="E1991" s="71" t="str">
        <f>MID(D1991,1,2)</f>
        <v>IL</v>
      </c>
      <c r="F1991" s="71" t="s">
        <v>414</v>
      </c>
      <c r="G1991" s="71" t="str">
        <f>MID(F1991,1,2)</f>
        <v>US</v>
      </c>
      <c r="H1991" s="43" t="s">
        <v>3396</v>
      </c>
      <c r="I1991" s="71" t="s">
        <v>3575</v>
      </c>
      <c r="J1991" s="71" t="s">
        <v>426</v>
      </c>
      <c r="K1991" s="43" t="s">
        <v>431</v>
      </c>
      <c r="L1991" s="71" t="s">
        <v>105</v>
      </c>
      <c r="M1991" s="73">
        <v>73</v>
      </c>
      <c r="N1991" s="71" t="s">
        <v>388</v>
      </c>
      <c r="O1991" s="73">
        <v>0.643</v>
      </c>
      <c r="P1991" s="71" t="s">
        <v>389</v>
      </c>
      <c r="Q1991" s="73">
        <v>107.5</v>
      </c>
      <c r="R1991" s="71" t="s">
        <v>388</v>
      </c>
      <c r="S1991" s="73">
        <v>0</v>
      </c>
      <c r="T1991" s="71" t="s">
        <v>390</v>
      </c>
      <c r="U1991" s="74">
        <v>1</v>
      </c>
      <c r="V1991" s="71" t="s">
        <v>391</v>
      </c>
      <c r="W1991" s="130">
        <v>46075.597916666666</v>
      </c>
      <c r="X1991" s="72">
        <v>46078.03125</v>
      </c>
      <c r="Y1991" s="72">
        <v>46078.24375</v>
      </c>
      <c r="Z1991" s="104" t="s">
        <v>382</v>
      </c>
      <c r="AA1991" s="104" t="s">
        <v>414</v>
      </c>
      <c r="AB1991" s="105">
        <v>46078.040277777778</v>
      </c>
      <c r="AC1991" s="105">
        <v>46078.234027777777</v>
      </c>
    </row>
    <row r="1992" s="70" customFormat="1" ht="11.25" customHeight="1">
      <c r="A1992" s="87"/>
      <c r="C1992" s="43" t="s">
        <v>3576</v>
      </c>
      <c r="D1992" s="71" t="s">
        <v>382</v>
      </c>
      <c r="E1992" s="71" t="str">
        <f>MID(D1992,1,2)</f>
        <v>IL</v>
      </c>
      <c r="F1992" s="71" t="s">
        <v>963</v>
      </c>
      <c r="G1992" s="71" t="str">
        <f>MID(F1992,1,2)</f>
        <v>IN</v>
      </c>
      <c r="H1992" s="43" t="s">
        <v>3577</v>
      </c>
      <c r="I1992" s="71" t="s">
        <v>3578</v>
      </c>
      <c r="J1992" s="71" t="s">
        <v>426</v>
      </c>
      <c r="K1992" s="43"/>
      <c r="L1992" s="71" t="s">
        <v>105</v>
      </c>
      <c r="M1992" s="73">
        <v>5</v>
      </c>
      <c r="N1992" s="71" t="s">
        <v>388</v>
      </c>
      <c r="O1992" s="73">
        <v>0.023</v>
      </c>
      <c r="P1992" s="71" t="s">
        <v>389</v>
      </c>
      <c r="Q1992" s="73">
        <v>5</v>
      </c>
      <c r="R1992" s="71" t="s">
        <v>388</v>
      </c>
      <c r="S1992" s="73">
        <v>0</v>
      </c>
      <c r="T1992" s="71" t="s">
        <v>390</v>
      </c>
      <c r="U1992" s="74">
        <v>1</v>
      </c>
      <c r="V1992" s="71" t="s">
        <v>391</v>
      </c>
      <c r="W1992" s="130">
        <v>46075.717650462961</v>
      </c>
      <c r="X1992" s="72">
        <v>46077.715277777781</v>
      </c>
      <c r="Y1992" s="72">
        <v>46079.052083333336</v>
      </c>
      <c r="Z1992" s="104" t="s">
        <v>382</v>
      </c>
      <c r="AA1992" s="104" t="s">
        <v>667</v>
      </c>
      <c r="AB1992" s="105">
        <v>46077.716666666667</v>
      </c>
      <c r="AC1992" s="105">
        <v>46077.845138888886</v>
      </c>
    </row>
    <row r="1993" s="70" customFormat="1" ht="11.25" customHeight="1">
      <c r="A1993" s="87"/>
      <c r="C1993" s="43" t="s">
        <v>3576</v>
      </c>
      <c r="D1993" s="71" t="s">
        <v>382</v>
      </c>
      <c r="E1993" s="71" t="str">
        <f>MID(D1993,1,2)</f>
        <v>IL</v>
      </c>
      <c r="F1993" s="71" t="s">
        <v>963</v>
      </c>
      <c r="G1993" s="71" t="str">
        <f>MID(F1993,1,2)</f>
        <v>IN</v>
      </c>
      <c r="H1993" s="43" t="s">
        <v>3577</v>
      </c>
      <c r="I1993" s="71" t="s">
        <v>3578</v>
      </c>
      <c r="J1993" s="71" t="s">
        <v>426</v>
      </c>
      <c r="K1993" s="43"/>
      <c r="L1993" s="71" t="s">
        <v>105</v>
      </c>
      <c r="M1993" s="73">
        <v>5</v>
      </c>
      <c r="N1993" s="71" t="s">
        <v>388</v>
      </c>
      <c r="O1993" s="73">
        <v>0.023</v>
      </c>
      <c r="P1993" s="71" t="s">
        <v>389</v>
      </c>
      <c r="Q1993" s="73">
        <v>5</v>
      </c>
      <c r="R1993" s="71" t="s">
        <v>388</v>
      </c>
      <c r="S1993" s="73">
        <v>0</v>
      </c>
      <c r="T1993" s="71" t="s">
        <v>390</v>
      </c>
      <c r="U1993" s="74">
        <v>1</v>
      </c>
      <c r="V1993" s="71" t="s">
        <v>391</v>
      </c>
      <c r="W1993" s="130">
        <v>46075.717650462961</v>
      </c>
      <c r="X1993" s="72">
        <v>46077.715277777781</v>
      </c>
      <c r="Y1993" s="72">
        <v>46079.052083333336</v>
      </c>
      <c r="Z1993" s="104" t="s">
        <v>667</v>
      </c>
      <c r="AA1993" s="104" t="s">
        <v>963</v>
      </c>
      <c r="AB1993" s="105">
        <v>46078.506944444445</v>
      </c>
      <c r="AC1993" s="105">
        <v>46079.054166666669</v>
      </c>
    </row>
    <row r="1994" s="70" customFormat="1" ht="11.25" customHeight="1">
      <c r="A1994" s="87"/>
      <c r="C1994" s="43" t="s">
        <v>3579</v>
      </c>
      <c r="D1994" s="71" t="s">
        <v>382</v>
      </c>
      <c r="E1994" s="71" t="str">
        <f>MID(D1994,1,2)</f>
        <v>IL</v>
      </c>
      <c r="F1994" s="71" t="s">
        <v>2133</v>
      </c>
      <c r="G1994" s="71" t="str">
        <f>MID(F1994,1,2)</f>
        <v>FI</v>
      </c>
      <c r="H1994" s="43" t="s">
        <v>3580</v>
      </c>
      <c r="I1994" s="71" t="s">
        <v>3581</v>
      </c>
      <c r="J1994" s="71" t="s">
        <v>426</v>
      </c>
      <c r="K1994" s="43"/>
      <c r="L1994" s="71" t="s">
        <v>105</v>
      </c>
      <c r="M1994" s="73">
        <v>62</v>
      </c>
      <c r="N1994" s="71" t="s">
        <v>388</v>
      </c>
      <c r="O1994" s="73">
        <v>0.344</v>
      </c>
      <c r="P1994" s="71" t="s">
        <v>389</v>
      </c>
      <c r="Q1994" s="73">
        <v>62</v>
      </c>
      <c r="R1994" s="71" t="s">
        <v>388</v>
      </c>
      <c r="S1994" s="73">
        <v>0</v>
      </c>
      <c r="T1994" s="71" t="s">
        <v>390</v>
      </c>
      <c r="U1994" s="74">
        <v>1</v>
      </c>
      <c r="V1994" s="71" t="s">
        <v>391</v>
      </c>
      <c r="W1994" s="130">
        <v>46076.683182870373</v>
      </c>
      <c r="X1994" s="72">
        <v>46078.333333333336</v>
      </c>
      <c r="Y1994" s="72">
        <v>46080.333333333336</v>
      </c>
      <c r="Z1994" s="104" t="s">
        <v>382</v>
      </c>
      <c r="AA1994" s="104" t="s">
        <v>2133</v>
      </c>
      <c r="AB1994" s="105">
        <v>46077.648611111108</v>
      </c>
      <c r="AC1994" s="105">
        <v>46078.648611111108</v>
      </c>
    </row>
    <row r="1995" s="70" customFormat="1" ht="11.25" customHeight="1">
      <c r="A1995" s="87"/>
      <c r="C1995" s="43" t="s">
        <v>3582</v>
      </c>
      <c r="D1995" s="71" t="s">
        <v>382</v>
      </c>
      <c r="E1995" s="71" t="str">
        <f>MID(D1995,1,2)</f>
        <v>IL</v>
      </c>
      <c r="F1995" s="71" t="s">
        <v>573</v>
      </c>
      <c r="G1995" s="71" t="str">
        <f>MID(F1995,1,2)</f>
        <v>CH</v>
      </c>
      <c r="H1995" s="43" t="s">
        <v>3514</v>
      </c>
      <c r="I1995" s="71" t="s">
        <v>3583</v>
      </c>
      <c r="J1995" s="71" t="s">
        <v>400</v>
      </c>
      <c r="K1995" s="43"/>
      <c r="L1995" s="71" t="s">
        <v>105</v>
      </c>
      <c r="M1995" s="73">
        <v>258</v>
      </c>
      <c r="N1995" s="71" t="s">
        <v>388</v>
      </c>
      <c r="O1995" s="73">
        <v>1.082</v>
      </c>
      <c r="P1995" s="71" t="s">
        <v>389</v>
      </c>
      <c r="Q1995" s="73">
        <v>258</v>
      </c>
      <c r="R1995" s="71" t="s">
        <v>388</v>
      </c>
      <c r="S1995" s="73">
        <v>0</v>
      </c>
      <c r="T1995" s="71" t="s">
        <v>390</v>
      </c>
      <c r="U1995" s="74">
        <v>2</v>
      </c>
      <c r="V1995" s="71" t="s">
        <v>391</v>
      </c>
      <c r="W1995" s="130">
        <v>46076.835972222223</v>
      </c>
      <c r="X1995" s="72">
        <v>46077.576388888891</v>
      </c>
      <c r="Y1995" s="72">
        <v>46079.463888888888</v>
      </c>
      <c r="Z1995" s="104" t="s">
        <v>382</v>
      </c>
      <c r="AA1995" s="104" t="s">
        <v>383</v>
      </c>
      <c r="AB1995" s="105">
        <v>46077.563194444447</v>
      </c>
      <c r="AC1995" s="105">
        <v>46077.720138888886</v>
      </c>
    </row>
    <row r="1996" s="70" customFormat="1" ht="11.25" customHeight="1">
      <c r="A1996" s="87"/>
      <c r="C1996" s="43" t="s">
        <v>3582</v>
      </c>
      <c r="D1996" s="71" t="s">
        <v>382</v>
      </c>
      <c r="E1996" s="71" t="str">
        <f>MID(D1996,1,2)</f>
        <v>IL</v>
      </c>
      <c r="F1996" s="71" t="s">
        <v>573</v>
      </c>
      <c r="G1996" s="71" t="str">
        <f>MID(F1996,1,2)</f>
        <v>CH</v>
      </c>
      <c r="H1996" s="43" t="s">
        <v>3514</v>
      </c>
      <c r="I1996" s="71" t="s">
        <v>3583</v>
      </c>
      <c r="J1996" s="71" t="s">
        <v>400</v>
      </c>
      <c r="K1996" s="43"/>
      <c r="L1996" s="71" t="s">
        <v>105</v>
      </c>
      <c r="M1996" s="73">
        <v>258</v>
      </c>
      <c r="N1996" s="71" t="s">
        <v>388</v>
      </c>
      <c r="O1996" s="73">
        <v>1.082</v>
      </c>
      <c r="P1996" s="71" t="s">
        <v>389</v>
      </c>
      <c r="Q1996" s="73">
        <v>258</v>
      </c>
      <c r="R1996" s="71" t="s">
        <v>388</v>
      </c>
      <c r="S1996" s="73">
        <v>0</v>
      </c>
      <c r="T1996" s="71" t="s">
        <v>390</v>
      </c>
      <c r="U1996" s="74">
        <v>2</v>
      </c>
      <c r="V1996" s="71" t="s">
        <v>391</v>
      </c>
      <c r="W1996" s="130">
        <v>46076.835972222223</v>
      </c>
      <c r="X1996" s="72">
        <v>46077.576388888891</v>
      </c>
      <c r="Y1996" s="72">
        <v>46079.463888888888</v>
      </c>
      <c r="Z1996" s="104" t="s">
        <v>383</v>
      </c>
      <c r="AA1996" s="104" t="s">
        <v>573</v>
      </c>
      <c r="AB1996" s="105">
        <v>46079.011805555558</v>
      </c>
      <c r="AC1996" s="105">
        <v>46079.419444444444</v>
      </c>
    </row>
    <row r="1997" s="70" customFormat="1" ht="11.25" customHeight="1">
      <c r="A1997" s="87"/>
      <c r="C1997" s="43" t="s">
        <v>3584</v>
      </c>
      <c r="D1997" s="71" t="s">
        <v>382</v>
      </c>
      <c r="E1997" s="71" t="str">
        <f>MID(D1997,1,2)</f>
        <v>IL</v>
      </c>
      <c r="F1997" s="71" t="s">
        <v>383</v>
      </c>
      <c r="G1997" s="71" t="str">
        <f>MID(F1997,1,2)</f>
        <v>DE</v>
      </c>
      <c r="H1997" s="43" t="s">
        <v>3585</v>
      </c>
      <c r="I1997" s="71" t="s">
        <v>3586</v>
      </c>
      <c r="J1997" s="71" t="s">
        <v>386</v>
      </c>
      <c r="K1997" s="43"/>
      <c r="L1997" s="71" t="s">
        <v>107</v>
      </c>
      <c r="M1997" s="73">
        <v>1489</v>
      </c>
      <c r="N1997" s="71" t="s">
        <v>388</v>
      </c>
      <c r="O1997" s="73">
        <v>15.022</v>
      </c>
      <c r="P1997" s="71" t="s">
        <v>389</v>
      </c>
      <c r="Q1997" s="73">
        <v>2504</v>
      </c>
      <c r="R1997" s="71" t="s">
        <v>388</v>
      </c>
      <c r="S1997" s="73">
        <v>0</v>
      </c>
      <c r="T1997" s="71" t="s">
        <v>390</v>
      </c>
      <c r="U1997" s="74">
        <v>12</v>
      </c>
      <c r="V1997" s="71" t="s">
        <v>391</v>
      </c>
      <c r="W1997" s="130">
        <v>46075.84611111111</v>
      </c>
      <c r="X1997" s="72">
        <v>46077.449305555558</v>
      </c>
      <c r="Y1997" s="72">
        <v>46078.677083333336</v>
      </c>
      <c r="Z1997" s="104" t="s">
        <v>382</v>
      </c>
      <c r="AA1997" s="104" t="s">
        <v>748</v>
      </c>
      <c r="AB1997" s="105">
        <v>46076.840277777781</v>
      </c>
      <c r="AC1997" s="105"/>
    </row>
    <row r="1998" s="70" customFormat="1" ht="11.25" customHeight="1">
      <c r="A1998" s="87"/>
      <c r="C1998" s="43" t="s">
        <v>3584</v>
      </c>
      <c r="D1998" s="71" t="s">
        <v>382</v>
      </c>
      <c r="E1998" s="71" t="str">
        <f>MID(D1998,1,2)</f>
        <v>IL</v>
      </c>
      <c r="F1998" s="71" t="s">
        <v>383</v>
      </c>
      <c r="G1998" s="71" t="str">
        <f>MID(F1998,1,2)</f>
        <v>DE</v>
      </c>
      <c r="H1998" s="43" t="s">
        <v>3585</v>
      </c>
      <c r="I1998" s="71" t="s">
        <v>3586</v>
      </c>
      <c r="J1998" s="71" t="s">
        <v>386</v>
      </c>
      <c r="K1998" s="43"/>
      <c r="L1998" s="71" t="s">
        <v>107</v>
      </c>
      <c r="M1998" s="73">
        <v>1489</v>
      </c>
      <c r="N1998" s="71" t="s">
        <v>388</v>
      </c>
      <c r="O1998" s="73">
        <v>15.022</v>
      </c>
      <c r="P1998" s="71" t="s">
        <v>389</v>
      </c>
      <c r="Q1998" s="73">
        <v>2504</v>
      </c>
      <c r="R1998" s="71" t="s">
        <v>388</v>
      </c>
      <c r="S1998" s="73">
        <v>0</v>
      </c>
      <c r="T1998" s="71" t="s">
        <v>390</v>
      </c>
      <c r="U1998" s="74">
        <v>12</v>
      </c>
      <c r="V1998" s="71" t="s">
        <v>391</v>
      </c>
      <c r="W1998" s="130">
        <v>46075.84611111111</v>
      </c>
      <c r="X1998" s="72">
        <v>46077.449305555558</v>
      </c>
      <c r="Y1998" s="72">
        <v>46078.677083333336</v>
      </c>
      <c r="Z1998" s="104" t="s">
        <v>748</v>
      </c>
      <c r="AA1998" s="104" t="s">
        <v>383</v>
      </c>
      <c r="AB1998" s="105">
        <v>46077.408333333333</v>
      </c>
      <c r="AC1998" s="105">
        <v>46077.635416666664</v>
      </c>
    </row>
    <row r="1999" s="70" customFormat="1" ht="11.25" customHeight="1">
      <c r="A1999" s="87"/>
      <c r="C1999" s="43" t="s">
        <v>3587</v>
      </c>
      <c r="D1999" s="71" t="s">
        <v>382</v>
      </c>
      <c r="E1999" s="71" t="str">
        <f>MID(D1999,1,2)</f>
        <v>IL</v>
      </c>
      <c r="F1999" s="71" t="s">
        <v>774</v>
      </c>
      <c r="G1999" s="71" t="str">
        <f>MID(F1999,1,2)</f>
        <v>CN</v>
      </c>
      <c r="H1999" s="43" t="s">
        <v>3588</v>
      </c>
      <c r="I1999" s="71" t="s">
        <v>3589</v>
      </c>
      <c r="J1999" s="71" t="s">
        <v>755</v>
      </c>
      <c r="K1999" s="43"/>
      <c r="L1999" s="71" t="s">
        <v>105</v>
      </c>
      <c r="M1999" s="73">
        <v>22</v>
      </c>
      <c r="N1999" s="71" t="s">
        <v>388</v>
      </c>
      <c r="O1999" s="73">
        <v>0.367</v>
      </c>
      <c r="P1999" s="71" t="s">
        <v>389</v>
      </c>
      <c r="Q1999" s="73">
        <v>61.5</v>
      </c>
      <c r="R1999" s="71" t="s">
        <v>388</v>
      </c>
      <c r="S1999" s="73">
        <v>0</v>
      </c>
      <c r="T1999" s="71" t="s">
        <v>390</v>
      </c>
      <c r="U1999" s="74">
        <v>1</v>
      </c>
      <c r="V1999" s="71" t="s">
        <v>391</v>
      </c>
      <c r="W1999" s="130">
        <v>46076.6241087963</v>
      </c>
      <c r="X1999" s="72">
        <v>46076.690972222219</v>
      </c>
      <c r="Y1999" s="72">
        <v>46079.305555555555</v>
      </c>
      <c r="Z1999" s="104" t="s">
        <v>382</v>
      </c>
      <c r="AA1999" s="104" t="s">
        <v>383</v>
      </c>
      <c r="AB1999" s="105">
        <v>46077.563194444447</v>
      </c>
      <c r="AC1999" s="105">
        <v>46077.720138888886</v>
      </c>
    </row>
    <row r="2000" s="70" customFormat="1" ht="11.25" customHeight="1">
      <c r="A2000" s="87"/>
      <c r="C2000" s="43" t="s">
        <v>3587</v>
      </c>
      <c r="D2000" s="71" t="s">
        <v>382</v>
      </c>
      <c r="E2000" s="71" t="str">
        <f>MID(D2000,1,2)</f>
        <v>IL</v>
      </c>
      <c r="F2000" s="71" t="s">
        <v>774</v>
      </c>
      <c r="G2000" s="71" t="str">
        <f>MID(F2000,1,2)</f>
        <v>CN</v>
      </c>
      <c r="H2000" s="43" t="s">
        <v>3588</v>
      </c>
      <c r="I2000" s="71" t="s">
        <v>3589</v>
      </c>
      <c r="J2000" s="71" t="s">
        <v>755</v>
      </c>
      <c r="K2000" s="43"/>
      <c r="L2000" s="71" t="s">
        <v>105</v>
      </c>
      <c r="M2000" s="73">
        <v>22</v>
      </c>
      <c r="N2000" s="71" t="s">
        <v>388</v>
      </c>
      <c r="O2000" s="73">
        <v>0.367</v>
      </c>
      <c r="P2000" s="71" t="s">
        <v>389</v>
      </c>
      <c r="Q2000" s="73">
        <v>61.5</v>
      </c>
      <c r="R2000" s="71" t="s">
        <v>388</v>
      </c>
      <c r="S2000" s="73">
        <v>0</v>
      </c>
      <c r="T2000" s="71" t="s">
        <v>390</v>
      </c>
      <c r="U2000" s="74">
        <v>1</v>
      </c>
      <c r="V2000" s="71" t="s">
        <v>391</v>
      </c>
      <c r="W2000" s="130">
        <v>46076.6241087963</v>
      </c>
      <c r="X2000" s="72">
        <v>46076.690972222219</v>
      </c>
      <c r="Y2000" s="72">
        <v>46079.305555555555</v>
      </c>
      <c r="Z2000" s="104" t="s">
        <v>383</v>
      </c>
      <c r="AA2000" s="104" t="s">
        <v>774</v>
      </c>
      <c r="AB2000" s="105">
        <v>46078.509722222225</v>
      </c>
      <c r="AC2000" s="105">
        <v>46079.265277777777</v>
      </c>
    </row>
    <row r="2001" s="70" customFormat="1" ht="11.25" customHeight="1">
      <c r="A2001" s="87"/>
      <c r="C2001" s="43" t="s">
        <v>3590</v>
      </c>
      <c r="D2001" s="71" t="s">
        <v>382</v>
      </c>
      <c r="E2001" s="71" t="str">
        <f>MID(D2001,1,2)</f>
        <v>IL</v>
      </c>
      <c r="F2001" s="71" t="s">
        <v>465</v>
      </c>
      <c r="G2001" s="71" t="str">
        <f>MID(F2001,1,2)</f>
        <v>AZ</v>
      </c>
      <c r="H2001" s="43" t="s">
        <v>3591</v>
      </c>
      <c r="I2001" s="71"/>
      <c r="J2001" s="71" t="s">
        <v>426</v>
      </c>
      <c r="K2001" s="43"/>
      <c r="L2001" s="71" t="s">
        <v>105</v>
      </c>
      <c r="M2001" s="73">
        <v>99</v>
      </c>
      <c r="N2001" s="71" t="s">
        <v>388</v>
      </c>
      <c r="O2001" s="73">
        <v>0.922</v>
      </c>
      <c r="P2001" s="71" t="s">
        <v>389</v>
      </c>
      <c r="Q2001" s="73">
        <v>154</v>
      </c>
      <c r="R2001" s="71" t="s">
        <v>388</v>
      </c>
      <c r="S2001" s="73">
        <v>0</v>
      </c>
      <c r="T2001" s="71" t="s">
        <v>390</v>
      </c>
      <c r="U2001" s="74">
        <v>1</v>
      </c>
      <c r="V2001" s="71" t="s">
        <v>391</v>
      </c>
      <c r="W2001" s="130"/>
      <c r="X2001" s="72">
        <v>46077.648611111108</v>
      </c>
      <c r="Y2001" s="72">
        <v>46078.648611111108</v>
      </c>
      <c r="Z2001" s="104" t="s">
        <v>382</v>
      </c>
      <c r="AA2001" s="104" t="s">
        <v>465</v>
      </c>
      <c r="AB2001" s="105">
        <v>46078.22152777778</v>
      </c>
      <c r="AC2001" s="105">
        <v>46078.418055555558</v>
      </c>
    </row>
    <row r="2002" s="70" customFormat="1" ht="11.25" customHeight="1">
      <c r="A2002" s="87"/>
      <c r="C2002" s="43" t="s">
        <v>3592</v>
      </c>
      <c r="D2002" s="71" t="s">
        <v>382</v>
      </c>
      <c r="E2002" s="71" t="str">
        <f>MID(D2002,1,2)</f>
        <v>IL</v>
      </c>
      <c r="F2002" s="71" t="s">
        <v>1363</v>
      </c>
      <c r="G2002" s="71" t="str">
        <f>MID(F2002,1,2)</f>
        <v>CN</v>
      </c>
      <c r="H2002" s="43" t="s">
        <v>3593</v>
      </c>
      <c r="I2002" s="71" t="s">
        <v>3594</v>
      </c>
      <c r="J2002" s="71" t="s">
        <v>755</v>
      </c>
      <c r="K2002" s="43" t="s">
        <v>3595</v>
      </c>
      <c r="L2002" s="71" t="s">
        <v>105</v>
      </c>
      <c r="M2002" s="73">
        <v>7.5</v>
      </c>
      <c r="N2002" s="71" t="s">
        <v>388</v>
      </c>
      <c r="O2002" s="73">
        <v>0.096</v>
      </c>
      <c r="P2002" s="71" t="s">
        <v>389</v>
      </c>
      <c r="Q2002" s="73">
        <v>16</v>
      </c>
      <c r="R2002" s="71" t="s">
        <v>388</v>
      </c>
      <c r="S2002" s="73">
        <v>0</v>
      </c>
      <c r="T2002" s="71" t="s">
        <v>390</v>
      </c>
      <c r="U2002" s="74">
        <v>1</v>
      </c>
      <c r="V2002" s="71" t="s">
        <v>391</v>
      </c>
      <c r="W2002" s="130">
        <v>46076.6241087963</v>
      </c>
      <c r="X2002" s="72">
        <v>46077.715277777781</v>
      </c>
      <c r="Y2002" s="72">
        <v>46082.125</v>
      </c>
      <c r="Z2002" s="104" t="s">
        <v>382</v>
      </c>
      <c r="AA2002" s="104" t="s">
        <v>667</v>
      </c>
      <c r="AB2002" s="105">
        <v>46077.716666666667</v>
      </c>
      <c r="AC2002" s="105">
        <v>46077.845138888886</v>
      </c>
    </row>
    <row r="2003" s="70" customFormat="1" ht="11.25" customHeight="1">
      <c r="A2003" s="87"/>
      <c r="C2003" s="43" t="s">
        <v>3592</v>
      </c>
      <c r="D2003" s="71" t="s">
        <v>382</v>
      </c>
      <c r="E2003" s="71" t="str">
        <f>MID(D2003,1,2)</f>
        <v>IL</v>
      </c>
      <c r="F2003" s="71" t="s">
        <v>1363</v>
      </c>
      <c r="G2003" s="71" t="str">
        <f>MID(F2003,1,2)</f>
        <v>CN</v>
      </c>
      <c r="H2003" s="43" t="s">
        <v>3593</v>
      </c>
      <c r="I2003" s="71" t="s">
        <v>3594</v>
      </c>
      <c r="J2003" s="71" t="s">
        <v>755</v>
      </c>
      <c r="K2003" s="43" t="s">
        <v>3595</v>
      </c>
      <c r="L2003" s="71" t="s">
        <v>105</v>
      </c>
      <c r="M2003" s="73">
        <v>7.5</v>
      </c>
      <c r="N2003" s="71" t="s">
        <v>388</v>
      </c>
      <c r="O2003" s="73">
        <v>0.096</v>
      </c>
      <c r="P2003" s="71" t="s">
        <v>389</v>
      </c>
      <c r="Q2003" s="73">
        <v>16</v>
      </c>
      <c r="R2003" s="71" t="s">
        <v>388</v>
      </c>
      <c r="S2003" s="73">
        <v>0</v>
      </c>
      <c r="T2003" s="71" t="s">
        <v>390</v>
      </c>
      <c r="U2003" s="74">
        <v>1</v>
      </c>
      <c r="V2003" s="71" t="s">
        <v>391</v>
      </c>
      <c r="W2003" s="130">
        <v>46076.6241087963</v>
      </c>
      <c r="X2003" s="72">
        <v>46077.715277777781</v>
      </c>
      <c r="Y2003" s="72">
        <v>46082.125</v>
      </c>
      <c r="Z2003" s="104" t="s">
        <v>667</v>
      </c>
      <c r="AA2003" s="104" t="s">
        <v>383</v>
      </c>
      <c r="AB2003" s="105">
        <v>46080.290972222225</v>
      </c>
      <c r="AC2003" s="105">
        <v>46080.333333333336</v>
      </c>
    </row>
    <row r="2004" s="70" customFormat="1" ht="11.25" customHeight="1">
      <c r="A2004" s="87"/>
      <c r="C2004" s="43" t="s">
        <v>3592</v>
      </c>
      <c r="D2004" s="71" t="s">
        <v>382</v>
      </c>
      <c r="E2004" s="71" t="str">
        <f>MID(D2004,1,2)</f>
        <v>IL</v>
      </c>
      <c r="F2004" s="71" t="s">
        <v>1363</v>
      </c>
      <c r="G2004" s="71" t="str">
        <f>MID(F2004,1,2)</f>
        <v>CN</v>
      </c>
      <c r="H2004" s="43" t="s">
        <v>3593</v>
      </c>
      <c r="I2004" s="71" t="s">
        <v>3594</v>
      </c>
      <c r="J2004" s="71" t="s">
        <v>755</v>
      </c>
      <c r="K2004" s="43" t="s">
        <v>3595</v>
      </c>
      <c r="L2004" s="71" t="s">
        <v>105</v>
      </c>
      <c r="M2004" s="73">
        <v>7.5</v>
      </c>
      <c r="N2004" s="71" t="s">
        <v>388</v>
      </c>
      <c r="O2004" s="73">
        <v>0.096</v>
      </c>
      <c r="P2004" s="71" t="s">
        <v>389</v>
      </c>
      <c r="Q2004" s="73">
        <v>16</v>
      </c>
      <c r="R2004" s="71" t="s">
        <v>388</v>
      </c>
      <c r="S2004" s="73">
        <v>0</v>
      </c>
      <c r="T2004" s="71" t="s">
        <v>390</v>
      </c>
      <c r="U2004" s="74">
        <v>1</v>
      </c>
      <c r="V2004" s="71" t="s">
        <v>391</v>
      </c>
      <c r="W2004" s="130">
        <v>46076.6241087963</v>
      </c>
      <c r="X2004" s="72">
        <v>46077.715277777781</v>
      </c>
      <c r="Y2004" s="72">
        <v>46082.125</v>
      </c>
      <c r="Z2004" s="104" t="s">
        <v>383</v>
      </c>
      <c r="AA2004" s="104" t="s">
        <v>1363</v>
      </c>
      <c r="AB2004" s="105">
        <v>46081.335416666669</v>
      </c>
      <c r="AC2004" s="105">
        <v>46082.117361111108</v>
      </c>
    </row>
    <row r="2005" s="70" customFormat="1" ht="11.25" customHeight="1">
      <c r="A2005" s="87"/>
      <c r="C2005" s="43" t="s">
        <v>3596</v>
      </c>
      <c r="D2005" s="71" t="s">
        <v>382</v>
      </c>
      <c r="E2005" s="71" t="str">
        <f>MID(D2005,1,2)</f>
        <v>IL</v>
      </c>
      <c r="F2005" s="71" t="s">
        <v>422</v>
      </c>
      <c r="G2005" s="71" t="str">
        <f>MID(F2005,1,2)</f>
        <v>US</v>
      </c>
      <c r="H2005" s="43" t="s">
        <v>3597</v>
      </c>
      <c r="I2005" s="71"/>
      <c r="J2005" s="71" t="s">
        <v>435</v>
      </c>
      <c r="K2005" s="43"/>
      <c r="L2005" s="71" t="s">
        <v>105</v>
      </c>
      <c r="M2005" s="73">
        <v>8610</v>
      </c>
      <c r="N2005" s="71" t="s">
        <v>388</v>
      </c>
      <c r="O2005" s="73">
        <v>30.06</v>
      </c>
      <c r="P2005" s="71" t="s">
        <v>389</v>
      </c>
      <c r="Q2005" s="73">
        <v>8610</v>
      </c>
      <c r="R2005" s="71" t="s">
        <v>388</v>
      </c>
      <c r="S2005" s="73">
        <v>0</v>
      </c>
      <c r="T2005" s="71" t="s">
        <v>390</v>
      </c>
      <c r="U2005" s="74">
        <v>21</v>
      </c>
      <c r="V2005" s="71" t="s">
        <v>391</v>
      </c>
      <c r="W2005" s="130">
        <v>46076.354861111111</v>
      </c>
      <c r="X2005" s="72">
        <v>46079.003472222219</v>
      </c>
      <c r="Y2005" s="72">
        <v>46079.21875</v>
      </c>
      <c r="Z2005" s="104" t="s">
        <v>382</v>
      </c>
      <c r="AA2005" s="104" t="s">
        <v>422</v>
      </c>
      <c r="AB2005" s="105">
        <v>46079.006944444445</v>
      </c>
      <c r="AC2005" s="105">
        <v>46079.209027777775</v>
      </c>
    </row>
    <row r="2006" s="70" customFormat="1" ht="11.25" customHeight="1">
      <c r="A2006" s="87"/>
      <c r="C2006" s="43" t="s">
        <v>3598</v>
      </c>
      <c r="D2006" s="71" t="s">
        <v>382</v>
      </c>
      <c r="E2006" s="71" t="str">
        <f>MID(D2006,1,2)</f>
        <v>IL</v>
      </c>
      <c r="F2006" s="71" t="s">
        <v>774</v>
      </c>
      <c r="G2006" s="71" t="str">
        <f>MID(F2006,1,2)</f>
        <v>CN</v>
      </c>
      <c r="H2006" s="43" t="s">
        <v>3588</v>
      </c>
      <c r="I2006" s="71" t="s">
        <v>3599</v>
      </c>
      <c r="J2006" s="71" t="s">
        <v>755</v>
      </c>
      <c r="K2006" s="43"/>
      <c r="L2006" s="71" t="s">
        <v>105</v>
      </c>
      <c r="M2006" s="73">
        <v>5</v>
      </c>
      <c r="N2006" s="71" t="s">
        <v>388</v>
      </c>
      <c r="O2006" s="73">
        <v>0.047</v>
      </c>
      <c r="P2006" s="71" t="s">
        <v>389</v>
      </c>
      <c r="Q2006" s="73">
        <v>8</v>
      </c>
      <c r="R2006" s="71" t="s">
        <v>388</v>
      </c>
      <c r="S2006" s="73">
        <v>0</v>
      </c>
      <c r="T2006" s="71" t="s">
        <v>390</v>
      </c>
      <c r="U2006" s="74">
        <v>1</v>
      </c>
      <c r="V2006" s="71" t="s">
        <v>391</v>
      </c>
      <c r="W2006" s="130">
        <v>46076.6241087963</v>
      </c>
      <c r="X2006" s="72">
        <v>46077.576388888891</v>
      </c>
      <c r="Y2006" s="72">
        <v>46079.305555555555</v>
      </c>
      <c r="Z2006" s="104" t="s">
        <v>382</v>
      </c>
      <c r="AA2006" s="104" t="s">
        <v>383</v>
      </c>
      <c r="AB2006" s="105">
        <v>46077.563194444447</v>
      </c>
      <c r="AC2006" s="105">
        <v>46077.720138888886</v>
      </c>
    </row>
    <row r="2007" s="70" customFormat="1" ht="11.25" customHeight="1">
      <c r="A2007" s="87"/>
      <c r="C2007" s="43" t="s">
        <v>3598</v>
      </c>
      <c r="D2007" s="71" t="s">
        <v>382</v>
      </c>
      <c r="E2007" s="71" t="str">
        <f>MID(D2007,1,2)</f>
        <v>IL</v>
      </c>
      <c r="F2007" s="71" t="s">
        <v>774</v>
      </c>
      <c r="G2007" s="71" t="str">
        <f>MID(F2007,1,2)</f>
        <v>CN</v>
      </c>
      <c r="H2007" s="43" t="s">
        <v>3588</v>
      </c>
      <c r="I2007" s="71" t="s">
        <v>3599</v>
      </c>
      <c r="J2007" s="71" t="s">
        <v>755</v>
      </c>
      <c r="K2007" s="43"/>
      <c r="L2007" s="71" t="s">
        <v>105</v>
      </c>
      <c r="M2007" s="73">
        <v>5</v>
      </c>
      <c r="N2007" s="71" t="s">
        <v>388</v>
      </c>
      <c r="O2007" s="73">
        <v>0.047</v>
      </c>
      <c r="P2007" s="71" t="s">
        <v>389</v>
      </c>
      <c r="Q2007" s="73">
        <v>8</v>
      </c>
      <c r="R2007" s="71" t="s">
        <v>388</v>
      </c>
      <c r="S2007" s="73">
        <v>0</v>
      </c>
      <c r="T2007" s="71" t="s">
        <v>390</v>
      </c>
      <c r="U2007" s="74">
        <v>1</v>
      </c>
      <c r="V2007" s="71" t="s">
        <v>391</v>
      </c>
      <c r="W2007" s="130">
        <v>46076.6241087963</v>
      </c>
      <c r="X2007" s="72">
        <v>46077.576388888891</v>
      </c>
      <c r="Y2007" s="72">
        <v>46079.305555555555</v>
      </c>
      <c r="Z2007" s="104" t="s">
        <v>383</v>
      </c>
      <c r="AA2007" s="104" t="s">
        <v>774</v>
      </c>
      <c r="AB2007" s="105">
        <v>46078.509722222225</v>
      </c>
      <c r="AC2007" s="105">
        <v>46079.265277777777</v>
      </c>
    </row>
    <row r="2008" s="70" customFormat="1" ht="11.25" customHeight="1">
      <c r="A2008" s="87"/>
      <c r="C2008" s="43" t="s">
        <v>3600</v>
      </c>
      <c r="D2008" s="71" t="s">
        <v>382</v>
      </c>
      <c r="E2008" s="71" t="str">
        <f>MID(D2008,1,2)</f>
        <v>IL</v>
      </c>
      <c r="F2008" s="71" t="s">
        <v>667</v>
      </c>
      <c r="G2008" s="71" t="str">
        <f>MID(F2008,1,2)</f>
        <v>DE</v>
      </c>
      <c r="H2008" s="43" t="s">
        <v>3601</v>
      </c>
      <c r="I2008" s="71" t="s">
        <v>3602</v>
      </c>
      <c r="J2008" s="71" t="s">
        <v>400</v>
      </c>
      <c r="K2008" s="43"/>
      <c r="L2008" s="71" t="s">
        <v>105</v>
      </c>
      <c r="M2008" s="73">
        <v>52</v>
      </c>
      <c r="N2008" s="71" t="s">
        <v>388</v>
      </c>
      <c r="O2008" s="73">
        <v>0.475</v>
      </c>
      <c r="P2008" s="71" t="s">
        <v>389</v>
      </c>
      <c r="Q2008" s="73">
        <v>79.5</v>
      </c>
      <c r="R2008" s="71" t="s">
        <v>388</v>
      </c>
      <c r="S2008" s="73">
        <v>0</v>
      </c>
      <c r="T2008" s="71" t="s">
        <v>390</v>
      </c>
      <c r="U2008" s="74">
        <v>1</v>
      </c>
      <c r="V2008" s="71" t="s">
        <v>391</v>
      </c>
      <c r="W2008" s="130">
        <v>46076.683159722219</v>
      </c>
      <c r="X2008" s="72">
        <v>46077.69027777778</v>
      </c>
      <c r="Y2008" s="72">
        <v>46080.288194444445</v>
      </c>
      <c r="Z2008" s="104" t="s">
        <v>382</v>
      </c>
      <c r="AA2008" s="104" t="s">
        <v>383</v>
      </c>
      <c r="AB2008" s="105">
        <v>46078.970138888886</v>
      </c>
      <c r="AC2008" s="105">
        <v>46079.282638888886</v>
      </c>
    </row>
    <row r="2009" s="70" customFormat="1" ht="11.25" customHeight="1">
      <c r="A2009" s="87"/>
      <c r="C2009" s="43" t="s">
        <v>3600</v>
      </c>
      <c r="D2009" s="71" t="s">
        <v>382</v>
      </c>
      <c r="E2009" s="71" t="str">
        <f>MID(D2009,1,2)</f>
        <v>IL</v>
      </c>
      <c r="F2009" s="71" t="s">
        <v>667</v>
      </c>
      <c r="G2009" s="71" t="str">
        <f>MID(F2009,1,2)</f>
        <v>DE</v>
      </c>
      <c r="H2009" s="43" t="s">
        <v>3601</v>
      </c>
      <c r="I2009" s="71" t="s">
        <v>3602</v>
      </c>
      <c r="J2009" s="71" t="s">
        <v>400</v>
      </c>
      <c r="K2009" s="43"/>
      <c r="L2009" s="71" t="s">
        <v>105</v>
      </c>
      <c r="M2009" s="73">
        <v>52</v>
      </c>
      <c r="N2009" s="71" t="s">
        <v>388</v>
      </c>
      <c r="O2009" s="73">
        <v>0.475</v>
      </c>
      <c r="P2009" s="71" t="s">
        <v>389</v>
      </c>
      <c r="Q2009" s="73">
        <v>79.5</v>
      </c>
      <c r="R2009" s="71" t="s">
        <v>388</v>
      </c>
      <c r="S2009" s="73">
        <v>0</v>
      </c>
      <c r="T2009" s="71" t="s">
        <v>390</v>
      </c>
      <c r="U2009" s="74">
        <v>1</v>
      </c>
      <c r="V2009" s="71" t="s">
        <v>391</v>
      </c>
      <c r="W2009" s="130">
        <v>46076.683159722219</v>
      </c>
      <c r="X2009" s="72">
        <v>46077.69027777778</v>
      </c>
      <c r="Y2009" s="72">
        <v>46080.288194444445</v>
      </c>
      <c r="Z2009" s="104" t="s">
        <v>383</v>
      </c>
      <c r="AA2009" s="104" t="s">
        <v>667</v>
      </c>
      <c r="AB2009" s="105">
        <v>46080.006944444445</v>
      </c>
      <c r="AC2009" s="105">
        <v>46080.246527777781</v>
      </c>
    </row>
    <row r="2010" s="70" customFormat="1" ht="11.25" customHeight="1">
      <c r="A2010" s="87"/>
      <c r="C2010" s="43" t="s">
        <v>3603</v>
      </c>
      <c r="D2010" s="71" t="s">
        <v>382</v>
      </c>
      <c r="E2010" s="71" t="str">
        <f>MID(D2010,1,2)</f>
        <v>IL</v>
      </c>
      <c r="F2010" s="71" t="s">
        <v>667</v>
      </c>
      <c r="G2010" s="71" t="str">
        <f>MID(F2010,1,2)</f>
        <v>DE</v>
      </c>
      <c r="H2010" s="43" t="s">
        <v>3601</v>
      </c>
      <c r="I2010" s="71" t="s">
        <v>3604</v>
      </c>
      <c r="J2010" s="71" t="s">
        <v>400</v>
      </c>
      <c r="K2010" s="43"/>
      <c r="L2010" s="71" t="s">
        <v>105</v>
      </c>
      <c r="M2010" s="73">
        <v>8</v>
      </c>
      <c r="N2010" s="71" t="s">
        <v>388</v>
      </c>
      <c r="O2010" s="73">
        <v>0.052</v>
      </c>
      <c r="P2010" s="71" t="s">
        <v>389</v>
      </c>
      <c r="Q2010" s="73">
        <v>9</v>
      </c>
      <c r="R2010" s="71" t="s">
        <v>388</v>
      </c>
      <c r="S2010" s="73">
        <v>0</v>
      </c>
      <c r="T2010" s="71" t="s">
        <v>390</v>
      </c>
      <c r="U2010" s="74">
        <v>1</v>
      </c>
      <c r="V2010" s="71" t="s">
        <v>446</v>
      </c>
      <c r="W2010" s="130">
        <v>46076.679664351854</v>
      </c>
      <c r="X2010" s="72">
        <v>46077.715277777781</v>
      </c>
      <c r="Y2010" s="72">
        <v>46080.288194444445</v>
      </c>
      <c r="Z2010" s="104" t="s">
        <v>382</v>
      </c>
      <c r="AA2010" s="104" t="s">
        <v>383</v>
      </c>
      <c r="AB2010" s="105">
        <v>46078.970138888886</v>
      </c>
      <c r="AC2010" s="105">
        <v>46079.282638888886</v>
      </c>
    </row>
    <row r="2011" s="70" customFormat="1" ht="11.25" customHeight="1">
      <c r="A2011" s="87"/>
      <c r="C2011" s="43" t="s">
        <v>3603</v>
      </c>
      <c r="D2011" s="71" t="s">
        <v>382</v>
      </c>
      <c r="E2011" s="71" t="str">
        <f>MID(D2011,1,2)</f>
        <v>IL</v>
      </c>
      <c r="F2011" s="71" t="s">
        <v>667</v>
      </c>
      <c r="G2011" s="71" t="str">
        <f>MID(F2011,1,2)</f>
        <v>DE</v>
      </c>
      <c r="H2011" s="43" t="s">
        <v>3601</v>
      </c>
      <c r="I2011" s="71" t="s">
        <v>3604</v>
      </c>
      <c r="J2011" s="71" t="s">
        <v>400</v>
      </c>
      <c r="K2011" s="43"/>
      <c r="L2011" s="71" t="s">
        <v>105</v>
      </c>
      <c r="M2011" s="73">
        <v>8</v>
      </c>
      <c r="N2011" s="71" t="s">
        <v>388</v>
      </c>
      <c r="O2011" s="73">
        <v>0.052</v>
      </c>
      <c r="P2011" s="71" t="s">
        <v>389</v>
      </c>
      <c r="Q2011" s="73">
        <v>9</v>
      </c>
      <c r="R2011" s="71" t="s">
        <v>388</v>
      </c>
      <c r="S2011" s="73">
        <v>0</v>
      </c>
      <c r="T2011" s="71" t="s">
        <v>390</v>
      </c>
      <c r="U2011" s="74">
        <v>1</v>
      </c>
      <c r="V2011" s="71" t="s">
        <v>446</v>
      </c>
      <c r="W2011" s="130">
        <v>46076.679664351854</v>
      </c>
      <c r="X2011" s="72">
        <v>46077.715277777781</v>
      </c>
      <c r="Y2011" s="72">
        <v>46080.288194444445</v>
      </c>
      <c r="Z2011" s="104" t="s">
        <v>383</v>
      </c>
      <c r="AA2011" s="104" t="s">
        <v>667</v>
      </c>
      <c r="AB2011" s="105">
        <v>46080.006944444445</v>
      </c>
      <c r="AC2011" s="105">
        <v>46080.246527777781</v>
      </c>
    </row>
    <row r="2012" s="70" customFormat="1" ht="11.25" customHeight="1">
      <c r="A2012" s="87"/>
      <c r="C2012" s="43" t="s">
        <v>3605</v>
      </c>
      <c r="D2012" s="71" t="s">
        <v>382</v>
      </c>
      <c r="E2012" s="71" t="str">
        <f>MID(D2012,1,2)</f>
        <v>IL</v>
      </c>
      <c r="F2012" s="71" t="s">
        <v>595</v>
      </c>
      <c r="G2012" s="71" t="str">
        <f>MID(F2012,1,2)</f>
        <v>AT</v>
      </c>
      <c r="H2012" s="43" t="s">
        <v>3606</v>
      </c>
      <c r="I2012" s="71" t="s">
        <v>3607</v>
      </c>
      <c r="J2012" s="71" t="s">
        <v>400</v>
      </c>
      <c r="K2012" s="43"/>
      <c r="L2012" s="71" t="s">
        <v>105</v>
      </c>
      <c r="M2012" s="73">
        <v>212</v>
      </c>
      <c r="N2012" s="71" t="s">
        <v>388</v>
      </c>
      <c r="O2012" s="73">
        <v>2.049</v>
      </c>
      <c r="P2012" s="71" t="s">
        <v>389</v>
      </c>
      <c r="Q2012" s="73">
        <v>341.5</v>
      </c>
      <c r="R2012" s="71" t="s">
        <v>388</v>
      </c>
      <c r="S2012" s="73">
        <v>0</v>
      </c>
      <c r="T2012" s="71" t="s">
        <v>390</v>
      </c>
      <c r="U2012" s="74">
        <v>1</v>
      </c>
      <c r="V2012" s="71" t="s">
        <v>391</v>
      </c>
      <c r="W2012" s="130"/>
      <c r="X2012" s="72">
        <v>46078.003472222219</v>
      </c>
      <c r="Y2012" s="72">
        <v>46080.260416666664</v>
      </c>
      <c r="Z2012" s="104" t="s">
        <v>382</v>
      </c>
      <c r="AA2012" s="104" t="s">
        <v>383</v>
      </c>
      <c r="AB2012" s="105">
        <v>46077.986805555556</v>
      </c>
      <c r="AC2012" s="105">
        <v>46078.272916666669</v>
      </c>
    </row>
    <row r="2013" s="70" customFormat="1" ht="11.25" customHeight="1">
      <c r="A2013" s="87"/>
      <c r="C2013" s="43" t="s">
        <v>3605</v>
      </c>
      <c r="D2013" s="71" t="s">
        <v>382</v>
      </c>
      <c r="E2013" s="71" t="str">
        <f>MID(D2013,1,2)</f>
        <v>IL</v>
      </c>
      <c r="F2013" s="71" t="s">
        <v>595</v>
      </c>
      <c r="G2013" s="71" t="str">
        <f>MID(F2013,1,2)</f>
        <v>AT</v>
      </c>
      <c r="H2013" s="43" t="s">
        <v>3606</v>
      </c>
      <c r="I2013" s="71" t="s">
        <v>3607</v>
      </c>
      <c r="J2013" s="71" t="s">
        <v>400</v>
      </c>
      <c r="K2013" s="43"/>
      <c r="L2013" s="71" t="s">
        <v>105</v>
      </c>
      <c r="M2013" s="73">
        <v>212</v>
      </c>
      <c r="N2013" s="71" t="s">
        <v>388</v>
      </c>
      <c r="O2013" s="73">
        <v>2.049</v>
      </c>
      <c r="P2013" s="71" t="s">
        <v>389</v>
      </c>
      <c r="Q2013" s="73">
        <v>341.5</v>
      </c>
      <c r="R2013" s="71" t="s">
        <v>388</v>
      </c>
      <c r="S2013" s="73">
        <v>0</v>
      </c>
      <c r="T2013" s="71" t="s">
        <v>390</v>
      </c>
      <c r="U2013" s="74">
        <v>1</v>
      </c>
      <c r="V2013" s="71" t="s">
        <v>391</v>
      </c>
      <c r="W2013" s="130"/>
      <c r="X2013" s="72">
        <v>46078.003472222219</v>
      </c>
      <c r="Y2013" s="72">
        <v>46080.260416666664</v>
      </c>
      <c r="Z2013" s="104" t="s">
        <v>383</v>
      </c>
      <c r="AA2013" s="104" t="s">
        <v>595</v>
      </c>
      <c r="AB2013" s="105">
        <v>46078.652777777781</v>
      </c>
      <c r="AC2013" s="105">
        <v>46079.125</v>
      </c>
    </row>
    <row r="2014" s="70" customFormat="1" ht="11.25" customHeight="1">
      <c r="A2014" s="87"/>
      <c r="C2014" s="43" t="s">
        <v>3608</v>
      </c>
      <c r="D2014" s="71" t="s">
        <v>382</v>
      </c>
      <c r="E2014" s="71" t="str">
        <f>MID(D2014,1,2)</f>
        <v>IL</v>
      </c>
      <c r="F2014" s="71" t="s">
        <v>595</v>
      </c>
      <c r="G2014" s="71" t="str">
        <f>MID(F2014,1,2)</f>
        <v>AT</v>
      </c>
      <c r="H2014" s="43" t="s">
        <v>3606</v>
      </c>
      <c r="I2014" s="71" t="s">
        <v>3609</v>
      </c>
      <c r="J2014" s="71" t="s">
        <v>400</v>
      </c>
      <c r="K2014" s="43"/>
      <c r="L2014" s="71" t="s">
        <v>105</v>
      </c>
      <c r="M2014" s="73">
        <v>401</v>
      </c>
      <c r="N2014" s="71" t="s">
        <v>388</v>
      </c>
      <c r="O2014" s="73">
        <v>3.401</v>
      </c>
      <c r="P2014" s="71" t="s">
        <v>389</v>
      </c>
      <c r="Q2014" s="73">
        <v>567</v>
      </c>
      <c r="R2014" s="71" t="s">
        <v>388</v>
      </c>
      <c r="S2014" s="73">
        <v>0</v>
      </c>
      <c r="T2014" s="71" t="s">
        <v>390</v>
      </c>
      <c r="U2014" s="74">
        <v>1</v>
      </c>
      <c r="V2014" s="71" t="s">
        <v>391</v>
      </c>
      <c r="W2014" s="130"/>
      <c r="X2014" s="72">
        <v>46078.003472222219</v>
      </c>
      <c r="Y2014" s="72">
        <v>46080.260416666664</v>
      </c>
      <c r="Z2014" s="104" t="s">
        <v>382</v>
      </c>
      <c r="AA2014" s="104" t="s">
        <v>383</v>
      </c>
      <c r="AB2014" s="105">
        <v>46077.986805555556</v>
      </c>
      <c r="AC2014" s="105">
        <v>46078.272916666669</v>
      </c>
    </row>
    <row r="2015" s="70" customFormat="1" ht="11.25" customHeight="1">
      <c r="A2015" s="87"/>
      <c r="C2015" s="43" t="s">
        <v>3608</v>
      </c>
      <c r="D2015" s="71" t="s">
        <v>382</v>
      </c>
      <c r="E2015" s="71" t="str">
        <f>MID(D2015,1,2)</f>
        <v>IL</v>
      </c>
      <c r="F2015" s="71" t="s">
        <v>595</v>
      </c>
      <c r="G2015" s="71" t="str">
        <f>MID(F2015,1,2)</f>
        <v>AT</v>
      </c>
      <c r="H2015" s="43" t="s">
        <v>3606</v>
      </c>
      <c r="I2015" s="71" t="s">
        <v>3609</v>
      </c>
      <c r="J2015" s="71" t="s">
        <v>400</v>
      </c>
      <c r="K2015" s="43"/>
      <c r="L2015" s="71" t="s">
        <v>105</v>
      </c>
      <c r="M2015" s="73">
        <v>401</v>
      </c>
      <c r="N2015" s="71" t="s">
        <v>388</v>
      </c>
      <c r="O2015" s="73">
        <v>3.401</v>
      </c>
      <c r="P2015" s="71" t="s">
        <v>389</v>
      </c>
      <c r="Q2015" s="73">
        <v>567</v>
      </c>
      <c r="R2015" s="71" t="s">
        <v>388</v>
      </c>
      <c r="S2015" s="73">
        <v>0</v>
      </c>
      <c r="T2015" s="71" t="s">
        <v>390</v>
      </c>
      <c r="U2015" s="74">
        <v>1</v>
      </c>
      <c r="V2015" s="71" t="s">
        <v>391</v>
      </c>
      <c r="W2015" s="130"/>
      <c r="X2015" s="72">
        <v>46078.003472222219</v>
      </c>
      <c r="Y2015" s="72">
        <v>46080.260416666664</v>
      </c>
      <c r="Z2015" s="104" t="s">
        <v>383</v>
      </c>
      <c r="AA2015" s="104" t="s">
        <v>595</v>
      </c>
      <c r="AB2015" s="105">
        <v>46078.652777777781</v>
      </c>
      <c r="AC2015" s="105">
        <v>46079.125</v>
      </c>
    </row>
    <row r="2016" s="70" customFormat="1" ht="11.25" customHeight="1">
      <c r="A2016" s="87"/>
      <c r="C2016" s="43" t="s">
        <v>3610</v>
      </c>
      <c r="D2016" s="71" t="s">
        <v>382</v>
      </c>
      <c r="E2016" s="71" t="str">
        <f>MID(D2016,1,2)</f>
        <v>IL</v>
      </c>
      <c r="F2016" s="71" t="s">
        <v>595</v>
      </c>
      <c r="G2016" s="71" t="str">
        <f>MID(F2016,1,2)</f>
        <v>AT</v>
      </c>
      <c r="H2016" s="43" t="s">
        <v>3606</v>
      </c>
      <c r="I2016" s="71" t="s">
        <v>3611</v>
      </c>
      <c r="J2016" s="71" t="s">
        <v>400</v>
      </c>
      <c r="K2016" s="43"/>
      <c r="L2016" s="71" t="s">
        <v>105</v>
      </c>
      <c r="M2016" s="73">
        <v>322</v>
      </c>
      <c r="N2016" s="71" t="s">
        <v>388</v>
      </c>
      <c r="O2016" s="73">
        <v>2.628</v>
      </c>
      <c r="P2016" s="71" t="s">
        <v>389</v>
      </c>
      <c r="Q2016" s="73">
        <v>438</v>
      </c>
      <c r="R2016" s="71" t="s">
        <v>388</v>
      </c>
      <c r="S2016" s="73">
        <v>0</v>
      </c>
      <c r="T2016" s="71" t="s">
        <v>390</v>
      </c>
      <c r="U2016" s="74">
        <v>1</v>
      </c>
      <c r="V2016" s="71" t="s">
        <v>391</v>
      </c>
      <c r="W2016" s="130"/>
      <c r="X2016" s="72">
        <v>46078.003472222219</v>
      </c>
      <c r="Y2016" s="72">
        <v>46080.260416666664</v>
      </c>
      <c r="Z2016" s="104" t="s">
        <v>382</v>
      </c>
      <c r="AA2016" s="104" t="s">
        <v>383</v>
      </c>
      <c r="AB2016" s="105">
        <v>46077.986805555556</v>
      </c>
      <c r="AC2016" s="105">
        <v>46078.272916666669</v>
      </c>
    </row>
    <row r="2017" s="70" customFormat="1" ht="11.25" customHeight="1">
      <c r="A2017" s="87"/>
      <c r="C2017" s="43" t="s">
        <v>3610</v>
      </c>
      <c r="D2017" s="71" t="s">
        <v>382</v>
      </c>
      <c r="E2017" s="71" t="str">
        <f>MID(D2017,1,2)</f>
        <v>IL</v>
      </c>
      <c r="F2017" s="71" t="s">
        <v>595</v>
      </c>
      <c r="G2017" s="71" t="str">
        <f>MID(F2017,1,2)</f>
        <v>AT</v>
      </c>
      <c r="H2017" s="43" t="s">
        <v>3606</v>
      </c>
      <c r="I2017" s="71" t="s">
        <v>3611</v>
      </c>
      <c r="J2017" s="71" t="s">
        <v>400</v>
      </c>
      <c r="K2017" s="43"/>
      <c r="L2017" s="71" t="s">
        <v>105</v>
      </c>
      <c r="M2017" s="73">
        <v>322</v>
      </c>
      <c r="N2017" s="71" t="s">
        <v>388</v>
      </c>
      <c r="O2017" s="73">
        <v>2.628</v>
      </c>
      <c r="P2017" s="71" t="s">
        <v>389</v>
      </c>
      <c r="Q2017" s="73">
        <v>438</v>
      </c>
      <c r="R2017" s="71" t="s">
        <v>388</v>
      </c>
      <c r="S2017" s="73">
        <v>0</v>
      </c>
      <c r="T2017" s="71" t="s">
        <v>390</v>
      </c>
      <c r="U2017" s="74">
        <v>1</v>
      </c>
      <c r="V2017" s="71" t="s">
        <v>391</v>
      </c>
      <c r="W2017" s="130"/>
      <c r="X2017" s="72">
        <v>46078.003472222219</v>
      </c>
      <c r="Y2017" s="72">
        <v>46080.260416666664</v>
      </c>
      <c r="Z2017" s="104" t="s">
        <v>383</v>
      </c>
      <c r="AA2017" s="104" t="s">
        <v>595</v>
      </c>
      <c r="AB2017" s="105">
        <v>46078.652777777781</v>
      </c>
      <c r="AC2017" s="105">
        <v>46079.125</v>
      </c>
    </row>
    <row r="2018" s="70" customFormat="1" ht="11.25" customHeight="1">
      <c r="A2018" s="87"/>
      <c r="C2018" s="43" t="s">
        <v>3612</v>
      </c>
      <c r="D2018" s="71" t="s">
        <v>382</v>
      </c>
      <c r="E2018" s="71" t="str">
        <f>MID(D2018,1,2)</f>
        <v>IL</v>
      </c>
      <c r="F2018" s="71" t="s">
        <v>595</v>
      </c>
      <c r="G2018" s="71" t="str">
        <f>MID(F2018,1,2)</f>
        <v>AT</v>
      </c>
      <c r="H2018" s="43" t="s">
        <v>3606</v>
      </c>
      <c r="I2018" s="71" t="s">
        <v>3613</v>
      </c>
      <c r="J2018" s="71" t="s">
        <v>400</v>
      </c>
      <c r="K2018" s="43"/>
      <c r="L2018" s="71" t="s">
        <v>105</v>
      </c>
      <c r="M2018" s="73">
        <v>252</v>
      </c>
      <c r="N2018" s="71" t="s">
        <v>388</v>
      </c>
      <c r="O2018" s="73">
        <v>2.049</v>
      </c>
      <c r="P2018" s="71" t="s">
        <v>389</v>
      </c>
      <c r="Q2018" s="73">
        <v>341.5</v>
      </c>
      <c r="R2018" s="71" t="s">
        <v>388</v>
      </c>
      <c r="S2018" s="73">
        <v>0</v>
      </c>
      <c r="T2018" s="71" t="s">
        <v>390</v>
      </c>
      <c r="U2018" s="74">
        <v>1</v>
      </c>
      <c r="V2018" s="71" t="s">
        <v>391</v>
      </c>
      <c r="W2018" s="130"/>
      <c r="X2018" s="72">
        <v>46078.003472222219</v>
      </c>
      <c r="Y2018" s="72">
        <v>46080.260416666664</v>
      </c>
      <c r="Z2018" s="104" t="s">
        <v>382</v>
      </c>
      <c r="AA2018" s="104" t="s">
        <v>383</v>
      </c>
      <c r="AB2018" s="105">
        <v>46077.986805555556</v>
      </c>
      <c r="AC2018" s="105">
        <v>46078.272916666669</v>
      </c>
    </row>
    <row r="2019" s="70" customFormat="1" ht="11.25" customHeight="1">
      <c r="A2019" s="87"/>
      <c r="C2019" s="43" t="s">
        <v>3612</v>
      </c>
      <c r="D2019" s="71" t="s">
        <v>382</v>
      </c>
      <c r="E2019" s="71" t="str">
        <f>MID(D2019,1,2)</f>
        <v>IL</v>
      </c>
      <c r="F2019" s="71" t="s">
        <v>595</v>
      </c>
      <c r="G2019" s="71" t="str">
        <f>MID(F2019,1,2)</f>
        <v>AT</v>
      </c>
      <c r="H2019" s="43" t="s">
        <v>3606</v>
      </c>
      <c r="I2019" s="71" t="s">
        <v>3613</v>
      </c>
      <c r="J2019" s="71" t="s">
        <v>400</v>
      </c>
      <c r="K2019" s="43"/>
      <c r="L2019" s="71" t="s">
        <v>105</v>
      </c>
      <c r="M2019" s="73">
        <v>252</v>
      </c>
      <c r="N2019" s="71" t="s">
        <v>388</v>
      </c>
      <c r="O2019" s="73">
        <v>2.049</v>
      </c>
      <c r="P2019" s="71" t="s">
        <v>389</v>
      </c>
      <c r="Q2019" s="73">
        <v>341.5</v>
      </c>
      <c r="R2019" s="71" t="s">
        <v>388</v>
      </c>
      <c r="S2019" s="73">
        <v>0</v>
      </c>
      <c r="T2019" s="71" t="s">
        <v>390</v>
      </c>
      <c r="U2019" s="74">
        <v>1</v>
      </c>
      <c r="V2019" s="71" t="s">
        <v>391</v>
      </c>
      <c r="W2019" s="130"/>
      <c r="X2019" s="72">
        <v>46078.003472222219</v>
      </c>
      <c r="Y2019" s="72">
        <v>46080.260416666664</v>
      </c>
      <c r="Z2019" s="104" t="s">
        <v>383</v>
      </c>
      <c r="AA2019" s="104" t="s">
        <v>595</v>
      </c>
      <c r="AB2019" s="105">
        <v>46078.652777777781</v>
      </c>
      <c r="AC2019" s="105">
        <v>46079.125</v>
      </c>
    </row>
    <row r="2020" s="70" customFormat="1" ht="11.25" customHeight="1">
      <c r="A2020" s="87"/>
      <c r="C2020" s="43" t="s">
        <v>3614</v>
      </c>
      <c r="D2020" s="71" t="s">
        <v>382</v>
      </c>
      <c r="E2020" s="71" t="str">
        <f>MID(D2020,1,2)</f>
        <v>IL</v>
      </c>
      <c r="F2020" s="71" t="s">
        <v>1538</v>
      </c>
      <c r="G2020" s="71" t="str">
        <f>MID(F2020,1,2)</f>
        <v>KR</v>
      </c>
      <c r="H2020" s="43" t="s">
        <v>3615</v>
      </c>
      <c r="I2020" s="71" t="s">
        <v>3616</v>
      </c>
      <c r="J2020" s="71" t="s">
        <v>483</v>
      </c>
      <c r="K2020" s="43"/>
      <c r="L2020" s="71" t="s">
        <v>105</v>
      </c>
      <c r="M2020" s="73">
        <v>1</v>
      </c>
      <c r="N2020" s="71" t="s">
        <v>388</v>
      </c>
      <c r="O2020" s="73">
        <v>0.013</v>
      </c>
      <c r="P2020" s="71" t="s">
        <v>389</v>
      </c>
      <c r="Q2020" s="73">
        <v>2.5</v>
      </c>
      <c r="R2020" s="71" t="s">
        <v>388</v>
      </c>
      <c r="S2020" s="73">
        <v>0</v>
      </c>
      <c r="T2020" s="71" t="s">
        <v>390</v>
      </c>
      <c r="U2020" s="74">
        <v>1</v>
      </c>
      <c r="V2020" s="71" t="s">
        <v>391</v>
      </c>
      <c r="W2020" s="130">
        <v>46076.641840277778</v>
      </c>
      <c r="X2020" s="72">
        <v>46078.690972222219</v>
      </c>
      <c r="Y2020" s="72">
        <v>46080.451388888891</v>
      </c>
      <c r="Z2020" s="104" t="s">
        <v>382</v>
      </c>
      <c r="AA2020" s="104" t="s">
        <v>383</v>
      </c>
      <c r="AB2020" s="105">
        <v>46078.702777777777</v>
      </c>
      <c r="AC2020" s="105">
        <v>46078.850694444445</v>
      </c>
    </row>
    <row r="2021" s="70" customFormat="1" ht="11.25" customHeight="1">
      <c r="A2021" s="87"/>
      <c r="C2021" s="43" t="s">
        <v>3614</v>
      </c>
      <c r="D2021" s="71" t="s">
        <v>382</v>
      </c>
      <c r="E2021" s="71" t="str">
        <f>MID(D2021,1,2)</f>
        <v>IL</v>
      </c>
      <c r="F2021" s="71" t="s">
        <v>1538</v>
      </c>
      <c r="G2021" s="71" t="str">
        <f>MID(F2021,1,2)</f>
        <v>KR</v>
      </c>
      <c r="H2021" s="43" t="s">
        <v>3615</v>
      </c>
      <c r="I2021" s="71" t="s">
        <v>3616</v>
      </c>
      <c r="J2021" s="71" t="s">
        <v>483</v>
      </c>
      <c r="K2021" s="43"/>
      <c r="L2021" s="71" t="s">
        <v>105</v>
      </c>
      <c r="M2021" s="73">
        <v>1</v>
      </c>
      <c r="N2021" s="71" t="s">
        <v>388</v>
      </c>
      <c r="O2021" s="73">
        <v>0.013</v>
      </c>
      <c r="P2021" s="71" t="s">
        <v>389</v>
      </c>
      <c r="Q2021" s="73">
        <v>2.5</v>
      </c>
      <c r="R2021" s="71" t="s">
        <v>388</v>
      </c>
      <c r="S2021" s="73">
        <v>0</v>
      </c>
      <c r="T2021" s="71" t="s">
        <v>390</v>
      </c>
      <c r="U2021" s="74">
        <v>1</v>
      </c>
      <c r="V2021" s="71" t="s">
        <v>391</v>
      </c>
      <c r="W2021" s="130">
        <v>46076.641840277778</v>
      </c>
      <c r="X2021" s="72">
        <v>46078.690972222219</v>
      </c>
      <c r="Y2021" s="72">
        <v>46080.451388888891</v>
      </c>
      <c r="Z2021" s="104" t="s">
        <v>383</v>
      </c>
      <c r="AA2021" s="104" t="s">
        <v>1538</v>
      </c>
      <c r="AB2021" s="105">
        <v>46079.638888888891</v>
      </c>
      <c r="AC2021" s="105">
        <v>46080.427777777775</v>
      </c>
    </row>
    <row r="2022" s="70" customFormat="1" ht="11.25" customHeight="1">
      <c r="A2022" s="87"/>
      <c r="C2022" s="43" t="s">
        <v>3617</v>
      </c>
      <c r="D2022" s="71" t="s">
        <v>382</v>
      </c>
      <c r="E2022" s="71" t="str">
        <f>MID(D2022,1,2)</f>
        <v>IL</v>
      </c>
      <c r="F2022" s="71" t="s">
        <v>667</v>
      </c>
      <c r="G2022" s="71" t="str">
        <f>MID(F2022,1,2)</f>
        <v>DE</v>
      </c>
      <c r="H2022" s="43" t="s">
        <v>3601</v>
      </c>
      <c r="I2022" s="71" t="s">
        <v>3618</v>
      </c>
      <c r="J2022" s="71" t="s">
        <v>400</v>
      </c>
      <c r="K2022" s="43"/>
      <c r="L2022" s="71" t="s">
        <v>105</v>
      </c>
      <c r="M2022" s="73">
        <v>86</v>
      </c>
      <c r="N2022" s="71" t="s">
        <v>388</v>
      </c>
      <c r="O2022" s="73">
        <v>0.754</v>
      </c>
      <c r="P2022" s="71" t="s">
        <v>389</v>
      </c>
      <c r="Q2022" s="73">
        <v>126</v>
      </c>
      <c r="R2022" s="71" t="s">
        <v>388</v>
      </c>
      <c r="S2022" s="73">
        <v>0</v>
      </c>
      <c r="T2022" s="71" t="s">
        <v>390</v>
      </c>
      <c r="U2022" s="74">
        <v>1</v>
      </c>
      <c r="V2022" s="71" t="s">
        <v>391</v>
      </c>
      <c r="W2022" s="130">
        <v>46076.683148148149</v>
      </c>
      <c r="X2022" s="72">
        <v>46077.715277777781</v>
      </c>
      <c r="Y2022" s="72">
        <v>46080.288194444445</v>
      </c>
      <c r="Z2022" s="104" t="s">
        <v>382</v>
      </c>
      <c r="AA2022" s="104" t="s">
        <v>383</v>
      </c>
      <c r="AB2022" s="105">
        <v>46078.970138888886</v>
      </c>
      <c r="AC2022" s="105">
        <v>46079.282638888886</v>
      </c>
    </row>
    <row r="2023" s="70" customFormat="1" ht="11.25" customHeight="1">
      <c r="A2023" s="87"/>
      <c r="C2023" s="43" t="s">
        <v>3617</v>
      </c>
      <c r="D2023" s="71" t="s">
        <v>382</v>
      </c>
      <c r="E2023" s="71" t="str">
        <f>MID(D2023,1,2)</f>
        <v>IL</v>
      </c>
      <c r="F2023" s="71" t="s">
        <v>667</v>
      </c>
      <c r="G2023" s="71" t="str">
        <f>MID(F2023,1,2)</f>
        <v>DE</v>
      </c>
      <c r="H2023" s="43" t="s">
        <v>3601</v>
      </c>
      <c r="I2023" s="71" t="s">
        <v>3618</v>
      </c>
      <c r="J2023" s="71" t="s">
        <v>400</v>
      </c>
      <c r="K2023" s="43"/>
      <c r="L2023" s="71" t="s">
        <v>105</v>
      </c>
      <c r="M2023" s="73">
        <v>86</v>
      </c>
      <c r="N2023" s="71" t="s">
        <v>388</v>
      </c>
      <c r="O2023" s="73">
        <v>0.754</v>
      </c>
      <c r="P2023" s="71" t="s">
        <v>389</v>
      </c>
      <c r="Q2023" s="73">
        <v>126</v>
      </c>
      <c r="R2023" s="71" t="s">
        <v>388</v>
      </c>
      <c r="S2023" s="73">
        <v>0</v>
      </c>
      <c r="T2023" s="71" t="s">
        <v>390</v>
      </c>
      <c r="U2023" s="74">
        <v>1</v>
      </c>
      <c r="V2023" s="71" t="s">
        <v>391</v>
      </c>
      <c r="W2023" s="130">
        <v>46076.683148148149</v>
      </c>
      <c r="X2023" s="72">
        <v>46077.715277777781</v>
      </c>
      <c r="Y2023" s="72">
        <v>46080.288194444445</v>
      </c>
      <c r="Z2023" s="104" t="s">
        <v>383</v>
      </c>
      <c r="AA2023" s="104" t="s">
        <v>667</v>
      </c>
      <c r="AB2023" s="105">
        <v>46080.006944444445</v>
      </c>
      <c r="AC2023" s="105">
        <v>46080.246527777781</v>
      </c>
    </row>
    <row r="2024" s="70" customFormat="1" ht="11.25" customHeight="1">
      <c r="A2024" s="87"/>
      <c r="C2024" s="43" t="s">
        <v>3619</v>
      </c>
      <c r="D2024" s="71" t="s">
        <v>382</v>
      </c>
      <c r="E2024" s="71" t="str">
        <f>MID(D2024,1,2)</f>
        <v>IL</v>
      </c>
      <c r="F2024" s="71" t="s">
        <v>468</v>
      </c>
      <c r="G2024" s="71" t="str">
        <f>MID(F2024,1,2)</f>
        <v>US</v>
      </c>
      <c r="H2024" s="43" t="s">
        <v>3620</v>
      </c>
      <c r="I2024" s="71" t="s">
        <v>3621</v>
      </c>
      <c r="J2024" s="71" t="s">
        <v>386</v>
      </c>
      <c r="K2024" s="43"/>
      <c r="L2024" s="71" t="s">
        <v>107</v>
      </c>
      <c r="M2024" s="73">
        <v>1</v>
      </c>
      <c r="N2024" s="71" t="s">
        <v>388</v>
      </c>
      <c r="O2024" s="73">
        <v>0.016</v>
      </c>
      <c r="P2024" s="71" t="s">
        <v>389</v>
      </c>
      <c r="Q2024" s="73">
        <v>3</v>
      </c>
      <c r="R2024" s="71" t="s">
        <v>388</v>
      </c>
      <c r="S2024" s="73">
        <v>0</v>
      </c>
      <c r="T2024" s="71" t="s">
        <v>390</v>
      </c>
      <c r="U2024" s="74">
        <v>1</v>
      </c>
      <c r="V2024" s="71" t="s">
        <v>446</v>
      </c>
      <c r="W2024" s="130">
        <v>46078.70208333333</v>
      </c>
      <c r="X2024" s="72">
        <v>46081.979166666664</v>
      </c>
      <c r="Y2024" s="72">
        <v>46090.416666666664</v>
      </c>
      <c r="Z2024" s="104" t="s">
        <v>382</v>
      </c>
      <c r="AA2024" s="104" t="s">
        <v>408</v>
      </c>
      <c r="AB2024" s="105">
        <v>46084.73125</v>
      </c>
      <c r="AC2024" s="105">
        <v>46084.975694444445</v>
      </c>
    </row>
    <row r="2025" s="70" customFormat="1" ht="11.25" customHeight="1">
      <c r="A2025" s="87"/>
      <c r="C2025" s="43" t="s">
        <v>3619</v>
      </c>
      <c r="D2025" s="71" t="s">
        <v>382</v>
      </c>
      <c r="E2025" s="71" t="str">
        <f>MID(D2025,1,2)</f>
        <v>IL</v>
      </c>
      <c r="F2025" s="71" t="s">
        <v>468</v>
      </c>
      <c r="G2025" s="71" t="str">
        <f>MID(F2025,1,2)</f>
        <v>US</v>
      </c>
      <c r="H2025" s="43" t="s">
        <v>3620</v>
      </c>
      <c r="I2025" s="71" t="s">
        <v>3621</v>
      </c>
      <c r="J2025" s="71" t="s">
        <v>386</v>
      </c>
      <c r="K2025" s="43"/>
      <c r="L2025" s="71" t="s">
        <v>107</v>
      </c>
      <c r="M2025" s="73">
        <v>1</v>
      </c>
      <c r="N2025" s="71" t="s">
        <v>388</v>
      </c>
      <c r="O2025" s="73">
        <v>0.016</v>
      </c>
      <c r="P2025" s="71" t="s">
        <v>389</v>
      </c>
      <c r="Q2025" s="73">
        <v>3</v>
      </c>
      <c r="R2025" s="71" t="s">
        <v>388</v>
      </c>
      <c r="S2025" s="73">
        <v>0</v>
      </c>
      <c r="T2025" s="71" t="s">
        <v>390</v>
      </c>
      <c r="U2025" s="74">
        <v>1</v>
      </c>
      <c r="V2025" s="71" t="s">
        <v>446</v>
      </c>
      <c r="W2025" s="130">
        <v>46078.70208333333</v>
      </c>
      <c r="X2025" s="72">
        <v>46081.979166666664</v>
      </c>
      <c r="Y2025" s="72">
        <v>46090.416666666664</v>
      </c>
      <c r="Z2025" s="104" t="s">
        <v>408</v>
      </c>
      <c r="AA2025" s="104" t="s">
        <v>422</v>
      </c>
      <c r="AB2025" s="105">
        <v>46087.51666666667</v>
      </c>
      <c r="AC2025" s="105">
        <v>46087.672222222223</v>
      </c>
    </row>
    <row r="2026" s="70" customFormat="1" ht="11.25" customHeight="1">
      <c r="A2026" s="87"/>
      <c r="C2026" s="43" t="s">
        <v>3619</v>
      </c>
      <c r="D2026" s="71" t="s">
        <v>382</v>
      </c>
      <c r="E2026" s="71" t="str">
        <f>MID(D2026,1,2)</f>
        <v>IL</v>
      </c>
      <c r="F2026" s="71" t="s">
        <v>468</v>
      </c>
      <c r="G2026" s="71" t="str">
        <f>MID(F2026,1,2)</f>
        <v>US</v>
      </c>
      <c r="H2026" s="43" t="s">
        <v>3620</v>
      </c>
      <c r="I2026" s="71" t="s">
        <v>3621</v>
      </c>
      <c r="J2026" s="71" t="s">
        <v>386</v>
      </c>
      <c r="K2026" s="43"/>
      <c r="L2026" s="71" t="s">
        <v>107</v>
      </c>
      <c r="M2026" s="73">
        <v>1</v>
      </c>
      <c r="N2026" s="71" t="s">
        <v>388</v>
      </c>
      <c r="O2026" s="73">
        <v>0.016</v>
      </c>
      <c r="P2026" s="71" t="s">
        <v>389</v>
      </c>
      <c r="Q2026" s="73">
        <v>3</v>
      </c>
      <c r="R2026" s="71" t="s">
        <v>388</v>
      </c>
      <c r="S2026" s="73">
        <v>0</v>
      </c>
      <c r="T2026" s="71" t="s">
        <v>390</v>
      </c>
      <c r="U2026" s="74">
        <v>1</v>
      </c>
      <c r="V2026" s="71" t="s">
        <v>446</v>
      </c>
      <c r="W2026" s="130">
        <v>46078.70208333333</v>
      </c>
      <c r="X2026" s="72">
        <v>46081.979166666664</v>
      </c>
      <c r="Y2026" s="72">
        <v>46090.416666666664</v>
      </c>
      <c r="Z2026" s="104" t="s">
        <v>422</v>
      </c>
      <c r="AA2026" s="104" t="s">
        <v>468</v>
      </c>
      <c r="AB2026" s="105">
        <v>46090.263888888891</v>
      </c>
      <c r="AC2026" s="105">
        <v>46090.386111111111</v>
      </c>
    </row>
    <row r="2027" s="70" customFormat="1" ht="11.25" customHeight="1">
      <c r="A2027" s="87"/>
      <c r="C2027" s="43" t="s">
        <v>3622</v>
      </c>
      <c r="D2027" s="71" t="s">
        <v>382</v>
      </c>
      <c r="E2027" s="71" t="str">
        <f>MID(D2027,1,2)</f>
        <v>IL</v>
      </c>
      <c r="F2027" s="71" t="s">
        <v>1538</v>
      </c>
      <c r="G2027" s="71" t="str">
        <f>MID(F2027,1,2)</f>
        <v>KR</v>
      </c>
      <c r="H2027" s="43" t="s">
        <v>3623</v>
      </c>
      <c r="I2027" s="71" t="s">
        <v>3624</v>
      </c>
      <c r="J2027" s="71" t="s">
        <v>755</v>
      </c>
      <c r="K2027" s="43"/>
      <c r="L2027" s="71" t="s">
        <v>105</v>
      </c>
      <c r="M2027" s="73">
        <v>80</v>
      </c>
      <c r="N2027" s="71" t="s">
        <v>388</v>
      </c>
      <c r="O2027" s="73">
        <v>1.231</v>
      </c>
      <c r="P2027" s="71" t="s">
        <v>389</v>
      </c>
      <c r="Q2027" s="73">
        <v>205.5</v>
      </c>
      <c r="R2027" s="71" t="s">
        <v>388</v>
      </c>
      <c r="S2027" s="73">
        <v>0</v>
      </c>
      <c r="T2027" s="71" t="s">
        <v>390</v>
      </c>
      <c r="U2027" s="74">
        <v>1</v>
      </c>
      <c r="V2027" s="71" t="s">
        <v>391</v>
      </c>
      <c r="W2027" s="130">
        <v>46076.423611111109</v>
      </c>
      <c r="X2027" s="72">
        <v>46078.923611111109</v>
      </c>
      <c r="Y2027" s="72">
        <v>46081.288194444445</v>
      </c>
      <c r="Z2027" s="104" t="s">
        <v>382</v>
      </c>
      <c r="AA2027" s="104" t="s">
        <v>833</v>
      </c>
      <c r="AB2027" s="105">
        <v>46078.911805555559</v>
      </c>
      <c r="AC2027" s="105">
        <v>46079.57708333333</v>
      </c>
    </row>
    <row r="2028" s="70" customFormat="1" ht="11.25" customHeight="1">
      <c r="A2028" s="87"/>
      <c r="C2028" s="43" t="s">
        <v>3622</v>
      </c>
      <c r="D2028" s="71" t="s">
        <v>382</v>
      </c>
      <c r="E2028" s="71" t="str">
        <f>MID(D2028,1,2)</f>
        <v>IL</v>
      </c>
      <c r="F2028" s="71" t="s">
        <v>1538</v>
      </c>
      <c r="G2028" s="71" t="str">
        <f>MID(F2028,1,2)</f>
        <v>KR</v>
      </c>
      <c r="H2028" s="43" t="s">
        <v>3623</v>
      </c>
      <c r="I2028" s="71" t="s">
        <v>3624</v>
      </c>
      <c r="J2028" s="71" t="s">
        <v>755</v>
      </c>
      <c r="K2028" s="43"/>
      <c r="L2028" s="71" t="s">
        <v>105</v>
      </c>
      <c r="M2028" s="73">
        <v>80</v>
      </c>
      <c r="N2028" s="71" t="s">
        <v>388</v>
      </c>
      <c r="O2028" s="73">
        <v>1.231</v>
      </c>
      <c r="P2028" s="71" t="s">
        <v>389</v>
      </c>
      <c r="Q2028" s="73">
        <v>205.5</v>
      </c>
      <c r="R2028" s="71" t="s">
        <v>388</v>
      </c>
      <c r="S2028" s="73">
        <v>0</v>
      </c>
      <c r="T2028" s="71" t="s">
        <v>390</v>
      </c>
      <c r="U2028" s="74">
        <v>1</v>
      </c>
      <c r="V2028" s="71" t="s">
        <v>391</v>
      </c>
      <c r="W2028" s="130">
        <v>46076.423611111109</v>
      </c>
      <c r="X2028" s="72">
        <v>46078.923611111109</v>
      </c>
      <c r="Y2028" s="72">
        <v>46081.288194444445</v>
      </c>
      <c r="Z2028" s="104" t="s">
        <v>833</v>
      </c>
      <c r="AA2028" s="104" t="s">
        <v>1538</v>
      </c>
      <c r="AB2028" s="105">
        <v>46079.994444444441</v>
      </c>
      <c r="AC2028" s="105">
        <v>46080.272916666669</v>
      </c>
    </row>
    <row r="2029" s="70" customFormat="1" ht="11.25" customHeight="1">
      <c r="A2029" s="87"/>
      <c r="C2029" s="43" t="s">
        <v>3625</v>
      </c>
      <c r="D2029" s="71" t="s">
        <v>382</v>
      </c>
      <c r="E2029" s="71" t="str">
        <f>MID(D2029,1,2)</f>
        <v>IL</v>
      </c>
      <c r="F2029" s="71" t="s">
        <v>514</v>
      </c>
      <c r="G2029" s="71" t="str">
        <f>MID(F2029,1,2)</f>
        <v>US</v>
      </c>
      <c r="H2029" s="43" t="s">
        <v>3626</v>
      </c>
      <c r="I2029" s="71" t="s">
        <v>3627</v>
      </c>
      <c r="J2029" s="71" t="s">
        <v>755</v>
      </c>
      <c r="K2029" s="43"/>
      <c r="L2029" s="71" t="s">
        <v>105</v>
      </c>
      <c r="M2029" s="73">
        <v>659</v>
      </c>
      <c r="N2029" s="71" t="s">
        <v>388</v>
      </c>
      <c r="O2029" s="73">
        <v>13.367</v>
      </c>
      <c r="P2029" s="71" t="s">
        <v>389</v>
      </c>
      <c r="Q2029" s="73">
        <v>2500</v>
      </c>
      <c r="R2029" s="71" t="s">
        <v>388</v>
      </c>
      <c r="S2029" s="73">
        <v>0</v>
      </c>
      <c r="T2029" s="71" t="s">
        <v>390</v>
      </c>
      <c r="U2029" s="74">
        <v>3</v>
      </c>
      <c r="V2029" s="71" t="s">
        <v>391</v>
      </c>
      <c r="W2029" s="130">
        <v>46076.423611111109</v>
      </c>
      <c r="X2029" s="72">
        <v>46081.25</v>
      </c>
      <c r="Y2029" s="72">
        <v>46090.291666666664</v>
      </c>
      <c r="Z2029" s="104" t="s">
        <v>382</v>
      </c>
      <c r="AA2029" s="104" t="s">
        <v>414</v>
      </c>
      <c r="AB2029" s="105">
        <v>46081.271527777775</v>
      </c>
      <c r="AC2029" s="105">
        <v>46081.450694444444</v>
      </c>
    </row>
    <row r="2030" s="70" customFormat="1" ht="11.25" customHeight="1">
      <c r="A2030" s="87"/>
      <c r="C2030" s="43" t="s">
        <v>3625</v>
      </c>
      <c r="D2030" s="71" t="s">
        <v>382</v>
      </c>
      <c r="E2030" s="71" t="str">
        <f>MID(D2030,1,2)</f>
        <v>IL</v>
      </c>
      <c r="F2030" s="71" t="s">
        <v>514</v>
      </c>
      <c r="G2030" s="71" t="str">
        <f>MID(F2030,1,2)</f>
        <v>US</v>
      </c>
      <c r="H2030" s="43" t="s">
        <v>3626</v>
      </c>
      <c r="I2030" s="71" t="s">
        <v>3627</v>
      </c>
      <c r="J2030" s="71" t="s">
        <v>755</v>
      </c>
      <c r="K2030" s="43"/>
      <c r="L2030" s="71" t="s">
        <v>105</v>
      </c>
      <c r="M2030" s="73">
        <v>659</v>
      </c>
      <c r="N2030" s="71" t="s">
        <v>388</v>
      </c>
      <c r="O2030" s="73">
        <v>13.367</v>
      </c>
      <c r="P2030" s="71" t="s">
        <v>389</v>
      </c>
      <c r="Q2030" s="73">
        <v>2500</v>
      </c>
      <c r="R2030" s="71" t="s">
        <v>388</v>
      </c>
      <c r="S2030" s="73">
        <v>0</v>
      </c>
      <c r="T2030" s="71" t="s">
        <v>390</v>
      </c>
      <c r="U2030" s="74">
        <v>3</v>
      </c>
      <c r="V2030" s="71" t="s">
        <v>391</v>
      </c>
      <c r="W2030" s="130">
        <v>46076.423611111109</v>
      </c>
      <c r="X2030" s="72">
        <v>46081.25</v>
      </c>
      <c r="Y2030" s="72">
        <v>46090.291666666664</v>
      </c>
      <c r="Z2030" s="104" t="s">
        <v>414</v>
      </c>
      <c r="AA2030" s="104" t="s">
        <v>514</v>
      </c>
      <c r="AB2030" s="105">
        <v>46083.955555555556</v>
      </c>
      <c r="AC2030" s="105">
        <v>46089.598611111112</v>
      </c>
    </row>
    <row r="2031" s="70" customFormat="1" ht="11.25" customHeight="1">
      <c r="A2031" s="87"/>
      <c r="C2031" s="43" t="s">
        <v>3628</v>
      </c>
      <c r="D2031" s="71" t="s">
        <v>382</v>
      </c>
      <c r="E2031" s="71" t="str">
        <f>MID(D2031,1,2)</f>
        <v>IL</v>
      </c>
      <c r="F2031" s="71" t="s">
        <v>480</v>
      </c>
      <c r="G2031" s="71" t="str">
        <f>MID(F2031,1,2)</f>
        <v>CA</v>
      </c>
      <c r="H2031" s="43" t="s">
        <v>3629</v>
      </c>
      <c r="I2031" s="71" t="s">
        <v>3630</v>
      </c>
      <c r="J2031" s="71" t="s">
        <v>386</v>
      </c>
      <c r="K2031" s="43"/>
      <c r="L2031" s="71" t="s">
        <v>107</v>
      </c>
      <c r="M2031" s="73">
        <v>171</v>
      </c>
      <c r="N2031" s="71" t="s">
        <v>388</v>
      </c>
      <c r="O2031" s="73">
        <v>1.825</v>
      </c>
      <c r="P2031" s="71" t="s">
        <v>389</v>
      </c>
      <c r="Q2031" s="73">
        <v>304.5</v>
      </c>
      <c r="R2031" s="71" t="s">
        <v>388</v>
      </c>
      <c r="S2031" s="73">
        <v>0</v>
      </c>
      <c r="T2031" s="71" t="s">
        <v>390</v>
      </c>
      <c r="U2031" s="74">
        <v>2</v>
      </c>
      <c r="V2031" s="71" t="s">
        <v>417</v>
      </c>
      <c r="W2031" s="130">
        <v>46076.458333333336</v>
      </c>
      <c r="X2031" s="72">
        <v>46078.458333333336</v>
      </c>
      <c r="Y2031" s="72">
        <v>46080.708333333336</v>
      </c>
      <c r="Z2031" s="104" t="s">
        <v>1102</v>
      </c>
      <c r="AA2031" s="104" t="s">
        <v>1103</v>
      </c>
      <c r="AB2031" s="105"/>
      <c r="AC2031" s="105"/>
    </row>
    <row r="2032" s="70" customFormat="1" ht="11.25" customHeight="1">
      <c r="A2032" s="87"/>
      <c r="C2032" s="43" t="s">
        <v>3628</v>
      </c>
      <c r="D2032" s="71" t="s">
        <v>382</v>
      </c>
      <c r="E2032" s="71" t="str">
        <f>MID(D2032,1,2)</f>
        <v>IL</v>
      </c>
      <c r="F2032" s="71" t="s">
        <v>480</v>
      </c>
      <c r="G2032" s="71" t="str">
        <f>MID(F2032,1,2)</f>
        <v>CA</v>
      </c>
      <c r="H2032" s="43" t="s">
        <v>3629</v>
      </c>
      <c r="I2032" s="71" t="s">
        <v>3630</v>
      </c>
      <c r="J2032" s="71" t="s">
        <v>386</v>
      </c>
      <c r="K2032" s="43"/>
      <c r="L2032" s="71" t="s">
        <v>107</v>
      </c>
      <c r="M2032" s="73">
        <v>171</v>
      </c>
      <c r="N2032" s="71" t="s">
        <v>388</v>
      </c>
      <c r="O2032" s="73">
        <v>1.825</v>
      </c>
      <c r="P2032" s="71" t="s">
        <v>389</v>
      </c>
      <c r="Q2032" s="73">
        <v>304.5</v>
      </c>
      <c r="R2032" s="71" t="s">
        <v>388</v>
      </c>
      <c r="S2032" s="73">
        <v>0</v>
      </c>
      <c r="T2032" s="71" t="s">
        <v>390</v>
      </c>
      <c r="U2032" s="74">
        <v>2</v>
      </c>
      <c r="V2032" s="71" t="s">
        <v>417</v>
      </c>
      <c r="W2032" s="130">
        <v>46076.458333333336</v>
      </c>
      <c r="X2032" s="72">
        <v>46078.458333333336</v>
      </c>
      <c r="Y2032" s="72">
        <v>46080.708333333336</v>
      </c>
      <c r="Z2032" s="104" t="s">
        <v>382</v>
      </c>
      <c r="AA2032" s="104" t="s">
        <v>405</v>
      </c>
      <c r="AB2032" s="105">
        <v>46078.535416666666</v>
      </c>
      <c r="AC2032" s="105">
        <v>46078.7375</v>
      </c>
    </row>
    <row r="2033" s="70" customFormat="1" ht="11.25" customHeight="1">
      <c r="A2033" s="87"/>
      <c r="C2033" s="43" t="s">
        <v>3628</v>
      </c>
      <c r="D2033" s="71" t="s">
        <v>382</v>
      </c>
      <c r="E2033" s="71" t="str">
        <f>MID(D2033,1,2)</f>
        <v>IL</v>
      </c>
      <c r="F2033" s="71" t="s">
        <v>480</v>
      </c>
      <c r="G2033" s="71" t="str">
        <f>MID(F2033,1,2)</f>
        <v>CA</v>
      </c>
      <c r="H2033" s="43" t="s">
        <v>3629</v>
      </c>
      <c r="I2033" s="71" t="s">
        <v>3630</v>
      </c>
      <c r="J2033" s="71" t="s">
        <v>386</v>
      </c>
      <c r="K2033" s="43"/>
      <c r="L2033" s="71" t="s">
        <v>107</v>
      </c>
      <c r="M2033" s="73">
        <v>171</v>
      </c>
      <c r="N2033" s="71" t="s">
        <v>388</v>
      </c>
      <c r="O2033" s="73">
        <v>1.825</v>
      </c>
      <c r="P2033" s="71" t="s">
        <v>389</v>
      </c>
      <c r="Q2033" s="73">
        <v>304.5</v>
      </c>
      <c r="R2033" s="71" t="s">
        <v>388</v>
      </c>
      <c r="S2033" s="73">
        <v>0</v>
      </c>
      <c r="T2033" s="71" t="s">
        <v>390</v>
      </c>
      <c r="U2033" s="74">
        <v>2</v>
      </c>
      <c r="V2033" s="71" t="s">
        <v>417</v>
      </c>
      <c r="W2033" s="130">
        <v>46076.458333333336</v>
      </c>
      <c r="X2033" s="72">
        <v>46078.458333333336</v>
      </c>
      <c r="Y2033" s="72">
        <v>46080.708333333336</v>
      </c>
      <c r="Z2033" s="104" t="s">
        <v>405</v>
      </c>
      <c r="AA2033" s="104" t="s">
        <v>480</v>
      </c>
      <c r="AB2033" s="105">
        <v>46080.120138888888</v>
      </c>
      <c r="AC2033" s="105">
        <v>46080.739583333336</v>
      </c>
    </row>
    <row r="2034" s="70" customFormat="1" ht="11.25" customHeight="1">
      <c r="A2034" s="87"/>
      <c r="C2034" s="43" t="s">
        <v>3631</v>
      </c>
      <c r="D2034" s="71" t="s">
        <v>382</v>
      </c>
      <c r="E2034" s="71" t="str">
        <f>MID(D2034,1,2)</f>
        <v>IL</v>
      </c>
      <c r="F2034" s="71" t="s">
        <v>468</v>
      </c>
      <c r="G2034" s="71" t="str">
        <f>MID(F2034,1,2)</f>
        <v>US</v>
      </c>
      <c r="H2034" s="43" t="s">
        <v>469</v>
      </c>
      <c r="I2034" s="71" t="s">
        <v>3632</v>
      </c>
      <c r="J2034" s="71" t="s">
        <v>386</v>
      </c>
      <c r="K2034" s="43"/>
      <c r="L2034" s="71" t="s">
        <v>107</v>
      </c>
      <c r="M2034" s="73">
        <v>4</v>
      </c>
      <c r="N2034" s="71" t="s">
        <v>388</v>
      </c>
      <c r="O2034" s="73">
        <v>0.092</v>
      </c>
      <c r="P2034" s="71" t="s">
        <v>389</v>
      </c>
      <c r="Q2034" s="73">
        <v>15.5</v>
      </c>
      <c r="R2034" s="71" t="s">
        <v>388</v>
      </c>
      <c r="S2034" s="73">
        <v>0</v>
      </c>
      <c r="T2034" s="71" t="s">
        <v>390</v>
      </c>
      <c r="U2034" s="74">
        <v>1</v>
      </c>
      <c r="V2034" s="71" t="s">
        <v>446</v>
      </c>
      <c r="W2034" s="130">
        <v>46076.395833333336</v>
      </c>
      <c r="X2034" s="72">
        <v>46078.979166666664</v>
      </c>
      <c r="Y2034" s="72">
        <v>46085.375</v>
      </c>
      <c r="Z2034" s="104" t="s">
        <v>382</v>
      </c>
      <c r="AA2034" s="104" t="s">
        <v>471</v>
      </c>
      <c r="AB2034" s="105">
        <v>46079.01458333333</v>
      </c>
      <c r="AC2034" s="105">
        <v>46079.202777777777</v>
      </c>
    </row>
    <row r="2035" s="70" customFormat="1" ht="11.25" customHeight="1">
      <c r="A2035" s="87"/>
      <c r="C2035" s="43" t="s">
        <v>3631</v>
      </c>
      <c r="D2035" s="71" t="s">
        <v>382</v>
      </c>
      <c r="E2035" s="71" t="str">
        <f>MID(D2035,1,2)</f>
        <v>IL</v>
      </c>
      <c r="F2035" s="71" t="s">
        <v>468</v>
      </c>
      <c r="G2035" s="71" t="str">
        <f>MID(F2035,1,2)</f>
        <v>US</v>
      </c>
      <c r="H2035" s="43" t="s">
        <v>469</v>
      </c>
      <c r="I2035" s="71" t="s">
        <v>3632</v>
      </c>
      <c r="J2035" s="71" t="s">
        <v>386</v>
      </c>
      <c r="K2035" s="43"/>
      <c r="L2035" s="71" t="s">
        <v>107</v>
      </c>
      <c r="M2035" s="73">
        <v>4</v>
      </c>
      <c r="N2035" s="71" t="s">
        <v>388</v>
      </c>
      <c r="O2035" s="73">
        <v>0.092</v>
      </c>
      <c r="P2035" s="71" t="s">
        <v>389</v>
      </c>
      <c r="Q2035" s="73">
        <v>15.5</v>
      </c>
      <c r="R2035" s="71" t="s">
        <v>388</v>
      </c>
      <c r="S2035" s="73">
        <v>0</v>
      </c>
      <c r="T2035" s="71" t="s">
        <v>390</v>
      </c>
      <c r="U2035" s="74">
        <v>1</v>
      </c>
      <c r="V2035" s="71" t="s">
        <v>446</v>
      </c>
      <c r="W2035" s="130">
        <v>46076.395833333336</v>
      </c>
      <c r="X2035" s="72">
        <v>46078.979166666664</v>
      </c>
      <c r="Y2035" s="72">
        <v>46085.375</v>
      </c>
      <c r="Z2035" s="104" t="s">
        <v>422</v>
      </c>
      <c r="AA2035" s="104" t="s">
        <v>468</v>
      </c>
      <c r="AB2035" s="105">
        <v>46079.650694444441</v>
      </c>
      <c r="AC2035" s="105">
        <v>46081.484027777777</v>
      </c>
    </row>
    <row r="2036" s="70" customFormat="1" ht="11.25" customHeight="1">
      <c r="A2036" s="87"/>
      <c r="C2036" s="43" t="s">
        <v>3633</v>
      </c>
      <c r="D2036" s="71" t="s">
        <v>382</v>
      </c>
      <c r="E2036" s="71" t="str">
        <f>MID(D2036,1,2)</f>
        <v>IL</v>
      </c>
      <c r="F2036" s="71" t="s">
        <v>1823</v>
      </c>
      <c r="G2036" s="71" t="str">
        <f>MID(F2036,1,2)</f>
        <v>DK</v>
      </c>
      <c r="H2036" s="43" t="s">
        <v>3634</v>
      </c>
      <c r="I2036" s="71" t="s">
        <v>3635</v>
      </c>
      <c r="J2036" s="71" t="s">
        <v>400</v>
      </c>
      <c r="K2036" s="43"/>
      <c r="L2036" s="71" t="s">
        <v>105</v>
      </c>
      <c r="M2036" s="73">
        <v>30</v>
      </c>
      <c r="N2036" s="71" t="s">
        <v>388</v>
      </c>
      <c r="O2036" s="73">
        <v>0.264</v>
      </c>
      <c r="P2036" s="71" t="s">
        <v>389</v>
      </c>
      <c r="Q2036" s="73">
        <v>44</v>
      </c>
      <c r="R2036" s="71" t="s">
        <v>388</v>
      </c>
      <c r="S2036" s="73">
        <v>0</v>
      </c>
      <c r="T2036" s="71" t="s">
        <v>390</v>
      </c>
      <c r="U2036" s="74">
        <v>1</v>
      </c>
      <c r="V2036" s="71" t="s">
        <v>391</v>
      </c>
      <c r="W2036" s="130">
        <v>46076.898449074077</v>
      </c>
      <c r="X2036" s="72">
        <v>46078.041666666664</v>
      </c>
      <c r="Y2036" s="72">
        <v>46078.763888888891</v>
      </c>
      <c r="Z2036" s="104" t="s">
        <v>382</v>
      </c>
      <c r="AA2036" s="104" t="s">
        <v>383</v>
      </c>
      <c r="AB2036" s="105">
        <v>46078.032638888886</v>
      </c>
      <c r="AC2036" s="105">
        <v>46078.238194444442</v>
      </c>
    </row>
    <row r="2037" s="70" customFormat="1" ht="11.25" customHeight="1">
      <c r="A2037" s="87"/>
      <c r="C2037" s="43" t="s">
        <v>3633</v>
      </c>
      <c r="D2037" s="71" t="s">
        <v>382</v>
      </c>
      <c r="E2037" s="71" t="str">
        <f>MID(D2037,1,2)</f>
        <v>IL</v>
      </c>
      <c r="F2037" s="71" t="s">
        <v>1823</v>
      </c>
      <c r="G2037" s="71" t="str">
        <f>MID(F2037,1,2)</f>
        <v>DK</v>
      </c>
      <c r="H2037" s="43" t="s">
        <v>3634</v>
      </c>
      <c r="I2037" s="71" t="s">
        <v>3635</v>
      </c>
      <c r="J2037" s="71" t="s">
        <v>400</v>
      </c>
      <c r="K2037" s="43"/>
      <c r="L2037" s="71" t="s">
        <v>105</v>
      </c>
      <c r="M2037" s="73">
        <v>30</v>
      </c>
      <c r="N2037" s="71" t="s">
        <v>388</v>
      </c>
      <c r="O2037" s="73">
        <v>0.264</v>
      </c>
      <c r="P2037" s="71" t="s">
        <v>389</v>
      </c>
      <c r="Q2037" s="73">
        <v>44</v>
      </c>
      <c r="R2037" s="71" t="s">
        <v>388</v>
      </c>
      <c r="S2037" s="73">
        <v>0</v>
      </c>
      <c r="T2037" s="71" t="s">
        <v>390</v>
      </c>
      <c r="U2037" s="74">
        <v>1</v>
      </c>
      <c r="V2037" s="71" t="s">
        <v>391</v>
      </c>
      <c r="W2037" s="130">
        <v>46076.898449074077</v>
      </c>
      <c r="X2037" s="72">
        <v>46078.041666666664</v>
      </c>
      <c r="Y2037" s="72">
        <v>46078.763888888891</v>
      </c>
      <c r="Z2037" s="104" t="s">
        <v>383</v>
      </c>
      <c r="AA2037" s="104" t="s">
        <v>1823</v>
      </c>
      <c r="AB2037" s="105">
        <v>46078.70416666667</v>
      </c>
      <c r="AC2037" s="105">
        <v>46078.754861111112</v>
      </c>
    </row>
    <row r="2038" s="70" customFormat="1" ht="11.25" customHeight="1">
      <c r="A2038" s="87"/>
      <c r="C2038" s="43" t="s">
        <v>3636</v>
      </c>
      <c r="D2038" s="71" t="s">
        <v>382</v>
      </c>
      <c r="E2038" s="71" t="str">
        <f>MID(D2038,1,2)</f>
        <v>IL</v>
      </c>
      <c r="F2038" s="71" t="s">
        <v>468</v>
      </c>
      <c r="G2038" s="71" t="str">
        <f>MID(F2038,1,2)</f>
        <v>US</v>
      </c>
      <c r="H2038" s="43" t="s">
        <v>469</v>
      </c>
      <c r="I2038" s="71" t="s">
        <v>3637</v>
      </c>
      <c r="J2038" s="71" t="s">
        <v>386</v>
      </c>
      <c r="K2038" s="43"/>
      <c r="L2038" s="71" t="s">
        <v>107</v>
      </c>
      <c r="M2038" s="73">
        <v>5</v>
      </c>
      <c r="N2038" s="71" t="s">
        <v>388</v>
      </c>
      <c r="O2038" s="73">
        <v>0.092</v>
      </c>
      <c r="P2038" s="71" t="s">
        <v>389</v>
      </c>
      <c r="Q2038" s="73">
        <v>15.5</v>
      </c>
      <c r="R2038" s="71" t="s">
        <v>388</v>
      </c>
      <c r="S2038" s="73">
        <v>0</v>
      </c>
      <c r="T2038" s="71" t="s">
        <v>390</v>
      </c>
      <c r="U2038" s="74">
        <v>1</v>
      </c>
      <c r="V2038" s="71" t="s">
        <v>446</v>
      </c>
      <c r="W2038" s="130">
        <v>46076.410416666666</v>
      </c>
      <c r="X2038" s="72">
        <v>46078.979166666664</v>
      </c>
      <c r="Y2038" s="72">
        <v>46085.375</v>
      </c>
      <c r="Z2038" s="104" t="s">
        <v>382</v>
      </c>
      <c r="AA2038" s="104" t="s">
        <v>471</v>
      </c>
      <c r="AB2038" s="105">
        <v>46079.01458333333</v>
      </c>
      <c r="AC2038" s="105">
        <v>46079.202777777777</v>
      </c>
    </row>
    <row r="2039" s="70" customFormat="1" ht="11.25" customHeight="1">
      <c r="A2039" s="87"/>
      <c r="C2039" s="43" t="s">
        <v>3636</v>
      </c>
      <c r="D2039" s="71" t="s">
        <v>382</v>
      </c>
      <c r="E2039" s="71" t="str">
        <f>MID(D2039,1,2)</f>
        <v>IL</v>
      </c>
      <c r="F2039" s="71" t="s">
        <v>468</v>
      </c>
      <c r="G2039" s="71" t="str">
        <f>MID(F2039,1,2)</f>
        <v>US</v>
      </c>
      <c r="H2039" s="43" t="s">
        <v>469</v>
      </c>
      <c r="I2039" s="71" t="s">
        <v>3637</v>
      </c>
      <c r="J2039" s="71" t="s">
        <v>386</v>
      </c>
      <c r="K2039" s="43"/>
      <c r="L2039" s="71" t="s">
        <v>107</v>
      </c>
      <c r="M2039" s="73">
        <v>5</v>
      </c>
      <c r="N2039" s="71" t="s">
        <v>388</v>
      </c>
      <c r="O2039" s="73">
        <v>0.092</v>
      </c>
      <c r="P2039" s="71" t="s">
        <v>389</v>
      </c>
      <c r="Q2039" s="73">
        <v>15.5</v>
      </c>
      <c r="R2039" s="71" t="s">
        <v>388</v>
      </c>
      <c r="S2039" s="73">
        <v>0</v>
      </c>
      <c r="T2039" s="71" t="s">
        <v>390</v>
      </c>
      <c r="U2039" s="74">
        <v>1</v>
      </c>
      <c r="V2039" s="71" t="s">
        <v>446</v>
      </c>
      <c r="W2039" s="130">
        <v>46076.410416666666</v>
      </c>
      <c r="X2039" s="72">
        <v>46078.979166666664</v>
      </c>
      <c r="Y2039" s="72">
        <v>46085.375</v>
      </c>
      <c r="Z2039" s="104" t="s">
        <v>422</v>
      </c>
      <c r="AA2039" s="104" t="s">
        <v>468</v>
      </c>
      <c r="AB2039" s="105">
        <v>46079.650694444441</v>
      </c>
      <c r="AC2039" s="105">
        <v>46081.484027777777</v>
      </c>
    </row>
    <row r="2040" s="70" customFormat="1" ht="11.25" customHeight="1">
      <c r="A2040" s="87"/>
      <c r="C2040" s="43" t="s">
        <v>3638</v>
      </c>
      <c r="D2040" s="71" t="s">
        <v>382</v>
      </c>
      <c r="E2040" s="71" t="str">
        <f>MID(D2040,1,2)</f>
        <v>IL</v>
      </c>
      <c r="F2040" s="71" t="s">
        <v>468</v>
      </c>
      <c r="G2040" s="71" t="str">
        <f>MID(F2040,1,2)</f>
        <v>US</v>
      </c>
      <c r="H2040" s="43" t="s">
        <v>469</v>
      </c>
      <c r="I2040" s="71" t="s">
        <v>3639</v>
      </c>
      <c r="J2040" s="71" t="s">
        <v>386</v>
      </c>
      <c r="K2040" s="43"/>
      <c r="L2040" s="71" t="s">
        <v>107</v>
      </c>
      <c r="M2040" s="73">
        <v>4</v>
      </c>
      <c r="N2040" s="71" t="s">
        <v>388</v>
      </c>
      <c r="O2040" s="73">
        <v>0.074</v>
      </c>
      <c r="P2040" s="71" t="s">
        <v>389</v>
      </c>
      <c r="Q2040" s="73">
        <v>12.5</v>
      </c>
      <c r="R2040" s="71" t="s">
        <v>388</v>
      </c>
      <c r="S2040" s="73">
        <v>0</v>
      </c>
      <c r="T2040" s="71" t="s">
        <v>390</v>
      </c>
      <c r="U2040" s="74">
        <v>1</v>
      </c>
      <c r="V2040" s="71" t="s">
        <v>446</v>
      </c>
      <c r="W2040" s="130">
        <v>46076.458333333336</v>
      </c>
      <c r="X2040" s="72">
        <v>46078.979166666664</v>
      </c>
      <c r="Y2040" s="72">
        <v>46085.375</v>
      </c>
      <c r="Z2040" s="104" t="s">
        <v>382</v>
      </c>
      <c r="AA2040" s="104" t="s">
        <v>471</v>
      </c>
      <c r="AB2040" s="105">
        <v>46079.01458333333</v>
      </c>
      <c r="AC2040" s="105">
        <v>46079.202777777777</v>
      </c>
    </row>
    <row r="2041" s="70" customFormat="1" ht="11.25" customHeight="1">
      <c r="A2041" s="87"/>
      <c r="C2041" s="43" t="s">
        <v>3638</v>
      </c>
      <c r="D2041" s="71" t="s">
        <v>382</v>
      </c>
      <c r="E2041" s="71" t="str">
        <f>MID(D2041,1,2)</f>
        <v>IL</v>
      </c>
      <c r="F2041" s="71" t="s">
        <v>468</v>
      </c>
      <c r="G2041" s="71" t="str">
        <f>MID(F2041,1,2)</f>
        <v>US</v>
      </c>
      <c r="H2041" s="43" t="s">
        <v>469</v>
      </c>
      <c r="I2041" s="71" t="s">
        <v>3639</v>
      </c>
      <c r="J2041" s="71" t="s">
        <v>386</v>
      </c>
      <c r="K2041" s="43"/>
      <c r="L2041" s="71" t="s">
        <v>107</v>
      </c>
      <c r="M2041" s="73">
        <v>4</v>
      </c>
      <c r="N2041" s="71" t="s">
        <v>388</v>
      </c>
      <c r="O2041" s="73">
        <v>0.074</v>
      </c>
      <c r="P2041" s="71" t="s">
        <v>389</v>
      </c>
      <c r="Q2041" s="73">
        <v>12.5</v>
      </c>
      <c r="R2041" s="71" t="s">
        <v>388</v>
      </c>
      <c r="S2041" s="73">
        <v>0</v>
      </c>
      <c r="T2041" s="71" t="s">
        <v>390</v>
      </c>
      <c r="U2041" s="74">
        <v>1</v>
      </c>
      <c r="V2041" s="71" t="s">
        <v>446</v>
      </c>
      <c r="W2041" s="130">
        <v>46076.458333333336</v>
      </c>
      <c r="X2041" s="72">
        <v>46078.979166666664</v>
      </c>
      <c r="Y2041" s="72">
        <v>46085.375</v>
      </c>
      <c r="Z2041" s="104" t="s">
        <v>422</v>
      </c>
      <c r="AA2041" s="104" t="s">
        <v>468</v>
      </c>
      <c r="AB2041" s="105">
        <v>46079.650694444441</v>
      </c>
      <c r="AC2041" s="105">
        <v>46081.484027777777</v>
      </c>
    </row>
    <row r="2042" s="70" customFormat="1" ht="11.25" customHeight="1">
      <c r="A2042" s="87"/>
      <c r="C2042" s="43" t="s">
        <v>3640</v>
      </c>
      <c r="D2042" s="71" t="s">
        <v>382</v>
      </c>
      <c r="E2042" s="71" t="str">
        <f>MID(D2042,1,2)</f>
        <v>IL</v>
      </c>
      <c r="F2042" s="71" t="s">
        <v>414</v>
      </c>
      <c r="G2042" s="71" t="str">
        <f>MID(F2042,1,2)</f>
        <v>US</v>
      </c>
      <c r="H2042" s="43" t="s">
        <v>3396</v>
      </c>
      <c r="I2042" s="71" t="s">
        <v>3641</v>
      </c>
      <c r="J2042" s="71" t="s">
        <v>386</v>
      </c>
      <c r="K2042" s="43" t="s">
        <v>431</v>
      </c>
      <c r="L2042" s="71" t="s">
        <v>107</v>
      </c>
      <c r="M2042" s="73">
        <v>14</v>
      </c>
      <c r="N2042" s="71" t="s">
        <v>388</v>
      </c>
      <c r="O2042" s="73">
        <v>0.298</v>
      </c>
      <c r="P2042" s="71" t="s">
        <v>389</v>
      </c>
      <c r="Q2042" s="73">
        <v>50</v>
      </c>
      <c r="R2042" s="71" t="s">
        <v>388</v>
      </c>
      <c r="S2042" s="73">
        <v>0</v>
      </c>
      <c r="T2042" s="71" t="s">
        <v>390</v>
      </c>
      <c r="U2042" s="74">
        <v>1</v>
      </c>
      <c r="V2042" s="71" t="s">
        <v>427</v>
      </c>
      <c r="W2042" s="130">
        <v>46076.43125</v>
      </c>
      <c r="X2042" s="72">
        <v>46078.03125</v>
      </c>
      <c r="Y2042" s="72">
        <v>46078.24375</v>
      </c>
      <c r="Z2042" s="104" t="s">
        <v>382</v>
      </c>
      <c r="AA2042" s="104" t="s">
        <v>414</v>
      </c>
      <c r="AB2042" s="105">
        <v>46078.040277777778</v>
      </c>
      <c r="AC2042" s="105">
        <v>46078.234027777777</v>
      </c>
    </row>
    <row r="2043" s="70" customFormat="1" ht="11.25" customHeight="1">
      <c r="A2043" s="87"/>
      <c r="C2043" s="43" t="s">
        <v>3642</v>
      </c>
      <c r="D2043" s="71" t="s">
        <v>382</v>
      </c>
      <c r="E2043" s="71" t="str">
        <f>MID(D2043,1,2)</f>
        <v>IL</v>
      </c>
      <c r="F2043" s="71" t="s">
        <v>640</v>
      </c>
      <c r="G2043" s="71" t="str">
        <f>MID(F2043,1,2)</f>
        <v>VN</v>
      </c>
      <c r="H2043" s="43" t="s">
        <v>3643</v>
      </c>
      <c r="I2043" s="71" t="s">
        <v>3644</v>
      </c>
      <c r="J2043" s="71" t="s">
        <v>426</v>
      </c>
      <c r="K2043" s="43"/>
      <c r="L2043" s="71" t="s">
        <v>105</v>
      </c>
      <c r="M2043" s="73">
        <v>93</v>
      </c>
      <c r="N2043" s="71" t="s">
        <v>388</v>
      </c>
      <c r="O2043" s="73">
        <v>0.634</v>
      </c>
      <c r="P2043" s="71" t="s">
        <v>389</v>
      </c>
      <c r="Q2043" s="73">
        <v>106</v>
      </c>
      <c r="R2043" s="71" t="s">
        <v>388</v>
      </c>
      <c r="S2043" s="73">
        <v>0</v>
      </c>
      <c r="T2043" s="71" t="s">
        <v>390</v>
      </c>
      <c r="U2043" s="74">
        <v>1</v>
      </c>
      <c r="V2043" s="71" t="s">
        <v>391</v>
      </c>
      <c r="W2043" s="130">
        <v>46076.438194444447</v>
      </c>
      <c r="X2043" s="72">
        <v>46078.649305555555</v>
      </c>
      <c r="Y2043" s="72">
        <v>46081.246527777781</v>
      </c>
      <c r="Z2043" s="104" t="s">
        <v>382</v>
      </c>
      <c r="AA2043" s="104" t="s">
        <v>441</v>
      </c>
      <c r="AB2043" s="105">
        <v>46078.64375</v>
      </c>
      <c r="AC2043" s="105">
        <v>46078.838888888888</v>
      </c>
    </row>
    <row r="2044" s="70" customFormat="1" ht="11.25" customHeight="1">
      <c r="A2044" s="87"/>
      <c r="C2044" s="43" t="s">
        <v>3642</v>
      </c>
      <c r="D2044" s="71" t="s">
        <v>382</v>
      </c>
      <c r="E2044" s="71" t="str">
        <f>MID(D2044,1,2)</f>
        <v>IL</v>
      </c>
      <c r="F2044" s="71" t="s">
        <v>640</v>
      </c>
      <c r="G2044" s="71" t="str">
        <f>MID(F2044,1,2)</f>
        <v>VN</v>
      </c>
      <c r="H2044" s="43" t="s">
        <v>3643</v>
      </c>
      <c r="I2044" s="71" t="s">
        <v>3644</v>
      </c>
      <c r="J2044" s="71" t="s">
        <v>426</v>
      </c>
      <c r="K2044" s="43"/>
      <c r="L2044" s="71" t="s">
        <v>105</v>
      </c>
      <c r="M2044" s="73">
        <v>93</v>
      </c>
      <c r="N2044" s="71" t="s">
        <v>388</v>
      </c>
      <c r="O2044" s="73">
        <v>0.634</v>
      </c>
      <c r="P2044" s="71" t="s">
        <v>389</v>
      </c>
      <c r="Q2044" s="73">
        <v>106</v>
      </c>
      <c r="R2044" s="71" t="s">
        <v>388</v>
      </c>
      <c r="S2044" s="73">
        <v>0</v>
      </c>
      <c r="T2044" s="71" t="s">
        <v>390</v>
      </c>
      <c r="U2044" s="74">
        <v>1</v>
      </c>
      <c r="V2044" s="71" t="s">
        <v>391</v>
      </c>
      <c r="W2044" s="130">
        <v>46076.438194444447</v>
      </c>
      <c r="X2044" s="72">
        <v>46078.649305555555</v>
      </c>
      <c r="Y2044" s="72">
        <v>46081.246527777781</v>
      </c>
      <c r="Z2044" s="104" t="s">
        <v>441</v>
      </c>
      <c r="AA2044" s="104" t="s">
        <v>640</v>
      </c>
      <c r="AB2044" s="105">
        <v>46080.104861111111</v>
      </c>
      <c r="AC2044" s="105">
        <v>46080.472222222219</v>
      </c>
    </row>
    <row r="2045" s="70" customFormat="1" ht="11.25" customHeight="1">
      <c r="A2045" s="87"/>
      <c r="C2045" s="43" t="s">
        <v>3645</v>
      </c>
      <c r="D2045" s="71" t="s">
        <v>382</v>
      </c>
      <c r="E2045" s="71" t="str">
        <f>MID(D2045,1,2)</f>
        <v>IL</v>
      </c>
      <c r="F2045" s="71" t="s">
        <v>414</v>
      </c>
      <c r="G2045" s="71" t="str">
        <f>MID(F2045,1,2)</f>
        <v>US</v>
      </c>
      <c r="H2045" s="43" t="s">
        <v>3396</v>
      </c>
      <c r="I2045" s="71" t="s">
        <v>3646</v>
      </c>
      <c r="J2045" s="71" t="s">
        <v>386</v>
      </c>
      <c r="K2045" s="43" t="s">
        <v>431</v>
      </c>
      <c r="L2045" s="71" t="s">
        <v>107</v>
      </c>
      <c r="M2045" s="73">
        <v>3</v>
      </c>
      <c r="N2045" s="71" t="s">
        <v>388</v>
      </c>
      <c r="O2045" s="73">
        <v>0.022</v>
      </c>
      <c r="P2045" s="71" t="s">
        <v>389</v>
      </c>
      <c r="Q2045" s="73">
        <v>4</v>
      </c>
      <c r="R2045" s="71" t="s">
        <v>388</v>
      </c>
      <c r="S2045" s="73">
        <v>0</v>
      </c>
      <c r="T2045" s="71" t="s">
        <v>390</v>
      </c>
      <c r="U2045" s="74">
        <v>1</v>
      </c>
      <c r="V2045" s="71" t="s">
        <v>427</v>
      </c>
      <c r="W2045" s="130">
        <v>46076.438194444447</v>
      </c>
      <c r="X2045" s="72">
        <v>46078.03125</v>
      </c>
      <c r="Y2045" s="72">
        <v>46078.24375</v>
      </c>
      <c r="Z2045" s="104" t="s">
        <v>382</v>
      </c>
      <c r="AA2045" s="104" t="s">
        <v>414</v>
      </c>
      <c r="AB2045" s="105">
        <v>46078.040277777778</v>
      </c>
      <c r="AC2045" s="105">
        <v>46078.234027777777</v>
      </c>
    </row>
    <row r="2046" s="70" customFormat="1" ht="11.25" customHeight="1">
      <c r="A2046" s="87"/>
      <c r="C2046" s="43" t="s">
        <v>3647</v>
      </c>
      <c r="D2046" s="71" t="s">
        <v>382</v>
      </c>
      <c r="E2046" s="71" t="str">
        <f>MID(D2046,1,2)</f>
        <v>IL</v>
      </c>
      <c r="F2046" s="71" t="s">
        <v>414</v>
      </c>
      <c r="G2046" s="71" t="str">
        <f>MID(F2046,1,2)</f>
        <v>US</v>
      </c>
      <c r="H2046" s="43" t="s">
        <v>3396</v>
      </c>
      <c r="I2046" s="71" t="s">
        <v>3648</v>
      </c>
      <c r="J2046" s="71" t="s">
        <v>426</v>
      </c>
      <c r="K2046" s="43" t="s">
        <v>431</v>
      </c>
      <c r="L2046" s="71" t="s">
        <v>105</v>
      </c>
      <c r="M2046" s="73">
        <v>2</v>
      </c>
      <c r="N2046" s="71" t="s">
        <v>388</v>
      </c>
      <c r="O2046" s="73">
        <v>0.022</v>
      </c>
      <c r="P2046" s="71" t="s">
        <v>389</v>
      </c>
      <c r="Q2046" s="73">
        <v>4</v>
      </c>
      <c r="R2046" s="71" t="s">
        <v>388</v>
      </c>
      <c r="S2046" s="73">
        <v>0</v>
      </c>
      <c r="T2046" s="71" t="s">
        <v>390</v>
      </c>
      <c r="U2046" s="74">
        <v>1</v>
      </c>
      <c r="V2046" s="71" t="s">
        <v>427</v>
      </c>
      <c r="W2046" s="130">
        <v>46076.864606481482</v>
      </c>
      <c r="X2046" s="72">
        <v>46078.03125</v>
      </c>
      <c r="Y2046" s="72">
        <v>46078.24375</v>
      </c>
      <c r="Z2046" s="104" t="s">
        <v>382</v>
      </c>
      <c r="AA2046" s="104" t="s">
        <v>414</v>
      </c>
      <c r="AB2046" s="105">
        <v>46078.040277777778</v>
      </c>
      <c r="AC2046" s="105">
        <v>46078.234027777777</v>
      </c>
    </row>
    <row r="2047" s="70" customFormat="1" ht="11.25" customHeight="1">
      <c r="A2047" s="87"/>
      <c r="C2047" s="43" t="s">
        <v>3649</v>
      </c>
      <c r="D2047" s="71" t="s">
        <v>382</v>
      </c>
      <c r="E2047" s="71" t="str">
        <f>MID(D2047,1,2)</f>
        <v>IL</v>
      </c>
      <c r="F2047" s="71" t="s">
        <v>419</v>
      </c>
      <c r="G2047" s="71" t="str">
        <f>MID(F2047,1,2)</f>
        <v>US</v>
      </c>
      <c r="H2047" s="43" t="s">
        <v>3650</v>
      </c>
      <c r="I2047" s="71" t="s">
        <v>3651</v>
      </c>
      <c r="J2047" s="71" t="s">
        <v>426</v>
      </c>
      <c r="K2047" s="43"/>
      <c r="L2047" s="71" t="s">
        <v>105</v>
      </c>
      <c r="M2047" s="73">
        <v>116</v>
      </c>
      <c r="N2047" s="71" t="s">
        <v>388</v>
      </c>
      <c r="O2047" s="73">
        <v>0.441</v>
      </c>
      <c r="P2047" s="71" t="s">
        <v>389</v>
      </c>
      <c r="Q2047" s="73">
        <v>116</v>
      </c>
      <c r="R2047" s="71" t="s">
        <v>388</v>
      </c>
      <c r="S2047" s="73">
        <v>0</v>
      </c>
      <c r="T2047" s="71" t="s">
        <v>390</v>
      </c>
      <c r="U2047" s="74">
        <v>1</v>
      </c>
      <c r="V2047" s="71" t="s">
        <v>391</v>
      </c>
      <c r="W2047" s="130">
        <v>46076.688888888886</v>
      </c>
      <c r="X2047" s="72">
        <v>46078.013888888891</v>
      </c>
      <c r="Y2047" s="72">
        <v>46080.803472222222</v>
      </c>
      <c r="Z2047" s="104" t="s">
        <v>382</v>
      </c>
      <c r="AA2047" s="104" t="s">
        <v>1960</v>
      </c>
      <c r="AB2047" s="105">
        <v>46080.007638888892</v>
      </c>
      <c r="AC2047" s="105">
        <v>46080.228472222225</v>
      </c>
    </row>
    <row r="2048" s="70" customFormat="1" ht="11.25" customHeight="1">
      <c r="A2048" s="87"/>
      <c r="C2048" s="43" t="s">
        <v>3649</v>
      </c>
      <c r="D2048" s="71" t="s">
        <v>382</v>
      </c>
      <c r="E2048" s="71" t="str">
        <f>MID(D2048,1,2)</f>
        <v>IL</v>
      </c>
      <c r="F2048" s="71" t="s">
        <v>419</v>
      </c>
      <c r="G2048" s="71" t="str">
        <f>MID(F2048,1,2)</f>
        <v>US</v>
      </c>
      <c r="H2048" s="43" t="s">
        <v>3650</v>
      </c>
      <c r="I2048" s="71" t="s">
        <v>3651</v>
      </c>
      <c r="J2048" s="71" t="s">
        <v>426</v>
      </c>
      <c r="K2048" s="43"/>
      <c r="L2048" s="71" t="s">
        <v>105</v>
      </c>
      <c r="M2048" s="73">
        <v>116</v>
      </c>
      <c r="N2048" s="71" t="s">
        <v>388</v>
      </c>
      <c r="O2048" s="73">
        <v>0.441</v>
      </c>
      <c r="P2048" s="71" t="s">
        <v>389</v>
      </c>
      <c r="Q2048" s="73">
        <v>116</v>
      </c>
      <c r="R2048" s="71" t="s">
        <v>388</v>
      </c>
      <c r="S2048" s="73">
        <v>0</v>
      </c>
      <c r="T2048" s="71" t="s">
        <v>390</v>
      </c>
      <c r="U2048" s="74">
        <v>1</v>
      </c>
      <c r="V2048" s="71" t="s">
        <v>391</v>
      </c>
      <c r="W2048" s="130">
        <v>46076.688888888886</v>
      </c>
      <c r="X2048" s="72">
        <v>46078.013888888891</v>
      </c>
      <c r="Y2048" s="72">
        <v>46080.803472222222</v>
      </c>
      <c r="Z2048" s="104" t="s">
        <v>1960</v>
      </c>
      <c r="AA2048" s="104" t="s">
        <v>419</v>
      </c>
      <c r="AB2048" s="105">
        <v>46080.711111111108</v>
      </c>
      <c r="AC2048" s="105">
        <v>46080.777777777781</v>
      </c>
    </row>
    <row r="2049" s="70" customFormat="1" ht="11.25" customHeight="1">
      <c r="A2049" s="87"/>
      <c r="C2049" s="43" t="s">
        <v>3652</v>
      </c>
      <c r="D2049" s="71" t="s">
        <v>382</v>
      </c>
      <c r="E2049" s="71" t="str">
        <f>MID(D2049,1,2)</f>
        <v>IL</v>
      </c>
      <c r="F2049" s="71" t="s">
        <v>414</v>
      </c>
      <c r="G2049" s="71" t="str">
        <f>MID(F2049,1,2)</f>
        <v>US</v>
      </c>
      <c r="H2049" s="43" t="s">
        <v>3396</v>
      </c>
      <c r="I2049" s="71" t="s">
        <v>3653</v>
      </c>
      <c r="J2049" s="71" t="s">
        <v>386</v>
      </c>
      <c r="K2049" s="43" t="s">
        <v>431</v>
      </c>
      <c r="L2049" s="71" t="s">
        <v>107</v>
      </c>
      <c r="M2049" s="73">
        <v>17</v>
      </c>
      <c r="N2049" s="71" t="s">
        <v>388</v>
      </c>
      <c r="O2049" s="73">
        <v>0.39</v>
      </c>
      <c r="P2049" s="71" t="s">
        <v>389</v>
      </c>
      <c r="Q2049" s="73">
        <v>65</v>
      </c>
      <c r="R2049" s="71" t="s">
        <v>388</v>
      </c>
      <c r="S2049" s="73">
        <v>0</v>
      </c>
      <c r="T2049" s="71" t="s">
        <v>390</v>
      </c>
      <c r="U2049" s="74">
        <v>3</v>
      </c>
      <c r="V2049" s="71" t="s">
        <v>427</v>
      </c>
      <c r="W2049" s="130">
        <v>46076.445138888892</v>
      </c>
      <c r="X2049" s="72">
        <v>46078.03125</v>
      </c>
      <c r="Y2049" s="72">
        <v>46078.24375</v>
      </c>
      <c r="Z2049" s="104" t="s">
        <v>382</v>
      </c>
      <c r="AA2049" s="104" t="s">
        <v>414</v>
      </c>
      <c r="AB2049" s="105">
        <v>46078.040277777778</v>
      </c>
      <c r="AC2049" s="105">
        <v>46078.234027777777</v>
      </c>
    </row>
    <row r="2050" s="70" customFormat="1" ht="11.25" customHeight="1">
      <c r="A2050" s="87"/>
      <c r="C2050" s="43" t="s">
        <v>3654</v>
      </c>
      <c r="D2050" s="71" t="s">
        <v>382</v>
      </c>
      <c r="E2050" s="71" t="str">
        <f>MID(D2050,1,2)</f>
        <v>IL</v>
      </c>
      <c r="F2050" s="71" t="s">
        <v>433</v>
      </c>
      <c r="G2050" s="71" t="str">
        <f>MID(F2050,1,2)</f>
        <v>US</v>
      </c>
      <c r="H2050" s="43" t="s">
        <v>3655</v>
      </c>
      <c r="I2050" s="71"/>
      <c r="J2050" s="71" t="s">
        <v>435</v>
      </c>
      <c r="K2050" s="43"/>
      <c r="L2050" s="71" t="s">
        <v>105</v>
      </c>
      <c r="M2050" s="73">
        <v>0</v>
      </c>
      <c r="N2050" s="71" t="s">
        <v>388</v>
      </c>
      <c r="O2050" s="73">
        <v>0</v>
      </c>
      <c r="P2050" s="71" t="s">
        <v>389</v>
      </c>
      <c r="Q2050" s="73">
        <v>0</v>
      </c>
      <c r="R2050" s="71" t="s">
        <v>388</v>
      </c>
      <c r="S2050" s="73">
        <v>0</v>
      </c>
      <c r="T2050" s="71" t="s">
        <v>390</v>
      </c>
      <c r="U2050" s="74">
        <v>0</v>
      </c>
      <c r="V2050" s="71" t="s">
        <v>391</v>
      </c>
      <c r="W2050" s="130"/>
      <c r="X2050" s="72">
        <v>46103.458333333336</v>
      </c>
      <c r="Y2050" s="72">
        <v>46103.588888888888</v>
      </c>
      <c r="Z2050" s="104" t="s">
        <v>382</v>
      </c>
      <c r="AA2050" s="104" t="s">
        <v>433</v>
      </c>
      <c r="AB2050" s="105"/>
      <c r="AC2050" s="105"/>
    </row>
    <row r="2051" s="70" customFormat="1" ht="11.25" customHeight="1">
      <c r="A2051" s="87"/>
      <c r="C2051" s="43" t="s">
        <v>3656</v>
      </c>
      <c r="D2051" s="71" t="s">
        <v>382</v>
      </c>
      <c r="E2051" s="71" t="str">
        <f>MID(D2051,1,2)</f>
        <v>IL</v>
      </c>
      <c r="F2051" s="71" t="s">
        <v>414</v>
      </c>
      <c r="G2051" s="71" t="str">
        <f>MID(F2051,1,2)</f>
        <v>US</v>
      </c>
      <c r="H2051" s="43" t="s">
        <v>3396</v>
      </c>
      <c r="I2051" s="71" t="s">
        <v>3657</v>
      </c>
      <c r="J2051" s="71" t="s">
        <v>386</v>
      </c>
      <c r="K2051" s="43" t="s">
        <v>431</v>
      </c>
      <c r="L2051" s="71" t="s">
        <v>107</v>
      </c>
      <c r="M2051" s="73">
        <v>10</v>
      </c>
      <c r="N2051" s="71" t="s">
        <v>388</v>
      </c>
      <c r="O2051" s="73">
        <v>0.048</v>
      </c>
      <c r="P2051" s="71" t="s">
        <v>389</v>
      </c>
      <c r="Q2051" s="73">
        <v>10</v>
      </c>
      <c r="R2051" s="71" t="s">
        <v>388</v>
      </c>
      <c r="S2051" s="73">
        <v>0</v>
      </c>
      <c r="T2051" s="71" t="s">
        <v>390</v>
      </c>
      <c r="U2051" s="74">
        <v>1</v>
      </c>
      <c r="V2051" s="71" t="s">
        <v>427</v>
      </c>
      <c r="W2051" s="130">
        <v>46076.864629629628</v>
      </c>
      <c r="X2051" s="72">
        <v>46078.03125</v>
      </c>
      <c r="Y2051" s="72">
        <v>46078.24375</v>
      </c>
      <c r="Z2051" s="104" t="s">
        <v>382</v>
      </c>
      <c r="AA2051" s="104" t="s">
        <v>414</v>
      </c>
      <c r="AB2051" s="105">
        <v>46078.040277777778</v>
      </c>
      <c r="AC2051" s="105">
        <v>46078.234027777777</v>
      </c>
    </row>
    <row r="2052" s="70" customFormat="1" ht="11.25" customHeight="1">
      <c r="A2052" s="87"/>
      <c r="C2052" s="43" t="s">
        <v>3658</v>
      </c>
      <c r="D2052" s="71" t="s">
        <v>382</v>
      </c>
      <c r="E2052" s="71" t="str">
        <f>MID(D2052,1,2)</f>
        <v>IL</v>
      </c>
      <c r="F2052" s="71" t="s">
        <v>414</v>
      </c>
      <c r="G2052" s="71" t="str">
        <f>MID(F2052,1,2)</f>
        <v>US</v>
      </c>
      <c r="H2052" s="43" t="s">
        <v>3396</v>
      </c>
      <c r="I2052" s="71" t="s">
        <v>3659</v>
      </c>
      <c r="J2052" s="71" t="s">
        <v>386</v>
      </c>
      <c r="K2052" s="43" t="s">
        <v>431</v>
      </c>
      <c r="L2052" s="71" t="s">
        <v>107</v>
      </c>
      <c r="M2052" s="73">
        <v>11</v>
      </c>
      <c r="N2052" s="71" t="s">
        <v>388</v>
      </c>
      <c r="O2052" s="73">
        <v>0.146</v>
      </c>
      <c r="P2052" s="71" t="s">
        <v>389</v>
      </c>
      <c r="Q2052" s="73">
        <v>24.5</v>
      </c>
      <c r="R2052" s="71" t="s">
        <v>388</v>
      </c>
      <c r="S2052" s="73">
        <v>0</v>
      </c>
      <c r="T2052" s="71" t="s">
        <v>390</v>
      </c>
      <c r="U2052" s="74">
        <v>3</v>
      </c>
      <c r="V2052" s="71" t="s">
        <v>427</v>
      </c>
      <c r="W2052" s="130">
        <v>46076.451388888891</v>
      </c>
      <c r="X2052" s="72">
        <v>46078.03125</v>
      </c>
      <c r="Y2052" s="72">
        <v>46078.24375</v>
      </c>
      <c r="Z2052" s="104" t="s">
        <v>382</v>
      </c>
      <c r="AA2052" s="104" t="s">
        <v>414</v>
      </c>
      <c r="AB2052" s="105">
        <v>46078.040277777778</v>
      </c>
      <c r="AC2052" s="105">
        <v>46078.234027777777</v>
      </c>
    </row>
    <row r="2053" s="70" customFormat="1" ht="11.25" customHeight="1">
      <c r="A2053" s="87"/>
      <c r="C2053" s="43" t="s">
        <v>3660</v>
      </c>
      <c r="D2053" s="71" t="s">
        <v>382</v>
      </c>
      <c r="E2053" s="71" t="str">
        <f>MID(D2053,1,2)</f>
        <v>IL</v>
      </c>
      <c r="F2053" s="71" t="s">
        <v>1357</v>
      </c>
      <c r="G2053" s="71" t="str">
        <f>MID(F2053,1,2)</f>
        <v>IN</v>
      </c>
      <c r="H2053" s="43" t="s">
        <v>3661</v>
      </c>
      <c r="I2053" s="71" t="s">
        <v>3662</v>
      </c>
      <c r="J2053" s="71" t="s">
        <v>400</v>
      </c>
      <c r="K2053" s="43"/>
      <c r="L2053" s="71" t="s">
        <v>105</v>
      </c>
      <c r="M2053" s="73">
        <v>6</v>
      </c>
      <c r="N2053" s="71" t="s">
        <v>388</v>
      </c>
      <c r="O2053" s="73">
        <v>0.045</v>
      </c>
      <c r="P2053" s="71" t="s">
        <v>389</v>
      </c>
      <c r="Q2053" s="73">
        <v>7.5</v>
      </c>
      <c r="R2053" s="71" t="s">
        <v>388</v>
      </c>
      <c r="S2053" s="73">
        <v>0</v>
      </c>
      <c r="T2053" s="71" t="s">
        <v>390</v>
      </c>
      <c r="U2053" s="74">
        <v>1</v>
      </c>
      <c r="V2053" s="71" t="s">
        <v>391</v>
      </c>
      <c r="W2053" s="130"/>
      <c r="X2053" s="72">
        <v>46077.576388888891</v>
      </c>
      <c r="Y2053" s="72">
        <v>46079.065972222219</v>
      </c>
      <c r="Z2053" s="104" t="s">
        <v>382</v>
      </c>
      <c r="AA2053" s="104" t="s">
        <v>383</v>
      </c>
      <c r="AB2053" s="105">
        <v>46077.563194444447</v>
      </c>
      <c r="AC2053" s="105">
        <v>46077.720138888886</v>
      </c>
    </row>
    <row r="2054" s="70" customFormat="1" ht="11.25" customHeight="1">
      <c r="A2054" s="87"/>
      <c r="C2054" s="43" t="s">
        <v>3660</v>
      </c>
      <c r="D2054" s="71" t="s">
        <v>382</v>
      </c>
      <c r="E2054" s="71" t="str">
        <f>MID(D2054,1,2)</f>
        <v>IL</v>
      </c>
      <c r="F2054" s="71" t="s">
        <v>1357</v>
      </c>
      <c r="G2054" s="71" t="str">
        <f>MID(F2054,1,2)</f>
        <v>IN</v>
      </c>
      <c r="H2054" s="43" t="s">
        <v>3661</v>
      </c>
      <c r="I2054" s="71" t="s">
        <v>3662</v>
      </c>
      <c r="J2054" s="71" t="s">
        <v>400</v>
      </c>
      <c r="K2054" s="43"/>
      <c r="L2054" s="71" t="s">
        <v>105</v>
      </c>
      <c r="M2054" s="73">
        <v>6</v>
      </c>
      <c r="N2054" s="71" t="s">
        <v>388</v>
      </c>
      <c r="O2054" s="73">
        <v>0.045</v>
      </c>
      <c r="P2054" s="71" t="s">
        <v>389</v>
      </c>
      <c r="Q2054" s="73">
        <v>7.5</v>
      </c>
      <c r="R2054" s="71" t="s">
        <v>388</v>
      </c>
      <c r="S2054" s="73">
        <v>0</v>
      </c>
      <c r="T2054" s="71" t="s">
        <v>390</v>
      </c>
      <c r="U2054" s="74">
        <v>1</v>
      </c>
      <c r="V2054" s="71" t="s">
        <v>391</v>
      </c>
      <c r="W2054" s="130"/>
      <c r="X2054" s="72">
        <v>46077.576388888891</v>
      </c>
      <c r="Y2054" s="72">
        <v>46079.065972222219</v>
      </c>
      <c r="Z2054" s="104" t="s">
        <v>383</v>
      </c>
      <c r="AA2054" s="104" t="s">
        <v>1357</v>
      </c>
      <c r="AB2054" s="105">
        <v>46078.536111111112</v>
      </c>
      <c r="AC2054" s="105">
        <v>46079.065972222219</v>
      </c>
    </row>
    <row r="2055" s="70" customFormat="1" ht="11.25" customHeight="1">
      <c r="A2055" s="87"/>
      <c r="C2055" s="43" t="s">
        <v>3663</v>
      </c>
      <c r="D2055" s="71" t="s">
        <v>382</v>
      </c>
      <c r="E2055" s="71" t="str">
        <f>MID(D2055,1,2)</f>
        <v>IL</v>
      </c>
      <c r="F2055" s="71" t="s">
        <v>522</v>
      </c>
      <c r="G2055" s="71" t="str">
        <f>MID(F2055,1,2)</f>
        <v>CZ</v>
      </c>
      <c r="H2055" s="43" t="s">
        <v>3664</v>
      </c>
      <c r="I2055" s="71" t="s">
        <v>3665</v>
      </c>
      <c r="J2055" s="71" t="s">
        <v>386</v>
      </c>
      <c r="K2055" s="43"/>
      <c r="L2055" s="71" t="s">
        <v>107</v>
      </c>
      <c r="M2055" s="73">
        <v>2.5</v>
      </c>
      <c r="N2055" s="71" t="s">
        <v>388</v>
      </c>
      <c r="O2055" s="73">
        <v>0.012</v>
      </c>
      <c r="P2055" s="71" t="s">
        <v>389</v>
      </c>
      <c r="Q2055" s="73">
        <v>2.5</v>
      </c>
      <c r="R2055" s="71" t="s">
        <v>388</v>
      </c>
      <c r="S2055" s="73">
        <v>0</v>
      </c>
      <c r="T2055" s="71" t="s">
        <v>390</v>
      </c>
      <c r="U2055" s="74">
        <v>1</v>
      </c>
      <c r="V2055" s="71" t="s">
        <v>391</v>
      </c>
      <c r="W2055" s="130">
        <v>46077.68409722222</v>
      </c>
      <c r="X2055" s="72">
        <v>46080.451388888891</v>
      </c>
      <c r="Y2055" s="72">
        <v>46080.496527777781</v>
      </c>
      <c r="Z2055" s="104" t="s">
        <v>382</v>
      </c>
      <c r="AA2055" s="104" t="s">
        <v>496</v>
      </c>
      <c r="AB2055" s="105">
        <v>46080.013888888891</v>
      </c>
      <c r="AC2055" s="105"/>
    </row>
    <row r="2056" s="70" customFormat="1" ht="11.25" customHeight="1">
      <c r="A2056" s="87"/>
      <c r="C2056" s="43" t="s">
        <v>3663</v>
      </c>
      <c r="D2056" s="71" t="s">
        <v>382</v>
      </c>
      <c r="E2056" s="71" t="str">
        <f>MID(D2056,1,2)</f>
        <v>IL</v>
      </c>
      <c r="F2056" s="71" t="s">
        <v>522</v>
      </c>
      <c r="G2056" s="71" t="str">
        <f>MID(F2056,1,2)</f>
        <v>CZ</v>
      </c>
      <c r="H2056" s="43" t="s">
        <v>3664</v>
      </c>
      <c r="I2056" s="71" t="s">
        <v>3665</v>
      </c>
      <c r="J2056" s="71" t="s">
        <v>386</v>
      </c>
      <c r="K2056" s="43"/>
      <c r="L2056" s="71" t="s">
        <v>107</v>
      </c>
      <c r="M2056" s="73">
        <v>2.5</v>
      </c>
      <c r="N2056" s="71" t="s">
        <v>388</v>
      </c>
      <c r="O2056" s="73">
        <v>0.012</v>
      </c>
      <c r="P2056" s="71" t="s">
        <v>389</v>
      </c>
      <c r="Q2056" s="73">
        <v>2.5</v>
      </c>
      <c r="R2056" s="71" t="s">
        <v>388</v>
      </c>
      <c r="S2056" s="73">
        <v>0</v>
      </c>
      <c r="T2056" s="71" t="s">
        <v>390</v>
      </c>
      <c r="U2056" s="74">
        <v>1</v>
      </c>
      <c r="V2056" s="71" t="s">
        <v>391</v>
      </c>
      <c r="W2056" s="130">
        <v>46077.68409722222</v>
      </c>
      <c r="X2056" s="72">
        <v>46080.451388888891</v>
      </c>
      <c r="Y2056" s="72">
        <v>46080.496527777781</v>
      </c>
      <c r="Z2056" s="104" t="s">
        <v>496</v>
      </c>
      <c r="AA2056" s="104" t="s">
        <v>522</v>
      </c>
      <c r="AB2056" s="105">
        <v>46080.326388888891</v>
      </c>
      <c r="AC2056" s="105">
        <v>46080.379166666666</v>
      </c>
    </row>
    <row r="2057" s="70" customFormat="1" ht="11.25" customHeight="1">
      <c r="A2057" s="87"/>
      <c r="C2057" s="43" t="s">
        <v>3666</v>
      </c>
      <c r="D2057" s="71" t="s">
        <v>382</v>
      </c>
      <c r="E2057" s="71" t="str">
        <f>MID(D2057,1,2)</f>
        <v>IL</v>
      </c>
      <c r="F2057" s="71" t="s">
        <v>680</v>
      </c>
      <c r="G2057" s="71" t="str">
        <f>MID(F2057,1,2)</f>
        <v>DE</v>
      </c>
      <c r="H2057" s="43" t="s">
        <v>3667</v>
      </c>
      <c r="I2057" s="71" t="s">
        <v>3668</v>
      </c>
      <c r="J2057" s="71" t="s">
        <v>400</v>
      </c>
      <c r="K2057" s="43"/>
      <c r="L2057" s="71" t="s">
        <v>105</v>
      </c>
      <c r="M2057" s="73">
        <v>18</v>
      </c>
      <c r="N2057" s="71" t="s">
        <v>388</v>
      </c>
      <c r="O2057" s="73">
        <v>0.2</v>
      </c>
      <c r="P2057" s="71" t="s">
        <v>389</v>
      </c>
      <c r="Q2057" s="73">
        <v>33.5</v>
      </c>
      <c r="R2057" s="71" t="s">
        <v>388</v>
      </c>
      <c r="S2057" s="73">
        <v>0</v>
      </c>
      <c r="T2057" s="71" t="s">
        <v>390</v>
      </c>
      <c r="U2057" s="74">
        <v>1</v>
      </c>
      <c r="V2057" s="71" t="s">
        <v>391</v>
      </c>
      <c r="W2057" s="130">
        <v>46076.679664351854</v>
      </c>
      <c r="X2057" s="72">
        <v>46077.715277777781</v>
      </c>
      <c r="Y2057" s="72">
        <v>46079.333333333336</v>
      </c>
      <c r="Z2057" s="104" t="s">
        <v>382</v>
      </c>
      <c r="AA2057" s="104" t="s">
        <v>667</v>
      </c>
      <c r="AB2057" s="105">
        <v>46077.716666666667</v>
      </c>
      <c r="AC2057" s="105">
        <v>46077.845138888886</v>
      </c>
    </row>
    <row r="2058" s="70" customFormat="1" ht="11.25" customHeight="1">
      <c r="A2058" s="87"/>
      <c r="C2058" s="43" t="s">
        <v>3666</v>
      </c>
      <c r="D2058" s="71" t="s">
        <v>382</v>
      </c>
      <c r="E2058" s="71" t="str">
        <f>MID(D2058,1,2)</f>
        <v>IL</v>
      </c>
      <c r="F2058" s="71" t="s">
        <v>680</v>
      </c>
      <c r="G2058" s="71" t="str">
        <f>MID(F2058,1,2)</f>
        <v>DE</v>
      </c>
      <c r="H2058" s="43" t="s">
        <v>3667</v>
      </c>
      <c r="I2058" s="71" t="s">
        <v>3668</v>
      </c>
      <c r="J2058" s="71" t="s">
        <v>400</v>
      </c>
      <c r="K2058" s="43"/>
      <c r="L2058" s="71" t="s">
        <v>105</v>
      </c>
      <c r="M2058" s="73">
        <v>18</v>
      </c>
      <c r="N2058" s="71" t="s">
        <v>388</v>
      </c>
      <c r="O2058" s="73">
        <v>0.2</v>
      </c>
      <c r="P2058" s="71" t="s">
        <v>389</v>
      </c>
      <c r="Q2058" s="73">
        <v>33.5</v>
      </c>
      <c r="R2058" s="71" t="s">
        <v>388</v>
      </c>
      <c r="S2058" s="73">
        <v>0</v>
      </c>
      <c r="T2058" s="71" t="s">
        <v>390</v>
      </c>
      <c r="U2058" s="74">
        <v>1</v>
      </c>
      <c r="V2058" s="71" t="s">
        <v>391</v>
      </c>
      <c r="W2058" s="130">
        <v>46076.679664351854</v>
      </c>
      <c r="X2058" s="72">
        <v>46077.715277777781</v>
      </c>
      <c r="Y2058" s="72">
        <v>46079.333333333336</v>
      </c>
      <c r="Z2058" s="104" t="s">
        <v>667</v>
      </c>
      <c r="AA2058" s="104" t="s">
        <v>680</v>
      </c>
      <c r="AB2058" s="105">
        <v>46079.138194444444</v>
      </c>
      <c r="AC2058" s="105">
        <v>46079.256944444445</v>
      </c>
    </row>
    <row r="2059" s="70" customFormat="1" ht="11.25" customHeight="1">
      <c r="A2059" s="87"/>
      <c r="C2059" s="43" t="s">
        <v>3669</v>
      </c>
      <c r="D2059" s="71" t="s">
        <v>382</v>
      </c>
      <c r="E2059" s="71" t="str">
        <f>MID(D2059,1,2)</f>
        <v>IL</v>
      </c>
      <c r="F2059" s="71" t="s">
        <v>3670</v>
      </c>
      <c r="G2059" s="71" t="str">
        <f>MID(F2059,1,2)</f>
        <v>TZ</v>
      </c>
      <c r="H2059" s="43" t="s">
        <v>3671</v>
      </c>
      <c r="I2059" s="71" t="s">
        <v>3672</v>
      </c>
      <c r="J2059" s="71" t="s">
        <v>426</v>
      </c>
      <c r="K2059" s="43"/>
      <c r="L2059" s="71" t="s">
        <v>105</v>
      </c>
      <c r="M2059" s="73">
        <v>92</v>
      </c>
      <c r="N2059" s="71" t="s">
        <v>388</v>
      </c>
      <c r="O2059" s="73">
        <v>0.371</v>
      </c>
      <c r="P2059" s="71" t="s">
        <v>389</v>
      </c>
      <c r="Q2059" s="73">
        <v>100</v>
      </c>
      <c r="R2059" s="71" t="s">
        <v>388</v>
      </c>
      <c r="S2059" s="73">
        <v>0</v>
      </c>
      <c r="T2059" s="71" t="s">
        <v>390</v>
      </c>
      <c r="U2059" s="74">
        <v>1</v>
      </c>
      <c r="V2059" s="71" t="s">
        <v>391</v>
      </c>
      <c r="W2059" s="130">
        <v>46079.805821759262</v>
      </c>
      <c r="X2059" s="72">
        <v>46095.564583333333</v>
      </c>
      <c r="Y2059" s="72">
        <v>46104.253472222219</v>
      </c>
      <c r="Z2059" s="104" t="s">
        <v>382</v>
      </c>
      <c r="AA2059" s="104" t="s">
        <v>466</v>
      </c>
      <c r="AB2059" s="105">
        <v>46095.770833333336</v>
      </c>
      <c r="AC2059" s="105"/>
    </row>
    <row r="2060" s="70" customFormat="1" ht="11.25" customHeight="1">
      <c r="A2060" s="87"/>
      <c r="C2060" s="43" t="s">
        <v>3669</v>
      </c>
      <c r="D2060" s="71" t="s">
        <v>382</v>
      </c>
      <c r="E2060" s="71" t="str">
        <f>MID(D2060,1,2)</f>
        <v>IL</v>
      </c>
      <c r="F2060" s="71" t="s">
        <v>3670</v>
      </c>
      <c r="G2060" s="71" t="str">
        <f>MID(F2060,1,2)</f>
        <v>TZ</v>
      </c>
      <c r="H2060" s="43" t="s">
        <v>3671</v>
      </c>
      <c r="I2060" s="71" t="s">
        <v>3672</v>
      </c>
      <c r="J2060" s="71" t="s">
        <v>426</v>
      </c>
      <c r="K2060" s="43"/>
      <c r="L2060" s="71" t="s">
        <v>105</v>
      </c>
      <c r="M2060" s="73">
        <v>92</v>
      </c>
      <c r="N2060" s="71" t="s">
        <v>388</v>
      </c>
      <c r="O2060" s="73">
        <v>0.371</v>
      </c>
      <c r="P2060" s="71" t="s">
        <v>389</v>
      </c>
      <c r="Q2060" s="73">
        <v>100</v>
      </c>
      <c r="R2060" s="71" t="s">
        <v>388</v>
      </c>
      <c r="S2060" s="73">
        <v>0</v>
      </c>
      <c r="T2060" s="71" t="s">
        <v>390</v>
      </c>
      <c r="U2060" s="74">
        <v>1</v>
      </c>
      <c r="V2060" s="71" t="s">
        <v>391</v>
      </c>
      <c r="W2060" s="130">
        <v>46079.805821759262</v>
      </c>
      <c r="X2060" s="72">
        <v>46095.564583333333</v>
      </c>
      <c r="Y2060" s="72">
        <v>46104.253472222219</v>
      </c>
      <c r="Z2060" s="104" t="s">
        <v>466</v>
      </c>
      <c r="AA2060" s="104" t="s">
        <v>1310</v>
      </c>
      <c r="AB2060" s="105">
        <v>46101.963194444441</v>
      </c>
      <c r="AC2060" s="105"/>
    </row>
    <row r="2061" s="70" customFormat="1" ht="11.25" customHeight="1">
      <c r="A2061" s="87"/>
      <c r="C2061" s="43" t="s">
        <v>3669</v>
      </c>
      <c r="D2061" s="71" t="s">
        <v>382</v>
      </c>
      <c r="E2061" s="71" t="str">
        <f>MID(D2061,1,2)</f>
        <v>IL</v>
      </c>
      <c r="F2061" s="71" t="s">
        <v>3670</v>
      </c>
      <c r="G2061" s="71" t="str">
        <f>MID(F2061,1,2)</f>
        <v>TZ</v>
      </c>
      <c r="H2061" s="43" t="s">
        <v>3671</v>
      </c>
      <c r="I2061" s="71" t="s">
        <v>3672</v>
      </c>
      <c r="J2061" s="71" t="s">
        <v>426</v>
      </c>
      <c r="K2061" s="43"/>
      <c r="L2061" s="71" t="s">
        <v>105</v>
      </c>
      <c r="M2061" s="73">
        <v>92</v>
      </c>
      <c r="N2061" s="71" t="s">
        <v>388</v>
      </c>
      <c r="O2061" s="73">
        <v>0.371</v>
      </c>
      <c r="P2061" s="71" t="s">
        <v>389</v>
      </c>
      <c r="Q2061" s="73">
        <v>100</v>
      </c>
      <c r="R2061" s="71" t="s">
        <v>388</v>
      </c>
      <c r="S2061" s="73">
        <v>0</v>
      </c>
      <c r="T2061" s="71" t="s">
        <v>390</v>
      </c>
      <c r="U2061" s="74">
        <v>1</v>
      </c>
      <c r="V2061" s="71" t="s">
        <v>391</v>
      </c>
      <c r="W2061" s="130">
        <v>46079.805821759262</v>
      </c>
      <c r="X2061" s="72">
        <v>46095.564583333333</v>
      </c>
      <c r="Y2061" s="72">
        <v>46104.253472222219</v>
      </c>
      <c r="Z2061" s="104" t="s">
        <v>1310</v>
      </c>
      <c r="AA2061" s="104" t="s">
        <v>3670</v>
      </c>
      <c r="AB2061" s="105">
        <v>46102.458333333336</v>
      </c>
      <c r="AC2061" s="105"/>
    </row>
    <row r="2062" s="70" customFormat="1" ht="11.25" customHeight="1">
      <c r="A2062" s="87"/>
      <c r="C2062" s="43" t="s">
        <v>3673</v>
      </c>
      <c r="D2062" s="71" t="s">
        <v>382</v>
      </c>
      <c r="E2062" s="71" t="str">
        <f>MID(D2062,1,2)</f>
        <v>IL</v>
      </c>
      <c r="F2062" s="71" t="s">
        <v>978</v>
      </c>
      <c r="G2062" s="71" t="str">
        <f>MID(F2062,1,2)</f>
        <v>PL</v>
      </c>
      <c r="H2062" s="43" t="s">
        <v>3674</v>
      </c>
      <c r="I2062" s="71" t="s">
        <v>3675</v>
      </c>
      <c r="J2062" s="71" t="s">
        <v>400</v>
      </c>
      <c r="K2062" s="43"/>
      <c r="L2062" s="71" t="s">
        <v>105</v>
      </c>
      <c r="M2062" s="73">
        <v>144</v>
      </c>
      <c r="N2062" s="71" t="s">
        <v>388</v>
      </c>
      <c r="O2062" s="73">
        <v>0.816</v>
      </c>
      <c r="P2062" s="71" t="s">
        <v>389</v>
      </c>
      <c r="Q2062" s="73">
        <v>144</v>
      </c>
      <c r="R2062" s="71" t="s">
        <v>388</v>
      </c>
      <c r="S2062" s="73">
        <v>0</v>
      </c>
      <c r="T2062" s="71" t="s">
        <v>390</v>
      </c>
      <c r="U2062" s="74">
        <v>1</v>
      </c>
      <c r="V2062" s="71" t="s">
        <v>391</v>
      </c>
      <c r="W2062" s="130"/>
      <c r="X2062" s="72">
        <v>46077.652777777781</v>
      </c>
      <c r="Y2062" s="72">
        <v>46079.333333333336</v>
      </c>
      <c r="Z2062" s="104" t="s">
        <v>382</v>
      </c>
      <c r="AA2062" s="104" t="s">
        <v>595</v>
      </c>
      <c r="AB2062" s="105">
        <v>46077.646527777775</v>
      </c>
      <c r="AC2062" s="105">
        <v>46077.754861111112</v>
      </c>
    </row>
    <row r="2063" s="70" customFormat="1" ht="11.25" customHeight="1">
      <c r="A2063" s="87"/>
      <c r="C2063" s="43" t="s">
        <v>3673</v>
      </c>
      <c r="D2063" s="71" t="s">
        <v>382</v>
      </c>
      <c r="E2063" s="71" t="str">
        <f>MID(D2063,1,2)</f>
        <v>IL</v>
      </c>
      <c r="F2063" s="71" t="s">
        <v>978</v>
      </c>
      <c r="G2063" s="71" t="str">
        <f>MID(F2063,1,2)</f>
        <v>PL</v>
      </c>
      <c r="H2063" s="43" t="s">
        <v>3674</v>
      </c>
      <c r="I2063" s="71" t="s">
        <v>3675</v>
      </c>
      <c r="J2063" s="71" t="s">
        <v>400</v>
      </c>
      <c r="K2063" s="43"/>
      <c r="L2063" s="71" t="s">
        <v>105</v>
      </c>
      <c r="M2063" s="73">
        <v>144</v>
      </c>
      <c r="N2063" s="71" t="s">
        <v>388</v>
      </c>
      <c r="O2063" s="73">
        <v>0.816</v>
      </c>
      <c r="P2063" s="71" t="s">
        <v>389</v>
      </c>
      <c r="Q2063" s="73">
        <v>144</v>
      </c>
      <c r="R2063" s="71" t="s">
        <v>388</v>
      </c>
      <c r="S2063" s="73">
        <v>0</v>
      </c>
      <c r="T2063" s="71" t="s">
        <v>390</v>
      </c>
      <c r="U2063" s="74">
        <v>1</v>
      </c>
      <c r="V2063" s="71" t="s">
        <v>391</v>
      </c>
      <c r="W2063" s="130"/>
      <c r="X2063" s="72">
        <v>46077.652777777781</v>
      </c>
      <c r="Y2063" s="72">
        <v>46079.333333333336</v>
      </c>
      <c r="Z2063" s="104" t="s">
        <v>595</v>
      </c>
      <c r="AA2063" s="104" t="s">
        <v>978</v>
      </c>
      <c r="AB2063" s="105">
        <v>46078.64375</v>
      </c>
      <c r="AC2063" s="105">
        <v>46079.291666666664</v>
      </c>
    </row>
    <row r="2064" s="70" customFormat="1" ht="11.25" customHeight="1">
      <c r="A2064" s="87"/>
      <c r="C2064" s="43" t="s">
        <v>3676</v>
      </c>
      <c r="D2064" s="71" t="s">
        <v>382</v>
      </c>
      <c r="E2064" s="71" t="str">
        <f>MID(D2064,1,2)</f>
        <v>IL</v>
      </c>
      <c r="F2064" s="71" t="s">
        <v>1069</v>
      </c>
      <c r="G2064" s="71" t="str">
        <f>MID(F2064,1,2)</f>
        <v>AU</v>
      </c>
      <c r="H2064" s="43" t="s">
        <v>3677</v>
      </c>
      <c r="I2064" s="71" t="s">
        <v>3678</v>
      </c>
      <c r="J2064" s="71" t="s">
        <v>435</v>
      </c>
      <c r="K2064" s="43"/>
      <c r="L2064" s="71" t="s">
        <v>105</v>
      </c>
      <c r="M2064" s="73">
        <v>44</v>
      </c>
      <c r="N2064" s="71" t="s">
        <v>388</v>
      </c>
      <c r="O2064" s="73">
        <v>0.256</v>
      </c>
      <c r="P2064" s="71" t="s">
        <v>389</v>
      </c>
      <c r="Q2064" s="73">
        <v>44</v>
      </c>
      <c r="R2064" s="71" t="s">
        <v>388</v>
      </c>
      <c r="S2064" s="73">
        <v>0</v>
      </c>
      <c r="T2064" s="71" t="s">
        <v>390</v>
      </c>
      <c r="U2064" s="74">
        <v>1</v>
      </c>
      <c r="V2064" s="71" t="s">
        <v>391</v>
      </c>
      <c r="W2064" s="130">
        <v>46076.466666666667</v>
      </c>
      <c r="X2064" s="72">
        <v>46078.895833333336</v>
      </c>
      <c r="Y2064" s="72">
        <v>46081.888888888891</v>
      </c>
      <c r="Z2064" s="104" t="s">
        <v>382</v>
      </c>
      <c r="AA2064" s="104" t="s">
        <v>833</v>
      </c>
      <c r="AB2064" s="105">
        <v>46078.911805555559</v>
      </c>
      <c r="AC2064" s="105">
        <v>46079.57708333333</v>
      </c>
    </row>
    <row r="2065" s="70" customFormat="1" ht="11.25" customHeight="1">
      <c r="A2065" s="87"/>
      <c r="C2065" s="43" t="s">
        <v>3676</v>
      </c>
      <c r="D2065" s="71" t="s">
        <v>382</v>
      </c>
      <c r="E2065" s="71" t="str">
        <f>MID(D2065,1,2)</f>
        <v>IL</v>
      </c>
      <c r="F2065" s="71" t="s">
        <v>1069</v>
      </c>
      <c r="G2065" s="71" t="str">
        <f>MID(F2065,1,2)</f>
        <v>AU</v>
      </c>
      <c r="H2065" s="43" t="s">
        <v>3677</v>
      </c>
      <c r="I2065" s="71" t="s">
        <v>3678</v>
      </c>
      <c r="J2065" s="71" t="s">
        <v>435</v>
      </c>
      <c r="K2065" s="43"/>
      <c r="L2065" s="71" t="s">
        <v>105</v>
      </c>
      <c r="M2065" s="73">
        <v>44</v>
      </c>
      <c r="N2065" s="71" t="s">
        <v>388</v>
      </c>
      <c r="O2065" s="73">
        <v>0.256</v>
      </c>
      <c r="P2065" s="71" t="s">
        <v>389</v>
      </c>
      <c r="Q2065" s="73">
        <v>44</v>
      </c>
      <c r="R2065" s="71" t="s">
        <v>388</v>
      </c>
      <c r="S2065" s="73">
        <v>0</v>
      </c>
      <c r="T2065" s="71" t="s">
        <v>390</v>
      </c>
      <c r="U2065" s="74">
        <v>1</v>
      </c>
      <c r="V2065" s="71" t="s">
        <v>391</v>
      </c>
      <c r="W2065" s="130">
        <v>46076.466666666667</v>
      </c>
      <c r="X2065" s="72">
        <v>46078.895833333336</v>
      </c>
      <c r="Y2065" s="72">
        <v>46081.888888888891</v>
      </c>
      <c r="Z2065" s="104" t="s">
        <v>833</v>
      </c>
      <c r="AA2065" s="104" t="s">
        <v>1069</v>
      </c>
      <c r="AB2065" s="105">
        <v>46081.415277777778</v>
      </c>
      <c r="AC2065" s="105">
        <v>46081.939583333333</v>
      </c>
    </row>
    <row r="2066" s="70" customFormat="1" ht="11.25" customHeight="1">
      <c r="A2066" s="87"/>
      <c r="C2066" s="43" t="s">
        <v>3679</v>
      </c>
      <c r="D2066" s="71" t="s">
        <v>382</v>
      </c>
      <c r="E2066" s="71" t="str">
        <f>MID(D2066,1,2)</f>
        <v>IL</v>
      </c>
      <c r="F2066" s="71" t="s">
        <v>526</v>
      </c>
      <c r="G2066" s="71" t="str">
        <f>MID(F2066,1,2)</f>
        <v>US</v>
      </c>
      <c r="H2066" s="43" t="s">
        <v>3680</v>
      </c>
      <c r="I2066" s="71" t="s">
        <v>3681</v>
      </c>
      <c r="J2066" s="71" t="s">
        <v>400</v>
      </c>
      <c r="K2066" s="43"/>
      <c r="L2066" s="71" t="s">
        <v>105</v>
      </c>
      <c r="M2066" s="73">
        <v>6</v>
      </c>
      <c r="N2066" s="71" t="s">
        <v>388</v>
      </c>
      <c r="O2066" s="73">
        <v>0.142</v>
      </c>
      <c r="P2066" s="71" t="s">
        <v>389</v>
      </c>
      <c r="Q2066" s="73">
        <v>24</v>
      </c>
      <c r="R2066" s="71" t="s">
        <v>388</v>
      </c>
      <c r="S2066" s="73">
        <v>1</v>
      </c>
      <c r="T2066" s="71" t="s">
        <v>390</v>
      </c>
      <c r="U2066" s="74">
        <v>1</v>
      </c>
      <c r="V2066" s="71" t="s">
        <v>391</v>
      </c>
      <c r="W2066" s="130">
        <v>46077.38548611111</v>
      </c>
      <c r="X2066" s="72">
        <v>46079.03125</v>
      </c>
      <c r="Y2066" s="72">
        <v>46079.25</v>
      </c>
      <c r="Z2066" s="104" t="s">
        <v>382</v>
      </c>
      <c r="AA2066" s="104" t="s">
        <v>526</v>
      </c>
      <c r="AB2066" s="105">
        <v>46079.033333333333</v>
      </c>
      <c r="AC2066" s="105">
        <v>46079.245833333334</v>
      </c>
    </row>
    <row r="2067" s="70" customFormat="1" ht="11.25" customHeight="1">
      <c r="A2067" s="87"/>
      <c r="C2067" s="43" t="s">
        <v>3682</v>
      </c>
      <c r="D2067" s="71" t="s">
        <v>382</v>
      </c>
      <c r="E2067" s="71" t="str">
        <f>MID(D2067,1,2)</f>
        <v>IL</v>
      </c>
      <c r="F2067" s="71" t="s">
        <v>414</v>
      </c>
      <c r="G2067" s="71" t="str">
        <f>MID(F2067,1,2)</f>
        <v>US</v>
      </c>
      <c r="H2067" s="43" t="s">
        <v>3683</v>
      </c>
      <c r="I2067" s="71" t="s">
        <v>3684</v>
      </c>
      <c r="J2067" s="71" t="s">
        <v>454</v>
      </c>
      <c r="K2067" s="43" t="s">
        <v>3685</v>
      </c>
      <c r="L2067" s="71" t="s">
        <v>107</v>
      </c>
      <c r="M2067" s="73">
        <v>117</v>
      </c>
      <c r="N2067" s="71" t="s">
        <v>388</v>
      </c>
      <c r="O2067" s="73">
        <v>1.473</v>
      </c>
      <c r="P2067" s="71" t="s">
        <v>389</v>
      </c>
      <c r="Q2067" s="73">
        <v>245.5</v>
      </c>
      <c r="R2067" s="71" t="s">
        <v>388</v>
      </c>
      <c r="S2067" s="73">
        <v>0</v>
      </c>
      <c r="T2067" s="71" t="s">
        <v>390</v>
      </c>
      <c r="U2067" s="74">
        <v>2</v>
      </c>
      <c r="V2067" s="71" t="s">
        <v>391</v>
      </c>
      <c r="W2067" s="130">
        <v>46076.493055555555</v>
      </c>
      <c r="X2067" s="72">
        <v>46080.03125</v>
      </c>
      <c r="Y2067" s="72">
        <v>46080.239583333336</v>
      </c>
      <c r="Z2067" s="104" t="s">
        <v>382</v>
      </c>
      <c r="AA2067" s="104" t="s">
        <v>414</v>
      </c>
      <c r="AB2067" s="105">
        <v>46080.027777777781</v>
      </c>
      <c r="AC2067" s="105">
        <v>46080.23125</v>
      </c>
    </row>
    <row r="2068" s="70" customFormat="1" ht="11.25" customHeight="1">
      <c r="A2068" s="87"/>
      <c r="C2068" s="43" t="s">
        <v>3686</v>
      </c>
      <c r="D2068" s="71" t="s">
        <v>382</v>
      </c>
      <c r="E2068" s="71" t="str">
        <f>MID(D2068,1,2)</f>
        <v>IL</v>
      </c>
      <c r="F2068" s="71" t="s">
        <v>403</v>
      </c>
      <c r="G2068" s="71" t="str">
        <f>MID(F2068,1,2)</f>
        <v>HK</v>
      </c>
      <c r="H2068" s="43" t="s">
        <v>3687</v>
      </c>
      <c r="I2068" s="71" t="s">
        <v>3688</v>
      </c>
      <c r="J2068" s="71" t="s">
        <v>386</v>
      </c>
      <c r="K2068" s="43"/>
      <c r="L2068" s="71" t="s">
        <v>107</v>
      </c>
      <c r="M2068" s="73">
        <v>288</v>
      </c>
      <c r="N2068" s="71" t="s">
        <v>388</v>
      </c>
      <c r="O2068" s="73">
        <v>1.661</v>
      </c>
      <c r="P2068" s="71" t="s">
        <v>389</v>
      </c>
      <c r="Q2068" s="73">
        <v>288</v>
      </c>
      <c r="R2068" s="71" t="s">
        <v>388</v>
      </c>
      <c r="S2068" s="73">
        <v>0</v>
      </c>
      <c r="T2068" s="71" t="s">
        <v>390</v>
      </c>
      <c r="U2068" s="74">
        <v>2</v>
      </c>
      <c r="V2068" s="71" t="s">
        <v>391</v>
      </c>
      <c r="W2068" s="130">
        <v>46077.531307870369</v>
      </c>
      <c r="X2068" s="72">
        <v>46078.649305555555</v>
      </c>
      <c r="Y2068" s="72">
        <v>46080.354166666664</v>
      </c>
      <c r="Z2068" s="104" t="s">
        <v>382</v>
      </c>
      <c r="AA2068" s="104" t="s">
        <v>441</v>
      </c>
      <c r="AB2068" s="105">
        <v>46078.64375</v>
      </c>
      <c r="AC2068" s="105">
        <v>46078.838888888888</v>
      </c>
    </row>
    <row r="2069" s="70" customFormat="1" ht="11.25" customHeight="1">
      <c r="A2069" s="87"/>
      <c r="C2069" s="43" t="s">
        <v>3686</v>
      </c>
      <c r="D2069" s="71" t="s">
        <v>382</v>
      </c>
      <c r="E2069" s="71" t="str">
        <f>MID(D2069,1,2)</f>
        <v>IL</v>
      </c>
      <c r="F2069" s="71" t="s">
        <v>403</v>
      </c>
      <c r="G2069" s="71" t="str">
        <f>MID(F2069,1,2)</f>
        <v>HK</v>
      </c>
      <c r="H2069" s="43" t="s">
        <v>3687</v>
      </c>
      <c r="I2069" s="71" t="s">
        <v>3688</v>
      </c>
      <c r="J2069" s="71" t="s">
        <v>386</v>
      </c>
      <c r="K2069" s="43"/>
      <c r="L2069" s="71" t="s">
        <v>107</v>
      </c>
      <c r="M2069" s="73">
        <v>288</v>
      </c>
      <c r="N2069" s="71" t="s">
        <v>388</v>
      </c>
      <c r="O2069" s="73">
        <v>1.661</v>
      </c>
      <c r="P2069" s="71" t="s">
        <v>389</v>
      </c>
      <c r="Q2069" s="73">
        <v>288</v>
      </c>
      <c r="R2069" s="71" t="s">
        <v>388</v>
      </c>
      <c r="S2069" s="73">
        <v>0</v>
      </c>
      <c r="T2069" s="71" t="s">
        <v>390</v>
      </c>
      <c r="U2069" s="74">
        <v>2</v>
      </c>
      <c r="V2069" s="71" t="s">
        <v>391</v>
      </c>
      <c r="W2069" s="130">
        <v>46077.531307870369</v>
      </c>
      <c r="X2069" s="72">
        <v>46078.649305555555</v>
      </c>
      <c r="Y2069" s="72">
        <v>46080.354166666664</v>
      </c>
      <c r="Z2069" s="104" t="s">
        <v>441</v>
      </c>
      <c r="AA2069" s="104" t="s">
        <v>403</v>
      </c>
      <c r="AB2069" s="105">
        <v>46079.879166666666</v>
      </c>
      <c r="AC2069" s="105">
        <v>46080.331944444442</v>
      </c>
    </row>
    <row r="2070" s="70" customFormat="1" ht="11.25" customHeight="1">
      <c r="A2070" s="87"/>
      <c r="C2070" s="43" t="s">
        <v>3689</v>
      </c>
      <c r="D2070" s="71" t="s">
        <v>382</v>
      </c>
      <c r="E2070" s="71" t="str">
        <f>MID(D2070,1,2)</f>
        <v>IL</v>
      </c>
      <c r="F2070" s="71" t="s">
        <v>978</v>
      </c>
      <c r="G2070" s="71" t="str">
        <f>MID(F2070,1,2)</f>
        <v>PL</v>
      </c>
      <c r="H2070" s="43" t="s">
        <v>3690</v>
      </c>
      <c r="I2070" s="71" t="s">
        <v>3691</v>
      </c>
      <c r="J2070" s="71" t="s">
        <v>386</v>
      </c>
      <c r="K2070" s="43" t="s">
        <v>1019</v>
      </c>
      <c r="L2070" s="71" t="s">
        <v>107</v>
      </c>
      <c r="M2070" s="73">
        <v>73</v>
      </c>
      <c r="N2070" s="71" t="s">
        <v>388</v>
      </c>
      <c r="O2070" s="73">
        <v>0.434</v>
      </c>
      <c r="P2070" s="71" t="s">
        <v>389</v>
      </c>
      <c r="Q2070" s="73">
        <v>73</v>
      </c>
      <c r="R2070" s="71" t="s">
        <v>388</v>
      </c>
      <c r="S2070" s="73">
        <v>0</v>
      </c>
      <c r="T2070" s="71" t="s">
        <v>390</v>
      </c>
      <c r="U2070" s="74">
        <v>1</v>
      </c>
      <c r="V2070" s="71" t="s">
        <v>391</v>
      </c>
      <c r="W2070" s="130">
        <v>46076.66238425926</v>
      </c>
      <c r="X2070" s="72">
        <v>46077.222222222219</v>
      </c>
      <c r="Y2070" s="72">
        <v>46077.511111111111</v>
      </c>
      <c r="Z2070" s="104" t="s">
        <v>382</v>
      </c>
      <c r="AA2070" s="104" t="s">
        <v>978</v>
      </c>
      <c r="AB2070" s="105">
        <v>46077.213888888888</v>
      </c>
      <c r="AC2070" s="105">
        <v>46077.345833333333</v>
      </c>
    </row>
    <row r="2071" s="70" customFormat="1" ht="11.25" customHeight="1">
      <c r="A2071" s="87"/>
      <c r="C2071" s="43" t="s">
        <v>3689</v>
      </c>
      <c r="D2071" s="71" t="s">
        <v>382</v>
      </c>
      <c r="E2071" s="71" t="str">
        <f>MID(D2071,1,2)</f>
        <v>IL</v>
      </c>
      <c r="F2071" s="71" t="s">
        <v>978</v>
      </c>
      <c r="G2071" s="71" t="str">
        <f>MID(F2071,1,2)</f>
        <v>PL</v>
      </c>
      <c r="H2071" s="43" t="s">
        <v>3690</v>
      </c>
      <c r="I2071" s="71" t="s">
        <v>3691</v>
      </c>
      <c r="J2071" s="71" t="s">
        <v>386</v>
      </c>
      <c r="K2071" s="43" t="s">
        <v>1019</v>
      </c>
      <c r="L2071" s="71" t="s">
        <v>107</v>
      </c>
      <c r="M2071" s="73">
        <v>73</v>
      </c>
      <c r="N2071" s="71" t="s">
        <v>388</v>
      </c>
      <c r="O2071" s="73">
        <v>0.434</v>
      </c>
      <c r="P2071" s="71" t="s">
        <v>389</v>
      </c>
      <c r="Q2071" s="73">
        <v>73</v>
      </c>
      <c r="R2071" s="71" t="s">
        <v>388</v>
      </c>
      <c r="S2071" s="73">
        <v>0</v>
      </c>
      <c r="T2071" s="71" t="s">
        <v>390</v>
      </c>
      <c r="U2071" s="74">
        <v>1</v>
      </c>
      <c r="V2071" s="71" t="s">
        <v>391</v>
      </c>
      <c r="W2071" s="130">
        <v>46076.66238425926</v>
      </c>
      <c r="X2071" s="72">
        <v>46077.222222222219</v>
      </c>
      <c r="Y2071" s="72">
        <v>46077.511111111111</v>
      </c>
      <c r="Z2071" s="104" t="s">
        <v>978</v>
      </c>
      <c r="AA2071" s="104" t="s">
        <v>1020</v>
      </c>
      <c r="AB2071" s="105">
        <v>46079.791666666664</v>
      </c>
      <c r="AC2071" s="105">
        <v>46080.375</v>
      </c>
    </row>
    <row r="2072" s="70" customFormat="1" ht="11.25" customHeight="1">
      <c r="A2072" s="87"/>
      <c r="C2072" s="43" t="s">
        <v>3692</v>
      </c>
      <c r="D2072" s="71" t="s">
        <v>382</v>
      </c>
      <c r="E2072" s="71" t="str">
        <f>MID(D2072,1,2)</f>
        <v>IL</v>
      </c>
      <c r="F2072" s="71" t="s">
        <v>383</v>
      </c>
      <c r="G2072" s="71" t="str">
        <f>MID(F2072,1,2)</f>
        <v>DE</v>
      </c>
      <c r="H2072" s="43" t="s">
        <v>3693</v>
      </c>
      <c r="I2072" s="71" t="s">
        <v>3694</v>
      </c>
      <c r="J2072" s="71" t="s">
        <v>400</v>
      </c>
      <c r="K2072" s="43" t="s">
        <v>1722</v>
      </c>
      <c r="L2072" s="71" t="s">
        <v>105</v>
      </c>
      <c r="M2072" s="73">
        <v>93</v>
      </c>
      <c r="N2072" s="71" t="s">
        <v>388</v>
      </c>
      <c r="O2072" s="73">
        <v>0.97</v>
      </c>
      <c r="P2072" s="71" t="s">
        <v>389</v>
      </c>
      <c r="Q2072" s="73">
        <v>162</v>
      </c>
      <c r="R2072" s="71" t="s">
        <v>388</v>
      </c>
      <c r="S2072" s="73">
        <v>0</v>
      </c>
      <c r="T2072" s="71" t="s">
        <v>390</v>
      </c>
      <c r="U2072" s="74">
        <v>1</v>
      </c>
      <c r="V2072" s="71" t="s">
        <v>391</v>
      </c>
      <c r="W2072" s="130">
        <v>46076.835972222223</v>
      </c>
      <c r="X2072" s="72">
        <v>46078.003472222219</v>
      </c>
      <c r="Y2072" s="72">
        <v>46078.298611111109</v>
      </c>
      <c r="Z2072" s="104" t="s">
        <v>383</v>
      </c>
      <c r="AA2072" s="104" t="s">
        <v>383</v>
      </c>
      <c r="AB2072" s="105">
        <v>46092.51458333333</v>
      </c>
      <c r="AC2072" s="105">
        <v>46092.541666666664</v>
      </c>
    </row>
    <row r="2073" s="70" customFormat="1" ht="11.25" customHeight="1">
      <c r="A2073" s="87"/>
      <c r="C2073" s="43" t="s">
        <v>3692</v>
      </c>
      <c r="D2073" s="71" t="s">
        <v>382</v>
      </c>
      <c r="E2073" s="71" t="str">
        <f>MID(D2073,1,2)</f>
        <v>IL</v>
      </c>
      <c r="F2073" s="71" t="s">
        <v>383</v>
      </c>
      <c r="G2073" s="71" t="str">
        <f>MID(F2073,1,2)</f>
        <v>DE</v>
      </c>
      <c r="H2073" s="43" t="s">
        <v>3693</v>
      </c>
      <c r="I2073" s="71" t="s">
        <v>3694</v>
      </c>
      <c r="J2073" s="71" t="s">
        <v>400</v>
      </c>
      <c r="K2073" s="43" t="s">
        <v>1722</v>
      </c>
      <c r="L2073" s="71" t="s">
        <v>105</v>
      </c>
      <c r="M2073" s="73">
        <v>93</v>
      </c>
      <c r="N2073" s="71" t="s">
        <v>388</v>
      </c>
      <c r="O2073" s="73">
        <v>0.97</v>
      </c>
      <c r="P2073" s="71" t="s">
        <v>389</v>
      </c>
      <c r="Q2073" s="73">
        <v>162</v>
      </c>
      <c r="R2073" s="71" t="s">
        <v>388</v>
      </c>
      <c r="S2073" s="73">
        <v>0</v>
      </c>
      <c r="T2073" s="71" t="s">
        <v>390</v>
      </c>
      <c r="U2073" s="74">
        <v>1</v>
      </c>
      <c r="V2073" s="71" t="s">
        <v>391</v>
      </c>
      <c r="W2073" s="130">
        <v>46076.835972222223</v>
      </c>
      <c r="X2073" s="72">
        <v>46078.003472222219</v>
      </c>
      <c r="Y2073" s="72">
        <v>46078.298611111109</v>
      </c>
      <c r="Z2073" s="104" t="s">
        <v>382</v>
      </c>
      <c r="AA2073" s="104" t="s">
        <v>383</v>
      </c>
      <c r="AB2073" s="105">
        <v>46077.986805555556</v>
      </c>
      <c r="AC2073" s="105">
        <v>46078.272916666669</v>
      </c>
    </row>
    <row r="2074" s="70" customFormat="1" ht="11.25" customHeight="1">
      <c r="A2074" s="87"/>
      <c r="C2074" s="43" t="s">
        <v>3695</v>
      </c>
      <c r="D2074" s="71" t="s">
        <v>382</v>
      </c>
      <c r="E2074" s="71" t="str">
        <f>MID(D2074,1,2)</f>
        <v>IL</v>
      </c>
      <c r="F2074" s="71" t="s">
        <v>443</v>
      </c>
      <c r="G2074" s="71" t="str">
        <f>MID(F2074,1,2)</f>
        <v>US</v>
      </c>
      <c r="H2074" s="43" t="s">
        <v>3696</v>
      </c>
      <c r="I2074" s="71" t="s">
        <v>3697</v>
      </c>
      <c r="J2074" s="71" t="s">
        <v>755</v>
      </c>
      <c r="K2074" s="43"/>
      <c r="L2074" s="71" t="s">
        <v>105</v>
      </c>
      <c r="M2074" s="73">
        <v>203</v>
      </c>
      <c r="N2074" s="71" t="s">
        <v>388</v>
      </c>
      <c r="O2074" s="73">
        <v>2.299</v>
      </c>
      <c r="P2074" s="71" t="s">
        <v>389</v>
      </c>
      <c r="Q2074" s="73">
        <v>383.5</v>
      </c>
      <c r="R2074" s="71" t="s">
        <v>388</v>
      </c>
      <c r="S2074" s="73">
        <v>0</v>
      </c>
      <c r="T2074" s="71" t="s">
        <v>390</v>
      </c>
      <c r="U2074" s="74">
        <v>2</v>
      </c>
      <c r="V2074" s="71" t="s">
        <v>391</v>
      </c>
      <c r="W2074" s="130">
        <v>46076.600532407407</v>
      </c>
      <c r="X2074" s="72">
        <v>46077.548611111109</v>
      </c>
      <c r="Y2074" s="72">
        <v>46079.552777777775</v>
      </c>
      <c r="Z2074" s="104" t="s">
        <v>382</v>
      </c>
      <c r="AA2074" s="104" t="s">
        <v>1960</v>
      </c>
      <c r="AB2074" s="105">
        <v>46078.0125</v>
      </c>
      <c r="AC2074" s="105">
        <v>46078.23333333333</v>
      </c>
    </row>
    <row r="2075" s="70" customFormat="1" ht="11.25" customHeight="1">
      <c r="A2075" s="87"/>
      <c r="C2075" s="43" t="s">
        <v>3695</v>
      </c>
      <c r="D2075" s="71" t="s">
        <v>382</v>
      </c>
      <c r="E2075" s="71" t="str">
        <f>MID(D2075,1,2)</f>
        <v>IL</v>
      </c>
      <c r="F2075" s="71" t="s">
        <v>443</v>
      </c>
      <c r="G2075" s="71" t="str">
        <f>MID(F2075,1,2)</f>
        <v>US</v>
      </c>
      <c r="H2075" s="43" t="s">
        <v>3696</v>
      </c>
      <c r="I2075" s="71" t="s">
        <v>3697</v>
      </c>
      <c r="J2075" s="71" t="s">
        <v>755</v>
      </c>
      <c r="K2075" s="43"/>
      <c r="L2075" s="71" t="s">
        <v>105</v>
      </c>
      <c r="M2075" s="73">
        <v>203</v>
      </c>
      <c r="N2075" s="71" t="s">
        <v>388</v>
      </c>
      <c r="O2075" s="73">
        <v>2.299</v>
      </c>
      <c r="P2075" s="71" t="s">
        <v>389</v>
      </c>
      <c r="Q2075" s="73">
        <v>383.5</v>
      </c>
      <c r="R2075" s="71" t="s">
        <v>388</v>
      </c>
      <c r="S2075" s="73">
        <v>0</v>
      </c>
      <c r="T2075" s="71" t="s">
        <v>390</v>
      </c>
      <c r="U2075" s="74">
        <v>2</v>
      </c>
      <c r="V2075" s="71" t="s">
        <v>391</v>
      </c>
      <c r="W2075" s="130">
        <v>46076.600532407407</v>
      </c>
      <c r="X2075" s="72">
        <v>46077.548611111109</v>
      </c>
      <c r="Y2075" s="72">
        <v>46079.552777777775</v>
      </c>
      <c r="Z2075" s="104" t="s">
        <v>1960</v>
      </c>
      <c r="AA2075" s="104" t="s">
        <v>443</v>
      </c>
      <c r="AB2075" s="105">
        <v>46079.442361111112</v>
      </c>
      <c r="AC2075" s="105">
        <v>46079.540277777778</v>
      </c>
    </row>
    <row r="2076" s="70" customFormat="1" ht="11.25" customHeight="1">
      <c r="A2076" s="87"/>
      <c r="C2076" s="43" t="s">
        <v>3698</v>
      </c>
      <c r="D2076" s="71" t="s">
        <v>382</v>
      </c>
      <c r="E2076" s="71" t="str">
        <f>MID(D2076,1,2)</f>
        <v>IL</v>
      </c>
      <c r="F2076" s="71" t="s">
        <v>577</v>
      </c>
      <c r="G2076" s="71" t="str">
        <f>MID(F2076,1,2)</f>
        <v>FR</v>
      </c>
      <c r="H2076" s="43" t="s">
        <v>3699</v>
      </c>
      <c r="I2076" s="71"/>
      <c r="J2076" s="71" t="s">
        <v>426</v>
      </c>
      <c r="K2076" s="43"/>
      <c r="L2076" s="71" t="s">
        <v>105</v>
      </c>
      <c r="M2076" s="73">
        <v>187</v>
      </c>
      <c r="N2076" s="71" t="s">
        <v>388</v>
      </c>
      <c r="O2076" s="73">
        <v>0.965</v>
      </c>
      <c r="P2076" s="71" t="s">
        <v>389</v>
      </c>
      <c r="Q2076" s="73">
        <v>187</v>
      </c>
      <c r="R2076" s="71" t="s">
        <v>388</v>
      </c>
      <c r="S2076" s="73">
        <v>0</v>
      </c>
      <c r="T2076" s="71" t="s">
        <v>390</v>
      </c>
      <c r="U2076" s="74">
        <v>1</v>
      </c>
      <c r="V2076" s="71" t="s">
        <v>391</v>
      </c>
      <c r="W2076" s="130"/>
      <c r="X2076" s="72">
        <v>46078.663194444445</v>
      </c>
      <c r="Y2076" s="72">
        <v>46078.819444444445</v>
      </c>
      <c r="Z2076" s="104" t="s">
        <v>382</v>
      </c>
      <c r="AA2076" s="104" t="s">
        <v>577</v>
      </c>
      <c r="AB2076" s="105">
        <v>46078.658333333333</v>
      </c>
      <c r="AC2076" s="105">
        <v>46078.807638888888</v>
      </c>
    </row>
    <row r="2077" s="70" customFormat="1" ht="11.25" customHeight="1">
      <c r="A2077" s="87"/>
      <c r="C2077" s="43" t="s">
        <v>3700</v>
      </c>
      <c r="D2077" s="71" t="s">
        <v>382</v>
      </c>
      <c r="E2077" s="71" t="str">
        <f>MID(D2077,1,2)</f>
        <v>IL</v>
      </c>
      <c r="F2077" s="71" t="s">
        <v>667</v>
      </c>
      <c r="G2077" s="71" t="str">
        <f>MID(F2077,1,2)</f>
        <v>DE</v>
      </c>
      <c r="H2077" s="43" t="s">
        <v>3601</v>
      </c>
      <c r="I2077" s="71" t="s">
        <v>3701</v>
      </c>
      <c r="J2077" s="71" t="s">
        <v>400</v>
      </c>
      <c r="K2077" s="43"/>
      <c r="L2077" s="71" t="s">
        <v>105</v>
      </c>
      <c r="M2077" s="73">
        <v>8</v>
      </c>
      <c r="N2077" s="71" t="s">
        <v>388</v>
      </c>
      <c r="O2077" s="73">
        <v>0.052</v>
      </c>
      <c r="P2077" s="71" t="s">
        <v>389</v>
      </c>
      <c r="Q2077" s="73">
        <v>9</v>
      </c>
      <c r="R2077" s="71" t="s">
        <v>388</v>
      </c>
      <c r="S2077" s="73">
        <v>0</v>
      </c>
      <c r="T2077" s="71" t="s">
        <v>390</v>
      </c>
      <c r="U2077" s="74">
        <v>1</v>
      </c>
      <c r="V2077" s="71" t="s">
        <v>391</v>
      </c>
      <c r="W2077" s="130">
        <v>46076.679675925923</v>
      </c>
      <c r="X2077" s="72">
        <v>46079.003472222219</v>
      </c>
      <c r="Y2077" s="72">
        <v>46080.288194444445</v>
      </c>
      <c r="Z2077" s="104" t="s">
        <v>382</v>
      </c>
      <c r="AA2077" s="104" t="s">
        <v>383</v>
      </c>
      <c r="AB2077" s="105">
        <v>46078.970138888886</v>
      </c>
      <c r="AC2077" s="105">
        <v>46079.282638888886</v>
      </c>
    </row>
    <row r="2078" s="70" customFormat="1" ht="11.25" customHeight="1">
      <c r="A2078" s="87"/>
      <c r="C2078" s="43" t="s">
        <v>3700</v>
      </c>
      <c r="D2078" s="71" t="s">
        <v>382</v>
      </c>
      <c r="E2078" s="71" t="str">
        <f>MID(D2078,1,2)</f>
        <v>IL</v>
      </c>
      <c r="F2078" s="71" t="s">
        <v>667</v>
      </c>
      <c r="G2078" s="71" t="str">
        <f>MID(F2078,1,2)</f>
        <v>DE</v>
      </c>
      <c r="H2078" s="43" t="s">
        <v>3601</v>
      </c>
      <c r="I2078" s="71" t="s">
        <v>3701</v>
      </c>
      <c r="J2078" s="71" t="s">
        <v>400</v>
      </c>
      <c r="K2078" s="43"/>
      <c r="L2078" s="71" t="s">
        <v>105</v>
      </c>
      <c r="M2078" s="73">
        <v>8</v>
      </c>
      <c r="N2078" s="71" t="s">
        <v>388</v>
      </c>
      <c r="O2078" s="73">
        <v>0.052</v>
      </c>
      <c r="P2078" s="71" t="s">
        <v>389</v>
      </c>
      <c r="Q2078" s="73">
        <v>9</v>
      </c>
      <c r="R2078" s="71" t="s">
        <v>388</v>
      </c>
      <c r="S2078" s="73">
        <v>0</v>
      </c>
      <c r="T2078" s="71" t="s">
        <v>390</v>
      </c>
      <c r="U2078" s="74">
        <v>1</v>
      </c>
      <c r="V2078" s="71" t="s">
        <v>391</v>
      </c>
      <c r="W2078" s="130">
        <v>46076.679675925923</v>
      </c>
      <c r="X2078" s="72">
        <v>46079.003472222219</v>
      </c>
      <c r="Y2078" s="72">
        <v>46080.288194444445</v>
      </c>
      <c r="Z2078" s="104" t="s">
        <v>383</v>
      </c>
      <c r="AA2078" s="104" t="s">
        <v>667</v>
      </c>
      <c r="AB2078" s="105">
        <v>46080.006944444445</v>
      </c>
      <c r="AC2078" s="105">
        <v>46080.246527777781</v>
      </c>
    </row>
    <row r="2079" s="70" customFormat="1" ht="11.25" customHeight="1">
      <c r="A2079" s="87"/>
      <c r="C2079" s="43" t="s">
        <v>3702</v>
      </c>
      <c r="D2079" s="71" t="s">
        <v>382</v>
      </c>
      <c r="E2079" s="71" t="str">
        <f>MID(D2079,1,2)</f>
        <v>IL</v>
      </c>
      <c r="F2079" s="71" t="s">
        <v>3703</v>
      </c>
      <c r="G2079" s="71" t="str">
        <f>MID(F2079,1,2)</f>
        <v>BH</v>
      </c>
      <c r="H2079" s="43"/>
      <c r="I2079" s="71" t="s">
        <v>3704</v>
      </c>
      <c r="J2079" s="71" t="s">
        <v>386</v>
      </c>
      <c r="K2079" s="43"/>
      <c r="L2079" s="71" t="s">
        <v>107</v>
      </c>
      <c r="M2079" s="73">
        <v>34</v>
      </c>
      <c r="N2079" s="71" t="s">
        <v>388</v>
      </c>
      <c r="O2079" s="73">
        <v>0.125</v>
      </c>
      <c r="P2079" s="71" t="s">
        <v>389</v>
      </c>
      <c r="Q2079" s="73">
        <v>34</v>
      </c>
      <c r="R2079" s="71" t="s">
        <v>388</v>
      </c>
      <c r="S2079" s="73">
        <v>0</v>
      </c>
      <c r="T2079" s="71" t="s">
        <v>390</v>
      </c>
      <c r="U2079" s="74">
        <v>4</v>
      </c>
      <c r="V2079" s="71" t="s">
        <v>391</v>
      </c>
      <c r="W2079" s="130">
        <v>46077.631944444445</v>
      </c>
      <c r="X2079" s="72">
        <v>46079.62222222222</v>
      </c>
      <c r="Y2079" s="72">
        <v>46089.875</v>
      </c>
      <c r="Z2079" s="104"/>
      <c r="AA2079" s="104"/>
      <c r="AB2079" s="105"/>
      <c r="AC2079" s="105"/>
    </row>
    <row r="2080" s="70" customFormat="1" ht="11.25" customHeight="1">
      <c r="A2080" s="87"/>
      <c r="C2080" s="43" t="s">
        <v>3705</v>
      </c>
      <c r="D2080" s="71" t="s">
        <v>382</v>
      </c>
      <c r="E2080" s="71" t="str">
        <f>MID(D2080,1,2)</f>
        <v>IL</v>
      </c>
      <c r="F2080" s="71" t="s">
        <v>414</v>
      </c>
      <c r="G2080" s="71" t="str">
        <f>MID(F2080,1,2)</f>
        <v>US</v>
      </c>
      <c r="H2080" s="43" t="s">
        <v>3396</v>
      </c>
      <c r="I2080" s="71" t="s">
        <v>3706</v>
      </c>
      <c r="J2080" s="71" t="s">
        <v>400</v>
      </c>
      <c r="K2080" s="43" t="s">
        <v>431</v>
      </c>
      <c r="L2080" s="71" t="s">
        <v>105</v>
      </c>
      <c r="M2080" s="73">
        <v>1</v>
      </c>
      <c r="N2080" s="71" t="s">
        <v>388</v>
      </c>
      <c r="O2080" s="73">
        <v>0.012</v>
      </c>
      <c r="P2080" s="71" t="s">
        <v>389</v>
      </c>
      <c r="Q2080" s="73">
        <v>2</v>
      </c>
      <c r="R2080" s="71" t="s">
        <v>388</v>
      </c>
      <c r="S2080" s="73">
        <v>0</v>
      </c>
      <c r="T2080" s="71" t="s">
        <v>390</v>
      </c>
      <c r="U2080" s="74">
        <v>1</v>
      </c>
      <c r="V2080" s="71" t="s">
        <v>427</v>
      </c>
      <c r="W2080" s="130">
        <v>46076.864606481482</v>
      </c>
      <c r="X2080" s="72">
        <v>46078.03125</v>
      </c>
      <c r="Y2080" s="72">
        <v>46078.24375</v>
      </c>
      <c r="Z2080" s="104" t="s">
        <v>382</v>
      </c>
      <c r="AA2080" s="104" t="s">
        <v>414</v>
      </c>
      <c r="AB2080" s="105">
        <v>46078.040277777778</v>
      </c>
      <c r="AC2080" s="105">
        <v>46078.234027777777</v>
      </c>
    </row>
    <row r="2081" s="70" customFormat="1" ht="11.25" customHeight="1">
      <c r="A2081" s="87"/>
      <c r="C2081" s="43" t="s">
        <v>3707</v>
      </c>
      <c r="D2081" s="71" t="s">
        <v>382</v>
      </c>
      <c r="E2081" s="71" t="str">
        <f>MID(D2081,1,2)</f>
        <v>IL</v>
      </c>
      <c r="F2081" s="71" t="s">
        <v>1069</v>
      </c>
      <c r="G2081" s="71" t="str">
        <f>MID(F2081,1,2)</f>
        <v>AU</v>
      </c>
      <c r="H2081" s="43" t="s">
        <v>3677</v>
      </c>
      <c r="I2081" s="71" t="s">
        <v>3708</v>
      </c>
      <c r="J2081" s="71" t="s">
        <v>400</v>
      </c>
      <c r="K2081" s="43"/>
      <c r="L2081" s="71" t="s">
        <v>105</v>
      </c>
      <c r="M2081" s="73">
        <v>4</v>
      </c>
      <c r="N2081" s="71" t="s">
        <v>388</v>
      </c>
      <c r="O2081" s="73">
        <v>0.045</v>
      </c>
      <c r="P2081" s="71" t="s">
        <v>389</v>
      </c>
      <c r="Q2081" s="73">
        <v>7.5</v>
      </c>
      <c r="R2081" s="71" t="s">
        <v>388</v>
      </c>
      <c r="S2081" s="73">
        <v>0</v>
      </c>
      <c r="T2081" s="71" t="s">
        <v>390</v>
      </c>
      <c r="U2081" s="74">
        <v>1</v>
      </c>
      <c r="V2081" s="71" t="s">
        <v>391</v>
      </c>
      <c r="W2081" s="130">
        <v>46076.500694444447</v>
      </c>
      <c r="X2081" s="72">
        <v>46078.895833333336</v>
      </c>
      <c r="Y2081" s="72">
        <v>46081.888888888891</v>
      </c>
      <c r="Z2081" s="104" t="s">
        <v>382</v>
      </c>
      <c r="AA2081" s="104" t="s">
        <v>833</v>
      </c>
      <c r="AB2081" s="105">
        <v>46078.911805555559</v>
      </c>
      <c r="AC2081" s="105">
        <v>46079.57708333333</v>
      </c>
    </row>
    <row r="2082" s="70" customFormat="1" ht="11.25" customHeight="1">
      <c r="A2082" s="87"/>
      <c r="C2082" s="43" t="s">
        <v>3707</v>
      </c>
      <c r="D2082" s="71" t="s">
        <v>382</v>
      </c>
      <c r="E2082" s="71" t="str">
        <f>MID(D2082,1,2)</f>
        <v>IL</v>
      </c>
      <c r="F2082" s="71" t="s">
        <v>1069</v>
      </c>
      <c r="G2082" s="71" t="str">
        <f>MID(F2082,1,2)</f>
        <v>AU</v>
      </c>
      <c r="H2082" s="43" t="s">
        <v>3677</v>
      </c>
      <c r="I2082" s="71" t="s">
        <v>3708</v>
      </c>
      <c r="J2082" s="71" t="s">
        <v>400</v>
      </c>
      <c r="K2082" s="43"/>
      <c r="L2082" s="71" t="s">
        <v>105</v>
      </c>
      <c r="M2082" s="73">
        <v>4</v>
      </c>
      <c r="N2082" s="71" t="s">
        <v>388</v>
      </c>
      <c r="O2082" s="73">
        <v>0.045</v>
      </c>
      <c r="P2082" s="71" t="s">
        <v>389</v>
      </c>
      <c r="Q2082" s="73">
        <v>7.5</v>
      </c>
      <c r="R2082" s="71" t="s">
        <v>388</v>
      </c>
      <c r="S2082" s="73">
        <v>0</v>
      </c>
      <c r="T2082" s="71" t="s">
        <v>390</v>
      </c>
      <c r="U2082" s="74">
        <v>1</v>
      </c>
      <c r="V2082" s="71" t="s">
        <v>391</v>
      </c>
      <c r="W2082" s="130">
        <v>46076.500694444447</v>
      </c>
      <c r="X2082" s="72">
        <v>46078.895833333336</v>
      </c>
      <c r="Y2082" s="72">
        <v>46081.888888888891</v>
      </c>
      <c r="Z2082" s="104" t="s">
        <v>833</v>
      </c>
      <c r="AA2082" s="104" t="s">
        <v>1069</v>
      </c>
      <c r="AB2082" s="105">
        <v>46081.415277777778</v>
      </c>
      <c r="AC2082" s="105">
        <v>46081.939583333333</v>
      </c>
    </row>
    <row r="2083" s="70" customFormat="1" ht="11.25" customHeight="1">
      <c r="A2083" s="87"/>
      <c r="C2083" s="43" t="s">
        <v>3709</v>
      </c>
      <c r="D2083" s="71" t="s">
        <v>382</v>
      </c>
      <c r="E2083" s="71" t="str">
        <f>MID(D2083,1,2)</f>
        <v>IL</v>
      </c>
      <c r="F2083" s="71" t="s">
        <v>3710</v>
      </c>
      <c r="G2083" s="71" t="str">
        <f>MID(F2083,1,2)</f>
        <v>DE</v>
      </c>
      <c r="H2083" s="43"/>
      <c r="I2083" s="71" t="s">
        <v>3711</v>
      </c>
      <c r="J2083" s="71" t="s">
        <v>386</v>
      </c>
      <c r="K2083" s="43"/>
      <c r="L2083" s="71" t="s">
        <v>107</v>
      </c>
      <c r="M2083" s="73">
        <v>34</v>
      </c>
      <c r="N2083" s="71" t="s">
        <v>388</v>
      </c>
      <c r="O2083" s="73">
        <v>0.125</v>
      </c>
      <c r="P2083" s="71" t="s">
        <v>389</v>
      </c>
      <c r="Q2083" s="73">
        <v>34</v>
      </c>
      <c r="R2083" s="71" t="s">
        <v>388</v>
      </c>
      <c r="S2083" s="73">
        <v>0</v>
      </c>
      <c r="T2083" s="71" t="s">
        <v>390</v>
      </c>
      <c r="U2083" s="74">
        <v>4</v>
      </c>
      <c r="V2083" s="71" t="s">
        <v>391</v>
      </c>
      <c r="W2083" s="130"/>
      <c r="X2083" s="72">
        <v>46083.690972222219</v>
      </c>
      <c r="Y2083" s="72">
        <v>46084.708333333336</v>
      </c>
      <c r="Z2083" s="104"/>
      <c r="AA2083" s="104"/>
      <c r="AB2083" s="105"/>
      <c r="AC2083" s="105"/>
    </row>
    <row r="2084" s="70" customFormat="1" ht="11.25" customHeight="1">
      <c r="A2084" s="87"/>
      <c r="C2084" s="43" t="s">
        <v>3712</v>
      </c>
      <c r="D2084" s="71" t="s">
        <v>382</v>
      </c>
      <c r="E2084" s="71" t="str">
        <f>MID(D2084,1,2)</f>
        <v>IL</v>
      </c>
      <c r="F2084" s="71" t="s">
        <v>992</v>
      </c>
      <c r="G2084" s="71" t="str">
        <f>MID(F2084,1,2)</f>
        <v>SK</v>
      </c>
      <c r="H2084" s="43" t="s">
        <v>3713</v>
      </c>
      <c r="I2084" s="71" t="s">
        <v>3714</v>
      </c>
      <c r="J2084" s="71" t="s">
        <v>426</v>
      </c>
      <c r="K2084" s="43"/>
      <c r="L2084" s="71" t="s">
        <v>105</v>
      </c>
      <c r="M2084" s="73">
        <v>342</v>
      </c>
      <c r="N2084" s="71" t="s">
        <v>388</v>
      </c>
      <c r="O2084" s="73">
        <v>3.694</v>
      </c>
      <c r="P2084" s="71" t="s">
        <v>389</v>
      </c>
      <c r="Q2084" s="73">
        <v>616</v>
      </c>
      <c r="R2084" s="71" t="s">
        <v>388</v>
      </c>
      <c r="S2084" s="73">
        <v>0</v>
      </c>
      <c r="T2084" s="71" t="s">
        <v>390</v>
      </c>
      <c r="U2084" s="74">
        <v>4</v>
      </c>
      <c r="V2084" s="71" t="s">
        <v>391</v>
      </c>
      <c r="W2084" s="130">
        <v>46077.763252314813</v>
      </c>
      <c r="X2084" s="72">
        <v>46078.666666666664</v>
      </c>
      <c r="Y2084" s="72">
        <v>46079.215277777781</v>
      </c>
      <c r="Z2084" s="104" t="s">
        <v>382</v>
      </c>
      <c r="AA2084" s="104" t="s">
        <v>748</v>
      </c>
      <c r="AB2084" s="105">
        <v>46078.668055555558</v>
      </c>
      <c r="AC2084" s="105">
        <v>46078.833333333336</v>
      </c>
    </row>
    <row r="2085" s="70" customFormat="1" ht="11.25" customHeight="1">
      <c r="A2085" s="87"/>
      <c r="C2085" s="43" t="s">
        <v>3712</v>
      </c>
      <c r="D2085" s="71" t="s">
        <v>382</v>
      </c>
      <c r="E2085" s="71" t="str">
        <f>MID(D2085,1,2)</f>
        <v>IL</v>
      </c>
      <c r="F2085" s="71" t="s">
        <v>992</v>
      </c>
      <c r="G2085" s="71" t="str">
        <f>MID(F2085,1,2)</f>
        <v>SK</v>
      </c>
      <c r="H2085" s="43" t="s">
        <v>3713</v>
      </c>
      <c r="I2085" s="71" t="s">
        <v>3714</v>
      </c>
      <c r="J2085" s="71" t="s">
        <v>426</v>
      </c>
      <c r="K2085" s="43"/>
      <c r="L2085" s="71" t="s">
        <v>105</v>
      </c>
      <c r="M2085" s="73">
        <v>342</v>
      </c>
      <c r="N2085" s="71" t="s">
        <v>388</v>
      </c>
      <c r="O2085" s="73">
        <v>3.694</v>
      </c>
      <c r="P2085" s="71" t="s">
        <v>389</v>
      </c>
      <c r="Q2085" s="73">
        <v>616</v>
      </c>
      <c r="R2085" s="71" t="s">
        <v>388</v>
      </c>
      <c r="S2085" s="73">
        <v>0</v>
      </c>
      <c r="T2085" s="71" t="s">
        <v>390</v>
      </c>
      <c r="U2085" s="74">
        <v>4</v>
      </c>
      <c r="V2085" s="71" t="s">
        <v>391</v>
      </c>
      <c r="W2085" s="130">
        <v>46077.763252314813</v>
      </c>
      <c r="X2085" s="72">
        <v>46078.666666666664</v>
      </c>
      <c r="Y2085" s="72">
        <v>46079.215277777781</v>
      </c>
      <c r="Z2085" s="104" t="s">
        <v>748</v>
      </c>
      <c r="AA2085" s="104" t="s">
        <v>992</v>
      </c>
      <c r="AB2085" s="105">
        <v>46079.207638888889</v>
      </c>
      <c r="AC2085" s="105">
        <v>46079.283333333333</v>
      </c>
    </row>
    <row r="2086" s="70" customFormat="1" ht="11.25" customHeight="1">
      <c r="A2086" s="87"/>
      <c r="C2086" s="43" t="s">
        <v>3715</v>
      </c>
      <c r="D2086" s="71" t="s">
        <v>382</v>
      </c>
      <c r="E2086" s="71" t="str">
        <f>MID(D2086,1,2)</f>
        <v>IL</v>
      </c>
      <c r="F2086" s="71" t="s">
        <v>1069</v>
      </c>
      <c r="G2086" s="71" t="str">
        <f>MID(F2086,1,2)</f>
        <v>AU</v>
      </c>
      <c r="H2086" s="43" t="s">
        <v>3677</v>
      </c>
      <c r="I2086" s="71" t="s">
        <v>3716</v>
      </c>
      <c r="J2086" s="71" t="s">
        <v>435</v>
      </c>
      <c r="K2086" s="43"/>
      <c r="L2086" s="71" t="s">
        <v>105</v>
      </c>
      <c r="M2086" s="73">
        <v>79</v>
      </c>
      <c r="N2086" s="71" t="s">
        <v>388</v>
      </c>
      <c r="O2086" s="73">
        <v>0.397</v>
      </c>
      <c r="P2086" s="71" t="s">
        <v>389</v>
      </c>
      <c r="Q2086" s="73">
        <v>79</v>
      </c>
      <c r="R2086" s="71" t="s">
        <v>388</v>
      </c>
      <c r="S2086" s="73">
        <v>0</v>
      </c>
      <c r="T2086" s="71" t="s">
        <v>390</v>
      </c>
      <c r="U2086" s="74">
        <v>1</v>
      </c>
      <c r="V2086" s="71" t="s">
        <v>391</v>
      </c>
      <c r="W2086" s="130">
        <v>46076.506944444445</v>
      </c>
      <c r="X2086" s="72">
        <v>46078.895833333336</v>
      </c>
      <c r="Y2086" s="72">
        <v>46081.888888888891</v>
      </c>
      <c r="Z2086" s="104" t="s">
        <v>382</v>
      </c>
      <c r="AA2086" s="104" t="s">
        <v>833</v>
      </c>
      <c r="AB2086" s="105">
        <v>46078.911805555559</v>
      </c>
      <c r="AC2086" s="105">
        <v>46079.57708333333</v>
      </c>
    </row>
    <row r="2087" s="70" customFormat="1" ht="11.25" customHeight="1">
      <c r="A2087" s="87"/>
      <c r="C2087" s="43" t="s">
        <v>3715</v>
      </c>
      <c r="D2087" s="71" t="s">
        <v>382</v>
      </c>
      <c r="E2087" s="71" t="str">
        <f>MID(D2087,1,2)</f>
        <v>IL</v>
      </c>
      <c r="F2087" s="71" t="s">
        <v>1069</v>
      </c>
      <c r="G2087" s="71" t="str">
        <f>MID(F2087,1,2)</f>
        <v>AU</v>
      </c>
      <c r="H2087" s="43" t="s">
        <v>3677</v>
      </c>
      <c r="I2087" s="71" t="s">
        <v>3716</v>
      </c>
      <c r="J2087" s="71" t="s">
        <v>435</v>
      </c>
      <c r="K2087" s="43"/>
      <c r="L2087" s="71" t="s">
        <v>105</v>
      </c>
      <c r="M2087" s="73">
        <v>79</v>
      </c>
      <c r="N2087" s="71" t="s">
        <v>388</v>
      </c>
      <c r="O2087" s="73">
        <v>0.397</v>
      </c>
      <c r="P2087" s="71" t="s">
        <v>389</v>
      </c>
      <c r="Q2087" s="73">
        <v>79</v>
      </c>
      <c r="R2087" s="71" t="s">
        <v>388</v>
      </c>
      <c r="S2087" s="73">
        <v>0</v>
      </c>
      <c r="T2087" s="71" t="s">
        <v>390</v>
      </c>
      <c r="U2087" s="74">
        <v>1</v>
      </c>
      <c r="V2087" s="71" t="s">
        <v>391</v>
      </c>
      <c r="W2087" s="130">
        <v>46076.506944444445</v>
      </c>
      <c r="X2087" s="72">
        <v>46078.895833333336</v>
      </c>
      <c r="Y2087" s="72">
        <v>46081.888888888891</v>
      </c>
      <c r="Z2087" s="104" t="s">
        <v>833</v>
      </c>
      <c r="AA2087" s="104" t="s">
        <v>1069</v>
      </c>
      <c r="AB2087" s="105">
        <v>46081.415277777778</v>
      </c>
      <c r="AC2087" s="105">
        <v>46081.939583333333</v>
      </c>
    </row>
    <row r="2088" s="70" customFormat="1" ht="11.25" customHeight="1">
      <c r="A2088" s="87"/>
      <c r="C2088" s="43" t="s">
        <v>3717</v>
      </c>
      <c r="D2088" s="71" t="s">
        <v>382</v>
      </c>
      <c r="E2088" s="71" t="str">
        <f>MID(D2088,1,2)</f>
        <v>IL</v>
      </c>
      <c r="F2088" s="71" t="s">
        <v>3718</v>
      </c>
      <c r="G2088" s="71" t="str">
        <f>MID(F2088,1,2)</f>
        <v>UG</v>
      </c>
      <c r="H2088" s="43" t="s">
        <v>3719</v>
      </c>
      <c r="I2088" s="71" t="s">
        <v>3720</v>
      </c>
      <c r="J2088" s="71" t="s">
        <v>400</v>
      </c>
      <c r="K2088" s="43"/>
      <c r="L2088" s="71" t="s">
        <v>105</v>
      </c>
      <c r="M2088" s="73">
        <v>62</v>
      </c>
      <c r="N2088" s="71" t="s">
        <v>388</v>
      </c>
      <c r="O2088" s="73">
        <v>0.739</v>
      </c>
      <c r="P2088" s="71" t="s">
        <v>389</v>
      </c>
      <c r="Q2088" s="73">
        <v>123.5</v>
      </c>
      <c r="R2088" s="71" t="s">
        <v>388</v>
      </c>
      <c r="S2088" s="73">
        <v>0</v>
      </c>
      <c r="T2088" s="71" t="s">
        <v>390</v>
      </c>
      <c r="U2088" s="74">
        <v>1</v>
      </c>
      <c r="V2088" s="71" t="s">
        <v>391</v>
      </c>
      <c r="W2088" s="130"/>
      <c r="X2088" s="72">
        <v>46079.305555555555</v>
      </c>
      <c r="Y2088" s="72">
        <v>46111.597222222219</v>
      </c>
      <c r="Z2088" s="104" t="s">
        <v>382</v>
      </c>
      <c r="AA2088" s="104" t="s">
        <v>1310</v>
      </c>
      <c r="AB2088" s="105"/>
      <c r="AC2088" s="105"/>
    </row>
    <row r="2089" s="70" customFormat="1" ht="11.25" customHeight="1">
      <c r="A2089" s="87"/>
      <c r="C2089" s="43" t="s">
        <v>3717</v>
      </c>
      <c r="D2089" s="71" t="s">
        <v>382</v>
      </c>
      <c r="E2089" s="71" t="str">
        <f>MID(D2089,1,2)</f>
        <v>IL</v>
      </c>
      <c r="F2089" s="71" t="s">
        <v>3718</v>
      </c>
      <c r="G2089" s="71" t="str">
        <f>MID(F2089,1,2)</f>
        <v>UG</v>
      </c>
      <c r="H2089" s="43" t="s">
        <v>3719</v>
      </c>
      <c r="I2089" s="71" t="s">
        <v>3720</v>
      </c>
      <c r="J2089" s="71" t="s">
        <v>400</v>
      </c>
      <c r="K2089" s="43"/>
      <c r="L2089" s="71" t="s">
        <v>105</v>
      </c>
      <c r="M2089" s="73">
        <v>62</v>
      </c>
      <c r="N2089" s="71" t="s">
        <v>388</v>
      </c>
      <c r="O2089" s="73">
        <v>0.739</v>
      </c>
      <c r="P2089" s="71" t="s">
        <v>389</v>
      </c>
      <c r="Q2089" s="73">
        <v>123.5</v>
      </c>
      <c r="R2089" s="71" t="s">
        <v>388</v>
      </c>
      <c r="S2089" s="73">
        <v>0</v>
      </c>
      <c r="T2089" s="71" t="s">
        <v>390</v>
      </c>
      <c r="U2089" s="74">
        <v>1</v>
      </c>
      <c r="V2089" s="71" t="s">
        <v>391</v>
      </c>
      <c r="W2089" s="130"/>
      <c r="X2089" s="72">
        <v>46079.305555555555</v>
      </c>
      <c r="Y2089" s="72">
        <v>46111.597222222219</v>
      </c>
      <c r="Z2089" s="104" t="s">
        <v>1310</v>
      </c>
      <c r="AA2089" s="104" t="s">
        <v>3718</v>
      </c>
      <c r="AB2089" s="105"/>
      <c r="AC2089" s="105"/>
    </row>
    <row r="2090" s="70" customFormat="1" ht="11.25" customHeight="1">
      <c r="A2090" s="87"/>
      <c r="C2090" s="43" t="s">
        <v>3721</v>
      </c>
      <c r="D2090" s="71" t="s">
        <v>382</v>
      </c>
      <c r="E2090" s="71" t="str">
        <f>MID(D2090,1,2)</f>
        <v>IL</v>
      </c>
      <c r="F2090" s="71" t="s">
        <v>2133</v>
      </c>
      <c r="G2090" s="71" t="str">
        <f>MID(F2090,1,2)</f>
        <v>FI</v>
      </c>
      <c r="H2090" s="43" t="s">
        <v>3722</v>
      </c>
      <c r="I2090" s="71" t="s">
        <v>3723</v>
      </c>
      <c r="J2090" s="71" t="s">
        <v>400</v>
      </c>
      <c r="K2090" s="43" t="s">
        <v>2469</v>
      </c>
      <c r="L2090" s="71" t="s">
        <v>105</v>
      </c>
      <c r="M2090" s="73">
        <v>18</v>
      </c>
      <c r="N2090" s="71" t="s">
        <v>388</v>
      </c>
      <c r="O2090" s="73">
        <v>0.158</v>
      </c>
      <c r="P2090" s="71" t="s">
        <v>389</v>
      </c>
      <c r="Q2090" s="73">
        <v>26.5</v>
      </c>
      <c r="R2090" s="71" t="s">
        <v>388</v>
      </c>
      <c r="S2090" s="73">
        <v>0</v>
      </c>
      <c r="T2090" s="71" t="s">
        <v>390</v>
      </c>
      <c r="U2090" s="74">
        <v>1</v>
      </c>
      <c r="V2090" s="71" t="s">
        <v>391</v>
      </c>
      <c r="W2090" s="130">
        <v>46076.679675925923</v>
      </c>
      <c r="X2090" s="72">
        <v>46077.715277777781</v>
      </c>
      <c r="Y2090" s="72">
        <v>46078.508333333331</v>
      </c>
      <c r="Z2090" s="104" t="s">
        <v>382</v>
      </c>
      <c r="AA2090" s="104" t="s">
        <v>667</v>
      </c>
      <c r="AB2090" s="105">
        <v>46077.716666666667</v>
      </c>
      <c r="AC2090" s="105">
        <v>46077.845138888886</v>
      </c>
    </row>
    <row r="2091" s="70" customFormat="1" ht="11.25" customHeight="1">
      <c r="A2091" s="87"/>
      <c r="C2091" s="43" t="s">
        <v>3721</v>
      </c>
      <c r="D2091" s="71" t="s">
        <v>382</v>
      </c>
      <c r="E2091" s="71" t="str">
        <f>MID(D2091,1,2)</f>
        <v>IL</v>
      </c>
      <c r="F2091" s="71" t="s">
        <v>2133</v>
      </c>
      <c r="G2091" s="71" t="str">
        <f>MID(F2091,1,2)</f>
        <v>FI</v>
      </c>
      <c r="H2091" s="43" t="s">
        <v>3722</v>
      </c>
      <c r="I2091" s="71" t="s">
        <v>3723</v>
      </c>
      <c r="J2091" s="71" t="s">
        <v>400</v>
      </c>
      <c r="K2091" s="43" t="s">
        <v>2469</v>
      </c>
      <c r="L2091" s="71" t="s">
        <v>105</v>
      </c>
      <c r="M2091" s="73">
        <v>18</v>
      </c>
      <c r="N2091" s="71" t="s">
        <v>388</v>
      </c>
      <c r="O2091" s="73">
        <v>0.158</v>
      </c>
      <c r="P2091" s="71" t="s">
        <v>389</v>
      </c>
      <c r="Q2091" s="73">
        <v>26.5</v>
      </c>
      <c r="R2091" s="71" t="s">
        <v>388</v>
      </c>
      <c r="S2091" s="73">
        <v>0</v>
      </c>
      <c r="T2091" s="71" t="s">
        <v>390</v>
      </c>
      <c r="U2091" s="74">
        <v>1</v>
      </c>
      <c r="V2091" s="71" t="s">
        <v>391</v>
      </c>
      <c r="W2091" s="130">
        <v>46076.679675925923</v>
      </c>
      <c r="X2091" s="72">
        <v>46077.715277777781</v>
      </c>
      <c r="Y2091" s="72">
        <v>46078.508333333331</v>
      </c>
      <c r="Z2091" s="104" t="s">
        <v>667</v>
      </c>
      <c r="AA2091" s="104" t="s">
        <v>2133</v>
      </c>
      <c r="AB2091" s="105">
        <v>46078.348611111112</v>
      </c>
      <c r="AC2091" s="105">
        <v>46078.5</v>
      </c>
    </row>
    <row r="2092" s="70" customFormat="1" ht="11.25" customHeight="1">
      <c r="A2092" s="87"/>
      <c r="C2092" s="43" t="s">
        <v>3724</v>
      </c>
      <c r="D2092" s="71" t="s">
        <v>382</v>
      </c>
      <c r="E2092" s="71" t="str">
        <f>MID(D2092,1,2)</f>
        <v>IL</v>
      </c>
      <c r="F2092" s="71" t="s">
        <v>2453</v>
      </c>
      <c r="G2092" s="71" t="str">
        <f>MID(F2092,1,2)</f>
        <v>GE</v>
      </c>
      <c r="H2092" s="43" t="s">
        <v>3725</v>
      </c>
      <c r="I2092" s="71" t="s">
        <v>3726</v>
      </c>
      <c r="J2092" s="71" t="s">
        <v>400</v>
      </c>
      <c r="K2092" s="43"/>
      <c r="L2092" s="71" t="s">
        <v>105</v>
      </c>
      <c r="M2092" s="73">
        <v>57</v>
      </c>
      <c r="N2092" s="71" t="s">
        <v>388</v>
      </c>
      <c r="O2092" s="73">
        <v>1.082</v>
      </c>
      <c r="P2092" s="71" t="s">
        <v>389</v>
      </c>
      <c r="Q2092" s="73">
        <v>180.5</v>
      </c>
      <c r="R2092" s="71" t="s">
        <v>388</v>
      </c>
      <c r="S2092" s="73">
        <v>0</v>
      </c>
      <c r="T2092" s="71" t="s">
        <v>390</v>
      </c>
      <c r="U2092" s="74">
        <v>1</v>
      </c>
      <c r="V2092" s="71" t="s">
        <v>391</v>
      </c>
      <c r="W2092" s="130">
        <v>46076.611111111109</v>
      </c>
      <c r="X2092" s="72">
        <v>46077.229166666664</v>
      </c>
      <c r="Y2092" s="72">
        <v>46079.951388888891</v>
      </c>
      <c r="Z2092" s="104" t="s">
        <v>382</v>
      </c>
      <c r="AA2092" s="104" t="s">
        <v>2453</v>
      </c>
      <c r="AB2092" s="105">
        <v>46077.758333333331</v>
      </c>
      <c r="AC2092" s="105">
        <v>46077.942361111112</v>
      </c>
    </row>
    <row r="2093" s="70" customFormat="1" ht="11.25" customHeight="1">
      <c r="A2093" s="87"/>
      <c r="C2093" s="43" t="s">
        <v>3727</v>
      </c>
      <c r="D2093" s="71" t="s">
        <v>382</v>
      </c>
      <c r="E2093" s="71" t="str">
        <f>MID(D2093,1,2)</f>
        <v>IL</v>
      </c>
      <c r="F2093" s="71" t="s">
        <v>2453</v>
      </c>
      <c r="G2093" s="71" t="str">
        <f>MID(F2093,1,2)</f>
        <v>GE</v>
      </c>
      <c r="H2093" s="43" t="s">
        <v>3725</v>
      </c>
      <c r="I2093" s="71" t="s">
        <v>3728</v>
      </c>
      <c r="J2093" s="71" t="s">
        <v>400</v>
      </c>
      <c r="K2093" s="43"/>
      <c r="L2093" s="71" t="s">
        <v>105</v>
      </c>
      <c r="M2093" s="73">
        <v>46</v>
      </c>
      <c r="N2093" s="71" t="s">
        <v>388</v>
      </c>
      <c r="O2093" s="73">
        <v>0.365</v>
      </c>
      <c r="P2093" s="71" t="s">
        <v>389</v>
      </c>
      <c r="Q2093" s="73">
        <v>61</v>
      </c>
      <c r="R2093" s="71" t="s">
        <v>388</v>
      </c>
      <c r="S2093" s="73">
        <v>0</v>
      </c>
      <c r="T2093" s="71" t="s">
        <v>390</v>
      </c>
      <c r="U2093" s="74">
        <v>1</v>
      </c>
      <c r="V2093" s="71" t="s">
        <v>391</v>
      </c>
      <c r="W2093" s="130">
        <v>46076.618055555555</v>
      </c>
      <c r="X2093" s="72">
        <v>46077.229166666664</v>
      </c>
      <c r="Y2093" s="72">
        <v>46079.951388888891</v>
      </c>
      <c r="Z2093" s="104" t="s">
        <v>382</v>
      </c>
      <c r="AA2093" s="104" t="s">
        <v>2453</v>
      </c>
      <c r="AB2093" s="105">
        <v>46077.758333333331</v>
      </c>
      <c r="AC2093" s="105">
        <v>46077.942361111112</v>
      </c>
    </row>
    <row r="2094" s="70" customFormat="1" ht="11.25" customHeight="1">
      <c r="A2094" s="87"/>
      <c r="C2094" s="43" t="s">
        <v>3729</v>
      </c>
      <c r="D2094" s="71" t="s">
        <v>382</v>
      </c>
      <c r="E2094" s="71" t="str">
        <f>MID(D2094,1,2)</f>
        <v>IL</v>
      </c>
      <c r="F2094" s="71" t="s">
        <v>680</v>
      </c>
      <c r="G2094" s="71" t="str">
        <f>MID(F2094,1,2)</f>
        <v>DE</v>
      </c>
      <c r="H2094" s="43" t="s">
        <v>3730</v>
      </c>
      <c r="I2094" s="71"/>
      <c r="J2094" s="71" t="s">
        <v>426</v>
      </c>
      <c r="K2094" s="43"/>
      <c r="L2094" s="71" t="s">
        <v>105</v>
      </c>
      <c r="M2094" s="73">
        <v>76</v>
      </c>
      <c r="N2094" s="71" t="s">
        <v>388</v>
      </c>
      <c r="O2094" s="73">
        <v>0.312</v>
      </c>
      <c r="P2094" s="71" t="s">
        <v>389</v>
      </c>
      <c r="Q2094" s="73">
        <v>100</v>
      </c>
      <c r="R2094" s="71" t="s">
        <v>388</v>
      </c>
      <c r="S2094" s="73">
        <v>0</v>
      </c>
      <c r="T2094" s="71" t="s">
        <v>390</v>
      </c>
      <c r="U2094" s="74">
        <v>1</v>
      </c>
      <c r="V2094" s="71" t="s">
        <v>391</v>
      </c>
      <c r="W2094" s="130"/>
      <c r="X2094" s="72">
        <v>46077.834722222222</v>
      </c>
      <c r="Y2094" s="72">
        <v>46080.020833333336</v>
      </c>
      <c r="Z2094" s="104" t="s">
        <v>382</v>
      </c>
      <c r="AA2094" s="104" t="s">
        <v>748</v>
      </c>
      <c r="AB2094" s="105">
        <v>46077.836111111108</v>
      </c>
      <c r="AC2094" s="105">
        <v>46078.005555555559</v>
      </c>
    </row>
    <row r="2095" s="70" customFormat="1" ht="11.25" customHeight="1">
      <c r="A2095" s="87"/>
      <c r="C2095" s="43" t="s">
        <v>3729</v>
      </c>
      <c r="D2095" s="71" t="s">
        <v>382</v>
      </c>
      <c r="E2095" s="71" t="str">
        <f>MID(D2095,1,2)</f>
        <v>IL</v>
      </c>
      <c r="F2095" s="71" t="s">
        <v>680</v>
      </c>
      <c r="G2095" s="71" t="str">
        <f>MID(F2095,1,2)</f>
        <v>DE</v>
      </c>
      <c r="H2095" s="43" t="s">
        <v>3730</v>
      </c>
      <c r="I2095" s="71"/>
      <c r="J2095" s="71" t="s">
        <v>426</v>
      </c>
      <c r="K2095" s="43"/>
      <c r="L2095" s="71" t="s">
        <v>105</v>
      </c>
      <c r="M2095" s="73">
        <v>76</v>
      </c>
      <c r="N2095" s="71" t="s">
        <v>388</v>
      </c>
      <c r="O2095" s="73">
        <v>0.312</v>
      </c>
      <c r="P2095" s="71" t="s">
        <v>389</v>
      </c>
      <c r="Q2095" s="73">
        <v>100</v>
      </c>
      <c r="R2095" s="71" t="s">
        <v>388</v>
      </c>
      <c r="S2095" s="73">
        <v>0</v>
      </c>
      <c r="T2095" s="71" t="s">
        <v>390</v>
      </c>
      <c r="U2095" s="74">
        <v>1</v>
      </c>
      <c r="V2095" s="71" t="s">
        <v>391</v>
      </c>
      <c r="W2095" s="130"/>
      <c r="X2095" s="72">
        <v>46077.834722222222</v>
      </c>
      <c r="Y2095" s="72">
        <v>46080.020833333336</v>
      </c>
      <c r="Z2095" s="104" t="s">
        <v>748</v>
      </c>
      <c r="AA2095" s="104" t="s">
        <v>680</v>
      </c>
      <c r="AB2095" s="105">
        <v>46078.144444444442</v>
      </c>
      <c r="AC2095" s="105">
        <v>46078.311111111114</v>
      </c>
    </row>
    <row r="2096" s="70" customFormat="1" ht="11.25" customHeight="1">
      <c r="A2096" s="87"/>
      <c r="C2096" s="43" t="s">
        <v>3731</v>
      </c>
      <c r="D2096" s="71" t="s">
        <v>382</v>
      </c>
      <c r="E2096" s="71" t="str">
        <f>MID(D2096,1,2)</f>
        <v>IL</v>
      </c>
      <c r="F2096" s="71" t="s">
        <v>422</v>
      </c>
      <c r="G2096" s="71" t="str">
        <f>MID(F2096,1,2)</f>
        <v>US</v>
      </c>
      <c r="H2096" s="43" t="s">
        <v>3732</v>
      </c>
      <c r="I2096" s="71"/>
      <c r="J2096" s="71" t="s">
        <v>426</v>
      </c>
      <c r="K2096" s="43"/>
      <c r="L2096" s="71" t="s">
        <v>105</v>
      </c>
      <c r="M2096" s="73">
        <v>1681</v>
      </c>
      <c r="N2096" s="71" t="s">
        <v>388</v>
      </c>
      <c r="O2096" s="73">
        <v>11.244</v>
      </c>
      <c r="P2096" s="71" t="s">
        <v>389</v>
      </c>
      <c r="Q2096" s="73">
        <v>1874</v>
      </c>
      <c r="R2096" s="71" t="s">
        <v>388</v>
      </c>
      <c r="S2096" s="73">
        <v>0</v>
      </c>
      <c r="T2096" s="71" t="s">
        <v>390</v>
      </c>
      <c r="U2096" s="74">
        <v>9</v>
      </c>
      <c r="V2096" s="71" t="s">
        <v>391</v>
      </c>
      <c r="W2096" s="130">
        <v>46076.597916666666</v>
      </c>
      <c r="X2096" s="72">
        <v>46079.003472222219</v>
      </c>
      <c r="Y2096" s="72">
        <v>46079.21875</v>
      </c>
      <c r="Z2096" s="104" t="s">
        <v>382</v>
      </c>
      <c r="AA2096" s="104" t="s">
        <v>422</v>
      </c>
      <c r="AB2096" s="105">
        <v>46079.006944444445</v>
      </c>
      <c r="AC2096" s="105">
        <v>46079.209027777775</v>
      </c>
    </row>
    <row r="2097" s="70" customFormat="1" ht="11.25" customHeight="1">
      <c r="A2097" s="87"/>
      <c r="C2097" s="43" t="s">
        <v>3733</v>
      </c>
      <c r="D2097" s="71" t="s">
        <v>382</v>
      </c>
      <c r="E2097" s="71" t="str">
        <f>MID(D2097,1,2)</f>
        <v>IL</v>
      </c>
      <c r="F2097" s="71" t="s">
        <v>514</v>
      </c>
      <c r="G2097" s="71" t="str">
        <f>MID(F2097,1,2)</f>
        <v>US</v>
      </c>
      <c r="H2097" s="43" t="s">
        <v>3734</v>
      </c>
      <c r="I2097" s="71" t="s">
        <v>3735</v>
      </c>
      <c r="J2097" s="71" t="s">
        <v>755</v>
      </c>
      <c r="K2097" s="43"/>
      <c r="L2097" s="71" t="s">
        <v>105</v>
      </c>
      <c r="M2097" s="73">
        <v>81</v>
      </c>
      <c r="N2097" s="71" t="s">
        <v>388</v>
      </c>
      <c r="O2097" s="73">
        <v>1.243</v>
      </c>
      <c r="P2097" s="71" t="s">
        <v>389</v>
      </c>
      <c r="Q2097" s="73">
        <v>207.5</v>
      </c>
      <c r="R2097" s="71" t="s">
        <v>388</v>
      </c>
      <c r="S2097" s="73">
        <v>0</v>
      </c>
      <c r="T2097" s="71" t="s">
        <v>390</v>
      </c>
      <c r="U2097" s="74">
        <v>1</v>
      </c>
      <c r="V2097" s="71" t="s">
        <v>391</v>
      </c>
      <c r="W2097" s="130">
        <v>46076.59097222222</v>
      </c>
      <c r="X2097" s="72">
        <v>46077.995833333334</v>
      </c>
      <c r="Y2097" s="72">
        <v>46083.5</v>
      </c>
      <c r="Z2097" s="104" t="s">
        <v>382</v>
      </c>
      <c r="AA2097" s="104" t="s">
        <v>1960</v>
      </c>
      <c r="AB2097" s="105">
        <v>46078.025</v>
      </c>
      <c r="AC2097" s="105">
        <v>46078.236805555556</v>
      </c>
    </row>
    <row r="2098" s="70" customFormat="1" ht="11.25" customHeight="1">
      <c r="A2098" s="87"/>
      <c r="C2098" s="43" t="s">
        <v>3733</v>
      </c>
      <c r="D2098" s="71" t="s">
        <v>382</v>
      </c>
      <c r="E2098" s="71" t="str">
        <f>MID(D2098,1,2)</f>
        <v>IL</v>
      </c>
      <c r="F2098" s="71" t="s">
        <v>514</v>
      </c>
      <c r="G2098" s="71" t="str">
        <f>MID(F2098,1,2)</f>
        <v>US</v>
      </c>
      <c r="H2098" s="43" t="s">
        <v>3734</v>
      </c>
      <c r="I2098" s="71" t="s">
        <v>3735</v>
      </c>
      <c r="J2098" s="71" t="s">
        <v>755</v>
      </c>
      <c r="K2098" s="43"/>
      <c r="L2098" s="71" t="s">
        <v>105</v>
      </c>
      <c r="M2098" s="73">
        <v>81</v>
      </c>
      <c r="N2098" s="71" t="s">
        <v>388</v>
      </c>
      <c r="O2098" s="73">
        <v>1.243</v>
      </c>
      <c r="P2098" s="71" t="s">
        <v>389</v>
      </c>
      <c r="Q2098" s="73">
        <v>207.5</v>
      </c>
      <c r="R2098" s="71" t="s">
        <v>388</v>
      </c>
      <c r="S2098" s="73">
        <v>0</v>
      </c>
      <c r="T2098" s="71" t="s">
        <v>390</v>
      </c>
      <c r="U2098" s="74">
        <v>1</v>
      </c>
      <c r="V2098" s="71" t="s">
        <v>391</v>
      </c>
      <c r="W2098" s="130">
        <v>46076.59097222222</v>
      </c>
      <c r="X2098" s="72">
        <v>46077.995833333334</v>
      </c>
      <c r="Y2098" s="72">
        <v>46083.5</v>
      </c>
      <c r="Z2098" s="104" t="s">
        <v>1960</v>
      </c>
      <c r="AA2098" s="104" t="s">
        <v>443</v>
      </c>
      <c r="AB2098" s="105">
        <v>46079.442361111112</v>
      </c>
      <c r="AC2098" s="105">
        <v>46079.540277777778</v>
      </c>
    </row>
    <row r="2099" s="70" customFormat="1" ht="11.25" customHeight="1">
      <c r="A2099" s="87"/>
      <c r="C2099" s="43" t="s">
        <v>3733</v>
      </c>
      <c r="D2099" s="71" t="s">
        <v>382</v>
      </c>
      <c r="E2099" s="71" t="str">
        <f>MID(D2099,1,2)</f>
        <v>IL</v>
      </c>
      <c r="F2099" s="71" t="s">
        <v>514</v>
      </c>
      <c r="G2099" s="71" t="str">
        <f>MID(F2099,1,2)</f>
        <v>US</v>
      </c>
      <c r="H2099" s="43" t="s">
        <v>3734</v>
      </c>
      <c r="I2099" s="71" t="s">
        <v>3735</v>
      </c>
      <c r="J2099" s="71" t="s">
        <v>755</v>
      </c>
      <c r="K2099" s="43"/>
      <c r="L2099" s="71" t="s">
        <v>105</v>
      </c>
      <c r="M2099" s="73">
        <v>81</v>
      </c>
      <c r="N2099" s="71" t="s">
        <v>388</v>
      </c>
      <c r="O2099" s="73">
        <v>1.243</v>
      </c>
      <c r="P2099" s="71" t="s">
        <v>389</v>
      </c>
      <c r="Q2099" s="73">
        <v>207.5</v>
      </c>
      <c r="R2099" s="71" t="s">
        <v>388</v>
      </c>
      <c r="S2099" s="73">
        <v>0</v>
      </c>
      <c r="T2099" s="71" t="s">
        <v>390</v>
      </c>
      <c r="U2099" s="74">
        <v>1</v>
      </c>
      <c r="V2099" s="71" t="s">
        <v>391</v>
      </c>
      <c r="W2099" s="130">
        <v>46076.59097222222</v>
      </c>
      <c r="X2099" s="72">
        <v>46077.995833333334</v>
      </c>
      <c r="Y2099" s="72">
        <v>46083.5</v>
      </c>
      <c r="Z2099" s="104" t="s">
        <v>443</v>
      </c>
      <c r="AA2099" s="104" t="s">
        <v>514</v>
      </c>
      <c r="AB2099" s="105">
        <v>46079.879861111112</v>
      </c>
      <c r="AC2099" s="105">
        <v>46083.295138888891</v>
      </c>
    </row>
    <row r="2100" s="70" customFormat="1" ht="11.25" customHeight="1">
      <c r="A2100" s="87"/>
      <c r="C2100" s="43" t="s">
        <v>3736</v>
      </c>
      <c r="D2100" s="71" t="s">
        <v>382</v>
      </c>
      <c r="E2100" s="71" t="str">
        <f>MID(D2100,1,2)</f>
        <v>IL</v>
      </c>
      <c r="F2100" s="71" t="s">
        <v>414</v>
      </c>
      <c r="G2100" s="71" t="str">
        <f>MID(F2100,1,2)</f>
        <v>US</v>
      </c>
      <c r="H2100" s="43" t="s">
        <v>3737</v>
      </c>
      <c r="I2100" s="71"/>
      <c r="J2100" s="71" t="s">
        <v>426</v>
      </c>
      <c r="K2100" s="43"/>
      <c r="L2100" s="71" t="s">
        <v>105</v>
      </c>
      <c r="M2100" s="73">
        <v>4117</v>
      </c>
      <c r="N2100" s="71" t="s">
        <v>388</v>
      </c>
      <c r="O2100" s="73">
        <v>17.748</v>
      </c>
      <c r="P2100" s="71" t="s">
        <v>389</v>
      </c>
      <c r="Q2100" s="73">
        <v>4117</v>
      </c>
      <c r="R2100" s="71" t="s">
        <v>388</v>
      </c>
      <c r="S2100" s="73">
        <v>0</v>
      </c>
      <c r="T2100" s="71" t="s">
        <v>390</v>
      </c>
      <c r="U2100" s="74">
        <v>12</v>
      </c>
      <c r="V2100" s="71" t="s">
        <v>391</v>
      </c>
      <c r="W2100" s="130">
        <v>46076.611111111109</v>
      </c>
      <c r="X2100" s="72">
        <v>46079.003472222219</v>
      </c>
      <c r="Y2100" s="72">
        <v>46079.249305555553</v>
      </c>
      <c r="Z2100" s="104" t="s">
        <v>382</v>
      </c>
      <c r="AA2100" s="104" t="s">
        <v>414</v>
      </c>
      <c r="AB2100" s="105">
        <v>46079.035416666666</v>
      </c>
      <c r="AC2100" s="105">
        <v>46079.241666666669</v>
      </c>
    </row>
    <row r="2101" s="70" customFormat="1" ht="11.25" customHeight="1">
      <c r="A2101" s="87"/>
      <c r="C2101" s="43" t="s">
        <v>3738</v>
      </c>
      <c r="D2101" s="71" t="s">
        <v>382</v>
      </c>
      <c r="E2101" s="71" t="str">
        <f>MID(D2101,1,2)</f>
        <v>IL</v>
      </c>
      <c r="F2101" s="71" t="s">
        <v>2383</v>
      </c>
      <c r="G2101" s="71" t="str">
        <f>MID(F2101,1,2)</f>
        <v>SE</v>
      </c>
      <c r="H2101" s="43" t="s">
        <v>3739</v>
      </c>
      <c r="I2101" s="71" t="s">
        <v>3740</v>
      </c>
      <c r="J2101" s="71" t="s">
        <v>454</v>
      </c>
      <c r="K2101" s="43"/>
      <c r="L2101" s="71" t="s">
        <v>107</v>
      </c>
      <c r="M2101" s="73">
        <v>593</v>
      </c>
      <c r="N2101" s="71" t="s">
        <v>388</v>
      </c>
      <c r="O2101" s="73">
        <v>5.775</v>
      </c>
      <c r="P2101" s="71" t="s">
        <v>389</v>
      </c>
      <c r="Q2101" s="73">
        <v>962.5</v>
      </c>
      <c r="R2101" s="71" t="s">
        <v>388</v>
      </c>
      <c r="S2101" s="73">
        <v>0</v>
      </c>
      <c r="T2101" s="71" t="s">
        <v>390</v>
      </c>
      <c r="U2101" s="74">
        <v>5</v>
      </c>
      <c r="V2101" s="71" t="s">
        <v>391</v>
      </c>
      <c r="W2101" s="130">
        <v>46078.590046296296</v>
      </c>
      <c r="X2101" s="72">
        <v>46077.556944444441</v>
      </c>
      <c r="Y2101" s="72">
        <v>46083.770833333336</v>
      </c>
      <c r="Z2101" s="104" t="s">
        <v>382</v>
      </c>
      <c r="AA2101" s="104" t="s">
        <v>383</v>
      </c>
      <c r="AB2101" s="105">
        <v>46080.56527777778</v>
      </c>
      <c r="AC2101" s="105">
        <v>46080.703472222223</v>
      </c>
    </row>
    <row r="2102" s="70" customFormat="1" ht="11.25" customHeight="1">
      <c r="A2102" s="87"/>
      <c r="C2102" s="43" t="s">
        <v>3738</v>
      </c>
      <c r="D2102" s="71" t="s">
        <v>382</v>
      </c>
      <c r="E2102" s="71" t="str">
        <f>MID(D2102,1,2)</f>
        <v>IL</v>
      </c>
      <c r="F2102" s="71" t="s">
        <v>2383</v>
      </c>
      <c r="G2102" s="71" t="str">
        <f>MID(F2102,1,2)</f>
        <v>SE</v>
      </c>
      <c r="H2102" s="43" t="s">
        <v>3739</v>
      </c>
      <c r="I2102" s="71" t="s">
        <v>3740</v>
      </c>
      <c r="J2102" s="71" t="s">
        <v>454</v>
      </c>
      <c r="K2102" s="43"/>
      <c r="L2102" s="71" t="s">
        <v>107</v>
      </c>
      <c r="M2102" s="73">
        <v>593</v>
      </c>
      <c r="N2102" s="71" t="s">
        <v>388</v>
      </c>
      <c r="O2102" s="73">
        <v>5.775</v>
      </c>
      <c r="P2102" s="71" t="s">
        <v>389</v>
      </c>
      <c r="Q2102" s="73">
        <v>962.5</v>
      </c>
      <c r="R2102" s="71" t="s">
        <v>388</v>
      </c>
      <c r="S2102" s="73">
        <v>0</v>
      </c>
      <c r="T2102" s="71" t="s">
        <v>390</v>
      </c>
      <c r="U2102" s="74">
        <v>5</v>
      </c>
      <c r="V2102" s="71" t="s">
        <v>391</v>
      </c>
      <c r="W2102" s="130">
        <v>46078.590046296296</v>
      </c>
      <c r="X2102" s="72">
        <v>46077.556944444441</v>
      </c>
      <c r="Y2102" s="72">
        <v>46083.770833333336</v>
      </c>
      <c r="Z2102" s="104" t="s">
        <v>383</v>
      </c>
      <c r="AA2102" s="104" t="s">
        <v>2383</v>
      </c>
      <c r="AB2102" s="105">
        <v>46082.463194444441</v>
      </c>
      <c r="AC2102" s="105">
        <v>46083.895833333336</v>
      </c>
    </row>
    <row r="2103" s="70" customFormat="1" ht="11.25" customHeight="1">
      <c r="A2103" s="87"/>
      <c r="C2103" s="43" t="s">
        <v>3741</v>
      </c>
      <c r="D2103" s="71" t="s">
        <v>382</v>
      </c>
      <c r="E2103" s="71" t="str">
        <f>MID(D2103,1,2)</f>
        <v>IL</v>
      </c>
      <c r="F2103" s="71" t="s">
        <v>774</v>
      </c>
      <c r="G2103" s="71" t="str">
        <f>MID(F2103,1,2)</f>
        <v>CN</v>
      </c>
      <c r="H2103" s="43" t="s">
        <v>3588</v>
      </c>
      <c r="I2103" s="71" t="s">
        <v>3742</v>
      </c>
      <c r="J2103" s="71" t="s">
        <v>755</v>
      </c>
      <c r="K2103" s="43"/>
      <c r="L2103" s="71" t="s">
        <v>105</v>
      </c>
      <c r="M2103" s="73">
        <v>1</v>
      </c>
      <c r="N2103" s="71" t="s">
        <v>388</v>
      </c>
      <c r="O2103" s="73">
        <v>0.012</v>
      </c>
      <c r="P2103" s="71" t="s">
        <v>389</v>
      </c>
      <c r="Q2103" s="73">
        <v>2</v>
      </c>
      <c r="R2103" s="71" t="s">
        <v>388</v>
      </c>
      <c r="S2103" s="73">
        <v>0</v>
      </c>
      <c r="T2103" s="71" t="s">
        <v>390</v>
      </c>
      <c r="U2103" s="74">
        <v>1</v>
      </c>
      <c r="V2103" s="71" t="s">
        <v>391</v>
      </c>
      <c r="W2103" s="130">
        <v>46076.624120370368</v>
      </c>
      <c r="X2103" s="72">
        <v>46077.576388888891</v>
      </c>
      <c r="Y2103" s="72">
        <v>46079.305555555555</v>
      </c>
      <c r="Z2103" s="104" t="s">
        <v>382</v>
      </c>
      <c r="AA2103" s="104" t="s">
        <v>383</v>
      </c>
      <c r="AB2103" s="105">
        <v>46077.563194444447</v>
      </c>
      <c r="AC2103" s="105">
        <v>46077.720138888886</v>
      </c>
    </row>
    <row r="2104" s="70" customFormat="1" ht="11.25" customHeight="1">
      <c r="A2104" s="87"/>
      <c r="C2104" s="43" t="s">
        <v>3741</v>
      </c>
      <c r="D2104" s="71" t="s">
        <v>382</v>
      </c>
      <c r="E2104" s="71" t="str">
        <f>MID(D2104,1,2)</f>
        <v>IL</v>
      </c>
      <c r="F2104" s="71" t="s">
        <v>774</v>
      </c>
      <c r="G2104" s="71" t="str">
        <f>MID(F2104,1,2)</f>
        <v>CN</v>
      </c>
      <c r="H2104" s="43" t="s">
        <v>3588</v>
      </c>
      <c r="I2104" s="71" t="s">
        <v>3742</v>
      </c>
      <c r="J2104" s="71" t="s">
        <v>755</v>
      </c>
      <c r="K2104" s="43"/>
      <c r="L2104" s="71" t="s">
        <v>105</v>
      </c>
      <c r="M2104" s="73">
        <v>1</v>
      </c>
      <c r="N2104" s="71" t="s">
        <v>388</v>
      </c>
      <c r="O2104" s="73">
        <v>0.012</v>
      </c>
      <c r="P2104" s="71" t="s">
        <v>389</v>
      </c>
      <c r="Q2104" s="73">
        <v>2</v>
      </c>
      <c r="R2104" s="71" t="s">
        <v>388</v>
      </c>
      <c r="S2104" s="73">
        <v>0</v>
      </c>
      <c r="T2104" s="71" t="s">
        <v>390</v>
      </c>
      <c r="U2104" s="74">
        <v>1</v>
      </c>
      <c r="V2104" s="71" t="s">
        <v>391</v>
      </c>
      <c r="W2104" s="130">
        <v>46076.624120370368</v>
      </c>
      <c r="X2104" s="72">
        <v>46077.576388888891</v>
      </c>
      <c r="Y2104" s="72">
        <v>46079.305555555555</v>
      </c>
      <c r="Z2104" s="104" t="s">
        <v>383</v>
      </c>
      <c r="AA2104" s="104" t="s">
        <v>774</v>
      </c>
      <c r="AB2104" s="105">
        <v>46078.509722222225</v>
      </c>
      <c r="AC2104" s="105">
        <v>46079.265277777777</v>
      </c>
    </row>
    <row r="2105" s="70" customFormat="1" ht="11.25" customHeight="1">
      <c r="A2105" s="87"/>
      <c r="C2105" s="43" t="s">
        <v>3743</v>
      </c>
      <c r="D2105" s="71" t="s">
        <v>382</v>
      </c>
      <c r="E2105" s="71" t="str">
        <f>MID(D2105,1,2)</f>
        <v>IL</v>
      </c>
      <c r="F2105" s="71" t="s">
        <v>414</v>
      </c>
      <c r="G2105" s="71" t="str">
        <f>MID(F2105,1,2)</f>
        <v>US</v>
      </c>
      <c r="H2105" s="43" t="s">
        <v>3396</v>
      </c>
      <c r="I2105" s="71" t="s">
        <v>3744</v>
      </c>
      <c r="J2105" s="71" t="s">
        <v>426</v>
      </c>
      <c r="K2105" s="43" t="s">
        <v>431</v>
      </c>
      <c r="L2105" s="71" t="s">
        <v>105</v>
      </c>
      <c r="M2105" s="73">
        <v>7</v>
      </c>
      <c r="N2105" s="71" t="s">
        <v>388</v>
      </c>
      <c r="O2105" s="73">
        <v>0.092</v>
      </c>
      <c r="P2105" s="71" t="s">
        <v>389</v>
      </c>
      <c r="Q2105" s="73">
        <v>15.5</v>
      </c>
      <c r="R2105" s="71" t="s">
        <v>388</v>
      </c>
      <c r="S2105" s="73">
        <v>0</v>
      </c>
      <c r="T2105" s="71" t="s">
        <v>390</v>
      </c>
      <c r="U2105" s="74">
        <v>1</v>
      </c>
      <c r="V2105" s="71" t="s">
        <v>427</v>
      </c>
      <c r="W2105" s="130">
        <v>46076.576388888891</v>
      </c>
      <c r="X2105" s="72">
        <v>46078.03125</v>
      </c>
      <c r="Y2105" s="72">
        <v>46078.24375</v>
      </c>
      <c r="Z2105" s="104" t="s">
        <v>382</v>
      </c>
      <c r="AA2105" s="104" t="s">
        <v>414</v>
      </c>
      <c r="AB2105" s="105">
        <v>46078.040277777778</v>
      </c>
      <c r="AC2105" s="105">
        <v>46078.234027777777</v>
      </c>
    </row>
    <row r="2106" s="70" customFormat="1" ht="11.25" customHeight="1">
      <c r="A2106" s="87"/>
      <c r="C2106" s="43" t="s">
        <v>3745</v>
      </c>
      <c r="D2106" s="71" t="s">
        <v>382</v>
      </c>
      <c r="E2106" s="71" t="str">
        <f>MID(D2106,1,2)</f>
        <v>IL</v>
      </c>
      <c r="F2106" s="71" t="s">
        <v>496</v>
      </c>
      <c r="G2106" s="71" t="str">
        <f>MID(F2106,1,2)</f>
        <v>RO</v>
      </c>
      <c r="H2106" s="43" t="s">
        <v>3746</v>
      </c>
      <c r="I2106" s="71" t="s">
        <v>3747</v>
      </c>
      <c r="J2106" s="71" t="s">
        <v>400</v>
      </c>
      <c r="K2106" s="43"/>
      <c r="L2106" s="71" t="s">
        <v>105</v>
      </c>
      <c r="M2106" s="73">
        <v>80</v>
      </c>
      <c r="N2106" s="71" t="s">
        <v>388</v>
      </c>
      <c r="O2106" s="73">
        <v>0.25</v>
      </c>
      <c r="P2106" s="71" t="s">
        <v>389</v>
      </c>
      <c r="Q2106" s="73">
        <v>80</v>
      </c>
      <c r="R2106" s="71" t="s">
        <v>388</v>
      </c>
      <c r="S2106" s="73">
        <v>0</v>
      </c>
      <c r="T2106" s="71" t="s">
        <v>390</v>
      </c>
      <c r="U2106" s="74">
        <v>1</v>
      </c>
      <c r="V2106" s="71" t="s">
        <v>391</v>
      </c>
      <c r="W2106" s="130">
        <v>46076.878472222219</v>
      </c>
      <c r="X2106" s="72">
        <v>46079.013888888891</v>
      </c>
      <c r="Y2106" s="72">
        <v>46079.128472222219</v>
      </c>
      <c r="Z2106" s="104" t="s">
        <v>382</v>
      </c>
      <c r="AA2106" s="104" t="s">
        <v>496</v>
      </c>
      <c r="AB2106" s="105">
        <v>46079.013888888891</v>
      </c>
      <c r="AC2106" s="105">
        <v>46079.138888888891</v>
      </c>
    </row>
    <row r="2107" s="70" customFormat="1" ht="11.25" customHeight="1">
      <c r="A2107" s="87"/>
      <c r="C2107" s="43" t="s">
        <v>3748</v>
      </c>
      <c r="D2107" s="71" t="s">
        <v>382</v>
      </c>
      <c r="E2107" s="71" t="str">
        <f>MID(D2107,1,2)</f>
        <v>IL</v>
      </c>
      <c r="F2107" s="71" t="s">
        <v>496</v>
      </c>
      <c r="G2107" s="71" t="str">
        <f>MID(F2107,1,2)</f>
        <v>RO</v>
      </c>
      <c r="H2107" s="43" t="s">
        <v>3749</v>
      </c>
      <c r="I2107" s="71" t="s">
        <v>3750</v>
      </c>
      <c r="J2107" s="71" t="s">
        <v>400</v>
      </c>
      <c r="K2107" s="43"/>
      <c r="L2107" s="71" t="s">
        <v>105</v>
      </c>
      <c r="M2107" s="73">
        <v>117</v>
      </c>
      <c r="N2107" s="71" t="s">
        <v>388</v>
      </c>
      <c r="O2107" s="73">
        <v>1.586</v>
      </c>
      <c r="P2107" s="71" t="s">
        <v>389</v>
      </c>
      <c r="Q2107" s="73">
        <v>264.5</v>
      </c>
      <c r="R2107" s="71" t="s">
        <v>388</v>
      </c>
      <c r="S2107" s="73">
        <v>0</v>
      </c>
      <c r="T2107" s="71" t="s">
        <v>390</v>
      </c>
      <c r="U2107" s="74">
        <v>2</v>
      </c>
      <c r="V2107" s="71" t="s">
        <v>391</v>
      </c>
      <c r="W2107" s="130">
        <v>46076.591666666667</v>
      </c>
      <c r="X2107" s="72">
        <v>46077.243055555555</v>
      </c>
      <c r="Y2107" s="72">
        <v>46078.359722222223</v>
      </c>
      <c r="Z2107" s="104" t="s">
        <v>382</v>
      </c>
      <c r="AA2107" s="104" t="s">
        <v>496</v>
      </c>
      <c r="AB2107" s="105">
        <v>46078.238888888889</v>
      </c>
      <c r="AC2107" s="105">
        <v>46078.347222222219</v>
      </c>
    </row>
    <row r="2108" s="70" customFormat="1" ht="11.25" customHeight="1">
      <c r="A2108" s="87"/>
      <c r="C2108" s="43" t="s">
        <v>3751</v>
      </c>
      <c r="D2108" s="71" t="s">
        <v>382</v>
      </c>
      <c r="E2108" s="71" t="str">
        <f>MID(D2108,1,2)</f>
        <v>IL</v>
      </c>
      <c r="F2108" s="71" t="s">
        <v>496</v>
      </c>
      <c r="G2108" s="71" t="str">
        <f>MID(F2108,1,2)</f>
        <v>RO</v>
      </c>
      <c r="H2108" s="43" t="s">
        <v>3752</v>
      </c>
      <c r="I2108" s="71" t="s">
        <v>3753</v>
      </c>
      <c r="J2108" s="71" t="s">
        <v>400</v>
      </c>
      <c r="K2108" s="43"/>
      <c r="L2108" s="71" t="s">
        <v>105</v>
      </c>
      <c r="M2108" s="73">
        <v>1</v>
      </c>
      <c r="N2108" s="71" t="s">
        <v>388</v>
      </c>
      <c r="O2108" s="73">
        <v>0.009</v>
      </c>
      <c r="P2108" s="71" t="s">
        <v>389</v>
      </c>
      <c r="Q2108" s="73">
        <v>1.5</v>
      </c>
      <c r="R2108" s="71" t="s">
        <v>388</v>
      </c>
      <c r="S2108" s="73">
        <v>0</v>
      </c>
      <c r="T2108" s="71" t="s">
        <v>390</v>
      </c>
      <c r="U2108" s="74">
        <v>1</v>
      </c>
      <c r="V2108" s="71" t="s">
        <v>391</v>
      </c>
      <c r="W2108" s="130">
        <v>46076.597916666666</v>
      </c>
      <c r="X2108" s="72">
        <v>46078.013888888891</v>
      </c>
      <c r="Y2108" s="72">
        <v>46078.128472222219</v>
      </c>
      <c r="Z2108" s="104" t="s">
        <v>382</v>
      </c>
      <c r="AA2108" s="104" t="s">
        <v>496</v>
      </c>
      <c r="AB2108" s="105">
        <v>46078.013888888891</v>
      </c>
      <c r="AC2108" s="105">
        <v>46078.142361111109</v>
      </c>
    </row>
    <row r="2109" s="70" customFormat="1" ht="11.25" customHeight="1">
      <c r="A2109" s="87"/>
      <c r="C2109" s="43" t="s">
        <v>3754</v>
      </c>
      <c r="D2109" s="71" t="s">
        <v>1806</v>
      </c>
      <c r="E2109" s="71" t="str">
        <f>MID(D2109,1,2)</f>
        <v>IL</v>
      </c>
      <c r="F2109" s="71" t="s">
        <v>1807</v>
      </c>
      <c r="G2109" s="71" t="str">
        <f>MID(F2109,1,2)</f>
        <v>KZ</v>
      </c>
      <c r="H2109" s="43" t="s">
        <v>3755</v>
      </c>
      <c r="I2109" s="71" t="s">
        <v>3756</v>
      </c>
      <c r="J2109" s="71" t="s">
        <v>426</v>
      </c>
      <c r="K2109" s="43"/>
      <c r="L2109" s="71" t="s">
        <v>105</v>
      </c>
      <c r="M2109" s="73">
        <v>1150</v>
      </c>
      <c r="N2109" s="71" t="s">
        <v>388</v>
      </c>
      <c r="O2109" s="73">
        <v>3.091</v>
      </c>
      <c r="P2109" s="71" t="s">
        <v>389</v>
      </c>
      <c r="Q2109" s="73">
        <v>1150</v>
      </c>
      <c r="R2109" s="71" t="s">
        <v>388</v>
      </c>
      <c r="S2109" s="73">
        <v>0</v>
      </c>
      <c r="T2109" s="71" t="s">
        <v>390</v>
      </c>
      <c r="U2109" s="74">
        <v>50</v>
      </c>
      <c r="V2109" s="71" t="s">
        <v>391</v>
      </c>
      <c r="W2109" s="130"/>
      <c r="X2109" s="72">
        <v>46077.593055555553</v>
      </c>
      <c r="Y2109" s="72">
        <v>46078.593055555553</v>
      </c>
      <c r="Z2109" s="104" t="s">
        <v>1806</v>
      </c>
      <c r="AA2109" s="104" t="s">
        <v>1807</v>
      </c>
      <c r="AB2109" s="105"/>
      <c r="AC2109" s="105"/>
    </row>
    <row r="2110" s="70" customFormat="1" ht="11.25" customHeight="1">
      <c r="A2110" s="87"/>
      <c r="C2110" s="43" t="s">
        <v>3757</v>
      </c>
      <c r="D2110" s="71" t="s">
        <v>382</v>
      </c>
      <c r="E2110" s="71" t="str">
        <f>MID(D2110,1,2)</f>
        <v>IL</v>
      </c>
      <c r="F2110" s="71" t="s">
        <v>414</v>
      </c>
      <c r="G2110" s="71" t="str">
        <f>MID(F2110,1,2)</f>
        <v>US</v>
      </c>
      <c r="H2110" s="43" t="s">
        <v>3396</v>
      </c>
      <c r="I2110" s="71" t="s">
        <v>3758</v>
      </c>
      <c r="J2110" s="71" t="s">
        <v>386</v>
      </c>
      <c r="K2110" s="43" t="s">
        <v>431</v>
      </c>
      <c r="L2110" s="71" t="s">
        <v>107</v>
      </c>
      <c r="M2110" s="73">
        <v>90</v>
      </c>
      <c r="N2110" s="71" t="s">
        <v>388</v>
      </c>
      <c r="O2110" s="73">
        <v>0.888</v>
      </c>
      <c r="P2110" s="71" t="s">
        <v>389</v>
      </c>
      <c r="Q2110" s="73">
        <v>148</v>
      </c>
      <c r="R2110" s="71" t="s">
        <v>388</v>
      </c>
      <c r="S2110" s="73">
        <v>0</v>
      </c>
      <c r="T2110" s="71" t="s">
        <v>390</v>
      </c>
      <c r="U2110" s="74">
        <v>1</v>
      </c>
      <c r="V2110" s="71" t="s">
        <v>391</v>
      </c>
      <c r="W2110" s="130">
        <v>46076.597916666666</v>
      </c>
      <c r="X2110" s="72">
        <v>46078.03125</v>
      </c>
      <c r="Y2110" s="72">
        <v>46078.24375</v>
      </c>
      <c r="Z2110" s="104" t="s">
        <v>382</v>
      </c>
      <c r="AA2110" s="104" t="s">
        <v>414</v>
      </c>
      <c r="AB2110" s="105">
        <v>46078.040277777778</v>
      </c>
      <c r="AC2110" s="105">
        <v>46078.234027777777</v>
      </c>
    </row>
    <row r="2111" s="70" customFormat="1" ht="11.25" customHeight="1">
      <c r="A2111" s="87"/>
      <c r="C2111" s="43" t="s">
        <v>3759</v>
      </c>
      <c r="D2111" s="71" t="s">
        <v>382</v>
      </c>
      <c r="E2111" s="71" t="str">
        <f>MID(D2111,1,2)</f>
        <v>IL</v>
      </c>
      <c r="F2111" s="71" t="s">
        <v>577</v>
      </c>
      <c r="G2111" s="71" t="str">
        <f>MID(F2111,1,2)</f>
        <v>FR</v>
      </c>
      <c r="H2111" s="43" t="s">
        <v>3760</v>
      </c>
      <c r="I2111" s="71"/>
      <c r="J2111" s="71" t="s">
        <v>426</v>
      </c>
      <c r="K2111" s="43"/>
      <c r="L2111" s="71" t="s">
        <v>105</v>
      </c>
      <c r="M2111" s="73">
        <v>76</v>
      </c>
      <c r="N2111" s="71" t="s">
        <v>388</v>
      </c>
      <c r="O2111" s="73">
        <v>0.606</v>
      </c>
      <c r="P2111" s="71" t="s">
        <v>389</v>
      </c>
      <c r="Q2111" s="73">
        <v>101</v>
      </c>
      <c r="R2111" s="71" t="s">
        <v>388</v>
      </c>
      <c r="S2111" s="73">
        <v>0</v>
      </c>
      <c r="T2111" s="71" t="s">
        <v>390</v>
      </c>
      <c r="U2111" s="74">
        <v>1</v>
      </c>
      <c r="V2111" s="71" t="s">
        <v>391</v>
      </c>
      <c r="W2111" s="130"/>
      <c r="X2111" s="72">
        <v>46079.663194444445</v>
      </c>
      <c r="Y2111" s="72">
        <v>46079.819444444445</v>
      </c>
      <c r="Z2111" s="104" t="s">
        <v>382</v>
      </c>
      <c r="AA2111" s="104" t="s">
        <v>577</v>
      </c>
      <c r="AB2111" s="105">
        <v>46079.661111111112</v>
      </c>
      <c r="AC2111" s="105">
        <v>46079.818055555559</v>
      </c>
    </row>
    <row r="2112" s="70" customFormat="1" ht="11.25" customHeight="1">
      <c r="A2112" s="87"/>
      <c r="C2112" s="43" t="s">
        <v>3761</v>
      </c>
      <c r="D2112" s="71" t="s">
        <v>382</v>
      </c>
      <c r="E2112" s="71" t="str">
        <f>MID(D2112,1,2)</f>
        <v>IL</v>
      </c>
      <c r="F2112" s="71" t="s">
        <v>405</v>
      </c>
      <c r="G2112" s="71" t="str">
        <f>MID(F2112,1,2)</f>
        <v>CA</v>
      </c>
      <c r="H2112" s="43" t="s">
        <v>3762</v>
      </c>
      <c r="I2112" s="71" t="s">
        <v>3763</v>
      </c>
      <c r="J2112" s="71" t="s">
        <v>386</v>
      </c>
      <c r="K2112" s="43"/>
      <c r="L2112" s="71" t="s">
        <v>107</v>
      </c>
      <c r="M2112" s="73">
        <v>122</v>
      </c>
      <c r="N2112" s="71" t="s">
        <v>388</v>
      </c>
      <c r="O2112" s="73">
        <v>0.256</v>
      </c>
      <c r="P2112" s="71" t="s">
        <v>389</v>
      </c>
      <c r="Q2112" s="73">
        <v>122</v>
      </c>
      <c r="R2112" s="71" t="s">
        <v>388</v>
      </c>
      <c r="S2112" s="73">
        <v>0</v>
      </c>
      <c r="T2112" s="71" t="s">
        <v>390</v>
      </c>
      <c r="U2112" s="74">
        <v>2</v>
      </c>
      <c r="V2112" s="71" t="s">
        <v>417</v>
      </c>
      <c r="W2112" s="130">
        <v>46076.625694444447</v>
      </c>
      <c r="X2112" s="72">
        <v>46077.458333333336</v>
      </c>
      <c r="Y2112" s="72">
        <v>46077.711805555555</v>
      </c>
      <c r="Z2112" s="104" t="s">
        <v>382</v>
      </c>
      <c r="AA2112" s="104" t="s">
        <v>405</v>
      </c>
      <c r="AB2112" s="105">
        <v>46077.492361111108</v>
      </c>
      <c r="AC2112" s="105">
        <v>46077.722916666666</v>
      </c>
    </row>
    <row r="2113" s="70" customFormat="1" ht="11.25" customHeight="1">
      <c r="A2113" s="87"/>
      <c r="C2113" s="43" t="s">
        <v>3764</v>
      </c>
      <c r="D2113" s="71" t="s">
        <v>382</v>
      </c>
      <c r="E2113" s="71" t="str">
        <f>MID(D2113,1,2)</f>
        <v>IL</v>
      </c>
      <c r="F2113" s="71" t="s">
        <v>774</v>
      </c>
      <c r="G2113" s="71" t="str">
        <f>MID(F2113,1,2)</f>
        <v>CN</v>
      </c>
      <c r="H2113" s="43" t="s">
        <v>3765</v>
      </c>
      <c r="I2113" s="71" t="s">
        <v>3766</v>
      </c>
      <c r="J2113" s="71" t="s">
        <v>755</v>
      </c>
      <c r="K2113" s="43"/>
      <c r="L2113" s="71" t="s">
        <v>105</v>
      </c>
      <c r="M2113" s="73">
        <v>101</v>
      </c>
      <c r="N2113" s="71" t="s">
        <v>388</v>
      </c>
      <c r="O2113" s="73">
        <v>1.632</v>
      </c>
      <c r="P2113" s="71" t="s">
        <v>389</v>
      </c>
      <c r="Q2113" s="73">
        <v>272</v>
      </c>
      <c r="R2113" s="71" t="s">
        <v>388</v>
      </c>
      <c r="S2113" s="73">
        <v>0</v>
      </c>
      <c r="T2113" s="71" t="s">
        <v>390</v>
      </c>
      <c r="U2113" s="74">
        <v>1</v>
      </c>
      <c r="V2113" s="71" t="s">
        <v>391</v>
      </c>
      <c r="W2113" s="130">
        <v>46077.63821759259</v>
      </c>
      <c r="X2113" s="72">
        <v>46086.43472222222</v>
      </c>
      <c r="Y2113" s="72">
        <v>46092.972222222219</v>
      </c>
      <c r="Z2113" s="104" t="s">
        <v>382</v>
      </c>
      <c r="AA2113" s="104" t="s">
        <v>1117</v>
      </c>
      <c r="AB2113" s="105">
        <v>46087.102083333331</v>
      </c>
      <c r="AC2113" s="105">
        <v>46087.234722222223</v>
      </c>
    </row>
    <row r="2114" s="70" customFormat="1" ht="11.25" customHeight="1">
      <c r="A2114" s="87"/>
      <c r="C2114" s="43" t="s">
        <v>3764</v>
      </c>
      <c r="D2114" s="71" t="s">
        <v>382</v>
      </c>
      <c r="E2114" s="71" t="str">
        <f>MID(D2114,1,2)</f>
        <v>IL</v>
      </c>
      <c r="F2114" s="71" t="s">
        <v>774</v>
      </c>
      <c r="G2114" s="71" t="str">
        <f>MID(F2114,1,2)</f>
        <v>CN</v>
      </c>
      <c r="H2114" s="43" t="s">
        <v>3765</v>
      </c>
      <c r="I2114" s="71" t="s">
        <v>3766</v>
      </c>
      <c r="J2114" s="71" t="s">
        <v>755</v>
      </c>
      <c r="K2114" s="43"/>
      <c r="L2114" s="71" t="s">
        <v>105</v>
      </c>
      <c r="M2114" s="73">
        <v>101</v>
      </c>
      <c r="N2114" s="71" t="s">
        <v>388</v>
      </c>
      <c r="O2114" s="73">
        <v>1.632</v>
      </c>
      <c r="P2114" s="71" t="s">
        <v>389</v>
      </c>
      <c r="Q2114" s="73">
        <v>272</v>
      </c>
      <c r="R2114" s="71" t="s">
        <v>388</v>
      </c>
      <c r="S2114" s="73">
        <v>0</v>
      </c>
      <c r="T2114" s="71" t="s">
        <v>390</v>
      </c>
      <c r="U2114" s="74">
        <v>1</v>
      </c>
      <c r="V2114" s="71" t="s">
        <v>391</v>
      </c>
      <c r="W2114" s="130">
        <v>46077.63821759259</v>
      </c>
      <c r="X2114" s="72">
        <v>46086.43472222222</v>
      </c>
      <c r="Y2114" s="72">
        <v>46092.972222222219</v>
      </c>
      <c r="Z2114" s="104" t="s">
        <v>1117</v>
      </c>
      <c r="AA2114" s="104" t="s">
        <v>1538</v>
      </c>
      <c r="AB2114" s="105">
        <v>46090.821527777778</v>
      </c>
      <c r="AC2114" s="105"/>
    </row>
    <row r="2115" s="70" customFormat="1" ht="11.25" customHeight="1">
      <c r="A2115" s="87"/>
      <c r="C2115" s="43" t="s">
        <v>3764</v>
      </c>
      <c r="D2115" s="71" t="s">
        <v>382</v>
      </c>
      <c r="E2115" s="71" t="str">
        <f>MID(D2115,1,2)</f>
        <v>IL</v>
      </c>
      <c r="F2115" s="71" t="s">
        <v>774</v>
      </c>
      <c r="G2115" s="71" t="str">
        <f>MID(F2115,1,2)</f>
        <v>CN</v>
      </c>
      <c r="H2115" s="43" t="s">
        <v>3765</v>
      </c>
      <c r="I2115" s="71" t="s">
        <v>3766</v>
      </c>
      <c r="J2115" s="71" t="s">
        <v>755</v>
      </c>
      <c r="K2115" s="43"/>
      <c r="L2115" s="71" t="s">
        <v>105</v>
      </c>
      <c r="M2115" s="73">
        <v>101</v>
      </c>
      <c r="N2115" s="71" t="s">
        <v>388</v>
      </c>
      <c r="O2115" s="73">
        <v>1.632</v>
      </c>
      <c r="P2115" s="71" t="s">
        <v>389</v>
      </c>
      <c r="Q2115" s="73">
        <v>272</v>
      </c>
      <c r="R2115" s="71" t="s">
        <v>388</v>
      </c>
      <c r="S2115" s="73">
        <v>0</v>
      </c>
      <c r="T2115" s="71" t="s">
        <v>390</v>
      </c>
      <c r="U2115" s="74">
        <v>1</v>
      </c>
      <c r="V2115" s="71" t="s">
        <v>391</v>
      </c>
      <c r="W2115" s="130">
        <v>46077.63821759259</v>
      </c>
      <c r="X2115" s="72">
        <v>46086.43472222222</v>
      </c>
      <c r="Y2115" s="72">
        <v>46092.972222222219</v>
      </c>
      <c r="Z2115" s="104" t="s">
        <v>1538</v>
      </c>
      <c r="AA2115" s="104" t="s">
        <v>774</v>
      </c>
      <c r="AB2115" s="105">
        <v>46092.027083333334</v>
      </c>
      <c r="AC2115" s="105">
        <v>46092.143055555556</v>
      </c>
    </row>
    <row r="2116" s="70" customFormat="1" ht="11.25" customHeight="1">
      <c r="A2116" s="87"/>
      <c r="C2116" s="43" t="s">
        <v>3767</v>
      </c>
      <c r="D2116" s="71" t="s">
        <v>382</v>
      </c>
      <c r="E2116" s="71" t="str">
        <f>MID(D2116,1,2)</f>
        <v>IL</v>
      </c>
      <c r="F2116" s="71" t="s">
        <v>414</v>
      </c>
      <c r="G2116" s="71" t="str">
        <f>MID(F2116,1,2)</f>
        <v>US</v>
      </c>
      <c r="H2116" s="43" t="s">
        <v>3683</v>
      </c>
      <c r="I2116" s="71" t="s">
        <v>3768</v>
      </c>
      <c r="J2116" s="71" t="s">
        <v>426</v>
      </c>
      <c r="K2116" s="43" t="s">
        <v>759</v>
      </c>
      <c r="L2116" s="71" t="s">
        <v>105</v>
      </c>
      <c r="M2116" s="73">
        <v>540</v>
      </c>
      <c r="N2116" s="71" t="s">
        <v>388</v>
      </c>
      <c r="O2116" s="73">
        <v>5.775</v>
      </c>
      <c r="P2116" s="71" t="s">
        <v>389</v>
      </c>
      <c r="Q2116" s="73">
        <v>962.5</v>
      </c>
      <c r="R2116" s="71" t="s">
        <v>388</v>
      </c>
      <c r="S2116" s="73">
        <v>0</v>
      </c>
      <c r="T2116" s="71" t="s">
        <v>390</v>
      </c>
      <c r="U2116" s="74">
        <v>4</v>
      </c>
      <c r="V2116" s="71" t="s">
        <v>391</v>
      </c>
      <c r="W2116" s="130">
        <v>46076.611111111109</v>
      </c>
      <c r="X2116" s="72">
        <v>46080.03125</v>
      </c>
      <c r="Y2116" s="72">
        <v>46080.239583333336</v>
      </c>
      <c r="Z2116" s="104" t="s">
        <v>382</v>
      </c>
      <c r="AA2116" s="104" t="s">
        <v>414</v>
      </c>
      <c r="AB2116" s="105">
        <v>46080.027777777781</v>
      </c>
      <c r="AC2116" s="105">
        <v>46080.23125</v>
      </c>
    </row>
    <row r="2117" s="70" customFormat="1" ht="11.25" customHeight="1">
      <c r="A2117" s="87"/>
      <c r="C2117" s="43" t="s">
        <v>3769</v>
      </c>
      <c r="D2117" s="71" t="s">
        <v>382</v>
      </c>
      <c r="E2117" s="71" t="str">
        <f>MID(D2117,1,2)</f>
        <v>IL</v>
      </c>
      <c r="F2117" s="71" t="s">
        <v>405</v>
      </c>
      <c r="G2117" s="71" t="str">
        <f>MID(F2117,1,2)</f>
        <v>CA</v>
      </c>
      <c r="H2117" s="43" t="s">
        <v>3762</v>
      </c>
      <c r="I2117" s="71" t="s">
        <v>3770</v>
      </c>
      <c r="J2117" s="71" t="s">
        <v>386</v>
      </c>
      <c r="K2117" s="43"/>
      <c r="L2117" s="71" t="s">
        <v>107</v>
      </c>
      <c r="M2117" s="73">
        <v>214</v>
      </c>
      <c r="N2117" s="71" t="s">
        <v>388</v>
      </c>
      <c r="O2117" s="73">
        <v>0.417</v>
      </c>
      <c r="P2117" s="71" t="s">
        <v>389</v>
      </c>
      <c r="Q2117" s="73">
        <v>214</v>
      </c>
      <c r="R2117" s="71" t="s">
        <v>388</v>
      </c>
      <c r="S2117" s="73">
        <v>0</v>
      </c>
      <c r="T2117" s="71" t="s">
        <v>390</v>
      </c>
      <c r="U2117" s="74">
        <v>2</v>
      </c>
      <c r="V2117" s="71" t="s">
        <v>417</v>
      </c>
      <c r="W2117" s="130">
        <v>46076.632638888892</v>
      </c>
      <c r="X2117" s="72">
        <v>46077.496527777781</v>
      </c>
      <c r="Y2117" s="72">
        <v>46077.711805555555</v>
      </c>
      <c r="Z2117" s="104" t="s">
        <v>382</v>
      </c>
      <c r="AA2117" s="104" t="s">
        <v>405</v>
      </c>
      <c r="AB2117" s="105">
        <v>46077.492361111108</v>
      </c>
      <c r="AC2117" s="105">
        <v>46077.722916666666</v>
      </c>
    </row>
    <row r="2118" s="70" customFormat="1" ht="11.25" customHeight="1">
      <c r="A2118" s="87"/>
      <c r="C2118" s="43" t="s">
        <v>3771</v>
      </c>
      <c r="D2118" s="71" t="s">
        <v>382</v>
      </c>
      <c r="E2118" s="71" t="str">
        <f>MID(D2118,1,2)</f>
        <v>IL</v>
      </c>
      <c r="F2118" s="71" t="s">
        <v>1428</v>
      </c>
      <c r="G2118" s="71" t="str">
        <f>MID(F2118,1,2)</f>
        <v>PL</v>
      </c>
      <c r="H2118" s="43" t="s">
        <v>3477</v>
      </c>
      <c r="I2118" s="71" t="s">
        <v>3772</v>
      </c>
      <c r="J2118" s="71" t="s">
        <v>386</v>
      </c>
      <c r="K2118" s="43"/>
      <c r="L2118" s="71" t="s">
        <v>107</v>
      </c>
      <c r="M2118" s="73">
        <v>286</v>
      </c>
      <c r="N2118" s="71" t="s">
        <v>388</v>
      </c>
      <c r="O2118" s="73">
        <v>2.666</v>
      </c>
      <c r="P2118" s="71" t="s">
        <v>389</v>
      </c>
      <c r="Q2118" s="73">
        <v>444.5</v>
      </c>
      <c r="R2118" s="71" t="s">
        <v>388</v>
      </c>
      <c r="S2118" s="73">
        <v>0</v>
      </c>
      <c r="T2118" s="71" t="s">
        <v>390</v>
      </c>
      <c r="U2118" s="74">
        <v>2</v>
      </c>
      <c r="V2118" s="71" t="s">
        <v>391</v>
      </c>
      <c r="W2118" s="130">
        <v>46077.620868055557</v>
      </c>
      <c r="X2118" s="72">
        <v>46079.753472222219</v>
      </c>
      <c r="Y2118" s="72">
        <v>46086.25</v>
      </c>
      <c r="Z2118" s="104" t="s">
        <v>382</v>
      </c>
      <c r="AA2118" s="104" t="s">
        <v>748</v>
      </c>
      <c r="AB2118" s="105">
        <v>46079.638888888891</v>
      </c>
      <c r="AC2118" s="105"/>
    </row>
    <row r="2119" s="70" customFormat="1" ht="11.25" customHeight="1">
      <c r="A2119" s="87"/>
      <c r="C2119" s="43" t="s">
        <v>3771</v>
      </c>
      <c r="D2119" s="71" t="s">
        <v>382</v>
      </c>
      <c r="E2119" s="71" t="str">
        <f>MID(D2119,1,2)</f>
        <v>IL</v>
      </c>
      <c r="F2119" s="71" t="s">
        <v>1428</v>
      </c>
      <c r="G2119" s="71" t="str">
        <f>MID(F2119,1,2)</f>
        <v>PL</v>
      </c>
      <c r="H2119" s="43" t="s">
        <v>3477</v>
      </c>
      <c r="I2119" s="71" t="s">
        <v>3772</v>
      </c>
      <c r="J2119" s="71" t="s">
        <v>386</v>
      </c>
      <c r="K2119" s="43"/>
      <c r="L2119" s="71" t="s">
        <v>107</v>
      </c>
      <c r="M2119" s="73">
        <v>286</v>
      </c>
      <c r="N2119" s="71" t="s">
        <v>388</v>
      </c>
      <c r="O2119" s="73">
        <v>2.666</v>
      </c>
      <c r="P2119" s="71" t="s">
        <v>389</v>
      </c>
      <c r="Q2119" s="73">
        <v>444.5</v>
      </c>
      <c r="R2119" s="71" t="s">
        <v>388</v>
      </c>
      <c r="S2119" s="73">
        <v>0</v>
      </c>
      <c r="T2119" s="71" t="s">
        <v>390</v>
      </c>
      <c r="U2119" s="74">
        <v>2</v>
      </c>
      <c r="V2119" s="71" t="s">
        <v>391</v>
      </c>
      <c r="W2119" s="130">
        <v>46077.620868055557</v>
      </c>
      <c r="X2119" s="72">
        <v>46079.753472222219</v>
      </c>
      <c r="Y2119" s="72">
        <v>46086.25</v>
      </c>
      <c r="Z2119" s="104" t="s">
        <v>748</v>
      </c>
      <c r="AA2119" s="104" t="s">
        <v>383</v>
      </c>
      <c r="AB2119" s="105">
        <v>46080.185416666667</v>
      </c>
      <c r="AC2119" s="105">
        <v>46080.241666666669</v>
      </c>
    </row>
    <row r="2120" s="70" customFormat="1" ht="11.25" customHeight="1">
      <c r="A2120" s="87"/>
      <c r="C2120" s="43" t="s">
        <v>3771</v>
      </c>
      <c r="D2120" s="71" t="s">
        <v>382</v>
      </c>
      <c r="E2120" s="71" t="str">
        <f>MID(D2120,1,2)</f>
        <v>IL</v>
      </c>
      <c r="F2120" s="71" t="s">
        <v>1428</v>
      </c>
      <c r="G2120" s="71" t="str">
        <f>MID(F2120,1,2)</f>
        <v>PL</v>
      </c>
      <c r="H2120" s="43" t="s">
        <v>3477</v>
      </c>
      <c r="I2120" s="71" t="s">
        <v>3772</v>
      </c>
      <c r="J2120" s="71" t="s">
        <v>386</v>
      </c>
      <c r="K2120" s="43"/>
      <c r="L2120" s="71" t="s">
        <v>107</v>
      </c>
      <c r="M2120" s="73">
        <v>286</v>
      </c>
      <c r="N2120" s="71" t="s">
        <v>388</v>
      </c>
      <c r="O2120" s="73">
        <v>2.666</v>
      </c>
      <c r="P2120" s="71" t="s">
        <v>389</v>
      </c>
      <c r="Q2120" s="73">
        <v>444.5</v>
      </c>
      <c r="R2120" s="71" t="s">
        <v>388</v>
      </c>
      <c r="S2120" s="73">
        <v>0</v>
      </c>
      <c r="T2120" s="71" t="s">
        <v>390</v>
      </c>
      <c r="U2120" s="74">
        <v>2</v>
      </c>
      <c r="V2120" s="71" t="s">
        <v>391</v>
      </c>
      <c r="W2120" s="130">
        <v>46077.620868055557</v>
      </c>
      <c r="X2120" s="72">
        <v>46079.753472222219</v>
      </c>
      <c r="Y2120" s="72">
        <v>46086.25</v>
      </c>
      <c r="Z2120" s="104" t="s">
        <v>383</v>
      </c>
      <c r="AA2120" s="104" t="s">
        <v>1428</v>
      </c>
      <c r="AB2120" s="105">
        <v>46085.87222222222</v>
      </c>
      <c r="AC2120" s="105">
        <v>46086.25</v>
      </c>
    </row>
    <row r="2121" s="70" customFormat="1" ht="11.25" customHeight="1">
      <c r="A2121" s="87"/>
      <c r="C2121" s="43" t="s">
        <v>3773</v>
      </c>
      <c r="D2121" s="71" t="s">
        <v>382</v>
      </c>
      <c r="E2121" s="71" t="str">
        <f>MID(D2121,1,2)</f>
        <v>IL</v>
      </c>
      <c r="F2121" s="71" t="s">
        <v>496</v>
      </c>
      <c r="G2121" s="71" t="str">
        <f>MID(F2121,1,2)</f>
        <v>RO</v>
      </c>
      <c r="H2121" s="43" t="s">
        <v>3749</v>
      </c>
      <c r="I2121" s="71" t="s">
        <v>3774</v>
      </c>
      <c r="J2121" s="71" t="s">
        <v>400</v>
      </c>
      <c r="K2121" s="43"/>
      <c r="L2121" s="71" t="s">
        <v>105</v>
      </c>
      <c r="M2121" s="73">
        <v>72</v>
      </c>
      <c r="N2121" s="71" t="s">
        <v>388</v>
      </c>
      <c r="O2121" s="73">
        <v>1.05</v>
      </c>
      <c r="P2121" s="71" t="s">
        <v>389</v>
      </c>
      <c r="Q2121" s="73">
        <v>175</v>
      </c>
      <c r="R2121" s="71" t="s">
        <v>388</v>
      </c>
      <c r="S2121" s="73">
        <v>0</v>
      </c>
      <c r="T2121" s="71" t="s">
        <v>390</v>
      </c>
      <c r="U2121" s="74">
        <v>1</v>
      </c>
      <c r="V2121" s="71" t="s">
        <v>391</v>
      </c>
      <c r="W2121" s="130">
        <v>46076.871412037035</v>
      </c>
      <c r="X2121" s="72">
        <v>46077.243055555555</v>
      </c>
      <c r="Y2121" s="72">
        <v>46078.359722222223</v>
      </c>
      <c r="Z2121" s="104" t="s">
        <v>382</v>
      </c>
      <c r="AA2121" s="104" t="s">
        <v>496</v>
      </c>
      <c r="AB2121" s="105">
        <v>46078.238888888889</v>
      </c>
      <c r="AC2121" s="105">
        <v>46078.347222222219</v>
      </c>
    </row>
    <row r="2122" s="70" customFormat="1" ht="11.25" customHeight="1">
      <c r="A2122" s="87"/>
      <c r="C2122" s="43" t="s">
        <v>3775</v>
      </c>
      <c r="D2122" s="71" t="s">
        <v>382</v>
      </c>
      <c r="E2122" s="71" t="str">
        <f>MID(D2122,1,2)</f>
        <v>IL</v>
      </c>
      <c r="F2122" s="71" t="s">
        <v>414</v>
      </c>
      <c r="G2122" s="71" t="str">
        <f>MID(F2122,1,2)</f>
        <v>US</v>
      </c>
      <c r="H2122" s="43" t="s">
        <v>3776</v>
      </c>
      <c r="I2122" s="71" t="s">
        <v>3777</v>
      </c>
      <c r="J2122" s="71" t="s">
        <v>400</v>
      </c>
      <c r="K2122" s="43"/>
      <c r="L2122" s="71" t="s">
        <v>105</v>
      </c>
      <c r="M2122" s="73">
        <v>1230</v>
      </c>
      <c r="N2122" s="71" t="s">
        <v>388</v>
      </c>
      <c r="O2122" s="73">
        <v>3.765</v>
      </c>
      <c r="P2122" s="71" t="s">
        <v>389</v>
      </c>
      <c r="Q2122" s="73">
        <v>1230</v>
      </c>
      <c r="R2122" s="71" t="s">
        <v>388</v>
      </c>
      <c r="S2122" s="73">
        <v>0</v>
      </c>
      <c r="T2122" s="71" t="s">
        <v>390</v>
      </c>
      <c r="U2122" s="74">
        <v>2</v>
      </c>
      <c r="V2122" s="71" t="s">
        <v>391</v>
      </c>
      <c r="W2122" s="130">
        <v>46076.632638888892</v>
      </c>
      <c r="X2122" s="72">
        <v>46099.854166666664</v>
      </c>
      <c r="Y2122" s="72">
        <v>46100.302083333336</v>
      </c>
      <c r="Z2122" s="104" t="s">
        <v>382</v>
      </c>
      <c r="AA2122" s="104" t="s">
        <v>414</v>
      </c>
      <c r="AB2122" s="105">
        <v>46100.102083333331</v>
      </c>
      <c r="AC2122" s="105">
        <v>46100.31527777778</v>
      </c>
    </row>
    <row r="2123" s="70" customFormat="1" ht="11.25" customHeight="1">
      <c r="A2123" s="87"/>
      <c r="C2123" s="43" t="s">
        <v>3778</v>
      </c>
      <c r="D2123" s="71" t="s">
        <v>382</v>
      </c>
      <c r="E2123" s="71" t="str">
        <f>MID(D2123,1,2)</f>
        <v>IL</v>
      </c>
      <c r="F2123" s="71" t="s">
        <v>2453</v>
      </c>
      <c r="G2123" s="71" t="str">
        <f>MID(F2123,1,2)</f>
        <v>GE</v>
      </c>
      <c r="H2123" s="43" t="s">
        <v>3779</v>
      </c>
      <c r="I2123" s="71" t="s">
        <v>3780</v>
      </c>
      <c r="J2123" s="71" t="s">
        <v>400</v>
      </c>
      <c r="K2123" s="43"/>
      <c r="L2123" s="71" t="s">
        <v>105</v>
      </c>
      <c r="M2123" s="73">
        <v>17</v>
      </c>
      <c r="N2123" s="71" t="s">
        <v>388</v>
      </c>
      <c r="O2123" s="73">
        <v>0.354</v>
      </c>
      <c r="P2123" s="71" t="s">
        <v>389</v>
      </c>
      <c r="Q2123" s="73">
        <v>59</v>
      </c>
      <c r="R2123" s="71" t="s">
        <v>388</v>
      </c>
      <c r="S2123" s="73">
        <v>0</v>
      </c>
      <c r="T2123" s="71" t="s">
        <v>390</v>
      </c>
      <c r="U2123" s="74">
        <v>1</v>
      </c>
      <c r="V2123" s="71" t="s">
        <v>391</v>
      </c>
      <c r="W2123" s="130">
        <v>46076.646527777775</v>
      </c>
      <c r="X2123" s="72">
        <v>46077.229166666664</v>
      </c>
      <c r="Y2123" s="72">
        <v>46077.954861111109</v>
      </c>
      <c r="Z2123" s="104" t="s">
        <v>382</v>
      </c>
      <c r="AA2123" s="104" t="s">
        <v>2453</v>
      </c>
      <c r="AB2123" s="105">
        <v>46077.758333333331</v>
      </c>
      <c r="AC2123" s="105">
        <v>46077.942361111112</v>
      </c>
    </row>
    <row r="2124" s="70" customFormat="1" ht="11.25" customHeight="1">
      <c r="A2124" s="87"/>
      <c r="C2124" s="43" t="s">
        <v>3781</v>
      </c>
      <c r="D2124" s="71" t="s">
        <v>382</v>
      </c>
      <c r="E2124" s="71" t="str">
        <f>MID(D2124,1,2)</f>
        <v>IL</v>
      </c>
      <c r="F2124" s="71" t="s">
        <v>774</v>
      </c>
      <c r="G2124" s="71" t="str">
        <f>MID(F2124,1,2)</f>
        <v>CN</v>
      </c>
      <c r="H2124" s="43" t="s">
        <v>3782</v>
      </c>
      <c r="I2124" s="71" t="s">
        <v>3783</v>
      </c>
      <c r="J2124" s="71" t="s">
        <v>755</v>
      </c>
      <c r="K2124" s="43"/>
      <c r="L2124" s="71" t="s">
        <v>105</v>
      </c>
      <c r="M2124" s="73">
        <v>186</v>
      </c>
      <c r="N2124" s="71" t="s">
        <v>388</v>
      </c>
      <c r="O2124" s="73">
        <v>2.294</v>
      </c>
      <c r="P2124" s="71" t="s">
        <v>389</v>
      </c>
      <c r="Q2124" s="73">
        <v>382.5</v>
      </c>
      <c r="R2124" s="71" t="s">
        <v>388</v>
      </c>
      <c r="S2124" s="73">
        <v>0</v>
      </c>
      <c r="T2124" s="71" t="s">
        <v>390</v>
      </c>
      <c r="U2124" s="74">
        <v>2</v>
      </c>
      <c r="V2124" s="71" t="s">
        <v>391</v>
      </c>
      <c r="W2124" s="130">
        <v>46077.641770833332</v>
      </c>
      <c r="X2124" s="72">
        <v>46079.003472222219</v>
      </c>
      <c r="Y2124" s="72">
        <v>46087.305555555555</v>
      </c>
      <c r="Z2124" s="104" t="s">
        <v>382</v>
      </c>
      <c r="AA2124" s="104" t="s">
        <v>383</v>
      </c>
      <c r="AB2124" s="105">
        <v>46078.970138888886</v>
      </c>
      <c r="AC2124" s="105">
        <v>46079.282638888886</v>
      </c>
    </row>
    <row r="2125" s="70" customFormat="1" ht="11.25" customHeight="1">
      <c r="A2125" s="87"/>
      <c r="C2125" s="43" t="s">
        <v>3781</v>
      </c>
      <c r="D2125" s="71" t="s">
        <v>382</v>
      </c>
      <c r="E2125" s="71" t="str">
        <f>MID(D2125,1,2)</f>
        <v>IL</v>
      </c>
      <c r="F2125" s="71" t="s">
        <v>774</v>
      </c>
      <c r="G2125" s="71" t="str">
        <f>MID(F2125,1,2)</f>
        <v>CN</v>
      </c>
      <c r="H2125" s="43" t="s">
        <v>3782</v>
      </c>
      <c r="I2125" s="71" t="s">
        <v>3783</v>
      </c>
      <c r="J2125" s="71" t="s">
        <v>755</v>
      </c>
      <c r="K2125" s="43"/>
      <c r="L2125" s="71" t="s">
        <v>105</v>
      </c>
      <c r="M2125" s="73">
        <v>186</v>
      </c>
      <c r="N2125" s="71" t="s">
        <v>388</v>
      </c>
      <c r="O2125" s="73">
        <v>2.294</v>
      </c>
      <c r="P2125" s="71" t="s">
        <v>389</v>
      </c>
      <c r="Q2125" s="73">
        <v>382.5</v>
      </c>
      <c r="R2125" s="71" t="s">
        <v>388</v>
      </c>
      <c r="S2125" s="73">
        <v>0</v>
      </c>
      <c r="T2125" s="71" t="s">
        <v>390</v>
      </c>
      <c r="U2125" s="74">
        <v>2</v>
      </c>
      <c r="V2125" s="71" t="s">
        <v>391</v>
      </c>
      <c r="W2125" s="130">
        <v>46077.641770833332</v>
      </c>
      <c r="X2125" s="72">
        <v>46079.003472222219</v>
      </c>
      <c r="Y2125" s="72">
        <v>46087.305555555555</v>
      </c>
      <c r="Z2125" s="104" t="s">
        <v>383</v>
      </c>
      <c r="AA2125" s="104" t="s">
        <v>774</v>
      </c>
      <c r="AB2125" s="105">
        <v>46081.947916666664</v>
      </c>
      <c r="AC2125" s="105">
        <v>46082.005555555559</v>
      </c>
    </row>
    <row r="2126" s="70" customFormat="1" ht="11.25" customHeight="1">
      <c r="A2126" s="87"/>
      <c r="C2126" s="43" t="s">
        <v>3784</v>
      </c>
      <c r="D2126" s="71" t="s">
        <v>382</v>
      </c>
      <c r="E2126" s="71" t="str">
        <f>MID(D2126,1,2)</f>
        <v>IL</v>
      </c>
      <c r="F2126" s="71" t="s">
        <v>468</v>
      </c>
      <c r="G2126" s="71" t="str">
        <f>MID(F2126,1,2)</f>
        <v>US</v>
      </c>
      <c r="H2126" s="43" t="s">
        <v>3620</v>
      </c>
      <c r="I2126" s="71" t="s">
        <v>3785</v>
      </c>
      <c r="J2126" s="71" t="s">
        <v>386</v>
      </c>
      <c r="K2126" s="43"/>
      <c r="L2126" s="71" t="s">
        <v>107</v>
      </c>
      <c r="M2126" s="73">
        <v>7</v>
      </c>
      <c r="N2126" s="71" t="s">
        <v>388</v>
      </c>
      <c r="O2126" s="73">
        <v>0.061</v>
      </c>
      <c r="P2126" s="71" t="s">
        <v>389</v>
      </c>
      <c r="Q2126" s="73">
        <v>10.5</v>
      </c>
      <c r="R2126" s="71" t="s">
        <v>388</v>
      </c>
      <c r="S2126" s="73">
        <v>0</v>
      </c>
      <c r="T2126" s="71" t="s">
        <v>390</v>
      </c>
      <c r="U2126" s="74">
        <v>1</v>
      </c>
      <c r="V2126" s="71" t="s">
        <v>446</v>
      </c>
      <c r="W2126" s="130">
        <v>46078.74375</v>
      </c>
      <c r="X2126" s="72">
        <v>46081.979166666664</v>
      </c>
      <c r="Y2126" s="72">
        <v>46090.416666666664</v>
      </c>
      <c r="Z2126" s="104" t="s">
        <v>382</v>
      </c>
      <c r="AA2126" s="104" t="s">
        <v>408</v>
      </c>
      <c r="AB2126" s="105">
        <v>46084.73125</v>
      </c>
      <c r="AC2126" s="105">
        <v>46084.975694444445</v>
      </c>
    </row>
    <row r="2127" s="70" customFormat="1" ht="11.25" customHeight="1">
      <c r="A2127" s="87"/>
      <c r="C2127" s="43" t="s">
        <v>3784</v>
      </c>
      <c r="D2127" s="71" t="s">
        <v>382</v>
      </c>
      <c r="E2127" s="71" t="str">
        <f>MID(D2127,1,2)</f>
        <v>IL</v>
      </c>
      <c r="F2127" s="71" t="s">
        <v>468</v>
      </c>
      <c r="G2127" s="71" t="str">
        <f>MID(F2127,1,2)</f>
        <v>US</v>
      </c>
      <c r="H2127" s="43" t="s">
        <v>3620</v>
      </c>
      <c r="I2127" s="71" t="s">
        <v>3785</v>
      </c>
      <c r="J2127" s="71" t="s">
        <v>386</v>
      </c>
      <c r="K2127" s="43"/>
      <c r="L2127" s="71" t="s">
        <v>107</v>
      </c>
      <c r="M2127" s="73">
        <v>7</v>
      </c>
      <c r="N2127" s="71" t="s">
        <v>388</v>
      </c>
      <c r="O2127" s="73">
        <v>0.061</v>
      </c>
      <c r="P2127" s="71" t="s">
        <v>389</v>
      </c>
      <c r="Q2127" s="73">
        <v>10.5</v>
      </c>
      <c r="R2127" s="71" t="s">
        <v>388</v>
      </c>
      <c r="S2127" s="73">
        <v>0</v>
      </c>
      <c r="T2127" s="71" t="s">
        <v>390</v>
      </c>
      <c r="U2127" s="74">
        <v>1</v>
      </c>
      <c r="V2127" s="71" t="s">
        <v>446</v>
      </c>
      <c r="W2127" s="130">
        <v>46078.74375</v>
      </c>
      <c r="X2127" s="72">
        <v>46081.979166666664</v>
      </c>
      <c r="Y2127" s="72">
        <v>46090.416666666664</v>
      </c>
      <c r="Z2127" s="104" t="s">
        <v>408</v>
      </c>
      <c r="AA2127" s="104" t="s">
        <v>422</v>
      </c>
      <c r="AB2127" s="105">
        <v>46087.51666666667</v>
      </c>
      <c r="AC2127" s="105">
        <v>46087.672222222223</v>
      </c>
    </row>
    <row r="2128" s="70" customFormat="1" ht="11.25" customHeight="1">
      <c r="A2128" s="87"/>
      <c r="C2128" s="43" t="s">
        <v>3784</v>
      </c>
      <c r="D2128" s="71" t="s">
        <v>382</v>
      </c>
      <c r="E2128" s="71" t="str">
        <f>MID(D2128,1,2)</f>
        <v>IL</v>
      </c>
      <c r="F2128" s="71" t="s">
        <v>468</v>
      </c>
      <c r="G2128" s="71" t="str">
        <f>MID(F2128,1,2)</f>
        <v>US</v>
      </c>
      <c r="H2128" s="43" t="s">
        <v>3620</v>
      </c>
      <c r="I2128" s="71" t="s">
        <v>3785</v>
      </c>
      <c r="J2128" s="71" t="s">
        <v>386</v>
      </c>
      <c r="K2128" s="43"/>
      <c r="L2128" s="71" t="s">
        <v>107</v>
      </c>
      <c r="M2128" s="73">
        <v>7</v>
      </c>
      <c r="N2128" s="71" t="s">
        <v>388</v>
      </c>
      <c r="O2128" s="73">
        <v>0.061</v>
      </c>
      <c r="P2128" s="71" t="s">
        <v>389</v>
      </c>
      <c r="Q2128" s="73">
        <v>10.5</v>
      </c>
      <c r="R2128" s="71" t="s">
        <v>388</v>
      </c>
      <c r="S2128" s="73">
        <v>0</v>
      </c>
      <c r="T2128" s="71" t="s">
        <v>390</v>
      </c>
      <c r="U2128" s="74">
        <v>1</v>
      </c>
      <c r="V2128" s="71" t="s">
        <v>446</v>
      </c>
      <c r="W2128" s="130">
        <v>46078.74375</v>
      </c>
      <c r="X2128" s="72">
        <v>46081.979166666664</v>
      </c>
      <c r="Y2128" s="72">
        <v>46090.416666666664</v>
      </c>
      <c r="Z2128" s="104" t="s">
        <v>422</v>
      </c>
      <c r="AA2128" s="104" t="s">
        <v>468</v>
      </c>
      <c r="AB2128" s="105">
        <v>46090.263888888891</v>
      </c>
      <c r="AC2128" s="105">
        <v>46090.386111111111</v>
      </c>
    </row>
    <row r="2129" s="70" customFormat="1" ht="11.25" customHeight="1">
      <c r="A2129" s="87"/>
      <c r="C2129" s="43" t="s">
        <v>3786</v>
      </c>
      <c r="D2129" s="71" t="s">
        <v>382</v>
      </c>
      <c r="E2129" s="71" t="str">
        <f>MID(D2129,1,2)</f>
        <v>IL</v>
      </c>
      <c r="F2129" s="71" t="s">
        <v>651</v>
      </c>
      <c r="G2129" s="71" t="str">
        <f>MID(F2129,1,2)</f>
        <v>BR</v>
      </c>
      <c r="H2129" s="43" t="s">
        <v>3787</v>
      </c>
      <c r="I2129" s="71" t="s">
        <v>3788</v>
      </c>
      <c r="J2129" s="71" t="s">
        <v>386</v>
      </c>
      <c r="K2129" s="43"/>
      <c r="L2129" s="71" t="s">
        <v>107</v>
      </c>
      <c r="M2129" s="73">
        <v>2.5</v>
      </c>
      <c r="N2129" s="71" t="s">
        <v>388</v>
      </c>
      <c r="O2129" s="73">
        <v>0.029</v>
      </c>
      <c r="P2129" s="71" t="s">
        <v>389</v>
      </c>
      <c r="Q2129" s="73">
        <v>5</v>
      </c>
      <c r="R2129" s="71" t="s">
        <v>388</v>
      </c>
      <c r="S2129" s="73">
        <v>0</v>
      </c>
      <c r="T2129" s="71" t="s">
        <v>390</v>
      </c>
      <c r="U2129" s="74">
        <v>1</v>
      </c>
      <c r="V2129" s="71" t="s">
        <v>391</v>
      </c>
      <c r="W2129" s="130">
        <v>46076.695138888892</v>
      </c>
      <c r="X2129" s="72">
        <v>46078.586805555555</v>
      </c>
      <c r="Y2129" s="72">
        <v>46081.395833333336</v>
      </c>
      <c r="Z2129" s="104" t="s">
        <v>382</v>
      </c>
      <c r="AA2129" s="104" t="s">
        <v>590</v>
      </c>
      <c r="AB2129" s="105">
        <v>46078.723611111112</v>
      </c>
      <c r="AC2129" s="105">
        <v>46078.98125</v>
      </c>
    </row>
    <row r="2130" s="70" customFormat="1" ht="11.25" customHeight="1">
      <c r="A2130" s="87"/>
      <c r="C2130" s="43" t="s">
        <v>3786</v>
      </c>
      <c r="D2130" s="71" t="s">
        <v>382</v>
      </c>
      <c r="E2130" s="71" t="str">
        <f>MID(D2130,1,2)</f>
        <v>IL</v>
      </c>
      <c r="F2130" s="71" t="s">
        <v>651</v>
      </c>
      <c r="G2130" s="71" t="str">
        <f>MID(F2130,1,2)</f>
        <v>BR</v>
      </c>
      <c r="H2130" s="43" t="s">
        <v>3787</v>
      </c>
      <c r="I2130" s="71" t="s">
        <v>3788</v>
      </c>
      <c r="J2130" s="71" t="s">
        <v>386</v>
      </c>
      <c r="K2130" s="43"/>
      <c r="L2130" s="71" t="s">
        <v>107</v>
      </c>
      <c r="M2130" s="73">
        <v>2.5</v>
      </c>
      <c r="N2130" s="71" t="s">
        <v>388</v>
      </c>
      <c r="O2130" s="73">
        <v>0.029</v>
      </c>
      <c r="P2130" s="71" t="s">
        <v>389</v>
      </c>
      <c r="Q2130" s="73">
        <v>5</v>
      </c>
      <c r="R2130" s="71" t="s">
        <v>388</v>
      </c>
      <c r="S2130" s="73">
        <v>0</v>
      </c>
      <c r="T2130" s="71" t="s">
        <v>390</v>
      </c>
      <c r="U2130" s="74">
        <v>1</v>
      </c>
      <c r="V2130" s="71" t="s">
        <v>391</v>
      </c>
      <c r="W2130" s="130">
        <v>46076.695138888892</v>
      </c>
      <c r="X2130" s="72">
        <v>46078.586805555555</v>
      </c>
      <c r="Y2130" s="72">
        <v>46081.395833333336</v>
      </c>
      <c r="Z2130" s="104" t="s">
        <v>590</v>
      </c>
      <c r="AA2130" s="104" t="s">
        <v>651</v>
      </c>
      <c r="AB2130" s="105">
        <v>46079.996527777781</v>
      </c>
      <c r="AC2130" s="105">
        <v>46080.26875</v>
      </c>
    </row>
    <row r="2131" s="70" customFormat="1" ht="11.25" customHeight="1">
      <c r="A2131" s="87"/>
      <c r="C2131" s="43" t="s">
        <v>3789</v>
      </c>
      <c r="D2131" s="71" t="s">
        <v>382</v>
      </c>
      <c r="E2131" s="71" t="str">
        <f>MID(D2131,1,2)</f>
        <v>IL</v>
      </c>
      <c r="F2131" s="71" t="s">
        <v>414</v>
      </c>
      <c r="G2131" s="71" t="str">
        <f>MID(F2131,1,2)</f>
        <v>US</v>
      </c>
      <c r="H2131" s="43" t="s">
        <v>2791</v>
      </c>
      <c r="I2131" s="71" t="s">
        <v>3790</v>
      </c>
      <c r="J2131" s="71" t="s">
        <v>386</v>
      </c>
      <c r="K2131" s="43"/>
      <c r="L2131" s="71" t="s">
        <v>107</v>
      </c>
      <c r="M2131" s="73">
        <v>154</v>
      </c>
      <c r="N2131" s="71" t="s">
        <v>388</v>
      </c>
      <c r="O2131" s="73">
        <v>0.832</v>
      </c>
      <c r="P2131" s="71" t="s">
        <v>389</v>
      </c>
      <c r="Q2131" s="73">
        <v>154</v>
      </c>
      <c r="R2131" s="71" t="s">
        <v>388</v>
      </c>
      <c r="S2131" s="73">
        <v>0</v>
      </c>
      <c r="T2131" s="71" t="s">
        <v>390</v>
      </c>
      <c r="U2131" s="74">
        <v>1</v>
      </c>
      <c r="V2131" s="71" t="s">
        <v>446</v>
      </c>
      <c r="W2131" s="130">
        <v>46079.6221875</v>
      </c>
      <c r="X2131" s="72">
        <v>46082.03125</v>
      </c>
      <c r="Y2131" s="72">
        <v>46096.291666666664</v>
      </c>
      <c r="Z2131" s="104" t="s">
        <v>382</v>
      </c>
      <c r="AA2131" s="104" t="s">
        <v>414</v>
      </c>
      <c r="AB2131" s="105">
        <v>46091.945833333331</v>
      </c>
      <c r="AC2131" s="105">
        <v>46092.136111111111</v>
      </c>
    </row>
    <row r="2132" s="70" customFormat="1" ht="11.25" customHeight="1">
      <c r="A2132" s="87"/>
      <c r="C2132" s="43" t="s">
        <v>3791</v>
      </c>
      <c r="D2132" s="71" t="s">
        <v>382</v>
      </c>
      <c r="E2132" s="71" t="str">
        <f>MID(D2132,1,2)</f>
        <v>IL</v>
      </c>
      <c r="F2132" s="71" t="s">
        <v>414</v>
      </c>
      <c r="G2132" s="71" t="str">
        <f>MID(F2132,1,2)</f>
        <v>US</v>
      </c>
      <c r="H2132" s="43" t="s">
        <v>3683</v>
      </c>
      <c r="I2132" s="71" t="s">
        <v>3792</v>
      </c>
      <c r="J2132" s="71" t="s">
        <v>400</v>
      </c>
      <c r="K2132" s="43"/>
      <c r="L2132" s="71" t="s">
        <v>105</v>
      </c>
      <c r="M2132" s="73">
        <v>32</v>
      </c>
      <c r="N2132" s="71" t="s">
        <v>388</v>
      </c>
      <c r="O2132" s="73">
        <v>0.252</v>
      </c>
      <c r="P2132" s="71" t="s">
        <v>389</v>
      </c>
      <c r="Q2132" s="73">
        <v>42</v>
      </c>
      <c r="R2132" s="71" t="s">
        <v>388</v>
      </c>
      <c r="S2132" s="73">
        <v>0</v>
      </c>
      <c r="T2132" s="71" t="s">
        <v>390</v>
      </c>
      <c r="U2132" s="74">
        <v>1</v>
      </c>
      <c r="V2132" s="71" t="s">
        <v>391</v>
      </c>
      <c r="W2132" s="130">
        <v>46076.68125</v>
      </c>
      <c r="X2132" s="72">
        <v>46080.03125</v>
      </c>
      <c r="Y2132" s="72">
        <v>46080.239583333336</v>
      </c>
      <c r="Z2132" s="104" t="s">
        <v>382</v>
      </c>
      <c r="AA2132" s="104" t="s">
        <v>414</v>
      </c>
      <c r="AB2132" s="105">
        <v>46080.027777777781</v>
      </c>
      <c r="AC2132" s="105">
        <v>46080.23125</v>
      </c>
    </row>
    <row r="2133" s="70" customFormat="1" ht="11.25" customHeight="1">
      <c r="A2133" s="87"/>
      <c r="C2133" s="43" t="s">
        <v>3793</v>
      </c>
      <c r="D2133" s="71" t="s">
        <v>382</v>
      </c>
      <c r="E2133" s="71" t="str">
        <f>MID(D2133,1,2)</f>
        <v>IL</v>
      </c>
      <c r="F2133" s="71" t="s">
        <v>414</v>
      </c>
      <c r="G2133" s="71" t="str">
        <f>MID(F2133,1,2)</f>
        <v>US</v>
      </c>
      <c r="H2133" s="43" t="s">
        <v>3683</v>
      </c>
      <c r="I2133" s="71" t="s">
        <v>3794</v>
      </c>
      <c r="J2133" s="71" t="s">
        <v>400</v>
      </c>
      <c r="K2133" s="43"/>
      <c r="L2133" s="71" t="s">
        <v>105</v>
      </c>
      <c r="M2133" s="73">
        <v>23</v>
      </c>
      <c r="N2133" s="71" t="s">
        <v>388</v>
      </c>
      <c r="O2133" s="73">
        <v>0.252</v>
      </c>
      <c r="P2133" s="71" t="s">
        <v>389</v>
      </c>
      <c r="Q2133" s="73">
        <v>42</v>
      </c>
      <c r="R2133" s="71" t="s">
        <v>388</v>
      </c>
      <c r="S2133" s="73">
        <v>0</v>
      </c>
      <c r="T2133" s="71" t="s">
        <v>390</v>
      </c>
      <c r="U2133" s="74">
        <v>1</v>
      </c>
      <c r="V2133" s="71" t="s">
        <v>391</v>
      </c>
      <c r="W2133" s="130">
        <v>46076.68125</v>
      </c>
      <c r="X2133" s="72">
        <v>46080.03125</v>
      </c>
      <c r="Y2133" s="72">
        <v>46080.239583333336</v>
      </c>
      <c r="Z2133" s="104" t="s">
        <v>382</v>
      </c>
      <c r="AA2133" s="104" t="s">
        <v>414</v>
      </c>
      <c r="AB2133" s="105">
        <v>46080.027777777781</v>
      </c>
      <c r="AC2133" s="105">
        <v>46080.23125</v>
      </c>
    </row>
    <row r="2134" s="70" customFormat="1" ht="11.25" customHeight="1">
      <c r="A2134" s="87"/>
      <c r="C2134" s="43" t="s">
        <v>3795</v>
      </c>
      <c r="D2134" s="71" t="s">
        <v>382</v>
      </c>
      <c r="E2134" s="71" t="str">
        <f>MID(D2134,1,2)</f>
        <v>IL</v>
      </c>
      <c r="F2134" s="71" t="s">
        <v>414</v>
      </c>
      <c r="G2134" s="71" t="str">
        <f>MID(F2134,1,2)</f>
        <v>US</v>
      </c>
      <c r="H2134" s="43" t="s">
        <v>3683</v>
      </c>
      <c r="I2134" s="71" t="s">
        <v>3796</v>
      </c>
      <c r="J2134" s="71" t="s">
        <v>400</v>
      </c>
      <c r="K2134" s="43"/>
      <c r="L2134" s="71" t="s">
        <v>105</v>
      </c>
      <c r="M2134" s="73">
        <v>33</v>
      </c>
      <c r="N2134" s="71" t="s">
        <v>388</v>
      </c>
      <c r="O2134" s="73">
        <v>0.252</v>
      </c>
      <c r="P2134" s="71" t="s">
        <v>389</v>
      </c>
      <c r="Q2134" s="73">
        <v>42</v>
      </c>
      <c r="R2134" s="71" t="s">
        <v>388</v>
      </c>
      <c r="S2134" s="73">
        <v>0</v>
      </c>
      <c r="T2134" s="71" t="s">
        <v>390</v>
      </c>
      <c r="U2134" s="74">
        <v>1</v>
      </c>
      <c r="V2134" s="71" t="s">
        <v>391</v>
      </c>
      <c r="W2134" s="130">
        <v>46076.6875</v>
      </c>
      <c r="X2134" s="72">
        <v>46080.03125</v>
      </c>
      <c r="Y2134" s="72">
        <v>46080.239583333336</v>
      </c>
      <c r="Z2134" s="104" t="s">
        <v>382</v>
      </c>
      <c r="AA2134" s="104" t="s">
        <v>414</v>
      </c>
      <c r="AB2134" s="105">
        <v>46080.027777777781</v>
      </c>
      <c r="AC2134" s="105">
        <v>46080.23125</v>
      </c>
    </row>
    <row r="2135" s="70" customFormat="1" ht="11.25" customHeight="1">
      <c r="A2135" s="87"/>
      <c r="C2135" s="43" t="s">
        <v>3797</v>
      </c>
      <c r="D2135" s="71" t="s">
        <v>382</v>
      </c>
      <c r="E2135" s="71" t="str">
        <f>MID(D2135,1,2)</f>
        <v>IL</v>
      </c>
      <c r="F2135" s="71" t="s">
        <v>774</v>
      </c>
      <c r="G2135" s="71" t="str">
        <f>MID(F2135,1,2)</f>
        <v>CN</v>
      </c>
      <c r="H2135" s="43" t="s">
        <v>3798</v>
      </c>
      <c r="I2135" s="71" t="s">
        <v>3799</v>
      </c>
      <c r="J2135" s="71" t="s">
        <v>426</v>
      </c>
      <c r="K2135" s="43"/>
      <c r="L2135" s="71" t="s">
        <v>105</v>
      </c>
      <c r="M2135" s="73">
        <v>338</v>
      </c>
      <c r="N2135" s="71" t="s">
        <v>388</v>
      </c>
      <c r="O2135" s="73">
        <v>4.6</v>
      </c>
      <c r="P2135" s="71" t="s">
        <v>389</v>
      </c>
      <c r="Q2135" s="73">
        <v>767</v>
      </c>
      <c r="R2135" s="71" t="s">
        <v>388</v>
      </c>
      <c r="S2135" s="73">
        <v>0</v>
      </c>
      <c r="T2135" s="71" t="s">
        <v>390</v>
      </c>
      <c r="U2135" s="74">
        <v>5</v>
      </c>
      <c r="V2135" s="71" t="s">
        <v>391</v>
      </c>
      <c r="W2135" s="130">
        <v>46078.954780092594</v>
      </c>
      <c r="X2135" s="72">
        <v>46082.951388888891</v>
      </c>
      <c r="Y2135" s="72">
        <v>46093.118055555555</v>
      </c>
      <c r="Z2135" s="104" t="s">
        <v>382</v>
      </c>
      <c r="AA2135" s="104" t="s">
        <v>403</v>
      </c>
      <c r="AB2135" s="105">
        <v>46089.829861111109</v>
      </c>
      <c r="AC2135" s="105">
        <v>46090.490277777775</v>
      </c>
    </row>
    <row r="2136" s="70" customFormat="1" ht="11.25" customHeight="1">
      <c r="A2136" s="87"/>
      <c r="C2136" s="43" t="s">
        <v>3797</v>
      </c>
      <c r="D2136" s="71" t="s">
        <v>382</v>
      </c>
      <c r="E2136" s="71" t="str">
        <f>MID(D2136,1,2)</f>
        <v>IL</v>
      </c>
      <c r="F2136" s="71" t="s">
        <v>774</v>
      </c>
      <c r="G2136" s="71" t="str">
        <f>MID(F2136,1,2)</f>
        <v>CN</v>
      </c>
      <c r="H2136" s="43" t="s">
        <v>3798</v>
      </c>
      <c r="I2136" s="71" t="s">
        <v>3799</v>
      </c>
      <c r="J2136" s="71" t="s">
        <v>426</v>
      </c>
      <c r="K2136" s="43"/>
      <c r="L2136" s="71" t="s">
        <v>105</v>
      </c>
      <c r="M2136" s="73">
        <v>338</v>
      </c>
      <c r="N2136" s="71" t="s">
        <v>388</v>
      </c>
      <c r="O2136" s="73">
        <v>4.6</v>
      </c>
      <c r="P2136" s="71" t="s">
        <v>389</v>
      </c>
      <c r="Q2136" s="73">
        <v>767</v>
      </c>
      <c r="R2136" s="71" t="s">
        <v>388</v>
      </c>
      <c r="S2136" s="73">
        <v>0</v>
      </c>
      <c r="T2136" s="71" t="s">
        <v>390</v>
      </c>
      <c r="U2136" s="74">
        <v>5</v>
      </c>
      <c r="V2136" s="71" t="s">
        <v>391</v>
      </c>
      <c r="W2136" s="130">
        <v>46078.954780092594</v>
      </c>
      <c r="X2136" s="72">
        <v>46082.951388888891</v>
      </c>
      <c r="Y2136" s="72">
        <v>46093.118055555555</v>
      </c>
      <c r="Z2136" s="104" t="s">
        <v>403</v>
      </c>
      <c r="AA2136" s="104" t="s">
        <v>774</v>
      </c>
      <c r="AB2136" s="105">
        <v>46091.991666666669</v>
      </c>
      <c r="AC2136" s="105">
        <v>46092.084027777775</v>
      </c>
    </row>
    <row r="2137" s="70" customFormat="1" ht="11.25" customHeight="1">
      <c r="A2137" s="87"/>
      <c r="C2137" s="43" t="s">
        <v>3800</v>
      </c>
      <c r="D2137" s="71" t="s">
        <v>382</v>
      </c>
      <c r="E2137" s="71" t="str">
        <f>MID(D2137,1,2)</f>
        <v>IL</v>
      </c>
      <c r="F2137" s="71" t="s">
        <v>468</v>
      </c>
      <c r="G2137" s="71" t="str">
        <f>MID(F2137,1,2)</f>
        <v>US</v>
      </c>
      <c r="H2137" s="43" t="s">
        <v>3620</v>
      </c>
      <c r="I2137" s="71" t="s">
        <v>3801</v>
      </c>
      <c r="J2137" s="71" t="s">
        <v>386</v>
      </c>
      <c r="K2137" s="43"/>
      <c r="L2137" s="71" t="s">
        <v>107</v>
      </c>
      <c r="M2137" s="73">
        <v>12</v>
      </c>
      <c r="N2137" s="71" t="s">
        <v>388</v>
      </c>
      <c r="O2137" s="73">
        <v>0.147</v>
      </c>
      <c r="P2137" s="71" t="s">
        <v>389</v>
      </c>
      <c r="Q2137" s="73">
        <v>24.5</v>
      </c>
      <c r="R2137" s="71" t="s">
        <v>388</v>
      </c>
      <c r="S2137" s="73">
        <v>0</v>
      </c>
      <c r="T2137" s="71" t="s">
        <v>390</v>
      </c>
      <c r="U2137" s="74">
        <v>1</v>
      </c>
      <c r="V2137" s="71" t="s">
        <v>446</v>
      </c>
      <c r="W2137" s="130">
        <v>46080.100115740737</v>
      </c>
      <c r="X2137" s="72">
        <v>46081.979166666664</v>
      </c>
      <c r="Y2137" s="72">
        <v>46090.416666666664</v>
      </c>
      <c r="Z2137" s="104" t="s">
        <v>382</v>
      </c>
      <c r="AA2137" s="104" t="s">
        <v>408</v>
      </c>
      <c r="AB2137" s="105">
        <v>46084.73125</v>
      </c>
      <c r="AC2137" s="105">
        <v>46084.975694444445</v>
      </c>
    </row>
    <row r="2138" s="70" customFormat="1" ht="11.25" customHeight="1">
      <c r="A2138" s="87"/>
      <c r="C2138" s="43" t="s">
        <v>3800</v>
      </c>
      <c r="D2138" s="71" t="s">
        <v>382</v>
      </c>
      <c r="E2138" s="71" t="str">
        <f>MID(D2138,1,2)</f>
        <v>IL</v>
      </c>
      <c r="F2138" s="71" t="s">
        <v>468</v>
      </c>
      <c r="G2138" s="71" t="str">
        <f>MID(F2138,1,2)</f>
        <v>US</v>
      </c>
      <c r="H2138" s="43" t="s">
        <v>3620</v>
      </c>
      <c r="I2138" s="71" t="s">
        <v>3801</v>
      </c>
      <c r="J2138" s="71" t="s">
        <v>386</v>
      </c>
      <c r="K2138" s="43"/>
      <c r="L2138" s="71" t="s">
        <v>107</v>
      </c>
      <c r="M2138" s="73">
        <v>12</v>
      </c>
      <c r="N2138" s="71" t="s">
        <v>388</v>
      </c>
      <c r="O2138" s="73">
        <v>0.147</v>
      </c>
      <c r="P2138" s="71" t="s">
        <v>389</v>
      </c>
      <c r="Q2138" s="73">
        <v>24.5</v>
      </c>
      <c r="R2138" s="71" t="s">
        <v>388</v>
      </c>
      <c r="S2138" s="73">
        <v>0</v>
      </c>
      <c r="T2138" s="71" t="s">
        <v>390</v>
      </c>
      <c r="U2138" s="74">
        <v>1</v>
      </c>
      <c r="V2138" s="71" t="s">
        <v>446</v>
      </c>
      <c r="W2138" s="130">
        <v>46080.100115740737</v>
      </c>
      <c r="X2138" s="72">
        <v>46081.979166666664</v>
      </c>
      <c r="Y2138" s="72">
        <v>46090.416666666664</v>
      </c>
      <c r="Z2138" s="104" t="s">
        <v>408</v>
      </c>
      <c r="AA2138" s="104" t="s">
        <v>422</v>
      </c>
      <c r="AB2138" s="105">
        <v>46087.51666666667</v>
      </c>
      <c r="AC2138" s="105">
        <v>46087.672222222223</v>
      </c>
    </row>
    <row r="2139" s="70" customFormat="1" ht="11.25" customHeight="1">
      <c r="A2139" s="87"/>
      <c r="C2139" s="43" t="s">
        <v>3800</v>
      </c>
      <c r="D2139" s="71" t="s">
        <v>382</v>
      </c>
      <c r="E2139" s="71" t="str">
        <f>MID(D2139,1,2)</f>
        <v>IL</v>
      </c>
      <c r="F2139" s="71" t="s">
        <v>468</v>
      </c>
      <c r="G2139" s="71" t="str">
        <f>MID(F2139,1,2)</f>
        <v>US</v>
      </c>
      <c r="H2139" s="43" t="s">
        <v>3620</v>
      </c>
      <c r="I2139" s="71" t="s">
        <v>3801</v>
      </c>
      <c r="J2139" s="71" t="s">
        <v>386</v>
      </c>
      <c r="K2139" s="43"/>
      <c r="L2139" s="71" t="s">
        <v>107</v>
      </c>
      <c r="M2139" s="73">
        <v>12</v>
      </c>
      <c r="N2139" s="71" t="s">
        <v>388</v>
      </c>
      <c r="O2139" s="73">
        <v>0.147</v>
      </c>
      <c r="P2139" s="71" t="s">
        <v>389</v>
      </c>
      <c r="Q2139" s="73">
        <v>24.5</v>
      </c>
      <c r="R2139" s="71" t="s">
        <v>388</v>
      </c>
      <c r="S2139" s="73">
        <v>0</v>
      </c>
      <c r="T2139" s="71" t="s">
        <v>390</v>
      </c>
      <c r="U2139" s="74">
        <v>1</v>
      </c>
      <c r="V2139" s="71" t="s">
        <v>446</v>
      </c>
      <c r="W2139" s="130">
        <v>46080.100115740737</v>
      </c>
      <c r="X2139" s="72">
        <v>46081.979166666664</v>
      </c>
      <c r="Y2139" s="72">
        <v>46090.416666666664</v>
      </c>
      <c r="Z2139" s="104" t="s">
        <v>422</v>
      </c>
      <c r="AA2139" s="104" t="s">
        <v>468</v>
      </c>
      <c r="AB2139" s="105">
        <v>46090.263888888891</v>
      </c>
      <c r="AC2139" s="105">
        <v>46090.386111111111</v>
      </c>
    </row>
    <row r="2140" s="70" customFormat="1" ht="11.25" customHeight="1">
      <c r="A2140" s="87"/>
      <c r="C2140" s="43" t="s">
        <v>3802</v>
      </c>
      <c r="D2140" s="71" t="s">
        <v>382</v>
      </c>
      <c r="E2140" s="71" t="str">
        <f>MID(D2140,1,2)</f>
        <v>IL</v>
      </c>
      <c r="F2140" s="71" t="s">
        <v>383</v>
      </c>
      <c r="G2140" s="71" t="str">
        <f>MID(F2140,1,2)</f>
        <v>DE</v>
      </c>
      <c r="H2140" s="43" t="s">
        <v>3477</v>
      </c>
      <c r="I2140" s="71" t="s">
        <v>3803</v>
      </c>
      <c r="J2140" s="71" t="s">
        <v>386</v>
      </c>
      <c r="K2140" s="43"/>
      <c r="L2140" s="71" t="s">
        <v>107</v>
      </c>
      <c r="M2140" s="73">
        <v>184</v>
      </c>
      <c r="N2140" s="71" t="s">
        <v>388</v>
      </c>
      <c r="O2140" s="73">
        <v>1.752</v>
      </c>
      <c r="P2140" s="71" t="s">
        <v>389</v>
      </c>
      <c r="Q2140" s="73">
        <v>292</v>
      </c>
      <c r="R2140" s="71" t="s">
        <v>388</v>
      </c>
      <c r="S2140" s="73">
        <v>0</v>
      </c>
      <c r="T2140" s="71" t="s">
        <v>390</v>
      </c>
      <c r="U2140" s="74">
        <v>1</v>
      </c>
      <c r="V2140" s="71" t="s">
        <v>391</v>
      </c>
      <c r="W2140" s="130">
        <v>46078.770775462966</v>
      </c>
      <c r="X2140" s="72">
        <v>46079.753472222219</v>
      </c>
      <c r="Y2140" s="72">
        <v>46080.166666666664</v>
      </c>
      <c r="Z2140" s="104" t="s">
        <v>383</v>
      </c>
      <c r="AA2140" s="104" t="s">
        <v>3804</v>
      </c>
      <c r="AB2140" s="105">
        <v>46088.245833333334</v>
      </c>
      <c r="AC2140" s="105"/>
    </row>
    <row r="2141" s="70" customFormat="1" ht="11.25" customHeight="1">
      <c r="A2141" s="87"/>
      <c r="C2141" s="43" t="s">
        <v>3802</v>
      </c>
      <c r="D2141" s="71" t="s">
        <v>382</v>
      </c>
      <c r="E2141" s="71" t="str">
        <f>MID(D2141,1,2)</f>
        <v>IL</v>
      </c>
      <c r="F2141" s="71" t="s">
        <v>383</v>
      </c>
      <c r="G2141" s="71" t="str">
        <f>MID(F2141,1,2)</f>
        <v>DE</v>
      </c>
      <c r="H2141" s="43" t="s">
        <v>3477</v>
      </c>
      <c r="I2141" s="71" t="s">
        <v>3803</v>
      </c>
      <c r="J2141" s="71" t="s">
        <v>386</v>
      </c>
      <c r="K2141" s="43"/>
      <c r="L2141" s="71" t="s">
        <v>107</v>
      </c>
      <c r="M2141" s="73">
        <v>184</v>
      </c>
      <c r="N2141" s="71" t="s">
        <v>388</v>
      </c>
      <c r="O2141" s="73">
        <v>1.752</v>
      </c>
      <c r="P2141" s="71" t="s">
        <v>389</v>
      </c>
      <c r="Q2141" s="73">
        <v>292</v>
      </c>
      <c r="R2141" s="71" t="s">
        <v>388</v>
      </c>
      <c r="S2141" s="73">
        <v>0</v>
      </c>
      <c r="T2141" s="71" t="s">
        <v>390</v>
      </c>
      <c r="U2141" s="74">
        <v>1</v>
      </c>
      <c r="V2141" s="71" t="s">
        <v>391</v>
      </c>
      <c r="W2141" s="130">
        <v>46078.770775462966</v>
      </c>
      <c r="X2141" s="72">
        <v>46079.753472222219</v>
      </c>
      <c r="Y2141" s="72">
        <v>46080.166666666664</v>
      </c>
      <c r="Z2141" s="104" t="s">
        <v>382</v>
      </c>
      <c r="AA2141" s="104" t="s">
        <v>748</v>
      </c>
      <c r="AB2141" s="105">
        <v>46079.638888888891</v>
      </c>
      <c r="AC2141" s="105"/>
    </row>
    <row r="2142" s="70" customFormat="1" ht="11.25" customHeight="1">
      <c r="A2142" s="87"/>
      <c r="C2142" s="43" t="s">
        <v>3802</v>
      </c>
      <c r="D2142" s="71" t="s">
        <v>382</v>
      </c>
      <c r="E2142" s="71" t="str">
        <f>MID(D2142,1,2)</f>
        <v>IL</v>
      </c>
      <c r="F2142" s="71" t="s">
        <v>383</v>
      </c>
      <c r="G2142" s="71" t="str">
        <f>MID(F2142,1,2)</f>
        <v>DE</v>
      </c>
      <c r="H2142" s="43" t="s">
        <v>3477</v>
      </c>
      <c r="I2142" s="71" t="s">
        <v>3803</v>
      </c>
      <c r="J2142" s="71" t="s">
        <v>386</v>
      </c>
      <c r="K2142" s="43"/>
      <c r="L2142" s="71" t="s">
        <v>107</v>
      </c>
      <c r="M2142" s="73">
        <v>184</v>
      </c>
      <c r="N2142" s="71" t="s">
        <v>388</v>
      </c>
      <c r="O2142" s="73">
        <v>1.752</v>
      </c>
      <c r="P2142" s="71" t="s">
        <v>389</v>
      </c>
      <c r="Q2142" s="73">
        <v>292</v>
      </c>
      <c r="R2142" s="71" t="s">
        <v>388</v>
      </c>
      <c r="S2142" s="73">
        <v>0</v>
      </c>
      <c r="T2142" s="71" t="s">
        <v>390</v>
      </c>
      <c r="U2142" s="74">
        <v>1</v>
      </c>
      <c r="V2142" s="71" t="s">
        <v>391</v>
      </c>
      <c r="W2142" s="130">
        <v>46078.770775462966</v>
      </c>
      <c r="X2142" s="72">
        <v>46079.753472222219</v>
      </c>
      <c r="Y2142" s="72">
        <v>46080.166666666664</v>
      </c>
      <c r="Z2142" s="104" t="s">
        <v>748</v>
      </c>
      <c r="AA2142" s="104" t="s">
        <v>383</v>
      </c>
      <c r="AB2142" s="105">
        <v>46080.185416666667</v>
      </c>
      <c r="AC2142" s="105">
        <v>46080.241666666669</v>
      </c>
    </row>
    <row r="2143" s="70" customFormat="1" ht="11.25" customHeight="1">
      <c r="A2143" s="87"/>
      <c r="C2143" s="43" t="s">
        <v>3805</v>
      </c>
      <c r="D2143" s="71" t="s">
        <v>382</v>
      </c>
      <c r="E2143" s="71" t="str">
        <f>MID(D2143,1,2)</f>
        <v>IL</v>
      </c>
      <c r="F2143" s="71" t="s">
        <v>443</v>
      </c>
      <c r="G2143" s="71" t="str">
        <f>MID(F2143,1,2)</f>
        <v>US</v>
      </c>
      <c r="H2143" s="43" t="s">
        <v>3806</v>
      </c>
      <c r="I2143" s="71" t="s">
        <v>3807</v>
      </c>
      <c r="J2143" s="71" t="s">
        <v>386</v>
      </c>
      <c r="K2143" s="43"/>
      <c r="L2143" s="71" t="s">
        <v>107</v>
      </c>
      <c r="M2143" s="73">
        <v>78</v>
      </c>
      <c r="N2143" s="71" t="s">
        <v>388</v>
      </c>
      <c r="O2143" s="73">
        <v>0.9</v>
      </c>
      <c r="P2143" s="71" t="s">
        <v>389</v>
      </c>
      <c r="Q2143" s="73">
        <v>150</v>
      </c>
      <c r="R2143" s="71" t="s">
        <v>388</v>
      </c>
      <c r="S2143" s="73">
        <v>0</v>
      </c>
      <c r="T2143" s="71" t="s">
        <v>390</v>
      </c>
      <c r="U2143" s="74">
        <v>1</v>
      </c>
      <c r="V2143" s="71" t="s">
        <v>536</v>
      </c>
      <c r="W2143" s="130">
        <v>46079.57708333333</v>
      </c>
      <c r="X2143" s="72">
        <v>46084.916666666664</v>
      </c>
      <c r="Y2143" s="72">
        <v>46090.291666666664</v>
      </c>
      <c r="Z2143" s="104" t="s">
        <v>382</v>
      </c>
      <c r="AA2143" s="104" t="s">
        <v>414</v>
      </c>
      <c r="AB2143" s="105">
        <v>46085.021527777775</v>
      </c>
      <c r="AC2143" s="105">
        <v>46085.20416666667</v>
      </c>
    </row>
    <row r="2144" s="70" customFormat="1" ht="11.25" customHeight="1">
      <c r="A2144" s="87"/>
      <c r="C2144" s="43" t="s">
        <v>3805</v>
      </c>
      <c r="D2144" s="71" t="s">
        <v>382</v>
      </c>
      <c r="E2144" s="71" t="str">
        <f>MID(D2144,1,2)</f>
        <v>IL</v>
      </c>
      <c r="F2144" s="71" t="s">
        <v>443</v>
      </c>
      <c r="G2144" s="71" t="str">
        <f>MID(F2144,1,2)</f>
        <v>US</v>
      </c>
      <c r="H2144" s="43" t="s">
        <v>3806</v>
      </c>
      <c r="I2144" s="71" t="s">
        <v>3807</v>
      </c>
      <c r="J2144" s="71" t="s">
        <v>386</v>
      </c>
      <c r="K2144" s="43"/>
      <c r="L2144" s="71" t="s">
        <v>107</v>
      </c>
      <c r="M2144" s="73">
        <v>78</v>
      </c>
      <c r="N2144" s="71" t="s">
        <v>388</v>
      </c>
      <c r="O2144" s="73">
        <v>0.9</v>
      </c>
      <c r="P2144" s="71" t="s">
        <v>389</v>
      </c>
      <c r="Q2144" s="73">
        <v>150</v>
      </c>
      <c r="R2144" s="71" t="s">
        <v>388</v>
      </c>
      <c r="S2144" s="73">
        <v>0</v>
      </c>
      <c r="T2144" s="71" t="s">
        <v>390</v>
      </c>
      <c r="U2144" s="74">
        <v>1</v>
      </c>
      <c r="V2144" s="71" t="s">
        <v>536</v>
      </c>
      <c r="W2144" s="130">
        <v>46079.57708333333</v>
      </c>
      <c r="X2144" s="72">
        <v>46084.916666666664</v>
      </c>
      <c r="Y2144" s="72">
        <v>46090.291666666664</v>
      </c>
      <c r="Z2144" s="104" t="s">
        <v>414</v>
      </c>
      <c r="AA2144" s="104" t="s">
        <v>443</v>
      </c>
      <c r="AB2144" s="105">
        <v>46085.797222222223</v>
      </c>
      <c r="AC2144" s="105">
        <v>46090.458333333336</v>
      </c>
    </row>
    <row r="2145" s="70" customFormat="1" ht="11.25" customHeight="1">
      <c r="A2145" s="87"/>
      <c r="C2145" s="43" t="s">
        <v>3808</v>
      </c>
      <c r="D2145" s="71" t="s">
        <v>382</v>
      </c>
      <c r="E2145" s="71" t="str">
        <f>MID(D2145,1,2)</f>
        <v>IL</v>
      </c>
      <c r="F2145" s="71" t="s">
        <v>1163</v>
      </c>
      <c r="G2145" s="71" t="str">
        <f>MID(F2145,1,2)</f>
        <v>AR</v>
      </c>
      <c r="H2145" s="43" t="s">
        <v>3809</v>
      </c>
      <c r="I2145" s="71" t="s">
        <v>3810</v>
      </c>
      <c r="J2145" s="71" t="s">
        <v>811</v>
      </c>
      <c r="K2145" s="43"/>
      <c r="L2145" s="71" t="s">
        <v>105</v>
      </c>
      <c r="M2145" s="73">
        <v>128</v>
      </c>
      <c r="N2145" s="71" t="s">
        <v>388</v>
      </c>
      <c r="O2145" s="73">
        <v>0.583</v>
      </c>
      <c r="P2145" s="71" t="s">
        <v>389</v>
      </c>
      <c r="Q2145" s="73">
        <v>128</v>
      </c>
      <c r="R2145" s="71" t="s">
        <v>388</v>
      </c>
      <c r="S2145" s="73">
        <v>0</v>
      </c>
      <c r="T2145" s="71" t="s">
        <v>390</v>
      </c>
      <c r="U2145" s="74">
        <v>1</v>
      </c>
      <c r="V2145" s="71" t="s">
        <v>391</v>
      </c>
      <c r="W2145" s="130">
        <v>46077.70208333333</v>
      </c>
      <c r="X2145" s="72">
        <v>46080.586805555555</v>
      </c>
      <c r="Y2145" s="72">
        <v>46082.695138888892</v>
      </c>
      <c r="Z2145" s="104" t="s">
        <v>382</v>
      </c>
      <c r="AA2145" s="104" t="s">
        <v>590</v>
      </c>
      <c r="AB2145" s="105">
        <v>46080.604861111111</v>
      </c>
      <c r="AC2145" s="105">
        <v>46081.086111111108</v>
      </c>
    </row>
    <row r="2146" s="70" customFormat="1" ht="11.25" customHeight="1">
      <c r="A2146" s="87"/>
      <c r="C2146" s="43" t="s">
        <v>3808</v>
      </c>
      <c r="D2146" s="71" t="s">
        <v>382</v>
      </c>
      <c r="E2146" s="71" t="str">
        <f>MID(D2146,1,2)</f>
        <v>IL</v>
      </c>
      <c r="F2146" s="71" t="s">
        <v>1163</v>
      </c>
      <c r="G2146" s="71" t="str">
        <f>MID(F2146,1,2)</f>
        <v>AR</v>
      </c>
      <c r="H2146" s="43" t="s">
        <v>3809</v>
      </c>
      <c r="I2146" s="71" t="s">
        <v>3810</v>
      </c>
      <c r="J2146" s="71" t="s">
        <v>811</v>
      </c>
      <c r="K2146" s="43"/>
      <c r="L2146" s="71" t="s">
        <v>105</v>
      </c>
      <c r="M2146" s="73">
        <v>128</v>
      </c>
      <c r="N2146" s="71" t="s">
        <v>388</v>
      </c>
      <c r="O2146" s="73">
        <v>0.583</v>
      </c>
      <c r="P2146" s="71" t="s">
        <v>389</v>
      </c>
      <c r="Q2146" s="73">
        <v>128</v>
      </c>
      <c r="R2146" s="71" t="s">
        <v>388</v>
      </c>
      <c r="S2146" s="73">
        <v>0</v>
      </c>
      <c r="T2146" s="71" t="s">
        <v>390</v>
      </c>
      <c r="U2146" s="74">
        <v>1</v>
      </c>
      <c r="V2146" s="71" t="s">
        <v>391</v>
      </c>
      <c r="W2146" s="130">
        <v>46077.70208333333</v>
      </c>
      <c r="X2146" s="72">
        <v>46080.586805555555</v>
      </c>
      <c r="Y2146" s="72">
        <v>46082.695138888892</v>
      </c>
      <c r="Z2146" s="104" t="s">
        <v>590</v>
      </c>
      <c r="AA2146" s="104" t="s">
        <v>1163</v>
      </c>
      <c r="AB2146" s="105">
        <v>46081.994444444441</v>
      </c>
      <c r="AC2146" s="105">
        <v>46082.35</v>
      </c>
    </row>
    <row r="2147" s="70" customFormat="1" ht="11.25" customHeight="1">
      <c r="A2147" s="87"/>
      <c r="C2147" s="43" t="s">
        <v>3811</v>
      </c>
      <c r="D2147" s="71" t="s">
        <v>382</v>
      </c>
      <c r="E2147" s="71" t="str">
        <f>MID(D2147,1,2)</f>
        <v>IL</v>
      </c>
      <c r="F2147" s="71" t="s">
        <v>3812</v>
      </c>
      <c r="G2147" s="71" t="str">
        <f>MID(F2147,1,2)</f>
        <v>CN</v>
      </c>
      <c r="H2147" s="43" t="s">
        <v>3813</v>
      </c>
      <c r="I2147" s="71" t="s">
        <v>3814</v>
      </c>
      <c r="J2147" s="71" t="s">
        <v>755</v>
      </c>
      <c r="K2147" s="43"/>
      <c r="L2147" s="71" t="s">
        <v>105</v>
      </c>
      <c r="M2147" s="73">
        <v>1.5</v>
      </c>
      <c r="N2147" s="71" t="s">
        <v>388</v>
      </c>
      <c r="O2147" s="73">
        <v>0.071</v>
      </c>
      <c r="P2147" s="71" t="s">
        <v>389</v>
      </c>
      <c r="Q2147" s="73">
        <v>12</v>
      </c>
      <c r="R2147" s="71" t="s">
        <v>388</v>
      </c>
      <c r="S2147" s="73">
        <v>0</v>
      </c>
      <c r="T2147" s="71" t="s">
        <v>390</v>
      </c>
      <c r="U2147" s="74">
        <v>1</v>
      </c>
      <c r="V2147" s="71" t="s">
        <v>391</v>
      </c>
      <c r="W2147" s="130">
        <v>46077.638240740744</v>
      </c>
      <c r="X2147" s="72">
        <v>46079.270833333336</v>
      </c>
      <c r="Y2147" s="72">
        <v>46081.996527777781</v>
      </c>
      <c r="Z2147" s="104" t="s">
        <v>382</v>
      </c>
      <c r="AA2147" s="104" t="s">
        <v>403</v>
      </c>
      <c r="AB2147" s="105">
        <v>46079.996527777781</v>
      </c>
      <c r="AC2147" s="105"/>
    </row>
    <row r="2148" s="70" customFormat="1" ht="11.25" customHeight="1">
      <c r="A2148" s="87"/>
      <c r="C2148" s="43" t="s">
        <v>3811</v>
      </c>
      <c r="D2148" s="71" t="s">
        <v>382</v>
      </c>
      <c r="E2148" s="71" t="str">
        <f>MID(D2148,1,2)</f>
        <v>IL</v>
      </c>
      <c r="F2148" s="71" t="s">
        <v>3812</v>
      </c>
      <c r="G2148" s="71" t="str">
        <f>MID(F2148,1,2)</f>
        <v>CN</v>
      </c>
      <c r="H2148" s="43" t="s">
        <v>3813</v>
      </c>
      <c r="I2148" s="71" t="s">
        <v>3814</v>
      </c>
      <c r="J2148" s="71" t="s">
        <v>755</v>
      </c>
      <c r="K2148" s="43"/>
      <c r="L2148" s="71" t="s">
        <v>105</v>
      </c>
      <c r="M2148" s="73">
        <v>1.5</v>
      </c>
      <c r="N2148" s="71" t="s">
        <v>388</v>
      </c>
      <c r="O2148" s="73">
        <v>0.071</v>
      </c>
      <c r="P2148" s="71" t="s">
        <v>389</v>
      </c>
      <c r="Q2148" s="73">
        <v>12</v>
      </c>
      <c r="R2148" s="71" t="s">
        <v>388</v>
      </c>
      <c r="S2148" s="73">
        <v>0</v>
      </c>
      <c r="T2148" s="71" t="s">
        <v>390</v>
      </c>
      <c r="U2148" s="74">
        <v>1</v>
      </c>
      <c r="V2148" s="71" t="s">
        <v>391</v>
      </c>
      <c r="W2148" s="130">
        <v>46077.638240740744</v>
      </c>
      <c r="X2148" s="72">
        <v>46079.270833333336</v>
      </c>
      <c r="Y2148" s="72">
        <v>46081.996527777781</v>
      </c>
      <c r="Z2148" s="104" t="s">
        <v>403</v>
      </c>
      <c r="AA2148" s="104" t="s">
        <v>3812</v>
      </c>
      <c r="AB2148" s="105">
        <v>46081.755555555559</v>
      </c>
      <c r="AC2148" s="105">
        <v>46081.814583333333</v>
      </c>
    </row>
    <row r="2149" s="70" customFormat="1" ht="11.25" customHeight="1">
      <c r="A2149" s="87"/>
      <c r="C2149" s="43" t="s">
        <v>3815</v>
      </c>
      <c r="D2149" s="71" t="s">
        <v>382</v>
      </c>
      <c r="E2149" s="71" t="str">
        <f>MID(D2149,1,2)</f>
        <v>IL</v>
      </c>
      <c r="F2149" s="71" t="s">
        <v>1200</v>
      </c>
      <c r="G2149" s="71" t="str">
        <f>MID(F2149,1,2)</f>
        <v>US</v>
      </c>
      <c r="H2149" s="43" t="s">
        <v>3816</v>
      </c>
      <c r="I2149" s="71" t="s">
        <v>3817</v>
      </c>
      <c r="J2149" s="71" t="s">
        <v>755</v>
      </c>
      <c r="K2149" s="43"/>
      <c r="L2149" s="71" t="s">
        <v>105</v>
      </c>
      <c r="M2149" s="73">
        <v>99</v>
      </c>
      <c r="N2149" s="71" t="s">
        <v>388</v>
      </c>
      <c r="O2149" s="73">
        <v>1.579</v>
      </c>
      <c r="P2149" s="71" t="s">
        <v>389</v>
      </c>
      <c r="Q2149" s="73">
        <v>263.5</v>
      </c>
      <c r="R2149" s="71" t="s">
        <v>388</v>
      </c>
      <c r="S2149" s="73">
        <v>0</v>
      </c>
      <c r="T2149" s="71" t="s">
        <v>390</v>
      </c>
      <c r="U2149" s="74">
        <v>2</v>
      </c>
      <c r="V2149" s="71" t="s">
        <v>391</v>
      </c>
      <c r="W2149" s="130">
        <v>46077.671527777777</v>
      </c>
      <c r="X2149" s="72">
        <v>46081.479166666664</v>
      </c>
      <c r="Y2149" s="72">
        <v>46100.649305555555</v>
      </c>
      <c r="Z2149" s="104" t="s">
        <v>382</v>
      </c>
      <c r="AA2149" s="104" t="s">
        <v>471</v>
      </c>
      <c r="AB2149" s="105">
        <v>46098.510416666664</v>
      </c>
      <c r="AC2149" s="105"/>
    </row>
    <row r="2150" s="70" customFormat="1" ht="11.25" customHeight="1">
      <c r="A2150" s="87"/>
      <c r="C2150" s="43" t="s">
        <v>3815</v>
      </c>
      <c r="D2150" s="71" t="s">
        <v>382</v>
      </c>
      <c r="E2150" s="71" t="str">
        <f>MID(D2150,1,2)</f>
        <v>IL</v>
      </c>
      <c r="F2150" s="71" t="s">
        <v>1200</v>
      </c>
      <c r="G2150" s="71" t="str">
        <f>MID(F2150,1,2)</f>
        <v>US</v>
      </c>
      <c r="H2150" s="43" t="s">
        <v>3816</v>
      </c>
      <c r="I2150" s="71" t="s">
        <v>3817</v>
      </c>
      <c r="J2150" s="71" t="s">
        <v>755</v>
      </c>
      <c r="K2150" s="43"/>
      <c r="L2150" s="71" t="s">
        <v>105</v>
      </c>
      <c r="M2150" s="73">
        <v>99</v>
      </c>
      <c r="N2150" s="71" t="s">
        <v>388</v>
      </c>
      <c r="O2150" s="73">
        <v>1.579</v>
      </c>
      <c r="P2150" s="71" t="s">
        <v>389</v>
      </c>
      <c r="Q2150" s="73">
        <v>263.5</v>
      </c>
      <c r="R2150" s="71" t="s">
        <v>388</v>
      </c>
      <c r="S2150" s="73">
        <v>0</v>
      </c>
      <c r="T2150" s="71" t="s">
        <v>390</v>
      </c>
      <c r="U2150" s="74">
        <v>2</v>
      </c>
      <c r="V2150" s="71" t="s">
        <v>391</v>
      </c>
      <c r="W2150" s="130">
        <v>46077.671527777777</v>
      </c>
      <c r="X2150" s="72">
        <v>46081.479166666664</v>
      </c>
      <c r="Y2150" s="72">
        <v>46100.649305555555</v>
      </c>
      <c r="Z2150" s="104" t="s">
        <v>422</v>
      </c>
      <c r="AA2150" s="104" t="s">
        <v>526</v>
      </c>
      <c r="AB2150" s="105">
        <v>46100.5625</v>
      </c>
      <c r="AC2150" s="105">
        <v>46100.645833333336</v>
      </c>
    </row>
    <row r="2151" s="70" customFormat="1" ht="11.25" customHeight="1">
      <c r="A2151" s="87"/>
      <c r="C2151" s="43" t="s">
        <v>3818</v>
      </c>
      <c r="D2151" s="71" t="s">
        <v>382</v>
      </c>
      <c r="E2151" s="71" t="str">
        <f>MID(D2151,1,2)</f>
        <v>IL</v>
      </c>
      <c r="F2151" s="71" t="s">
        <v>468</v>
      </c>
      <c r="G2151" s="71" t="str">
        <f>MID(F2151,1,2)</f>
        <v>US</v>
      </c>
      <c r="H2151" s="43" t="s">
        <v>469</v>
      </c>
      <c r="I2151" s="71" t="s">
        <v>3819</v>
      </c>
      <c r="J2151" s="71" t="s">
        <v>454</v>
      </c>
      <c r="K2151" s="43"/>
      <c r="L2151" s="71" t="s">
        <v>107</v>
      </c>
      <c r="M2151" s="73">
        <v>1</v>
      </c>
      <c r="N2151" s="71" t="s">
        <v>388</v>
      </c>
      <c r="O2151" s="73">
        <v>0.013</v>
      </c>
      <c r="P2151" s="71" t="s">
        <v>389</v>
      </c>
      <c r="Q2151" s="73">
        <v>2.5</v>
      </c>
      <c r="R2151" s="71" t="s">
        <v>388</v>
      </c>
      <c r="S2151" s="73">
        <v>0</v>
      </c>
      <c r="T2151" s="71" t="s">
        <v>390</v>
      </c>
      <c r="U2151" s="74">
        <v>1</v>
      </c>
      <c r="V2151" s="71" t="s">
        <v>446</v>
      </c>
      <c r="W2151" s="130">
        <v>46077.396527777775</v>
      </c>
      <c r="X2151" s="72">
        <v>46078.979166666664</v>
      </c>
      <c r="Y2151" s="72">
        <v>46085.375</v>
      </c>
      <c r="Z2151" s="104" t="s">
        <v>382</v>
      </c>
      <c r="AA2151" s="104" t="s">
        <v>471</v>
      </c>
      <c r="AB2151" s="105">
        <v>46079.01458333333</v>
      </c>
      <c r="AC2151" s="105">
        <v>46079.202777777777</v>
      </c>
    </row>
    <row r="2152" s="70" customFormat="1" ht="11.25" customHeight="1">
      <c r="A2152" s="87"/>
      <c r="C2152" s="43" t="s">
        <v>3818</v>
      </c>
      <c r="D2152" s="71" t="s">
        <v>382</v>
      </c>
      <c r="E2152" s="71" t="str">
        <f>MID(D2152,1,2)</f>
        <v>IL</v>
      </c>
      <c r="F2152" s="71" t="s">
        <v>468</v>
      </c>
      <c r="G2152" s="71" t="str">
        <f>MID(F2152,1,2)</f>
        <v>US</v>
      </c>
      <c r="H2152" s="43" t="s">
        <v>469</v>
      </c>
      <c r="I2152" s="71" t="s">
        <v>3819</v>
      </c>
      <c r="J2152" s="71" t="s">
        <v>454</v>
      </c>
      <c r="K2152" s="43"/>
      <c r="L2152" s="71" t="s">
        <v>107</v>
      </c>
      <c r="M2152" s="73">
        <v>1</v>
      </c>
      <c r="N2152" s="71" t="s">
        <v>388</v>
      </c>
      <c r="O2152" s="73">
        <v>0.013</v>
      </c>
      <c r="P2152" s="71" t="s">
        <v>389</v>
      </c>
      <c r="Q2152" s="73">
        <v>2.5</v>
      </c>
      <c r="R2152" s="71" t="s">
        <v>388</v>
      </c>
      <c r="S2152" s="73">
        <v>0</v>
      </c>
      <c r="T2152" s="71" t="s">
        <v>390</v>
      </c>
      <c r="U2152" s="74">
        <v>1</v>
      </c>
      <c r="V2152" s="71" t="s">
        <v>446</v>
      </c>
      <c r="W2152" s="130">
        <v>46077.396527777775</v>
      </c>
      <c r="X2152" s="72">
        <v>46078.979166666664</v>
      </c>
      <c r="Y2152" s="72">
        <v>46085.375</v>
      </c>
      <c r="Z2152" s="104" t="s">
        <v>422</v>
      </c>
      <c r="AA2152" s="104" t="s">
        <v>468</v>
      </c>
      <c r="AB2152" s="105">
        <v>46079.650694444441</v>
      </c>
      <c r="AC2152" s="105">
        <v>46081.484027777777</v>
      </c>
    </row>
    <row r="2153" s="70" customFormat="1" ht="11.25" customHeight="1">
      <c r="A2153" s="87"/>
      <c r="C2153" s="43" t="s">
        <v>3820</v>
      </c>
      <c r="D2153" s="71" t="s">
        <v>382</v>
      </c>
      <c r="E2153" s="71" t="str">
        <f>MID(D2153,1,2)</f>
        <v>IL</v>
      </c>
      <c r="F2153" s="71" t="s">
        <v>774</v>
      </c>
      <c r="G2153" s="71" t="str">
        <f>MID(F2153,1,2)</f>
        <v>CN</v>
      </c>
      <c r="H2153" s="43" t="s">
        <v>3782</v>
      </c>
      <c r="I2153" s="71" t="s">
        <v>3821</v>
      </c>
      <c r="J2153" s="71" t="s">
        <v>755</v>
      </c>
      <c r="K2153" s="43"/>
      <c r="L2153" s="71" t="s">
        <v>105</v>
      </c>
      <c r="M2153" s="73">
        <v>5</v>
      </c>
      <c r="N2153" s="71" t="s">
        <v>388</v>
      </c>
      <c r="O2153" s="73">
        <v>0.106</v>
      </c>
      <c r="P2153" s="71" t="s">
        <v>389</v>
      </c>
      <c r="Q2153" s="73">
        <v>18</v>
      </c>
      <c r="R2153" s="71" t="s">
        <v>388</v>
      </c>
      <c r="S2153" s="73">
        <v>0</v>
      </c>
      <c r="T2153" s="71" t="s">
        <v>390</v>
      </c>
      <c r="U2153" s="74">
        <v>1</v>
      </c>
      <c r="V2153" s="71" t="s">
        <v>391</v>
      </c>
      <c r="W2153" s="130">
        <v>46077.638240740744</v>
      </c>
      <c r="X2153" s="72">
        <v>46079.003472222219</v>
      </c>
      <c r="Y2153" s="72">
        <v>46087.305555555555</v>
      </c>
      <c r="Z2153" s="104" t="s">
        <v>382</v>
      </c>
      <c r="AA2153" s="104" t="s">
        <v>383</v>
      </c>
      <c r="AB2153" s="105">
        <v>46078.970138888886</v>
      </c>
      <c r="AC2153" s="105">
        <v>46079.282638888886</v>
      </c>
    </row>
    <row r="2154" s="70" customFormat="1" ht="11.25" customHeight="1">
      <c r="A2154" s="87"/>
      <c r="C2154" s="43" t="s">
        <v>3820</v>
      </c>
      <c r="D2154" s="71" t="s">
        <v>382</v>
      </c>
      <c r="E2154" s="71" t="str">
        <f>MID(D2154,1,2)</f>
        <v>IL</v>
      </c>
      <c r="F2154" s="71" t="s">
        <v>774</v>
      </c>
      <c r="G2154" s="71" t="str">
        <f>MID(F2154,1,2)</f>
        <v>CN</v>
      </c>
      <c r="H2154" s="43" t="s">
        <v>3782</v>
      </c>
      <c r="I2154" s="71" t="s">
        <v>3821</v>
      </c>
      <c r="J2154" s="71" t="s">
        <v>755</v>
      </c>
      <c r="K2154" s="43"/>
      <c r="L2154" s="71" t="s">
        <v>105</v>
      </c>
      <c r="M2154" s="73">
        <v>5</v>
      </c>
      <c r="N2154" s="71" t="s">
        <v>388</v>
      </c>
      <c r="O2154" s="73">
        <v>0.106</v>
      </c>
      <c r="P2154" s="71" t="s">
        <v>389</v>
      </c>
      <c r="Q2154" s="73">
        <v>18</v>
      </c>
      <c r="R2154" s="71" t="s">
        <v>388</v>
      </c>
      <c r="S2154" s="73">
        <v>0</v>
      </c>
      <c r="T2154" s="71" t="s">
        <v>390</v>
      </c>
      <c r="U2154" s="74">
        <v>1</v>
      </c>
      <c r="V2154" s="71" t="s">
        <v>391</v>
      </c>
      <c r="W2154" s="130">
        <v>46077.638240740744</v>
      </c>
      <c r="X2154" s="72">
        <v>46079.003472222219</v>
      </c>
      <c r="Y2154" s="72">
        <v>46087.305555555555</v>
      </c>
      <c r="Z2154" s="104" t="s">
        <v>383</v>
      </c>
      <c r="AA2154" s="104" t="s">
        <v>774</v>
      </c>
      <c r="AB2154" s="105">
        <v>46081.947916666664</v>
      </c>
      <c r="AC2154" s="105">
        <v>46082.005555555559</v>
      </c>
    </row>
    <row r="2155" s="70" customFormat="1" ht="11.25" customHeight="1">
      <c r="A2155" s="87"/>
      <c r="C2155" s="43" t="s">
        <v>3822</v>
      </c>
      <c r="D2155" s="71" t="s">
        <v>382</v>
      </c>
      <c r="E2155" s="71" t="str">
        <f>MID(D2155,1,2)</f>
        <v>IL</v>
      </c>
      <c r="F2155" s="71" t="s">
        <v>419</v>
      </c>
      <c r="G2155" s="71" t="str">
        <f>MID(F2155,1,2)</f>
        <v>US</v>
      </c>
      <c r="H2155" s="43" t="s">
        <v>3823</v>
      </c>
      <c r="I2155" s="71" t="s">
        <v>3824</v>
      </c>
      <c r="J2155" s="71" t="s">
        <v>386</v>
      </c>
      <c r="K2155" s="43"/>
      <c r="L2155" s="71" t="s">
        <v>107</v>
      </c>
      <c r="M2155" s="73">
        <v>42</v>
      </c>
      <c r="N2155" s="71" t="s">
        <v>388</v>
      </c>
      <c r="O2155" s="73">
        <v>0.836</v>
      </c>
      <c r="P2155" s="71" t="s">
        <v>389</v>
      </c>
      <c r="Q2155" s="73">
        <v>139.5</v>
      </c>
      <c r="R2155" s="71" t="s">
        <v>388</v>
      </c>
      <c r="S2155" s="73">
        <v>0</v>
      </c>
      <c r="T2155" s="71" t="s">
        <v>390</v>
      </c>
      <c r="U2155" s="74">
        <v>1</v>
      </c>
      <c r="V2155" s="71" t="s">
        <v>391</v>
      </c>
      <c r="W2155" s="130">
        <v>46077.40347222222</v>
      </c>
      <c r="X2155" s="72">
        <v>46079.022916666669</v>
      </c>
      <c r="Y2155" s="72">
        <v>46080.166666666664</v>
      </c>
      <c r="Z2155" s="104" t="s">
        <v>382</v>
      </c>
      <c r="AA2155" s="104" t="s">
        <v>471</v>
      </c>
      <c r="AB2155" s="105">
        <v>46079.01458333333</v>
      </c>
      <c r="AC2155" s="105">
        <v>46079.202777777777</v>
      </c>
    </row>
    <row r="2156" s="70" customFormat="1" ht="11.25" customHeight="1">
      <c r="A2156" s="87"/>
      <c r="C2156" s="43" t="s">
        <v>3822</v>
      </c>
      <c r="D2156" s="71" t="s">
        <v>382</v>
      </c>
      <c r="E2156" s="71" t="str">
        <f>MID(D2156,1,2)</f>
        <v>IL</v>
      </c>
      <c r="F2156" s="71" t="s">
        <v>419</v>
      </c>
      <c r="G2156" s="71" t="str">
        <f>MID(F2156,1,2)</f>
        <v>US</v>
      </c>
      <c r="H2156" s="43" t="s">
        <v>3823</v>
      </c>
      <c r="I2156" s="71" t="s">
        <v>3824</v>
      </c>
      <c r="J2156" s="71" t="s">
        <v>386</v>
      </c>
      <c r="K2156" s="43"/>
      <c r="L2156" s="71" t="s">
        <v>107</v>
      </c>
      <c r="M2156" s="73">
        <v>42</v>
      </c>
      <c r="N2156" s="71" t="s">
        <v>388</v>
      </c>
      <c r="O2156" s="73">
        <v>0.836</v>
      </c>
      <c r="P2156" s="71" t="s">
        <v>389</v>
      </c>
      <c r="Q2156" s="73">
        <v>139.5</v>
      </c>
      <c r="R2156" s="71" t="s">
        <v>388</v>
      </c>
      <c r="S2156" s="73">
        <v>0</v>
      </c>
      <c r="T2156" s="71" t="s">
        <v>390</v>
      </c>
      <c r="U2156" s="74">
        <v>1</v>
      </c>
      <c r="V2156" s="71" t="s">
        <v>391</v>
      </c>
      <c r="W2156" s="130">
        <v>46077.40347222222</v>
      </c>
      <c r="X2156" s="72">
        <v>46079.022916666669</v>
      </c>
      <c r="Y2156" s="72">
        <v>46080.166666666664</v>
      </c>
      <c r="Z2156" s="104" t="s">
        <v>471</v>
      </c>
      <c r="AA2156" s="104" t="s">
        <v>419</v>
      </c>
      <c r="AB2156" s="105">
        <v>46079.624305555553</v>
      </c>
      <c r="AC2156" s="105">
        <v>46079.746527777781</v>
      </c>
    </row>
    <row r="2157" s="70" customFormat="1" ht="11.25" customHeight="1">
      <c r="A2157" s="87"/>
      <c r="C2157" s="43" t="s">
        <v>3825</v>
      </c>
      <c r="D2157" s="71" t="s">
        <v>382</v>
      </c>
      <c r="E2157" s="71" t="str">
        <f>MID(D2157,1,2)</f>
        <v>IL</v>
      </c>
      <c r="F2157" s="71" t="s">
        <v>684</v>
      </c>
      <c r="G2157" s="71" t="str">
        <f>MID(F2157,1,2)</f>
        <v>IT</v>
      </c>
      <c r="H2157" s="43" t="s">
        <v>3826</v>
      </c>
      <c r="I2157" s="71"/>
      <c r="J2157" s="71" t="s">
        <v>426</v>
      </c>
      <c r="K2157" s="43"/>
      <c r="L2157" s="71" t="s">
        <v>105</v>
      </c>
      <c r="M2157" s="73">
        <v>328</v>
      </c>
      <c r="N2157" s="71" t="s">
        <v>388</v>
      </c>
      <c r="O2157" s="73">
        <v>0.485</v>
      </c>
      <c r="P2157" s="71" t="s">
        <v>389</v>
      </c>
      <c r="Q2157" s="73">
        <v>328</v>
      </c>
      <c r="R2157" s="71" t="s">
        <v>388</v>
      </c>
      <c r="S2157" s="73">
        <v>0</v>
      </c>
      <c r="T2157" s="71" t="s">
        <v>390</v>
      </c>
      <c r="U2157" s="74">
        <v>1</v>
      </c>
      <c r="V2157" s="71" t="s">
        <v>391</v>
      </c>
      <c r="W2157" s="130">
        <v>46084.507638888892</v>
      </c>
      <c r="X2157" s="72">
        <v>46090.756944444445</v>
      </c>
      <c r="Y2157" s="72">
        <v>46092.165972222225</v>
      </c>
      <c r="Z2157" s="104" t="s">
        <v>382</v>
      </c>
      <c r="AA2157" s="104" t="s">
        <v>684</v>
      </c>
      <c r="AB2157" s="105">
        <v>46090.84375</v>
      </c>
      <c r="AC2157" s="105">
        <v>46090.980555555558</v>
      </c>
    </row>
    <row r="2158" s="70" customFormat="1" ht="11.25" customHeight="1">
      <c r="A2158" s="87"/>
      <c r="C2158" s="43" t="s">
        <v>3827</v>
      </c>
      <c r="D2158" s="71" t="s">
        <v>382</v>
      </c>
      <c r="E2158" s="71" t="str">
        <f>MID(D2158,1,2)</f>
        <v>IL</v>
      </c>
      <c r="F2158" s="71" t="s">
        <v>485</v>
      </c>
      <c r="G2158" s="71" t="str">
        <f>MID(F2158,1,2)</f>
        <v>US</v>
      </c>
      <c r="H2158" s="43" t="s">
        <v>3828</v>
      </c>
      <c r="I2158" s="71" t="s">
        <v>3829</v>
      </c>
      <c r="J2158" s="71" t="s">
        <v>386</v>
      </c>
      <c r="K2158" s="43"/>
      <c r="L2158" s="71" t="s">
        <v>107</v>
      </c>
      <c r="M2158" s="73">
        <v>12</v>
      </c>
      <c r="N2158" s="71" t="s">
        <v>388</v>
      </c>
      <c r="O2158" s="73">
        <v>0.083</v>
      </c>
      <c r="P2158" s="71" t="s">
        <v>389</v>
      </c>
      <c r="Q2158" s="73">
        <v>14</v>
      </c>
      <c r="R2158" s="71" t="s">
        <v>388</v>
      </c>
      <c r="S2158" s="73">
        <v>0</v>
      </c>
      <c r="T2158" s="71" t="s">
        <v>390</v>
      </c>
      <c r="U2158" s="74">
        <v>1</v>
      </c>
      <c r="V2158" s="71" t="s">
        <v>391</v>
      </c>
      <c r="W2158" s="130"/>
      <c r="X2158" s="72">
        <v>46078.690972222219</v>
      </c>
      <c r="Y2158" s="72">
        <v>46092.5</v>
      </c>
      <c r="Z2158" s="104" t="s">
        <v>382</v>
      </c>
      <c r="AA2158" s="104" t="s">
        <v>383</v>
      </c>
      <c r="AB2158" s="105">
        <v>46078.970138888886</v>
      </c>
      <c r="AC2158" s="105">
        <v>46079.282638888886</v>
      </c>
    </row>
    <row r="2159" s="70" customFormat="1" ht="11.25" customHeight="1">
      <c r="A2159" s="87"/>
      <c r="C2159" s="43" t="s">
        <v>3827</v>
      </c>
      <c r="D2159" s="71" t="s">
        <v>382</v>
      </c>
      <c r="E2159" s="71" t="str">
        <f>MID(D2159,1,2)</f>
        <v>IL</v>
      </c>
      <c r="F2159" s="71" t="s">
        <v>485</v>
      </c>
      <c r="G2159" s="71" t="str">
        <f>MID(F2159,1,2)</f>
        <v>US</v>
      </c>
      <c r="H2159" s="43" t="s">
        <v>3828</v>
      </c>
      <c r="I2159" s="71" t="s">
        <v>3829</v>
      </c>
      <c r="J2159" s="71" t="s">
        <v>386</v>
      </c>
      <c r="K2159" s="43"/>
      <c r="L2159" s="71" t="s">
        <v>107</v>
      </c>
      <c r="M2159" s="73">
        <v>12</v>
      </c>
      <c r="N2159" s="71" t="s">
        <v>388</v>
      </c>
      <c r="O2159" s="73">
        <v>0.083</v>
      </c>
      <c r="P2159" s="71" t="s">
        <v>389</v>
      </c>
      <c r="Q2159" s="73">
        <v>14</v>
      </c>
      <c r="R2159" s="71" t="s">
        <v>388</v>
      </c>
      <c r="S2159" s="73">
        <v>0</v>
      </c>
      <c r="T2159" s="71" t="s">
        <v>390</v>
      </c>
      <c r="U2159" s="74">
        <v>1</v>
      </c>
      <c r="V2159" s="71" t="s">
        <v>391</v>
      </c>
      <c r="W2159" s="130"/>
      <c r="X2159" s="72">
        <v>46078.690972222219</v>
      </c>
      <c r="Y2159" s="72">
        <v>46092.5</v>
      </c>
      <c r="Z2159" s="104" t="s">
        <v>383</v>
      </c>
      <c r="AA2159" s="104" t="s">
        <v>414</v>
      </c>
      <c r="AB2159" s="105">
        <v>46079.753472222219</v>
      </c>
      <c r="AC2159" s="105">
        <v>46079.870138888888</v>
      </c>
    </row>
    <row r="2160" s="70" customFormat="1" ht="11.25" customHeight="1">
      <c r="A2160" s="87"/>
      <c r="C2160" s="43" t="s">
        <v>3827</v>
      </c>
      <c r="D2160" s="71" t="s">
        <v>382</v>
      </c>
      <c r="E2160" s="71" t="str">
        <f>MID(D2160,1,2)</f>
        <v>IL</v>
      </c>
      <c r="F2160" s="71" t="s">
        <v>485</v>
      </c>
      <c r="G2160" s="71" t="str">
        <f>MID(F2160,1,2)</f>
        <v>US</v>
      </c>
      <c r="H2160" s="43" t="s">
        <v>3828</v>
      </c>
      <c r="I2160" s="71" t="s">
        <v>3829</v>
      </c>
      <c r="J2160" s="71" t="s">
        <v>386</v>
      </c>
      <c r="K2160" s="43"/>
      <c r="L2160" s="71" t="s">
        <v>107</v>
      </c>
      <c r="M2160" s="73">
        <v>12</v>
      </c>
      <c r="N2160" s="71" t="s">
        <v>388</v>
      </c>
      <c r="O2160" s="73">
        <v>0.083</v>
      </c>
      <c r="P2160" s="71" t="s">
        <v>389</v>
      </c>
      <c r="Q2160" s="73">
        <v>14</v>
      </c>
      <c r="R2160" s="71" t="s">
        <v>388</v>
      </c>
      <c r="S2160" s="73">
        <v>0</v>
      </c>
      <c r="T2160" s="71" t="s">
        <v>390</v>
      </c>
      <c r="U2160" s="74">
        <v>1</v>
      </c>
      <c r="V2160" s="71" t="s">
        <v>391</v>
      </c>
      <c r="W2160" s="130"/>
      <c r="X2160" s="72">
        <v>46078.690972222219</v>
      </c>
      <c r="Y2160" s="72">
        <v>46092.5</v>
      </c>
      <c r="Z2160" s="104" t="s">
        <v>414</v>
      </c>
      <c r="AA2160" s="104" t="s">
        <v>485</v>
      </c>
      <c r="AB2160" s="105">
        <v>46089.624305555553</v>
      </c>
      <c r="AC2160" s="105">
        <v>46090.679861111108</v>
      </c>
    </row>
    <row r="2161" s="70" customFormat="1" ht="11.25" customHeight="1">
      <c r="A2161" s="87"/>
      <c r="C2161" s="43" t="s">
        <v>3830</v>
      </c>
      <c r="D2161" s="71" t="s">
        <v>382</v>
      </c>
      <c r="E2161" s="71" t="str">
        <f>MID(D2161,1,2)</f>
        <v>IL</v>
      </c>
      <c r="F2161" s="71" t="s">
        <v>1169</v>
      </c>
      <c r="G2161" s="71" t="str">
        <f>MID(F2161,1,2)</f>
        <v>HU</v>
      </c>
      <c r="H2161" s="43" t="s">
        <v>3831</v>
      </c>
      <c r="I2161" s="71" t="s">
        <v>3832</v>
      </c>
      <c r="J2161" s="71" t="s">
        <v>811</v>
      </c>
      <c r="K2161" s="43"/>
      <c r="L2161" s="71" t="s">
        <v>105</v>
      </c>
      <c r="M2161" s="73">
        <v>40</v>
      </c>
      <c r="N2161" s="71" t="s">
        <v>388</v>
      </c>
      <c r="O2161" s="73">
        <v>0.226</v>
      </c>
      <c r="P2161" s="71" t="s">
        <v>389</v>
      </c>
      <c r="Q2161" s="73">
        <v>100</v>
      </c>
      <c r="R2161" s="71" t="s">
        <v>388</v>
      </c>
      <c r="S2161" s="73">
        <v>0</v>
      </c>
      <c r="T2161" s="71" t="s">
        <v>390</v>
      </c>
      <c r="U2161" s="74">
        <v>1</v>
      </c>
      <c r="V2161" s="71" t="s">
        <v>391</v>
      </c>
      <c r="W2161" s="130">
        <v>46077.695138888892</v>
      </c>
      <c r="X2161" s="72">
        <v>46078.39375</v>
      </c>
      <c r="Y2161" s="72">
        <v>46078.820138888892</v>
      </c>
      <c r="Z2161" s="104" t="s">
        <v>382</v>
      </c>
      <c r="AA2161" s="104" t="s">
        <v>1169</v>
      </c>
      <c r="AB2161" s="105">
        <v>46078.704861111109</v>
      </c>
      <c r="AC2161" s="105">
        <v>46078.805555555555</v>
      </c>
    </row>
    <row r="2162" s="70" customFormat="1" ht="11.25" customHeight="1">
      <c r="A2162" s="87"/>
      <c r="C2162" s="43" t="s">
        <v>3833</v>
      </c>
      <c r="D2162" s="71" t="s">
        <v>382</v>
      </c>
      <c r="E2162" s="71" t="str">
        <f>MID(D2162,1,2)</f>
        <v>IL</v>
      </c>
      <c r="F2162" s="71" t="s">
        <v>1175</v>
      </c>
      <c r="G2162" s="71" t="str">
        <f>MID(F2162,1,2)</f>
        <v>AE</v>
      </c>
      <c r="H2162" s="43" t="s">
        <v>3834</v>
      </c>
      <c r="I2162" s="71" t="s">
        <v>3835</v>
      </c>
      <c r="J2162" s="71" t="s">
        <v>811</v>
      </c>
      <c r="K2162" s="43"/>
      <c r="L2162" s="71" t="s">
        <v>105</v>
      </c>
      <c r="M2162" s="73">
        <v>75</v>
      </c>
      <c r="N2162" s="71" t="s">
        <v>388</v>
      </c>
      <c r="O2162" s="73">
        <v>1.638</v>
      </c>
      <c r="P2162" s="71" t="s">
        <v>389</v>
      </c>
      <c r="Q2162" s="73">
        <v>273</v>
      </c>
      <c r="R2162" s="71" t="s">
        <v>388</v>
      </c>
      <c r="S2162" s="73">
        <v>0</v>
      </c>
      <c r="T2162" s="71" t="s">
        <v>390</v>
      </c>
      <c r="U2162" s="74">
        <v>1</v>
      </c>
      <c r="V2162" s="71" t="s">
        <v>391</v>
      </c>
      <c r="W2162" s="130">
        <v>46077.801388888889</v>
      </c>
      <c r="X2162" s="72">
        <v>46078.649305555555</v>
      </c>
      <c r="Y2162" s="72">
        <v>46080.584722222222</v>
      </c>
      <c r="Z2162" s="104" t="s">
        <v>382</v>
      </c>
      <c r="AA2162" s="104" t="s">
        <v>441</v>
      </c>
      <c r="AB2162" s="105">
        <v>46078.64375</v>
      </c>
      <c r="AC2162" s="105"/>
    </row>
    <row r="2163" s="70" customFormat="1" ht="11.25" customHeight="1">
      <c r="A2163" s="87"/>
      <c r="C2163" s="43" t="s">
        <v>3833</v>
      </c>
      <c r="D2163" s="71" t="s">
        <v>382</v>
      </c>
      <c r="E2163" s="71" t="str">
        <f>MID(D2163,1,2)</f>
        <v>IL</v>
      </c>
      <c r="F2163" s="71" t="s">
        <v>1175</v>
      </c>
      <c r="G2163" s="71" t="str">
        <f>MID(F2163,1,2)</f>
        <v>AE</v>
      </c>
      <c r="H2163" s="43" t="s">
        <v>3834</v>
      </c>
      <c r="I2163" s="71" t="s">
        <v>3835</v>
      </c>
      <c r="J2163" s="71" t="s">
        <v>811</v>
      </c>
      <c r="K2163" s="43"/>
      <c r="L2163" s="71" t="s">
        <v>105</v>
      </c>
      <c r="M2163" s="73">
        <v>75</v>
      </c>
      <c r="N2163" s="71" t="s">
        <v>388</v>
      </c>
      <c r="O2163" s="73">
        <v>1.638</v>
      </c>
      <c r="P2163" s="71" t="s">
        <v>389</v>
      </c>
      <c r="Q2163" s="73">
        <v>273</v>
      </c>
      <c r="R2163" s="71" t="s">
        <v>388</v>
      </c>
      <c r="S2163" s="73">
        <v>0</v>
      </c>
      <c r="T2163" s="71" t="s">
        <v>390</v>
      </c>
      <c r="U2163" s="74">
        <v>1</v>
      </c>
      <c r="V2163" s="71" t="s">
        <v>391</v>
      </c>
      <c r="W2163" s="130">
        <v>46077.801388888889</v>
      </c>
      <c r="X2163" s="72">
        <v>46078.649305555555</v>
      </c>
      <c r="Y2163" s="72">
        <v>46080.584722222222</v>
      </c>
      <c r="Z2163" s="104" t="s">
        <v>441</v>
      </c>
      <c r="AA2163" s="104" t="s">
        <v>1175</v>
      </c>
      <c r="AB2163" s="105">
        <v>46079.475694444445</v>
      </c>
      <c r="AC2163" s="105">
        <v>46079.654861111114</v>
      </c>
    </row>
    <row r="2164" s="70" customFormat="1" ht="11.25" customHeight="1">
      <c r="A2164" s="87"/>
      <c r="C2164" s="43" t="s">
        <v>3836</v>
      </c>
      <c r="D2164" s="71" t="s">
        <v>382</v>
      </c>
      <c r="E2164" s="71" t="str">
        <f>MID(D2164,1,2)</f>
        <v>IL</v>
      </c>
      <c r="F2164" s="71" t="s">
        <v>468</v>
      </c>
      <c r="G2164" s="71" t="str">
        <f>MID(F2164,1,2)</f>
        <v>US</v>
      </c>
      <c r="H2164" s="43" t="s">
        <v>469</v>
      </c>
      <c r="I2164" s="71" t="s">
        <v>3837</v>
      </c>
      <c r="J2164" s="71" t="s">
        <v>454</v>
      </c>
      <c r="K2164" s="43"/>
      <c r="L2164" s="71" t="s">
        <v>107</v>
      </c>
      <c r="M2164" s="73">
        <v>1</v>
      </c>
      <c r="N2164" s="71" t="s">
        <v>388</v>
      </c>
      <c r="O2164" s="73">
        <v>0.013</v>
      </c>
      <c r="P2164" s="71" t="s">
        <v>389</v>
      </c>
      <c r="Q2164" s="73">
        <v>2.5</v>
      </c>
      <c r="R2164" s="71" t="s">
        <v>388</v>
      </c>
      <c r="S2164" s="73">
        <v>0</v>
      </c>
      <c r="T2164" s="71" t="s">
        <v>390</v>
      </c>
      <c r="U2164" s="74">
        <v>1</v>
      </c>
      <c r="V2164" s="71" t="s">
        <v>446</v>
      </c>
      <c r="W2164" s="130"/>
      <c r="X2164" s="72">
        <v>46078.979166666664</v>
      </c>
      <c r="Y2164" s="72">
        <v>46085.375</v>
      </c>
      <c r="Z2164" s="104" t="s">
        <v>382</v>
      </c>
      <c r="AA2164" s="104" t="s">
        <v>471</v>
      </c>
      <c r="AB2164" s="105">
        <v>46079.01458333333</v>
      </c>
      <c r="AC2164" s="105">
        <v>46079.202777777777</v>
      </c>
    </row>
    <row r="2165" s="70" customFormat="1" ht="11.25" customHeight="1">
      <c r="A2165" s="87"/>
      <c r="C2165" s="43" t="s">
        <v>3836</v>
      </c>
      <c r="D2165" s="71" t="s">
        <v>382</v>
      </c>
      <c r="E2165" s="71" t="str">
        <f>MID(D2165,1,2)</f>
        <v>IL</v>
      </c>
      <c r="F2165" s="71" t="s">
        <v>468</v>
      </c>
      <c r="G2165" s="71" t="str">
        <f>MID(F2165,1,2)</f>
        <v>US</v>
      </c>
      <c r="H2165" s="43" t="s">
        <v>469</v>
      </c>
      <c r="I2165" s="71" t="s">
        <v>3837</v>
      </c>
      <c r="J2165" s="71" t="s">
        <v>454</v>
      </c>
      <c r="K2165" s="43"/>
      <c r="L2165" s="71" t="s">
        <v>107</v>
      </c>
      <c r="M2165" s="73">
        <v>1</v>
      </c>
      <c r="N2165" s="71" t="s">
        <v>388</v>
      </c>
      <c r="O2165" s="73">
        <v>0.013</v>
      </c>
      <c r="P2165" s="71" t="s">
        <v>389</v>
      </c>
      <c r="Q2165" s="73">
        <v>2.5</v>
      </c>
      <c r="R2165" s="71" t="s">
        <v>388</v>
      </c>
      <c r="S2165" s="73">
        <v>0</v>
      </c>
      <c r="T2165" s="71" t="s">
        <v>390</v>
      </c>
      <c r="U2165" s="74">
        <v>1</v>
      </c>
      <c r="V2165" s="71" t="s">
        <v>446</v>
      </c>
      <c r="W2165" s="130"/>
      <c r="X2165" s="72">
        <v>46078.979166666664</v>
      </c>
      <c r="Y2165" s="72">
        <v>46085.375</v>
      </c>
      <c r="Z2165" s="104" t="s">
        <v>422</v>
      </c>
      <c r="AA2165" s="104" t="s">
        <v>468</v>
      </c>
      <c r="AB2165" s="105">
        <v>46079.650694444441</v>
      </c>
      <c r="AC2165" s="105">
        <v>46081.484027777777</v>
      </c>
    </row>
    <row r="2166" s="70" customFormat="1" ht="11.25" customHeight="1">
      <c r="A2166" s="87"/>
      <c r="C2166" s="43" t="s">
        <v>3838</v>
      </c>
      <c r="D2166" s="71" t="s">
        <v>382</v>
      </c>
      <c r="E2166" s="71" t="str">
        <f>MID(D2166,1,2)</f>
        <v>IL</v>
      </c>
      <c r="F2166" s="71" t="s">
        <v>419</v>
      </c>
      <c r="G2166" s="71" t="str">
        <f>MID(F2166,1,2)</f>
        <v>US</v>
      </c>
      <c r="H2166" s="43" t="s">
        <v>3839</v>
      </c>
      <c r="I2166" s="71" t="s">
        <v>3840</v>
      </c>
      <c r="J2166" s="71" t="s">
        <v>386</v>
      </c>
      <c r="K2166" s="43"/>
      <c r="L2166" s="71" t="s">
        <v>107</v>
      </c>
      <c r="M2166" s="73">
        <v>54</v>
      </c>
      <c r="N2166" s="71" t="s">
        <v>388</v>
      </c>
      <c r="O2166" s="73">
        <v>0.836</v>
      </c>
      <c r="P2166" s="71" t="s">
        <v>389</v>
      </c>
      <c r="Q2166" s="73">
        <v>139.5</v>
      </c>
      <c r="R2166" s="71" t="s">
        <v>388</v>
      </c>
      <c r="S2166" s="73">
        <v>0</v>
      </c>
      <c r="T2166" s="71" t="s">
        <v>390</v>
      </c>
      <c r="U2166" s="74">
        <v>1</v>
      </c>
      <c r="V2166" s="71" t="s">
        <v>391</v>
      </c>
      <c r="W2166" s="130">
        <v>46077.416666666664</v>
      </c>
      <c r="X2166" s="72">
        <v>46079.017361111109</v>
      </c>
      <c r="Y2166" s="72">
        <v>46080.208333333336</v>
      </c>
      <c r="Z2166" s="104" t="s">
        <v>382</v>
      </c>
      <c r="AA2166" s="104" t="s">
        <v>471</v>
      </c>
      <c r="AB2166" s="105">
        <v>46079.01458333333</v>
      </c>
      <c r="AC2166" s="105">
        <v>46079.202777777777</v>
      </c>
    </row>
    <row r="2167" s="70" customFormat="1" ht="11.25" customHeight="1">
      <c r="A2167" s="87"/>
      <c r="C2167" s="43" t="s">
        <v>3838</v>
      </c>
      <c r="D2167" s="71" t="s">
        <v>382</v>
      </c>
      <c r="E2167" s="71" t="str">
        <f>MID(D2167,1,2)</f>
        <v>IL</v>
      </c>
      <c r="F2167" s="71" t="s">
        <v>419</v>
      </c>
      <c r="G2167" s="71" t="str">
        <f>MID(F2167,1,2)</f>
        <v>US</v>
      </c>
      <c r="H2167" s="43" t="s">
        <v>3839</v>
      </c>
      <c r="I2167" s="71" t="s">
        <v>3840</v>
      </c>
      <c r="J2167" s="71" t="s">
        <v>386</v>
      </c>
      <c r="K2167" s="43"/>
      <c r="L2167" s="71" t="s">
        <v>107</v>
      </c>
      <c r="M2167" s="73">
        <v>54</v>
      </c>
      <c r="N2167" s="71" t="s">
        <v>388</v>
      </c>
      <c r="O2167" s="73">
        <v>0.836</v>
      </c>
      <c r="P2167" s="71" t="s">
        <v>389</v>
      </c>
      <c r="Q2167" s="73">
        <v>139.5</v>
      </c>
      <c r="R2167" s="71" t="s">
        <v>388</v>
      </c>
      <c r="S2167" s="73">
        <v>0</v>
      </c>
      <c r="T2167" s="71" t="s">
        <v>390</v>
      </c>
      <c r="U2167" s="74">
        <v>1</v>
      </c>
      <c r="V2167" s="71" t="s">
        <v>391</v>
      </c>
      <c r="W2167" s="130">
        <v>46077.416666666664</v>
      </c>
      <c r="X2167" s="72">
        <v>46079.017361111109</v>
      </c>
      <c r="Y2167" s="72">
        <v>46080.208333333336</v>
      </c>
      <c r="Z2167" s="104" t="s">
        <v>471</v>
      </c>
      <c r="AA2167" s="104" t="s">
        <v>419</v>
      </c>
      <c r="AB2167" s="105">
        <v>46079.624305555553</v>
      </c>
      <c r="AC2167" s="105">
        <v>46079.746527777781</v>
      </c>
    </row>
    <row r="2168" s="70" customFormat="1" ht="11.25" customHeight="1">
      <c r="A2168" s="87"/>
      <c r="C2168" s="43" t="s">
        <v>3841</v>
      </c>
      <c r="D2168" s="71" t="s">
        <v>382</v>
      </c>
      <c r="E2168" s="71" t="str">
        <f>MID(D2168,1,2)</f>
        <v>IL</v>
      </c>
      <c r="F2168" s="71" t="s">
        <v>414</v>
      </c>
      <c r="G2168" s="71" t="str">
        <f>MID(F2168,1,2)</f>
        <v>US</v>
      </c>
      <c r="H2168" s="43" t="s">
        <v>3683</v>
      </c>
      <c r="I2168" s="71" t="s">
        <v>3842</v>
      </c>
      <c r="J2168" s="71" t="s">
        <v>400</v>
      </c>
      <c r="K2168" s="43"/>
      <c r="L2168" s="71" t="s">
        <v>105</v>
      </c>
      <c r="M2168" s="73">
        <v>1</v>
      </c>
      <c r="N2168" s="71" t="s">
        <v>388</v>
      </c>
      <c r="O2168" s="73">
        <v>0.014</v>
      </c>
      <c r="P2168" s="71" t="s">
        <v>389</v>
      </c>
      <c r="Q2168" s="73">
        <v>2.5</v>
      </c>
      <c r="R2168" s="71" t="s">
        <v>388</v>
      </c>
      <c r="S2168" s="73">
        <v>0</v>
      </c>
      <c r="T2168" s="71" t="s">
        <v>390</v>
      </c>
      <c r="U2168" s="74">
        <v>1</v>
      </c>
      <c r="V2168" s="71" t="s">
        <v>427</v>
      </c>
      <c r="W2168" s="130">
        <v>46077.409722222219</v>
      </c>
      <c r="X2168" s="72">
        <v>46080.03125</v>
      </c>
      <c r="Y2168" s="72">
        <v>46080.239583333336</v>
      </c>
      <c r="Z2168" s="104" t="s">
        <v>382</v>
      </c>
      <c r="AA2168" s="104" t="s">
        <v>414</v>
      </c>
      <c r="AB2168" s="105">
        <v>46080.027777777781</v>
      </c>
      <c r="AC2168" s="105">
        <v>46080.23125</v>
      </c>
    </row>
    <row r="2169" s="70" customFormat="1" ht="11.25" customHeight="1">
      <c r="A2169" s="87"/>
      <c r="C2169" s="43" t="s">
        <v>3843</v>
      </c>
      <c r="D2169" s="71" t="s">
        <v>382</v>
      </c>
      <c r="E2169" s="71" t="str">
        <f>MID(D2169,1,2)</f>
        <v>IL</v>
      </c>
      <c r="F2169" s="71" t="s">
        <v>403</v>
      </c>
      <c r="G2169" s="71" t="str">
        <f>MID(F2169,1,2)</f>
        <v>HK</v>
      </c>
      <c r="H2169" s="43" t="s">
        <v>3844</v>
      </c>
      <c r="I2169" s="71" t="s">
        <v>3845</v>
      </c>
      <c r="J2169" s="71" t="s">
        <v>454</v>
      </c>
      <c r="K2169" s="43"/>
      <c r="L2169" s="71" t="s">
        <v>107</v>
      </c>
      <c r="M2169" s="73">
        <v>3590</v>
      </c>
      <c r="N2169" s="71" t="s">
        <v>388</v>
      </c>
      <c r="O2169" s="73">
        <v>25.665</v>
      </c>
      <c r="P2169" s="71" t="s">
        <v>389</v>
      </c>
      <c r="Q2169" s="73">
        <v>4277.5</v>
      </c>
      <c r="R2169" s="71" t="s">
        <v>388</v>
      </c>
      <c r="S2169" s="73">
        <v>0</v>
      </c>
      <c r="T2169" s="71" t="s">
        <v>390</v>
      </c>
      <c r="U2169" s="74">
        <v>4</v>
      </c>
      <c r="V2169" s="71" t="s">
        <v>391</v>
      </c>
      <c r="W2169" s="130"/>
      <c r="X2169" s="72">
        <v>46086.927083333336</v>
      </c>
      <c r="Y2169" s="72">
        <v>46094.548611111109</v>
      </c>
      <c r="Z2169" s="104" t="s">
        <v>382</v>
      </c>
      <c r="AA2169" s="104" t="s">
        <v>466</v>
      </c>
      <c r="AB2169" s="105">
        <v>46087.102083333331</v>
      </c>
      <c r="AC2169" s="105">
        <v>46087.234722222223</v>
      </c>
    </row>
    <row r="2170" s="70" customFormat="1" ht="11.25" customHeight="1">
      <c r="A2170" s="87"/>
      <c r="C2170" s="43" t="s">
        <v>3843</v>
      </c>
      <c r="D2170" s="71" t="s">
        <v>382</v>
      </c>
      <c r="E2170" s="71" t="str">
        <f>MID(D2170,1,2)</f>
        <v>IL</v>
      </c>
      <c r="F2170" s="71" t="s">
        <v>403</v>
      </c>
      <c r="G2170" s="71" t="str">
        <f>MID(F2170,1,2)</f>
        <v>HK</v>
      </c>
      <c r="H2170" s="43" t="s">
        <v>3844</v>
      </c>
      <c r="I2170" s="71" t="s">
        <v>3845</v>
      </c>
      <c r="J2170" s="71" t="s">
        <v>454</v>
      </c>
      <c r="K2170" s="43"/>
      <c r="L2170" s="71" t="s">
        <v>107</v>
      </c>
      <c r="M2170" s="73">
        <v>3590</v>
      </c>
      <c r="N2170" s="71" t="s">
        <v>388</v>
      </c>
      <c r="O2170" s="73">
        <v>25.665</v>
      </c>
      <c r="P2170" s="71" t="s">
        <v>389</v>
      </c>
      <c r="Q2170" s="73">
        <v>4277.5</v>
      </c>
      <c r="R2170" s="71" t="s">
        <v>388</v>
      </c>
      <c r="S2170" s="73">
        <v>0</v>
      </c>
      <c r="T2170" s="71" t="s">
        <v>390</v>
      </c>
      <c r="U2170" s="74">
        <v>4</v>
      </c>
      <c r="V2170" s="71" t="s">
        <v>391</v>
      </c>
      <c r="W2170" s="130"/>
      <c r="X2170" s="72">
        <v>46086.927083333336</v>
      </c>
      <c r="Y2170" s="72">
        <v>46094.548611111109</v>
      </c>
      <c r="Z2170" s="104" t="s">
        <v>466</v>
      </c>
      <c r="AA2170" s="104" t="s">
        <v>1117</v>
      </c>
      <c r="AB2170" s="105">
        <v>46088.317361111112</v>
      </c>
      <c r="AC2170" s="105">
        <v>46088.40625</v>
      </c>
    </row>
    <row r="2171" s="70" customFormat="1" ht="11.25" customHeight="1">
      <c r="A2171" s="87"/>
      <c r="C2171" s="43" t="s">
        <v>3843</v>
      </c>
      <c r="D2171" s="71" t="s">
        <v>382</v>
      </c>
      <c r="E2171" s="71" t="str">
        <f>MID(D2171,1,2)</f>
        <v>IL</v>
      </c>
      <c r="F2171" s="71" t="s">
        <v>403</v>
      </c>
      <c r="G2171" s="71" t="str">
        <f>MID(F2171,1,2)</f>
        <v>HK</v>
      </c>
      <c r="H2171" s="43" t="s">
        <v>3844</v>
      </c>
      <c r="I2171" s="71" t="s">
        <v>3845</v>
      </c>
      <c r="J2171" s="71" t="s">
        <v>454</v>
      </c>
      <c r="K2171" s="43"/>
      <c r="L2171" s="71" t="s">
        <v>107</v>
      </c>
      <c r="M2171" s="73">
        <v>3590</v>
      </c>
      <c r="N2171" s="71" t="s">
        <v>388</v>
      </c>
      <c r="O2171" s="73">
        <v>25.665</v>
      </c>
      <c r="P2171" s="71" t="s">
        <v>389</v>
      </c>
      <c r="Q2171" s="73">
        <v>4277.5</v>
      </c>
      <c r="R2171" s="71" t="s">
        <v>388</v>
      </c>
      <c r="S2171" s="73">
        <v>0</v>
      </c>
      <c r="T2171" s="71" t="s">
        <v>390</v>
      </c>
      <c r="U2171" s="74">
        <v>4</v>
      </c>
      <c r="V2171" s="71" t="s">
        <v>391</v>
      </c>
      <c r="W2171" s="130"/>
      <c r="X2171" s="72">
        <v>46086.927083333336</v>
      </c>
      <c r="Y2171" s="72">
        <v>46094.548611111109</v>
      </c>
      <c r="Z2171" s="104" t="s">
        <v>1117</v>
      </c>
      <c r="AA2171" s="104" t="s">
        <v>1538</v>
      </c>
      <c r="AB2171" s="105">
        <v>46092.799305555556</v>
      </c>
      <c r="AC2171" s="105"/>
    </row>
    <row r="2172" s="70" customFormat="1" ht="11.25" customHeight="1">
      <c r="A2172" s="87"/>
      <c r="C2172" s="43" t="s">
        <v>3843</v>
      </c>
      <c r="D2172" s="71" t="s">
        <v>382</v>
      </c>
      <c r="E2172" s="71" t="str">
        <f>MID(D2172,1,2)</f>
        <v>IL</v>
      </c>
      <c r="F2172" s="71" t="s">
        <v>403</v>
      </c>
      <c r="G2172" s="71" t="str">
        <f>MID(F2172,1,2)</f>
        <v>HK</v>
      </c>
      <c r="H2172" s="43" t="s">
        <v>3844</v>
      </c>
      <c r="I2172" s="71" t="s">
        <v>3845</v>
      </c>
      <c r="J2172" s="71" t="s">
        <v>454</v>
      </c>
      <c r="K2172" s="43"/>
      <c r="L2172" s="71" t="s">
        <v>107</v>
      </c>
      <c r="M2172" s="73">
        <v>3590</v>
      </c>
      <c r="N2172" s="71" t="s">
        <v>388</v>
      </c>
      <c r="O2172" s="73">
        <v>25.665</v>
      </c>
      <c r="P2172" s="71" t="s">
        <v>389</v>
      </c>
      <c r="Q2172" s="73">
        <v>4277.5</v>
      </c>
      <c r="R2172" s="71" t="s">
        <v>388</v>
      </c>
      <c r="S2172" s="73">
        <v>0</v>
      </c>
      <c r="T2172" s="71" t="s">
        <v>390</v>
      </c>
      <c r="U2172" s="74">
        <v>4</v>
      </c>
      <c r="V2172" s="71" t="s">
        <v>391</v>
      </c>
      <c r="W2172" s="130"/>
      <c r="X2172" s="72">
        <v>46086.927083333336</v>
      </c>
      <c r="Y2172" s="72">
        <v>46094.548611111109</v>
      </c>
      <c r="Z2172" s="104" t="s">
        <v>1538</v>
      </c>
      <c r="AA2172" s="104" t="s">
        <v>403</v>
      </c>
      <c r="AB2172" s="105">
        <v>46094.424305555556</v>
      </c>
      <c r="AC2172" s="105">
        <v>46094.572222222225</v>
      </c>
    </row>
    <row r="2173" s="70" customFormat="1" ht="11.25" customHeight="1">
      <c r="A2173" s="87"/>
      <c r="C2173" s="43" t="s">
        <v>3846</v>
      </c>
      <c r="D2173" s="71" t="s">
        <v>382</v>
      </c>
      <c r="E2173" s="71" t="str">
        <f>MID(D2173,1,2)</f>
        <v>IL</v>
      </c>
      <c r="F2173" s="71" t="s">
        <v>468</v>
      </c>
      <c r="G2173" s="71" t="str">
        <f>MID(F2173,1,2)</f>
        <v>US</v>
      </c>
      <c r="H2173" s="43" t="s">
        <v>469</v>
      </c>
      <c r="I2173" s="71" t="s">
        <v>3847</v>
      </c>
      <c r="J2173" s="71" t="s">
        <v>386</v>
      </c>
      <c r="K2173" s="43"/>
      <c r="L2173" s="71" t="s">
        <v>107</v>
      </c>
      <c r="M2173" s="73">
        <v>47</v>
      </c>
      <c r="N2173" s="71" t="s">
        <v>388</v>
      </c>
      <c r="O2173" s="73">
        <v>0.96</v>
      </c>
      <c r="P2173" s="71" t="s">
        <v>389</v>
      </c>
      <c r="Q2173" s="73">
        <v>160</v>
      </c>
      <c r="R2173" s="71" t="s">
        <v>388</v>
      </c>
      <c r="S2173" s="73">
        <v>0</v>
      </c>
      <c r="T2173" s="71" t="s">
        <v>390</v>
      </c>
      <c r="U2173" s="74">
        <v>1</v>
      </c>
      <c r="V2173" s="71" t="s">
        <v>391</v>
      </c>
      <c r="W2173" s="130">
        <v>46077.424305555556</v>
      </c>
      <c r="X2173" s="72">
        <v>46078.979166666664</v>
      </c>
      <c r="Y2173" s="72">
        <v>46085.375</v>
      </c>
      <c r="Z2173" s="104" t="s">
        <v>382</v>
      </c>
      <c r="AA2173" s="104" t="s">
        <v>471</v>
      </c>
      <c r="AB2173" s="105">
        <v>46079.01458333333</v>
      </c>
      <c r="AC2173" s="105">
        <v>46079.202777777777</v>
      </c>
    </row>
    <row r="2174" s="70" customFormat="1" ht="11.25" customHeight="1">
      <c r="A2174" s="87"/>
      <c r="C2174" s="43" t="s">
        <v>3846</v>
      </c>
      <c r="D2174" s="71" t="s">
        <v>382</v>
      </c>
      <c r="E2174" s="71" t="str">
        <f>MID(D2174,1,2)</f>
        <v>IL</v>
      </c>
      <c r="F2174" s="71" t="s">
        <v>468</v>
      </c>
      <c r="G2174" s="71" t="str">
        <f>MID(F2174,1,2)</f>
        <v>US</v>
      </c>
      <c r="H2174" s="43" t="s">
        <v>469</v>
      </c>
      <c r="I2174" s="71" t="s">
        <v>3847</v>
      </c>
      <c r="J2174" s="71" t="s">
        <v>386</v>
      </c>
      <c r="K2174" s="43"/>
      <c r="L2174" s="71" t="s">
        <v>107</v>
      </c>
      <c r="M2174" s="73">
        <v>47</v>
      </c>
      <c r="N2174" s="71" t="s">
        <v>388</v>
      </c>
      <c r="O2174" s="73">
        <v>0.96</v>
      </c>
      <c r="P2174" s="71" t="s">
        <v>389</v>
      </c>
      <c r="Q2174" s="73">
        <v>160</v>
      </c>
      <c r="R2174" s="71" t="s">
        <v>388</v>
      </c>
      <c r="S2174" s="73">
        <v>0</v>
      </c>
      <c r="T2174" s="71" t="s">
        <v>390</v>
      </c>
      <c r="U2174" s="74">
        <v>1</v>
      </c>
      <c r="V2174" s="71" t="s">
        <v>391</v>
      </c>
      <c r="W2174" s="130">
        <v>46077.424305555556</v>
      </c>
      <c r="X2174" s="72">
        <v>46078.979166666664</v>
      </c>
      <c r="Y2174" s="72">
        <v>46085.375</v>
      </c>
      <c r="Z2174" s="104" t="s">
        <v>422</v>
      </c>
      <c r="AA2174" s="104" t="s">
        <v>468</v>
      </c>
      <c r="AB2174" s="105">
        <v>46079.650694444441</v>
      </c>
      <c r="AC2174" s="105">
        <v>46081.484027777777</v>
      </c>
    </row>
    <row r="2175" s="70" customFormat="1" ht="11.25" customHeight="1">
      <c r="A2175" s="87"/>
      <c r="C2175" s="43" t="s">
        <v>3848</v>
      </c>
      <c r="D2175" s="71" t="s">
        <v>382</v>
      </c>
      <c r="E2175" s="71" t="str">
        <f>MID(D2175,1,2)</f>
        <v>IL</v>
      </c>
      <c r="F2175" s="71" t="s">
        <v>414</v>
      </c>
      <c r="G2175" s="71" t="str">
        <f>MID(F2175,1,2)</f>
        <v>US</v>
      </c>
      <c r="H2175" s="43" t="s">
        <v>3683</v>
      </c>
      <c r="I2175" s="71" t="s">
        <v>3849</v>
      </c>
      <c r="J2175" s="71" t="s">
        <v>483</v>
      </c>
      <c r="K2175" s="43"/>
      <c r="L2175" s="71" t="s">
        <v>105</v>
      </c>
      <c r="M2175" s="73">
        <v>4</v>
      </c>
      <c r="N2175" s="71" t="s">
        <v>388</v>
      </c>
      <c r="O2175" s="73">
        <v>0.074</v>
      </c>
      <c r="P2175" s="71" t="s">
        <v>389</v>
      </c>
      <c r="Q2175" s="73">
        <v>12.5</v>
      </c>
      <c r="R2175" s="71" t="s">
        <v>388</v>
      </c>
      <c r="S2175" s="73">
        <v>0</v>
      </c>
      <c r="T2175" s="71" t="s">
        <v>390</v>
      </c>
      <c r="U2175" s="74">
        <v>1</v>
      </c>
      <c r="V2175" s="71" t="s">
        <v>427</v>
      </c>
      <c r="W2175" s="130">
        <v>46077.424305555556</v>
      </c>
      <c r="X2175" s="72">
        <v>46080.03125</v>
      </c>
      <c r="Y2175" s="72">
        <v>46080.239583333336</v>
      </c>
      <c r="Z2175" s="104" t="s">
        <v>382</v>
      </c>
      <c r="AA2175" s="104" t="s">
        <v>414</v>
      </c>
      <c r="AB2175" s="105">
        <v>46080.027777777781</v>
      </c>
      <c r="AC2175" s="105">
        <v>46080.23125</v>
      </c>
    </row>
    <row r="2176" s="70" customFormat="1" ht="11.25" customHeight="1">
      <c r="A2176" s="87"/>
      <c r="C2176" s="43" t="s">
        <v>3850</v>
      </c>
      <c r="D2176" s="71" t="s">
        <v>382</v>
      </c>
      <c r="E2176" s="71" t="str">
        <f>MID(D2176,1,2)</f>
        <v>IL</v>
      </c>
      <c r="F2176" s="71" t="s">
        <v>468</v>
      </c>
      <c r="G2176" s="71" t="str">
        <f>MID(F2176,1,2)</f>
        <v>US</v>
      </c>
      <c r="H2176" s="43" t="s">
        <v>469</v>
      </c>
      <c r="I2176" s="71" t="s">
        <v>3851</v>
      </c>
      <c r="J2176" s="71" t="s">
        <v>386</v>
      </c>
      <c r="K2176" s="43"/>
      <c r="L2176" s="71" t="s">
        <v>107</v>
      </c>
      <c r="M2176" s="73">
        <v>44</v>
      </c>
      <c r="N2176" s="71" t="s">
        <v>388</v>
      </c>
      <c r="O2176" s="73">
        <v>1.344</v>
      </c>
      <c r="P2176" s="71" t="s">
        <v>389</v>
      </c>
      <c r="Q2176" s="73">
        <v>224</v>
      </c>
      <c r="R2176" s="71" t="s">
        <v>388</v>
      </c>
      <c r="S2176" s="73">
        <v>0</v>
      </c>
      <c r="T2176" s="71" t="s">
        <v>390</v>
      </c>
      <c r="U2176" s="74">
        <v>1</v>
      </c>
      <c r="V2176" s="71" t="s">
        <v>391</v>
      </c>
      <c r="W2176" s="130">
        <v>46077.804166666669</v>
      </c>
      <c r="X2176" s="72">
        <v>46078.979166666664</v>
      </c>
      <c r="Y2176" s="72">
        <v>46085.375</v>
      </c>
      <c r="Z2176" s="104" t="s">
        <v>382</v>
      </c>
      <c r="AA2176" s="104" t="s">
        <v>471</v>
      </c>
      <c r="AB2176" s="105">
        <v>46079.01458333333</v>
      </c>
      <c r="AC2176" s="105">
        <v>46079.202777777777</v>
      </c>
    </row>
    <row r="2177" s="70" customFormat="1" ht="11.25" customHeight="1">
      <c r="A2177" s="87"/>
      <c r="C2177" s="43" t="s">
        <v>3850</v>
      </c>
      <c r="D2177" s="71" t="s">
        <v>382</v>
      </c>
      <c r="E2177" s="71" t="str">
        <f>MID(D2177,1,2)</f>
        <v>IL</v>
      </c>
      <c r="F2177" s="71" t="s">
        <v>468</v>
      </c>
      <c r="G2177" s="71" t="str">
        <f>MID(F2177,1,2)</f>
        <v>US</v>
      </c>
      <c r="H2177" s="43" t="s">
        <v>469</v>
      </c>
      <c r="I2177" s="71" t="s">
        <v>3851</v>
      </c>
      <c r="J2177" s="71" t="s">
        <v>386</v>
      </c>
      <c r="K2177" s="43"/>
      <c r="L2177" s="71" t="s">
        <v>107</v>
      </c>
      <c r="M2177" s="73">
        <v>44</v>
      </c>
      <c r="N2177" s="71" t="s">
        <v>388</v>
      </c>
      <c r="O2177" s="73">
        <v>1.344</v>
      </c>
      <c r="P2177" s="71" t="s">
        <v>389</v>
      </c>
      <c r="Q2177" s="73">
        <v>224</v>
      </c>
      <c r="R2177" s="71" t="s">
        <v>388</v>
      </c>
      <c r="S2177" s="73">
        <v>0</v>
      </c>
      <c r="T2177" s="71" t="s">
        <v>390</v>
      </c>
      <c r="U2177" s="74">
        <v>1</v>
      </c>
      <c r="V2177" s="71" t="s">
        <v>391</v>
      </c>
      <c r="W2177" s="130">
        <v>46077.804166666669</v>
      </c>
      <c r="X2177" s="72">
        <v>46078.979166666664</v>
      </c>
      <c r="Y2177" s="72">
        <v>46085.375</v>
      </c>
      <c r="Z2177" s="104" t="s">
        <v>422</v>
      </c>
      <c r="AA2177" s="104" t="s">
        <v>468</v>
      </c>
      <c r="AB2177" s="105">
        <v>46079.650694444441</v>
      </c>
      <c r="AC2177" s="105">
        <v>46081.484027777777</v>
      </c>
    </row>
    <row r="2178" s="70" customFormat="1" ht="11.25" customHeight="1">
      <c r="A2178" s="87"/>
      <c r="C2178" s="43" t="s">
        <v>3852</v>
      </c>
      <c r="D2178" s="71" t="s">
        <v>382</v>
      </c>
      <c r="E2178" s="71" t="str">
        <f>MID(D2178,1,2)</f>
        <v>IL</v>
      </c>
      <c r="F2178" s="71" t="s">
        <v>978</v>
      </c>
      <c r="G2178" s="71" t="str">
        <f>MID(F2178,1,2)</f>
        <v>PL</v>
      </c>
      <c r="H2178" s="43" t="s">
        <v>3853</v>
      </c>
      <c r="I2178" s="71" t="s">
        <v>3854</v>
      </c>
      <c r="J2178" s="71" t="s">
        <v>454</v>
      </c>
      <c r="K2178" s="43"/>
      <c r="L2178" s="71" t="s">
        <v>107</v>
      </c>
      <c r="M2178" s="73">
        <v>52</v>
      </c>
      <c r="N2178" s="71" t="s">
        <v>388</v>
      </c>
      <c r="O2178" s="73">
        <v>0.422</v>
      </c>
      <c r="P2178" s="71" t="s">
        <v>389</v>
      </c>
      <c r="Q2178" s="73">
        <v>70.5</v>
      </c>
      <c r="R2178" s="71" t="s">
        <v>388</v>
      </c>
      <c r="S2178" s="73">
        <v>0</v>
      </c>
      <c r="T2178" s="71" t="s">
        <v>390</v>
      </c>
      <c r="U2178" s="74">
        <v>1</v>
      </c>
      <c r="V2178" s="71" t="s">
        <v>391</v>
      </c>
      <c r="W2178" s="130">
        <v>46077.444444444445</v>
      </c>
      <c r="X2178" s="72">
        <v>46078.267361111109</v>
      </c>
      <c r="Y2178" s="72">
        <v>46083.666666666664</v>
      </c>
      <c r="Z2178" s="104" t="s">
        <v>382</v>
      </c>
      <c r="AA2178" s="104" t="s">
        <v>978</v>
      </c>
      <c r="AB2178" s="105">
        <v>46080.21875</v>
      </c>
      <c r="AC2178" s="105">
        <v>46080.352083333331</v>
      </c>
    </row>
    <row r="2179" s="70" customFormat="1" ht="11.25" customHeight="1">
      <c r="A2179" s="87"/>
      <c r="C2179" s="43" t="s">
        <v>3852</v>
      </c>
      <c r="D2179" s="71" t="s">
        <v>382</v>
      </c>
      <c r="E2179" s="71" t="str">
        <f>MID(D2179,1,2)</f>
        <v>IL</v>
      </c>
      <c r="F2179" s="71" t="s">
        <v>978</v>
      </c>
      <c r="G2179" s="71" t="str">
        <f>MID(F2179,1,2)</f>
        <v>PL</v>
      </c>
      <c r="H2179" s="43" t="s">
        <v>3853</v>
      </c>
      <c r="I2179" s="71" t="s">
        <v>3854</v>
      </c>
      <c r="J2179" s="71" t="s">
        <v>454</v>
      </c>
      <c r="K2179" s="43"/>
      <c r="L2179" s="71" t="s">
        <v>107</v>
      </c>
      <c r="M2179" s="73">
        <v>52</v>
      </c>
      <c r="N2179" s="71" t="s">
        <v>388</v>
      </c>
      <c r="O2179" s="73">
        <v>0.422</v>
      </c>
      <c r="P2179" s="71" t="s">
        <v>389</v>
      </c>
      <c r="Q2179" s="73">
        <v>70.5</v>
      </c>
      <c r="R2179" s="71" t="s">
        <v>388</v>
      </c>
      <c r="S2179" s="73">
        <v>0</v>
      </c>
      <c r="T2179" s="71" t="s">
        <v>390</v>
      </c>
      <c r="U2179" s="74">
        <v>1</v>
      </c>
      <c r="V2179" s="71" t="s">
        <v>391</v>
      </c>
      <c r="W2179" s="130">
        <v>46077.444444444445</v>
      </c>
      <c r="X2179" s="72">
        <v>46078.267361111109</v>
      </c>
      <c r="Y2179" s="72">
        <v>46083.666666666664</v>
      </c>
      <c r="Z2179" s="104" t="s">
        <v>978</v>
      </c>
      <c r="AA2179" s="104" t="s">
        <v>2201</v>
      </c>
      <c r="AB2179" s="105">
        <v>46083.5</v>
      </c>
      <c r="AC2179" s="105">
        <v>46083.666666666664</v>
      </c>
    </row>
    <row r="2180" s="70" customFormat="1" ht="11.25" customHeight="1">
      <c r="A2180" s="87"/>
      <c r="C2180" s="43" t="s">
        <v>3855</v>
      </c>
      <c r="D2180" s="71" t="s">
        <v>382</v>
      </c>
      <c r="E2180" s="71" t="str">
        <f>MID(D2180,1,2)</f>
        <v>IL</v>
      </c>
      <c r="F2180" s="71" t="s">
        <v>919</v>
      </c>
      <c r="G2180" s="71" t="str">
        <f>MID(F2180,1,2)</f>
        <v>CN</v>
      </c>
      <c r="H2180" s="43" t="s">
        <v>3856</v>
      </c>
      <c r="I2180" s="71" t="s">
        <v>3857</v>
      </c>
      <c r="J2180" s="71" t="s">
        <v>755</v>
      </c>
      <c r="K2180" s="43"/>
      <c r="L2180" s="71" t="s">
        <v>105</v>
      </c>
      <c r="M2180" s="73">
        <v>21</v>
      </c>
      <c r="N2180" s="71" t="s">
        <v>388</v>
      </c>
      <c r="O2180" s="73">
        <v>0.39</v>
      </c>
      <c r="P2180" s="71" t="s">
        <v>389</v>
      </c>
      <c r="Q2180" s="73">
        <v>65</v>
      </c>
      <c r="R2180" s="71" t="s">
        <v>388</v>
      </c>
      <c r="S2180" s="73">
        <v>0</v>
      </c>
      <c r="T2180" s="71" t="s">
        <v>390</v>
      </c>
      <c r="U2180" s="74">
        <v>1</v>
      </c>
      <c r="V2180" s="71" t="s">
        <v>391</v>
      </c>
      <c r="W2180" s="130">
        <v>46077.634814814817</v>
      </c>
      <c r="X2180" s="72">
        <v>46083.768055555556</v>
      </c>
      <c r="Y2180" s="72">
        <v>46085.517361111109</v>
      </c>
      <c r="Z2180" s="104" t="s">
        <v>382</v>
      </c>
      <c r="AA2180" s="104" t="s">
        <v>383</v>
      </c>
      <c r="AB2180" s="105">
        <v>46080.56527777778</v>
      </c>
      <c r="AC2180" s="105">
        <v>46080.703472222223</v>
      </c>
    </row>
    <row r="2181" s="70" customFormat="1" ht="11.25" customHeight="1">
      <c r="A2181" s="87"/>
      <c r="C2181" s="43" t="s">
        <v>3855</v>
      </c>
      <c r="D2181" s="71" t="s">
        <v>382</v>
      </c>
      <c r="E2181" s="71" t="str">
        <f>MID(D2181,1,2)</f>
        <v>IL</v>
      </c>
      <c r="F2181" s="71" t="s">
        <v>919</v>
      </c>
      <c r="G2181" s="71" t="str">
        <f>MID(F2181,1,2)</f>
        <v>CN</v>
      </c>
      <c r="H2181" s="43" t="s">
        <v>3856</v>
      </c>
      <c r="I2181" s="71" t="s">
        <v>3857</v>
      </c>
      <c r="J2181" s="71" t="s">
        <v>755</v>
      </c>
      <c r="K2181" s="43"/>
      <c r="L2181" s="71" t="s">
        <v>105</v>
      </c>
      <c r="M2181" s="73">
        <v>21</v>
      </c>
      <c r="N2181" s="71" t="s">
        <v>388</v>
      </c>
      <c r="O2181" s="73">
        <v>0.39</v>
      </c>
      <c r="P2181" s="71" t="s">
        <v>389</v>
      </c>
      <c r="Q2181" s="73">
        <v>65</v>
      </c>
      <c r="R2181" s="71" t="s">
        <v>388</v>
      </c>
      <c r="S2181" s="73">
        <v>0</v>
      </c>
      <c r="T2181" s="71" t="s">
        <v>390</v>
      </c>
      <c r="U2181" s="74">
        <v>1</v>
      </c>
      <c r="V2181" s="71" t="s">
        <v>391</v>
      </c>
      <c r="W2181" s="130">
        <v>46077.634814814817</v>
      </c>
      <c r="X2181" s="72">
        <v>46083.768055555556</v>
      </c>
      <c r="Y2181" s="72">
        <v>46085.517361111109</v>
      </c>
      <c r="Z2181" s="104" t="s">
        <v>383</v>
      </c>
      <c r="AA2181" s="104" t="s">
        <v>667</v>
      </c>
      <c r="AB2181" s="105">
        <v>46083.408333333333</v>
      </c>
      <c r="AC2181" s="105">
        <v>46083.438194444447</v>
      </c>
    </row>
    <row r="2182" s="70" customFormat="1" ht="11.25" customHeight="1">
      <c r="A2182" s="87"/>
      <c r="C2182" s="43" t="s">
        <v>3855</v>
      </c>
      <c r="D2182" s="71" t="s">
        <v>382</v>
      </c>
      <c r="E2182" s="71" t="str">
        <f>MID(D2182,1,2)</f>
        <v>IL</v>
      </c>
      <c r="F2182" s="71" t="s">
        <v>919</v>
      </c>
      <c r="G2182" s="71" t="str">
        <f>MID(F2182,1,2)</f>
        <v>CN</v>
      </c>
      <c r="H2182" s="43" t="s">
        <v>3856</v>
      </c>
      <c r="I2182" s="71" t="s">
        <v>3857</v>
      </c>
      <c r="J2182" s="71" t="s">
        <v>755</v>
      </c>
      <c r="K2182" s="43"/>
      <c r="L2182" s="71" t="s">
        <v>105</v>
      </c>
      <c r="M2182" s="73">
        <v>21</v>
      </c>
      <c r="N2182" s="71" t="s">
        <v>388</v>
      </c>
      <c r="O2182" s="73">
        <v>0.39</v>
      </c>
      <c r="P2182" s="71" t="s">
        <v>389</v>
      </c>
      <c r="Q2182" s="73">
        <v>65</v>
      </c>
      <c r="R2182" s="71" t="s">
        <v>388</v>
      </c>
      <c r="S2182" s="73">
        <v>0</v>
      </c>
      <c r="T2182" s="71" t="s">
        <v>390</v>
      </c>
      <c r="U2182" s="74">
        <v>1</v>
      </c>
      <c r="V2182" s="71" t="s">
        <v>391</v>
      </c>
      <c r="W2182" s="130">
        <v>46077.634814814817</v>
      </c>
      <c r="X2182" s="72">
        <v>46083.768055555556</v>
      </c>
      <c r="Y2182" s="72">
        <v>46085.517361111109</v>
      </c>
      <c r="Z2182" s="104" t="s">
        <v>667</v>
      </c>
      <c r="AA2182" s="104" t="s">
        <v>919</v>
      </c>
      <c r="AB2182" s="105">
        <v>46084.79375</v>
      </c>
      <c r="AC2182" s="105">
        <v>46085.486111111109</v>
      </c>
    </row>
    <row r="2183" s="70" customFormat="1" ht="11.25" customHeight="1">
      <c r="A2183" s="87"/>
      <c r="C2183" s="43" t="s">
        <v>3858</v>
      </c>
      <c r="D2183" s="71" t="s">
        <v>382</v>
      </c>
      <c r="E2183" s="71" t="str">
        <f>MID(D2183,1,2)</f>
        <v>IL</v>
      </c>
      <c r="F2183" s="71" t="s">
        <v>468</v>
      </c>
      <c r="G2183" s="71" t="str">
        <f>MID(F2183,1,2)</f>
        <v>US</v>
      </c>
      <c r="H2183" s="43" t="s">
        <v>3620</v>
      </c>
      <c r="I2183" s="71" t="s">
        <v>3859</v>
      </c>
      <c r="J2183" s="71" t="s">
        <v>386</v>
      </c>
      <c r="K2183" s="43"/>
      <c r="L2183" s="71" t="s">
        <v>107</v>
      </c>
      <c r="M2183" s="73">
        <v>2</v>
      </c>
      <c r="N2183" s="71" t="s">
        <v>388</v>
      </c>
      <c r="O2183" s="73">
        <v>0.024</v>
      </c>
      <c r="P2183" s="71" t="s">
        <v>389</v>
      </c>
      <c r="Q2183" s="73">
        <v>4</v>
      </c>
      <c r="R2183" s="71" t="s">
        <v>388</v>
      </c>
      <c r="S2183" s="73">
        <v>0</v>
      </c>
      <c r="T2183" s="71" t="s">
        <v>390</v>
      </c>
      <c r="U2183" s="74">
        <v>1</v>
      </c>
      <c r="V2183" s="71" t="s">
        <v>446</v>
      </c>
      <c r="W2183" s="130">
        <v>46078.723611111112</v>
      </c>
      <c r="X2183" s="72">
        <v>46081.979166666664</v>
      </c>
      <c r="Y2183" s="72">
        <v>46090.416666666664</v>
      </c>
      <c r="Z2183" s="104" t="s">
        <v>382</v>
      </c>
      <c r="AA2183" s="104" t="s">
        <v>408</v>
      </c>
      <c r="AB2183" s="105">
        <v>46084.73125</v>
      </c>
      <c r="AC2183" s="105">
        <v>46084.975694444445</v>
      </c>
    </row>
    <row r="2184" s="70" customFormat="1" ht="11.25" customHeight="1">
      <c r="A2184" s="87"/>
      <c r="C2184" s="43" t="s">
        <v>3858</v>
      </c>
      <c r="D2184" s="71" t="s">
        <v>382</v>
      </c>
      <c r="E2184" s="71" t="str">
        <f>MID(D2184,1,2)</f>
        <v>IL</v>
      </c>
      <c r="F2184" s="71" t="s">
        <v>468</v>
      </c>
      <c r="G2184" s="71" t="str">
        <f>MID(F2184,1,2)</f>
        <v>US</v>
      </c>
      <c r="H2184" s="43" t="s">
        <v>3620</v>
      </c>
      <c r="I2184" s="71" t="s">
        <v>3859</v>
      </c>
      <c r="J2184" s="71" t="s">
        <v>386</v>
      </c>
      <c r="K2184" s="43"/>
      <c r="L2184" s="71" t="s">
        <v>107</v>
      </c>
      <c r="M2184" s="73">
        <v>2</v>
      </c>
      <c r="N2184" s="71" t="s">
        <v>388</v>
      </c>
      <c r="O2184" s="73">
        <v>0.024</v>
      </c>
      <c r="P2184" s="71" t="s">
        <v>389</v>
      </c>
      <c r="Q2184" s="73">
        <v>4</v>
      </c>
      <c r="R2184" s="71" t="s">
        <v>388</v>
      </c>
      <c r="S2184" s="73">
        <v>0</v>
      </c>
      <c r="T2184" s="71" t="s">
        <v>390</v>
      </c>
      <c r="U2184" s="74">
        <v>1</v>
      </c>
      <c r="V2184" s="71" t="s">
        <v>446</v>
      </c>
      <c r="W2184" s="130">
        <v>46078.723611111112</v>
      </c>
      <c r="X2184" s="72">
        <v>46081.979166666664</v>
      </c>
      <c r="Y2184" s="72">
        <v>46090.416666666664</v>
      </c>
      <c r="Z2184" s="104" t="s">
        <v>408</v>
      </c>
      <c r="AA2184" s="104" t="s">
        <v>422</v>
      </c>
      <c r="AB2184" s="105">
        <v>46087.51666666667</v>
      </c>
      <c r="AC2184" s="105">
        <v>46087.672222222223</v>
      </c>
    </row>
    <row r="2185" s="70" customFormat="1" ht="11.25" customHeight="1">
      <c r="A2185" s="87"/>
      <c r="C2185" s="43" t="s">
        <v>3858</v>
      </c>
      <c r="D2185" s="71" t="s">
        <v>382</v>
      </c>
      <c r="E2185" s="71" t="str">
        <f>MID(D2185,1,2)</f>
        <v>IL</v>
      </c>
      <c r="F2185" s="71" t="s">
        <v>468</v>
      </c>
      <c r="G2185" s="71" t="str">
        <f>MID(F2185,1,2)</f>
        <v>US</v>
      </c>
      <c r="H2185" s="43" t="s">
        <v>3620</v>
      </c>
      <c r="I2185" s="71" t="s">
        <v>3859</v>
      </c>
      <c r="J2185" s="71" t="s">
        <v>386</v>
      </c>
      <c r="K2185" s="43"/>
      <c r="L2185" s="71" t="s">
        <v>107</v>
      </c>
      <c r="M2185" s="73">
        <v>2</v>
      </c>
      <c r="N2185" s="71" t="s">
        <v>388</v>
      </c>
      <c r="O2185" s="73">
        <v>0.024</v>
      </c>
      <c r="P2185" s="71" t="s">
        <v>389</v>
      </c>
      <c r="Q2185" s="73">
        <v>4</v>
      </c>
      <c r="R2185" s="71" t="s">
        <v>388</v>
      </c>
      <c r="S2185" s="73">
        <v>0</v>
      </c>
      <c r="T2185" s="71" t="s">
        <v>390</v>
      </c>
      <c r="U2185" s="74">
        <v>1</v>
      </c>
      <c r="V2185" s="71" t="s">
        <v>446</v>
      </c>
      <c r="W2185" s="130">
        <v>46078.723611111112</v>
      </c>
      <c r="X2185" s="72">
        <v>46081.979166666664</v>
      </c>
      <c r="Y2185" s="72">
        <v>46090.416666666664</v>
      </c>
      <c r="Z2185" s="104" t="s">
        <v>422</v>
      </c>
      <c r="AA2185" s="104" t="s">
        <v>468</v>
      </c>
      <c r="AB2185" s="105">
        <v>46090.263888888891</v>
      </c>
      <c r="AC2185" s="105">
        <v>46090.386111111111</v>
      </c>
    </row>
    <row r="2186" s="70" customFormat="1" ht="11.25" customHeight="1">
      <c r="A2186" s="87"/>
      <c r="C2186" s="43" t="s">
        <v>3860</v>
      </c>
      <c r="D2186" s="71" t="s">
        <v>382</v>
      </c>
      <c r="E2186" s="71" t="str">
        <f>MID(D2186,1,2)</f>
        <v>IL</v>
      </c>
      <c r="F2186" s="71" t="s">
        <v>587</v>
      </c>
      <c r="G2186" s="71" t="str">
        <f>MID(F2186,1,2)</f>
        <v>MX</v>
      </c>
      <c r="H2186" s="43" t="s">
        <v>3861</v>
      </c>
      <c r="I2186" s="71" t="s">
        <v>3862</v>
      </c>
      <c r="J2186" s="71" t="s">
        <v>454</v>
      </c>
      <c r="K2186" s="43"/>
      <c r="L2186" s="71" t="s">
        <v>107</v>
      </c>
      <c r="M2186" s="73">
        <v>1035</v>
      </c>
      <c r="N2186" s="71" t="s">
        <v>388</v>
      </c>
      <c r="O2186" s="73">
        <v>14.04</v>
      </c>
      <c r="P2186" s="71" t="s">
        <v>389</v>
      </c>
      <c r="Q2186" s="73">
        <v>2340</v>
      </c>
      <c r="R2186" s="71" t="s">
        <v>388</v>
      </c>
      <c r="S2186" s="73">
        <v>0</v>
      </c>
      <c r="T2186" s="71" t="s">
        <v>390</v>
      </c>
      <c r="U2186" s="74">
        <v>9</v>
      </c>
      <c r="V2186" s="71" t="s">
        <v>391</v>
      </c>
      <c r="W2186" s="130"/>
      <c r="X2186" s="72">
        <v>46090.45625</v>
      </c>
      <c r="Y2186" s="72">
        <v>46108.725694444445</v>
      </c>
      <c r="Z2186" s="104" t="s">
        <v>382</v>
      </c>
      <c r="AA2186" s="104" t="s">
        <v>577</v>
      </c>
      <c r="AB2186" s="105"/>
      <c r="AC2186" s="105"/>
    </row>
    <row r="2187" s="70" customFormat="1" ht="11.25" customHeight="1">
      <c r="A2187" s="87"/>
      <c r="C2187" s="43" t="s">
        <v>3860</v>
      </c>
      <c r="D2187" s="71" t="s">
        <v>382</v>
      </c>
      <c r="E2187" s="71" t="str">
        <f>MID(D2187,1,2)</f>
        <v>IL</v>
      </c>
      <c r="F2187" s="71" t="s">
        <v>587</v>
      </c>
      <c r="G2187" s="71" t="str">
        <f>MID(F2187,1,2)</f>
        <v>MX</v>
      </c>
      <c r="H2187" s="43" t="s">
        <v>3861</v>
      </c>
      <c r="I2187" s="71" t="s">
        <v>3862</v>
      </c>
      <c r="J2187" s="71" t="s">
        <v>454</v>
      </c>
      <c r="K2187" s="43"/>
      <c r="L2187" s="71" t="s">
        <v>107</v>
      </c>
      <c r="M2187" s="73">
        <v>1035</v>
      </c>
      <c r="N2187" s="71" t="s">
        <v>388</v>
      </c>
      <c r="O2187" s="73">
        <v>14.04</v>
      </c>
      <c r="P2187" s="71" t="s">
        <v>389</v>
      </c>
      <c r="Q2187" s="73">
        <v>2340</v>
      </c>
      <c r="R2187" s="71" t="s">
        <v>388</v>
      </c>
      <c r="S2187" s="73">
        <v>0</v>
      </c>
      <c r="T2187" s="71" t="s">
        <v>390</v>
      </c>
      <c r="U2187" s="74">
        <v>9</v>
      </c>
      <c r="V2187" s="71" t="s">
        <v>391</v>
      </c>
      <c r="W2187" s="130"/>
      <c r="X2187" s="72">
        <v>46090.45625</v>
      </c>
      <c r="Y2187" s="72">
        <v>46108.725694444445</v>
      </c>
      <c r="Z2187" s="104" t="s">
        <v>577</v>
      </c>
      <c r="AA2187" s="104" t="s">
        <v>587</v>
      </c>
      <c r="AB2187" s="105"/>
      <c r="AC2187" s="105"/>
    </row>
    <row r="2188" s="70" customFormat="1" ht="11.25" customHeight="1">
      <c r="A2188" s="87"/>
      <c r="C2188" s="43" t="s">
        <v>3863</v>
      </c>
      <c r="D2188" s="71" t="s">
        <v>382</v>
      </c>
      <c r="E2188" s="71" t="str">
        <f>MID(D2188,1,2)</f>
        <v>IL</v>
      </c>
      <c r="F2188" s="71" t="s">
        <v>3864</v>
      </c>
      <c r="G2188" s="71" t="str">
        <f>MID(F2188,1,2)</f>
        <v>IN</v>
      </c>
      <c r="H2188" s="43" t="s">
        <v>3865</v>
      </c>
      <c r="I2188" s="71" t="s">
        <v>3866</v>
      </c>
      <c r="J2188" s="71" t="s">
        <v>426</v>
      </c>
      <c r="K2188" s="43"/>
      <c r="L2188" s="71" t="s">
        <v>105</v>
      </c>
      <c r="M2188" s="73">
        <v>31</v>
      </c>
      <c r="N2188" s="71" t="s">
        <v>388</v>
      </c>
      <c r="O2188" s="73">
        <v>0.422</v>
      </c>
      <c r="P2188" s="71" t="s">
        <v>389</v>
      </c>
      <c r="Q2188" s="73">
        <v>70.5</v>
      </c>
      <c r="R2188" s="71" t="s">
        <v>388</v>
      </c>
      <c r="S2188" s="73">
        <v>0</v>
      </c>
      <c r="T2188" s="71" t="s">
        <v>390</v>
      </c>
      <c r="U2188" s="74">
        <v>1</v>
      </c>
      <c r="V2188" s="71" t="s">
        <v>391</v>
      </c>
      <c r="W2188" s="130">
        <v>46077.507638888892</v>
      </c>
      <c r="X2188" s="72">
        <v>46096.410416666666</v>
      </c>
      <c r="Y2188" s="72">
        <v>46101.410416666666</v>
      </c>
      <c r="Z2188" s="104" t="s">
        <v>382</v>
      </c>
      <c r="AA2188" s="104" t="s">
        <v>402</v>
      </c>
      <c r="AB2188" s="105">
        <v>46098.494444444441</v>
      </c>
      <c r="AC2188" s="105"/>
    </row>
    <row r="2189" s="70" customFormat="1" ht="11.25" customHeight="1">
      <c r="A2189" s="87"/>
      <c r="C2189" s="43" t="s">
        <v>3863</v>
      </c>
      <c r="D2189" s="71" t="s">
        <v>382</v>
      </c>
      <c r="E2189" s="71" t="str">
        <f>MID(D2189,1,2)</f>
        <v>IL</v>
      </c>
      <c r="F2189" s="71" t="s">
        <v>3864</v>
      </c>
      <c r="G2189" s="71" t="str">
        <f>MID(F2189,1,2)</f>
        <v>IN</v>
      </c>
      <c r="H2189" s="43" t="s">
        <v>3865</v>
      </c>
      <c r="I2189" s="71" t="s">
        <v>3866</v>
      </c>
      <c r="J2189" s="71" t="s">
        <v>426</v>
      </c>
      <c r="K2189" s="43"/>
      <c r="L2189" s="71" t="s">
        <v>105</v>
      </c>
      <c r="M2189" s="73">
        <v>31</v>
      </c>
      <c r="N2189" s="71" t="s">
        <v>388</v>
      </c>
      <c r="O2189" s="73">
        <v>0.422</v>
      </c>
      <c r="P2189" s="71" t="s">
        <v>389</v>
      </c>
      <c r="Q2189" s="73">
        <v>70.5</v>
      </c>
      <c r="R2189" s="71" t="s">
        <v>388</v>
      </c>
      <c r="S2189" s="73">
        <v>0</v>
      </c>
      <c r="T2189" s="71" t="s">
        <v>390</v>
      </c>
      <c r="U2189" s="74">
        <v>1</v>
      </c>
      <c r="V2189" s="71" t="s">
        <v>391</v>
      </c>
      <c r="W2189" s="130">
        <v>46077.507638888892</v>
      </c>
      <c r="X2189" s="72">
        <v>46096.410416666666</v>
      </c>
      <c r="Y2189" s="72">
        <v>46101.410416666666</v>
      </c>
      <c r="Z2189" s="104" t="s">
        <v>402</v>
      </c>
      <c r="AA2189" s="104" t="s">
        <v>809</v>
      </c>
      <c r="AB2189" s="105">
        <v>46098.911111111112</v>
      </c>
      <c r="AC2189" s="105"/>
    </row>
    <row r="2190" s="70" customFormat="1" ht="11.25" customHeight="1">
      <c r="A2190" s="87"/>
      <c r="C2190" s="43" t="s">
        <v>3863</v>
      </c>
      <c r="D2190" s="71" t="s">
        <v>382</v>
      </c>
      <c r="E2190" s="71" t="str">
        <f>MID(D2190,1,2)</f>
        <v>IL</v>
      </c>
      <c r="F2190" s="71" t="s">
        <v>3864</v>
      </c>
      <c r="G2190" s="71" t="str">
        <f>MID(F2190,1,2)</f>
        <v>IN</v>
      </c>
      <c r="H2190" s="43" t="s">
        <v>3865</v>
      </c>
      <c r="I2190" s="71" t="s">
        <v>3866</v>
      </c>
      <c r="J2190" s="71" t="s">
        <v>426</v>
      </c>
      <c r="K2190" s="43"/>
      <c r="L2190" s="71" t="s">
        <v>105</v>
      </c>
      <c r="M2190" s="73">
        <v>31</v>
      </c>
      <c r="N2190" s="71" t="s">
        <v>388</v>
      </c>
      <c r="O2190" s="73">
        <v>0.422</v>
      </c>
      <c r="P2190" s="71" t="s">
        <v>389</v>
      </c>
      <c r="Q2190" s="73">
        <v>70.5</v>
      </c>
      <c r="R2190" s="71" t="s">
        <v>388</v>
      </c>
      <c r="S2190" s="73">
        <v>0</v>
      </c>
      <c r="T2190" s="71" t="s">
        <v>390</v>
      </c>
      <c r="U2190" s="74">
        <v>1</v>
      </c>
      <c r="V2190" s="71" t="s">
        <v>391</v>
      </c>
      <c r="W2190" s="130">
        <v>46077.507638888892</v>
      </c>
      <c r="X2190" s="72">
        <v>46096.410416666666</v>
      </c>
      <c r="Y2190" s="72">
        <v>46101.410416666666</v>
      </c>
      <c r="Z2190" s="104" t="s">
        <v>809</v>
      </c>
      <c r="AA2190" s="104" t="s">
        <v>3864</v>
      </c>
      <c r="AB2190" s="105"/>
      <c r="AC2190" s="105"/>
    </row>
    <row r="2191" s="70" customFormat="1" ht="11.25" customHeight="1">
      <c r="A2191" s="87"/>
      <c r="C2191" s="43" t="s">
        <v>3867</v>
      </c>
      <c r="D2191" s="71" t="s">
        <v>382</v>
      </c>
      <c r="E2191" s="71" t="str">
        <f>MID(D2191,1,2)</f>
        <v>IL</v>
      </c>
      <c r="F2191" s="71" t="s">
        <v>809</v>
      </c>
      <c r="G2191" s="71" t="str">
        <f>MID(F2191,1,2)</f>
        <v>IN</v>
      </c>
      <c r="H2191" s="43" t="s">
        <v>3868</v>
      </c>
      <c r="I2191" s="71" t="s">
        <v>3869</v>
      </c>
      <c r="J2191" s="71" t="s">
        <v>811</v>
      </c>
      <c r="K2191" s="43"/>
      <c r="L2191" s="71" t="s">
        <v>105</v>
      </c>
      <c r="M2191" s="73">
        <v>98</v>
      </c>
      <c r="N2191" s="71" t="s">
        <v>388</v>
      </c>
      <c r="O2191" s="73">
        <v>0.374</v>
      </c>
      <c r="P2191" s="71" t="s">
        <v>389</v>
      </c>
      <c r="Q2191" s="73">
        <v>100</v>
      </c>
      <c r="R2191" s="71" t="s">
        <v>388</v>
      </c>
      <c r="S2191" s="73">
        <v>0</v>
      </c>
      <c r="T2191" s="71" t="s">
        <v>390</v>
      </c>
      <c r="U2191" s="74">
        <v>1</v>
      </c>
      <c r="V2191" s="71" t="s">
        <v>391</v>
      </c>
      <c r="W2191" s="130"/>
      <c r="X2191" s="72">
        <v>46078.452777777777</v>
      </c>
      <c r="Y2191" s="72">
        <v>46080.645833333336</v>
      </c>
      <c r="Z2191" s="104" t="s">
        <v>382</v>
      </c>
      <c r="AA2191" s="104" t="s">
        <v>1175</v>
      </c>
      <c r="AB2191" s="105">
        <v>46078.559027777781</v>
      </c>
      <c r="AC2191" s="105">
        <v>46078.770833333336</v>
      </c>
    </row>
    <row r="2192" s="70" customFormat="1" ht="11.25" customHeight="1">
      <c r="A2192" s="87"/>
      <c r="C2192" s="43" t="s">
        <v>3867</v>
      </c>
      <c r="D2192" s="71" t="s">
        <v>382</v>
      </c>
      <c r="E2192" s="71" t="str">
        <f>MID(D2192,1,2)</f>
        <v>IL</v>
      </c>
      <c r="F2192" s="71" t="s">
        <v>809</v>
      </c>
      <c r="G2192" s="71" t="str">
        <f>MID(F2192,1,2)</f>
        <v>IN</v>
      </c>
      <c r="H2192" s="43" t="s">
        <v>3868</v>
      </c>
      <c r="I2192" s="71" t="s">
        <v>3869</v>
      </c>
      <c r="J2192" s="71" t="s">
        <v>811</v>
      </c>
      <c r="K2192" s="43"/>
      <c r="L2192" s="71" t="s">
        <v>105</v>
      </c>
      <c r="M2192" s="73">
        <v>98</v>
      </c>
      <c r="N2192" s="71" t="s">
        <v>388</v>
      </c>
      <c r="O2192" s="73">
        <v>0.374</v>
      </c>
      <c r="P2192" s="71" t="s">
        <v>389</v>
      </c>
      <c r="Q2192" s="73">
        <v>100</v>
      </c>
      <c r="R2192" s="71" t="s">
        <v>388</v>
      </c>
      <c r="S2192" s="73">
        <v>0</v>
      </c>
      <c r="T2192" s="71" t="s">
        <v>390</v>
      </c>
      <c r="U2192" s="74">
        <v>1</v>
      </c>
      <c r="V2192" s="71" t="s">
        <v>391</v>
      </c>
      <c r="W2192" s="130"/>
      <c r="X2192" s="72">
        <v>46078.452777777777</v>
      </c>
      <c r="Y2192" s="72">
        <v>46080.645833333336</v>
      </c>
      <c r="Z2192" s="104" t="s">
        <v>1175</v>
      </c>
      <c r="AA2192" s="104" t="s">
        <v>809</v>
      </c>
      <c r="AB2192" s="105">
        <v>46079.974305555559</v>
      </c>
      <c r="AC2192" s="105">
        <v>46080.182638888888</v>
      </c>
    </row>
    <row r="2193" s="70" customFormat="1" ht="11.25" customHeight="1">
      <c r="A2193" s="87"/>
      <c r="C2193" s="43" t="s">
        <v>3870</v>
      </c>
      <c r="D2193" s="71" t="s">
        <v>382</v>
      </c>
      <c r="E2193" s="71" t="str">
        <f>MID(D2193,1,2)</f>
        <v>IL</v>
      </c>
      <c r="F2193" s="71" t="s">
        <v>3871</v>
      </c>
      <c r="G2193" s="71" t="str">
        <f>MID(F2193,1,2)</f>
        <v>PA</v>
      </c>
      <c r="H2193" s="43" t="s">
        <v>3872</v>
      </c>
      <c r="I2193" s="71" t="s">
        <v>3873</v>
      </c>
      <c r="J2193" s="71" t="s">
        <v>411</v>
      </c>
      <c r="K2193" s="43"/>
      <c r="L2193" s="71" t="s">
        <v>105</v>
      </c>
      <c r="M2193" s="73">
        <v>137</v>
      </c>
      <c r="N2193" s="71" t="s">
        <v>388</v>
      </c>
      <c r="O2193" s="73">
        <v>0.922</v>
      </c>
      <c r="P2193" s="71" t="s">
        <v>389</v>
      </c>
      <c r="Q2193" s="73">
        <v>154</v>
      </c>
      <c r="R2193" s="71" t="s">
        <v>388</v>
      </c>
      <c r="S2193" s="73">
        <v>0</v>
      </c>
      <c r="T2193" s="71" t="s">
        <v>390</v>
      </c>
      <c r="U2193" s="74">
        <v>1</v>
      </c>
      <c r="V2193" s="71" t="s">
        <v>391</v>
      </c>
      <c r="W2193" s="130">
        <v>46077.636805555558</v>
      </c>
      <c r="X2193" s="72">
        <v>46080.765972222223</v>
      </c>
      <c r="Y2193" s="72">
        <v>46080.765277777777</v>
      </c>
      <c r="Z2193" s="104" t="s">
        <v>382</v>
      </c>
      <c r="AA2193" s="104" t="s">
        <v>590</v>
      </c>
      <c r="AB2193" s="105">
        <v>46079.842361111114</v>
      </c>
      <c r="AC2193" s="105">
        <v>46080.050694444442</v>
      </c>
    </row>
    <row r="2194" s="70" customFormat="1" ht="11.25" customHeight="1">
      <c r="A2194" s="87"/>
      <c r="C2194" s="43" t="s">
        <v>3870</v>
      </c>
      <c r="D2194" s="71" t="s">
        <v>382</v>
      </c>
      <c r="E2194" s="71" t="str">
        <f>MID(D2194,1,2)</f>
        <v>IL</v>
      </c>
      <c r="F2194" s="71" t="s">
        <v>3871</v>
      </c>
      <c r="G2194" s="71" t="str">
        <f>MID(F2194,1,2)</f>
        <v>PA</v>
      </c>
      <c r="H2194" s="43" t="s">
        <v>3872</v>
      </c>
      <c r="I2194" s="71" t="s">
        <v>3873</v>
      </c>
      <c r="J2194" s="71" t="s">
        <v>411</v>
      </c>
      <c r="K2194" s="43"/>
      <c r="L2194" s="71" t="s">
        <v>105</v>
      </c>
      <c r="M2194" s="73">
        <v>137</v>
      </c>
      <c r="N2194" s="71" t="s">
        <v>388</v>
      </c>
      <c r="O2194" s="73">
        <v>0.922</v>
      </c>
      <c r="P2194" s="71" t="s">
        <v>389</v>
      </c>
      <c r="Q2194" s="73">
        <v>154</v>
      </c>
      <c r="R2194" s="71" t="s">
        <v>388</v>
      </c>
      <c r="S2194" s="73">
        <v>0</v>
      </c>
      <c r="T2194" s="71" t="s">
        <v>390</v>
      </c>
      <c r="U2194" s="74">
        <v>1</v>
      </c>
      <c r="V2194" s="71" t="s">
        <v>391</v>
      </c>
      <c r="W2194" s="130">
        <v>46077.636805555558</v>
      </c>
      <c r="X2194" s="72">
        <v>46080.765972222223</v>
      </c>
      <c r="Y2194" s="72">
        <v>46080.765277777777</v>
      </c>
      <c r="Z2194" s="104" t="s">
        <v>590</v>
      </c>
      <c r="AA2194" s="104" t="s">
        <v>3871</v>
      </c>
      <c r="AB2194" s="105">
        <v>46080.765277777777</v>
      </c>
      <c r="AC2194" s="105">
        <v>46080.765972222223</v>
      </c>
    </row>
    <row r="2195" s="70" customFormat="1" ht="11.25" customHeight="1">
      <c r="A2195" s="87"/>
      <c r="C2195" s="43" t="s">
        <v>3874</v>
      </c>
      <c r="D2195" s="71" t="s">
        <v>382</v>
      </c>
      <c r="E2195" s="71" t="str">
        <f>MID(D2195,1,2)</f>
        <v>IL</v>
      </c>
      <c r="F2195" s="71" t="s">
        <v>422</v>
      </c>
      <c r="G2195" s="71" t="str">
        <f>MID(F2195,1,2)</f>
        <v>US</v>
      </c>
      <c r="H2195" s="43" t="s">
        <v>3875</v>
      </c>
      <c r="I2195" s="71" t="s">
        <v>3876</v>
      </c>
      <c r="J2195" s="71" t="s">
        <v>386</v>
      </c>
      <c r="K2195" s="43"/>
      <c r="L2195" s="71" t="s">
        <v>107</v>
      </c>
      <c r="M2195" s="73">
        <v>385</v>
      </c>
      <c r="N2195" s="71" t="s">
        <v>388</v>
      </c>
      <c r="O2195" s="73">
        <v>7.68</v>
      </c>
      <c r="P2195" s="71" t="s">
        <v>389</v>
      </c>
      <c r="Q2195" s="73">
        <v>1280</v>
      </c>
      <c r="R2195" s="71" t="s">
        <v>388</v>
      </c>
      <c r="S2195" s="73">
        <v>0</v>
      </c>
      <c r="T2195" s="71" t="s">
        <v>390</v>
      </c>
      <c r="U2195" s="74">
        <v>4</v>
      </c>
      <c r="V2195" s="71" t="s">
        <v>391</v>
      </c>
      <c r="W2195" s="130">
        <v>46077.479861111111</v>
      </c>
      <c r="X2195" s="72">
        <v>46081.458333333336</v>
      </c>
      <c r="Y2195" s="72">
        <v>46103.458333333336</v>
      </c>
      <c r="Z2195" s="104" t="s">
        <v>382</v>
      </c>
      <c r="AA2195" s="104" t="s">
        <v>471</v>
      </c>
      <c r="AB2195" s="105">
        <v>46098.510416666664</v>
      </c>
      <c r="AC2195" s="105"/>
    </row>
    <row r="2196" s="70" customFormat="1" ht="11.25" customHeight="1">
      <c r="A2196" s="87"/>
      <c r="C2196" s="43" t="s">
        <v>3874</v>
      </c>
      <c r="D2196" s="71" t="s">
        <v>382</v>
      </c>
      <c r="E2196" s="71" t="str">
        <f>MID(D2196,1,2)</f>
        <v>IL</v>
      </c>
      <c r="F2196" s="71" t="s">
        <v>422</v>
      </c>
      <c r="G2196" s="71" t="str">
        <f>MID(F2196,1,2)</f>
        <v>US</v>
      </c>
      <c r="H2196" s="43" t="s">
        <v>3875</v>
      </c>
      <c r="I2196" s="71" t="s">
        <v>3876</v>
      </c>
      <c r="J2196" s="71" t="s">
        <v>386</v>
      </c>
      <c r="K2196" s="43"/>
      <c r="L2196" s="71" t="s">
        <v>107</v>
      </c>
      <c r="M2196" s="73">
        <v>385</v>
      </c>
      <c r="N2196" s="71" t="s">
        <v>388</v>
      </c>
      <c r="O2196" s="73">
        <v>7.68</v>
      </c>
      <c r="P2196" s="71" t="s">
        <v>389</v>
      </c>
      <c r="Q2196" s="73">
        <v>1280</v>
      </c>
      <c r="R2196" s="71" t="s">
        <v>388</v>
      </c>
      <c r="S2196" s="73">
        <v>0</v>
      </c>
      <c r="T2196" s="71" t="s">
        <v>390</v>
      </c>
      <c r="U2196" s="74">
        <v>4</v>
      </c>
      <c r="V2196" s="71" t="s">
        <v>391</v>
      </c>
      <c r="W2196" s="130">
        <v>46077.479861111111</v>
      </c>
      <c r="X2196" s="72">
        <v>46081.458333333336</v>
      </c>
      <c r="Y2196" s="72">
        <v>46103.458333333336</v>
      </c>
      <c r="Z2196" s="104" t="s">
        <v>471</v>
      </c>
      <c r="AA2196" s="104" t="s">
        <v>422</v>
      </c>
      <c r="AB2196" s="105"/>
      <c r="AC2196" s="105"/>
    </row>
    <row r="2197" s="70" customFormat="1" ht="11.25" customHeight="1">
      <c r="A2197" s="87"/>
      <c r="C2197" s="43" t="s">
        <v>3877</v>
      </c>
      <c r="D2197" s="71" t="s">
        <v>382</v>
      </c>
      <c r="E2197" s="71" t="str">
        <f>MID(D2197,1,2)</f>
        <v>IL</v>
      </c>
      <c r="F2197" s="71" t="s">
        <v>433</v>
      </c>
      <c r="G2197" s="71" t="str">
        <f>MID(F2197,1,2)</f>
        <v>US</v>
      </c>
      <c r="H2197" s="43" t="s">
        <v>3878</v>
      </c>
      <c r="I2197" s="71" t="s">
        <v>3879</v>
      </c>
      <c r="J2197" s="71" t="s">
        <v>386</v>
      </c>
      <c r="K2197" s="43"/>
      <c r="L2197" s="71" t="s">
        <v>107</v>
      </c>
      <c r="M2197" s="73">
        <v>30</v>
      </c>
      <c r="N2197" s="71" t="s">
        <v>388</v>
      </c>
      <c r="O2197" s="73">
        <v>0.263</v>
      </c>
      <c r="P2197" s="71" t="s">
        <v>389</v>
      </c>
      <c r="Q2197" s="73">
        <v>44</v>
      </c>
      <c r="R2197" s="71" t="s">
        <v>388</v>
      </c>
      <c r="S2197" s="73">
        <v>0</v>
      </c>
      <c r="T2197" s="71" t="s">
        <v>390</v>
      </c>
      <c r="U2197" s="74">
        <v>1</v>
      </c>
      <c r="V2197" s="71" t="s">
        <v>391</v>
      </c>
      <c r="W2197" s="130">
        <v>46098.631944444445</v>
      </c>
      <c r="X2197" s="72">
        <v>46100.333333333336</v>
      </c>
      <c r="Y2197" s="72">
        <v>46102.5</v>
      </c>
      <c r="Z2197" s="104" t="s">
        <v>382</v>
      </c>
      <c r="AA2197" s="104" t="s">
        <v>471</v>
      </c>
      <c r="AB2197" s="105">
        <v>46100.78402777778</v>
      </c>
      <c r="AC2197" s="105"/>
    </row>
    <row r="2198" s="70" customFormat="1" ht="11.25" customHeight="1">
      <c r="A2198" s="87"/>
      <c r="C2198" s="43" t="s">
        <v>3877</v>
      </c>
      <c r="D2198" s="71" t="s">
        <v>382</v>
      </c>
      <c r="E2198" s="71" t="str">
        <f>MID(D2198,1,2)</f>
        <v>IL</v>
      </c>
      <c r="F2198" s="71" t="s">
        <v>433</v>
      </c>
      <c r="G2198" s="71" t="str">
        <f>MID(F2198,1,2)</f>
        <v>US</v>
      </c>
      <c r="H2198" s="43" t="s">
        <v>3878</v>
      </c>
      <c r="I2198" s="71" t="s">
        <v>3879</v>
      </c>
      <c r="J2198" s="71" t="s">
        <v>386</v>
      </c>
      <c r="K2198" s="43"/>
      <c r="L2198" s="71" t="s">
        <v>107</v>
      </c>
      <c r="M2198" s="73">
        <v>30</v>
      </c>
      <c r="N2198" s="71" t="s">
        <v>388</v>
      </c>
      <c r="O2198" s="73">
        <v>0.263</v>
      </c>
      <c r="P2198" s="71" t="s">
        <v>389</v>
      </c>
      <c r="Q2198" s="73">
        <v>44</v>
      </c>
      <c r="R2198" s="71" t="s">
        <v>388</v>
      </c>
      <c r="S2198" s="73">
        <v>0</v>
      </c>
      <c r="T2198" s="71" t="s">
        <v>390</v>
      </c>
      <c r="U2198" s="74">
        <v>1</v>
      </c>
      <c r="V2198" s="71" t="s">
        <v>391</v>
      </c>
      <c r="W2198" s="130">
        <v>46098.631944444445</v>
      </c>
      <c r="X2198" s="72">
        <v>46100.333333333336</v>
      </c>
      <c r="Y2198" s="72">
        <v>46102.5</v>
      </c>
      <c r="Z2198" s="104" t="s">
        <v>471</v>
      </c>
      <c r="AA2198" s="104" t="s">
        <v>433</v>
      </c>
      <c r="AB2198" s="105">
        <v>46102.310416666667</v>
      </c>
      <c r="AC2198" s="105">
        <v>46102.474305555559</v>
      </c>
    </row>
    <row r="2199" s="70" customFormat="1" ht="11.25" customHeight="1">
      <c r="A2199" s="87"/>
      <c r="C2199" s="43" t="s">
        <v>3880</v>
      </c>
      <c r="D2199" s="71" t="s">
        <v>382</v>
      </c>
      <c r="E2199" s="71" t="str">
        <f>MID(D2199,1,2)</f>
        <v>IL</v>
      </c>
      <c r="F2199" s="71" t="s">
        <v>667</v>
      </c>
      <c r="G2199" s="71" t="str">
        <f>MID(F2199,1,2)</f>
        <v>DE</v>
      </c>
      <c r="H2199" s="43" t="s">
        <v>3601</v>
      </c>
      <c r="I2199" s="71" t="s">
        <v>3881</v>
      </c>
      <c r="J2199" s="71" t="s">
        <v>559</v>
      </c>
      <c r="K2199" s="43"/>
      <c r="L2199" s="71" t="s">
        <v>107</v>
      </c>
      <c r="M2199" s="73">
        <v>1674</v>
      </c>
      <c r="N2199" s="71" t="s">
        <v>388</v>
      </c>
      <c r="O2199" s="73">
        <v>2.588</v>
      </c>
      <c r="P2199" s="71" t="s">
        <v>389</v>
      </c>
      <c r="Q2199" s="73">
        <v>1674</v>
      </c>
      <c r="R2199" s="71" t="s">
        <v>388</v>
      </c>
      <c r="S2199" s="73">
        <v>0</v>
      </c>
      <c r="T2199" s="71" t="s">
        <v>390</v>
      </c>
      <c r="U2199" s="74">
        <v>6</v>
      </c>
      <c r="V2199" s="71" t="s">
        <v>391</v>
      </c>
      <c r="W2199" s="130"/>
      <c r="X2199" s="72">
        <v>46079.003472222219</v>
      </c>
      <c r="Y2199" s="72">
        <v>46080.541666666664</v>
      </c>
      <c r="Z2199" s="104" t="s">
        <v>667</v>
      </c>
      <c r="AA2199" s="104" t="s">
        <v>1006</v>
      </c>
      <c r="AB2199" s="105"/>
      <c r="AC2199" s="105"/>
    </row>
    <row r="2200" s="70" customFormat="1" ht="11.25" customHeight="1">
      <c r="A2200" s="87"/>
      <c r="C2200" s="43" t="s">
        <v>3880</v>
      </c>
      <c r="D2200" s="71" t="s">
        <v>382</v>
      </c>
      <c r="E2200" s="71" t="str">
        <f>MID(D2200,1,2)</f>
        <v>IL</v>
      </c>
      <c r="F2200" s="71" t="s">
        <v>667</v>
      </c>
      <c r="G2200" s="71" t="str">
        <f>MID(F2200,1,2)</f>
        <v>DE</v>
      </c>
      <c r="H2200" s="43" t="s">
        <v>3601</v>
      </c>
      <c r="I2200" s="71" t="s">
        <v>3881</v>
      </c>
      <c r="J2200" s="71" t="s">
        <v>559</v>
      </c>
      <c r="K2200" s="43"/>
      <c r="L2200" s="71" t="s">
        <v>107</v>
      </c>
      <c r="M2200" s="73">
        <v>1674</v>
      </c>
      <c r="N2200" s="71" t="s">
        <v>388</v>
      </c>
      <c r="O2200" s="73">
        <v>2.588</v>
      </c>
      <c r="P2200" s="71" t="s">
        <v>389</v>
      </c>
      <c r="Q2200" s="73">
        <v>1674</v>
      </c>
      <c r="R2200" s="71" t="s">
        <v>388</v>
      </c>
      <c r="S2200" s="73">
        <v>0</v>
      </c>
      <c r="T2200" s="71" t="s">
        <v>390</v>
      </c>
      <c r="U2200" s="74">
        <v>6</v>
      </c>
      <c r="V2200" s="71" t="s">
        <v>391</v>
      </c>
      <c r="W2200" s="130"/>
      <c r="X2200" s="72">
        <v>46079.003472222219</v>
      </c>
      <c r="Y2200" s="72">
        <v>46080.541666666664</v>
      </c>
      <c r="Z2200" s="104" t="s">
        <v>382</v>
      </c>
      <c r="AA2200" s="104" t="s">
        <v>383</v>
      </c>
      <c r="AB2200" s="105">
        <v>46078.970138888886</v>
      </c>
      <c r="AC2200" s="105">
        <v>46079.282638888886</v>
      </c>
    </row>
    <row r="2201" s="70" customFormat="1" ht="11.25" customHeight="1">
      <c r="A2201" s="87"/>
      <c r="C2201" s="43" t="s">
        <v>3880</v>
      </c>
      <c r="D2201" s="71" t="s">
        <v>382</v>
      </c>
      <c r="E2201" s="71" t="str">
        <f>MID(D2201,1,2)</f>
        <v>IL</v>
      </c>
      <c r="F2201" s="71" t="s">
        <v>667</v>
      </c>
      <c r="G2201" s="71" t="str">
        <f>MID(F2201,1,2)</f>
        <v>DE</v>
      </c>
      <c r="H2201" s="43" t="s">
        <v>3601</v>
      </c>
      <c r="I2201" s="71" t="s">
        <v>3881</v>
      </c>
      <c r="J2201" s="71" t="s">
        <v>559</v>
      </c>
      <c r="K2201" s="43"/>
      <c r="L2201" s="71" t="s">
        <v>107</v>
      </c>
      <c r="M2201" s="73">
        <v>1674</v>
      </c>
      <c r="N2201" s="71" t="s">
        <v>388</v>
      </c>
      <c r="O2201" s="73">
        <v>2.588</v>
      </c>
      <c r="P2201" s="71" t="s">
        <v>389</v>
      </c>
      <c r="Q2201" s="73">
        <v>1674</v>
      </c>
      <c r="R2201" s="71" t="s">
        <v>388</v>
      </c>
      <c r="S2201" s="73">
        <v>0</v>
      </c>
      <c r="T2201" s="71" t="s">
        <v>390</v>
      </c>
      <c r="U2201" s="74">
        <v>6</v>
      </c>
      <c r="V2201" s="71" t="s">
        <v>391</v>
      </c>
      <c r="W2201" s="130"/>
      <c r="X2201" s="72">
        <v>46079.003472222219</v>
      </c>
      <c r="Y2201" s="72">
        <v>46080.541666666664</v>
      </c>
      <c r="Z2201" s="104" t="s">
        <v>383</v>
      </c>
      <c r="AA2201" s="104" t="s">
        <v>667</v>
      </c>
      <c r="AB2201" s="105">
        <v>46080.006944444445</v>
      </c>
      <c r="AC2201" s="105">
        <v>46080.246527777781</v>
      </c>
    </row>
    <row r="2202" s="70" customFormat="1" ht="11.25" customHeight="1">
      <c r="A2202" s="87"/>
      <c r="C2202" s="43" t="s">
        <v>3882</v>
      </c>
      <c r="D2202" s="71" t="s">
        <v>382</v>
      </c>
      <c r="E2202" s="71" t="str">
        <f>MID(D2202,1,2)</f>
        <v>IL</v>
      </c>
      <c r="F2202" s="71" t="s">
        <v>414</v>
      </c>
      <c r="G2202" s="71" t="str">
        <f>MID(F2202,1,2)</f>
        <v>US</v>
      </c>
      <c r="H2202" s="43"/>
      <c r="I2202" s="71" t="s">
        <v>3883</v>
      </c>
      <c r="J2202" s="71" t="s">
        <v>755</v>
      </c>
      <c r="K2202" s="43"/>
      <c r="L2202" s="71" t="s">
        <v>105</v>
      </c>
      <c r="M2202" s="73">
        <v>556</v>
      </c>
      <c r="N2202" s="71" t="s">
        <v>388</v>
      </c>
      <c r="O2202" s="73">
        <v>11.269</v>
      </c>
      <c r="P2202" s="71" t="s">
        <v>389</v>
      </c>
      <c r="Q2202" s="73">
        <v>1878.5</v>
      </c>
      <c r="R2202" s="71" t="s">
        <v>388</v>
      </c>
      <c r="S2202" s="73">
        <v>0</v>
      </c>
      <c r="T2202" s="71" t="s">
        <v>390</v>
      </c>
      <c r="U2202" s="74">
        <v>2</v>
      </c>
      <c r="V2202" s="71" t="s">
        <v>391</v>
      </c>
      <c r="W2202" s="130">
        <v>46079.611446759256</v>
      </c>
      <c r="X2202" s="72">
        <v>46083.645833333336</v>
      </c>
      <c r="Y2202" s="72">
        <v>46086.309027777781</v>
      </c>
      <c r="Z2202" s="104"/>
      <c r="AA2202" s="104"/>
      <c r="AB2202" s="105"/>
      <c r="AC2202" s="105"/>
    </row>
    <row r="2203" s="70" customFormat="1" ht="11.25" customHeight="1">
      <c r="A2203" s="87"/>
      <c r="C2203" s="43" t="s">
        <v>3884</v>
      </c>
      <c r="D2203" s="71" t="s">
        <v>382</v>
      </c>
      <c r="E2203" s="71" t="str">
        <f>MID(D2203,1,2)</f>
        <v>IL</v>
      </c>
      <c r="F2203" s="71" t="s">
        <v>667</v>
      </c>
      <c r="G2203" s="71" t="str">
        <f>MID(F2203,1,2)</f>
        <v>DE</v>
      </c>
      <c r="H2203" s="43" t="s">
        <v>3601</v>
      </c>
      <c r="I2203" s="71" t="s">
        <v>3885</v>
      </c>
      <c r="J2203" s="71" t="s">
        <v>559</v>
      </c>
      <c r="K2203" s="43"/>
      <c r="L2203" s="71" t="s">
        <v>107</v>
      </c>
      <c r="M2203" s="73">
        <v>22</v>
      </c>
      <c r="N2203" s="71" t="s">
        <v>388</v>
      </c>
      <c r="O2203" s="73">
        <v>0.166</v>
      </c>
      <c r="P2203" s="71" t="s">
        <v>389</v>
      </c>
      <c r="Q2203" s="73">
        <v>28</v>
      </c>
      <c r="R2203" s="71" t="s">
        <v>388</v>
      </c>
      <c r="S2203" s="73">
        <v>0</v>
      </c>
      <c r="T2203" s="71" t="s">
        <v>390</v>
      </c>
      <c r="U2203" s="74">
        <v>1</v>
      </c>
      <c r="V2203" s="71" t="s">
        <v>391</v>
      </c>
      <c r="W2203" s="130">
        <v>46077.655590277776</v>
      </c>
      <c r="X2203" s="72">
        <v>46079.003472222219</v>
      </c>
      <c r="Y2203" s="72">
        <v>46080.541666666664</v>
      </c>
      <c r="Z2203" s="104" t="s">
        <v>667</v>
      </c>
      <c r="AA2203" s="104" t="s">
        <v>1006</v>
      </c>
      <c r="AB2203" s="105"/>
      <c r="AC2203" s="105"/>
    </row>
    <row r="2204" s="70" customFormat="1" ht="11.25" customHeight="1">
      <c r="A2204" s="87"/>
      <c r="C2204" s="43" t="s">
        <v>3884</v>
      </c>
      <c r="D2204" s="71" t="s">
        <v>382</v>
      </c>
      <c r="E2204" s="71" t="str">
        <f>MID(D2204,1,2)</f>
        <v>IL</v>
      </c>
      <c r="F2204" s="71" t="s">
        <v>667</v>
      </c>
      <c r="G2204" s="71" t="str">
        <f>MID(F2204,1,2)</f>
        <v>DE</v>
      </c>
      <c r="H2204" s="43" t="s">
        <v>3601</v>
      </c>
      <c r="I2204" s="71" t="s">
        <v>3885</v>
      </c>
      <c r="J2204" s="71" t="s">
        <v>559</v>
      </c>
      <c r="K2204" s="43"/>
      <c r="L2204" s="71" t="s">
        <v>107</v>
      </c>
      <c r="M2204" s="73">
        <v>22</v>
      </c>
      <c r="N2204" s="71" t="s">
        <v>388</v>
      </c>
      <c r="O2204" s="73">
        <v>0.166</v>
      </c>
      <c r="P2204" s="71" t="s">
        <v>389</v>
      </c>
      <c r="Q2204" s="73">
        <v>28</v>
      </c>
      <c r="R2204" s="71" t="s">
        <v>388</v>
      </c>
      <c r="S2204" s="73">
        <v>0</v>
      </c>
      <c r="T2204" s="71" t="s">
        <v>390</v>
      </c>
      <c r="U2204" s="74">
        <v>1</v>
      </c>
      <c r="V2204" s="71" t="s">
        <v>391</v>
      </c>
      <c r="W2204" s="130">
        <v>46077.655590277776</v>
      </c>
      <c r="X2204" s="72">
        <v>46079.003472222219</v>
      </c>
      <c r="Y2204" s="72">
        <v>46080.541666666664</v>
      </c>
      <c r="Z2204" s="104" t="s">
        <v>382</v>
      </c>
      <c r="AA2204" s="104" t="s">
        <v>383</v>
      </c>
      <c r="AB2204" s="105">
        <v>46078.970138888886</v>
      </c>
      <c r="AC2204" s="105">
        <v>46079.282638888886</v>
      </c>
    </row>
    <row r="2205" s="70" customFormat="1" ht="11.25" customHeight="1">
      <c r="A2205" s="87"/>
      <c r="C2205" s="43" t="s">
        <v>3884</v>
      </c>
      <c r="D2205" s="71" t="s">
        <v>382</v>
      </c>
      <c r="E2205" s="71" t="str">
        <f>MID(D2205,1,2)</f>
        <v>IL</v>
      </c>
      <c r="F2205" s="71" t="s">
        <v>667</v>
      </c>
      <c r="G2205" s="71" t="str">
        <f>MID(F2205,1,2)</f>
        <v>DE</v>
      </c>
      <c r="H2205" s="43" t="s">
        <v>3601</v>
      </c>
      <c r="I2205" s="71" t="s">
        <v>3885</v>
      </c>
      <c r="J2205" s="71" t="s">
        <v>559</v>
      </c>
      <c r="K2205" s="43"/>
      <c r="L2205" s="71" t="s">
        <v>107</v>
      </c>
      <c r="M2205" s="73">
        <v>22</v>
      </c>
      <c r="N2205" s="71" t="s">
        <v>388</v>
      </c>
      <c r="O2205" s="73">
        <v>0.166</v>
      </c>
      <c r="P2205" s="71" t="s">
        <v>389</v>
      </c>
      <c r="Q2205" s="73">
        <v>28</v>
      </c>
      <c r="R2205" s="71" t="s">
        <v>388</v>
      </c>
      <c r="S2205" s="73">
        <v>0</v>
      </c>
      <c r="T2205" s="71" t="s">
        <v>390</v>
      </c>
      <c r="U2205" s="74">
        <v>1</v>
      </c>
      <c r="V2205" s="71" t="s">
        <v>391</v>
      </c>
      <c r="W2205" s="130">
        <v>46077.655590277776</v>
      </c>
      <c r="X2205" s="72">
        <v>46079.003472222219</v>
      </c>
      <c r="Y2205" s="72">
        <v>46080.541666666664</v>
      </c>
      <c r="Z2205" s="104" t="s">
        <v>383</v>
      </c>
      <c r="AA2205" s="104" t="s">
        <v>667</v>
      </c>
      <c r="AB2205" s="105">
        <v>46080.006944444445</v>
      </c>
      <c r="AC2205" s="105">
        <v>46080.246527777781</v>
      </c>
    </row>
    <row r="2206" s="70" customFormat="1" ht="11.25" customHeight="1">
      <c r="A2206" s="87"/>
      <c r="C2206" s="43" t="s">
        <v>3886</v>
      </c>
      <c r="D2206" s="71" t="s">
        <v>382</v>
      </c>
      <c r="E2206" s="71" t="str">
        <f>MID(D2206,1,2)</f>
        <v>IL</v>
      </c>
      <c r="F2206" s="71" t="s">
        <v>667</v>
      </c>
      <c r="G2206" s="71" t="str">
        <f>MID(F2206,1,2)</f>
        <v>DE</v>
      </c>
      <c r="H2206" s="43" t="s">
        <v>3601</v>
      </c>
      <c r="I2206" s="71" t="s">
        <v>3887</v>
      </c>
      <c r="J2206" s="71" t="s">
        <v>559</v>
      </c>
      <c r="K2206" s="43"/>
      <c r="L2206" s="71" t="s">
        <v>107</v>
      </c>
      <c r="M2206" s="73">
        <v>63</v>
      </c>
      <c r="N2206" s="71" t="s">
        <v>388</v>
      </c>
      <c r="O2206" s="73">
        <v>0.325</v>
      </c>
      <c r="P2206" s="71" t="s">
        <v>389</v>
      </c>
      <c r="Q2206" s="73">
        <v>63</v>
      </c>
      <c r="R2206" s="71" t="s">
        <v>388</v>
      </c>
      <c r="S2206" s="73">
        <v>0</v>
      </c>
      <c r="T2206" s="71" t="s">
        <v>390</v>
      </c>
      <c r="U2206" s="74">
        <v>1</v>
      </c>
      <c r="V2206" s="71" t="s">
        <v>391</v>
      </c>
      <c r="W2206" s="130">
        <v>46077.655590277776</v>
      </c>
      <c r="X2206" s="72">
        <v>46079.003472222219</v>
      </c>
      <c r="Y2206" s="72">
        <v>46080.541666666664</v>
      </c>
      <c r="Z2206" s="104" t="s">
        <v>667</v>
      </c>
      <c r="AA2206" s="104" t="s">
        <v>1006</v>
      </c>
      <c r="AB2206" s="105"/>
      <c r="AC2206" s="105"/>
    </row>
    <row r="2207" s="70" customFormat="1" ht="11.25" customHeight="1">
      <c r="A2207" s="87"/>
      <c r="C2207" s="43" t="s">
        <v>3886</v>
      </c>
      <c r="D2207" s="71" t="s">
        <v>382</v>
      </c>
      <c r="E2207" s="71" t="str">
        <f>MID(D2207,1,2)</f>
        <v>IL</v>
      </c>
      <c r="F2207" s="71" t="s">
        <v>667</v>
      </c>
      <c r="G2207" s="71" t="str">
        <f>MID(F2207,1,2)</f>
        <v>DE</v>
      </c>
      <c r="H2207" s="43" t="s">
        <v>3601</v>
      </c>
      <c r="I2207" s="71" t="s">
        <v>3887</v>
      </c>
      <c r="J2207" s="71" t="s">
        <v>559</v>
      </c>
      <c r="K2207" s="43"/>
      <c r="L2207" s="71" t="s">
        <v>107</v>
      </c>
      <c r="M2207" s="73">
        <v>63</v>
      </c>
      <c r="N2207" s="71" t="s">
        <v>388</v>
      </c>
      <c r="O2207" s="73">
        <v>0.325</v>
      </c>
      <c r="P2207" s="71" t="s">
        <v>389</v>
      </c>
      <c r="Q2207" s="73">
        <v>63</v>
      </c>
      <c r="R2207" s="71" t="s">
        <v>388</v>
      </c>
      <c r="S2207" s="73">
        <v>0</v>
      </c>
      <c r="T2207" s="71" t="s">
        <v>390</v>
      </c>
      <c r="U2207" s="74">
        <v>1</v>
      </c>
      <c r="V2207" s="71" t="s">
        <v>391</v>
      </c>
      <c r="W2207" s="130">
        <v>46077.655590277776</v>
      </c>
      <c r="X2207" s="72">
        <v>46079.003472222219</v>
      </c>
      <c r="Y2207" s="72">
        <v>46080.541666666664</v>
      </c>
      <c r="Z2207" s="104" t="s">
        <v>382</v>
      </c>
      <c r="AA2207" s="104" t="s">
        <v>383</v>
      </c>
      <c r="AB2207" s="105">
        <v>46078.970138888886</v>
      </c>
      <c r="AC2207" s="105">
        <v>46079.282638888886</v>
      </c>
    </row>
    <row r="2208" s="70" customFormat="1" ht="11.25" customHeight="1">
      <c r="A2208" s="87"/>
      <c r="C2208" s="43" t="s">
        <v>3886</v>
      </c>
      <c r="D2208" s="71" t="s">
        <v>382</v>
      </c>
      <c r="E2208" s="71" t="str">
        <f>MID(D2208,1,2)</f>
        <v>IL</v>
      </c>
      <c r="F2208" s="71" t="s">
        <v>667</v>
      </c>
      <c r="G2208" s="71" t="str">
        <f>MID(F2208,1,2)</f>
        <v>DE</v>
      </c>
      <c r="H2208" s="43" t="s">
        <v>3601</v>
      </c>
      <c r="I2208" s="71" t="s">
        <v>3887</v>
      </c>
      <c r="J2208" s="71" t="s">
        <v>559</v>
      </c>
      <c r="K2208" s="43"/>
      <c r="L2208" s="71" t="s">
        <v>107</v>
      </c>
      <c r="M2208" s="73">
        <v>63</v>
      </c>
      <c r="N2208" s="71" t="s">
        <v>388</v>
      </c>
      <c r="O2208" s="73">
        <v>0.325</v>
      </c>
      <c r="P2208" s="71" t="s">
        <v>389</v>
      </c>
      <c r="Q2208" s="73">
        <v>63</v>
      </c>
      <c r="R2208" s="71" t="s">
        <v>388</v>
      </c>
      <c r="S2208" s="73">
        <v>0</v>
      </c>
      <c r="T2208" s="71" t="s">
        <v>390</v>
      </c>
      <c r="U2208" s="74">
        <v>1</v>
      </c>
      <c r="V2208" s="71" t="s">
        <v>391</v>
      </c>
      <c r="W2208" s="130">
        <v>46077.655590277776</v>
      </c>
      <c r="X2208" s="72">
        <v>46079.003472222219</v>
      </c>
      <c r="Y2208" s="72">
        <v>46080.541666666664</v>
      </c>
      <c r="Z2208" s="104" t="s">
        <v>383</v>
      </c>
      <c r="AA2208" s="104" t="s">
        <v>667</v>
      </c>
      <c r="AB2208" s="105">
        <v>46080.006944444445</v>
      </c>
      <c r="AC2208" s="105">
        <v>46080.246527777781</v>
      </c>
    </row>
    <row r="2209" s="70" customFormat="1" ht="11.25" customHeight="1">
      <c r="A2209" s="87"/>
      <c r="C2209" s="43" t="s">
        <v>3888</v>
      </c>
      <c r="D2209" s="71" t="s">
        <v>382</v>
      </c>
      <c r="E2209" s="71" t="str">
        <f>MID(D2209,1,2)</f>
        <v>IL</v>
      </c>
      <c r="F2209" s="71" t="s">
        <v>397</v>
      </c>
      <c r="G2209" s="71" t="str">
        <f>MID(F2209,1,2)</f>
        <v>IN</v>
      </c>
      <c r="H2209" s="43" t="s">
        <v>3889</v>
      </c>
      <c r="I2209" s="71" t="s">
        <v>3890</v>
      </c>
      <c r="J2209" s="71" t="s">
        <v>426</v>
      </c>
      <c r="K2209" s="43"/>
      <c r="L2209" s="71" t="s">
        <v>105</v>
      </c>
      <c r="M2209" s="73">
        <v>3</v>
      </c>
      <c r="N2209" s="71" t="s">
        <v>388</v>
      </c>
      <c r="O2209" s="73">
        <v>0.075</v>
      </c>
      <c r="P2209" s="71" t="s">
        <v>389</v>
      </c>
      <c r="Q2209" s="73">
        <v>12.5</v>
      </c>
      <c r="R2209" s="71" t="s">
        <v>388</v>
      </c>
      <c r="S2209" s="73">
        <v>0</v>
      </c>
      <c r="T2209" s="71" t="s">
        <v>390</v>
      </c>
      <c r="U2209" s="74">
        <v>1</v>
      </c>
      <c r="V2209" s="71" t="s">
        <v>391</v>
      </c>
      <c r="W2209" s="130">
        <v>46077.662569444445</v>
      </c>
      <c r="X2209" s="72">
        <v>46078.477083333331</v>
      </c>
      <c r="Y2209" s="72">
        <v>46080.004861111112</v>
      </c>
      <c r="Z2209" s="104" t="s">
        <v>382</v>
      </c>
      <c r="AA2209" s="104" t="s">
        <v>383</v>
      </c>
      <c r="AB2209" s="105">
        <v>46078.702777777777</v>
      </c>
      <c r="AC2209" s="105">
        <v>46078.850694444445</v>
      </c>
    </row>
    <row r="2210" s="70" customFormat="1" ht="11.25" customHeight="1">
      <c r="A2210" s="87"/>
      <c r="C2210" s="43" t="s">
        <v>3888</v>
      </c>
      <c r="D2210" s="71" t="s">
        <v>382</v>
      </c>
      <c r="E2210" s="71" t="str">
        <f>MID(D2210,1,2)</f>
        <v>IL</v>
      </c>
      <c r="F2210" s="71" t="s">
        <v>397</v>
      </c>
      <c r="G2210" s="71" t="str">
        <f>MID(F2210,1,2)</f>
        <v>IN</v>
      </c>
      <c r="H2210" s="43" t="s">
        <v>3889</v>
      </c>
      <c r="I2210" s="71" t="s">
        <v>3890</v>
      </c>
      <c r="J2210" s="71" t="s">
        <v>426</v>
      </c>
      <c r="K2210" s="43"/>
      <c r="L2210" s="71" t="s">
        <v>105</v>
      </c>
      <c r="M2210" s="73">
        <v>3</v>
      </c>
      <c r="N2210" s="71" t="s">
        <v>388</v>
      </c>
      <c r="O2210" s="73">
        <v>0.075</v>
      </c>
      <c r="P2210" s="71" t="s">
        <v>389</v>
      </c>
      <c r="Q2210" s="73">
        <v>12.5</v>
      </c>
      <c r="R2210" s="71" t="s">
        <v>388</v>
      </c>
      <c r="S2210" s="73">
        <v>0</v>
      </c>
      <c r="T2210" s="71" t="s">
        <v>390</v>
      </c>
      <c r="U2210" s="74">
        <v>1</v>
      </c>
      <c r="V2210" s="71" t="s">
        <v>391</v>
      </c>
      <c r="W2210" s="130">
        <v>46077.662569444445</v>
      </c>
      <c r="X2210" s="72">
        <v>46078.477083333331</v>
      </c>
      <c r="Y2210" s="72">
        <v>46080.004861111112</v>
      </c>
      <c r="Z2210" s="104" t="s">
        <v>383</v>
      </c>
      <c r="AA2210" s="104" t="s">
        <v>397</v>
      </c>
      <c r="AB2210" s="105">
        <v>46079.431944444441</v>
      </c>
      <c r="AC2210" s="105">
        <v>46080.006944444445</v>
      </c>
    </row>
    <row r="2211" s="70" customFormat="1" ht="11.25" customHeight="1">
      <c r="A2211" s="87"/>
      <c r="C2211" s="43" t="s">
        <v>3891</v>
      </c>
      <c r="D2211" s="71" t="s">
        <v>382</v>
      </c>
      <c r="E2211" s="71" t="str">
        <f>MID(D2211,1,2)</f>
        <v>IL</v>
      </c>
      <c r="F2211" s="71" t="s">
        <v>480</v>
      </c>
      <c r="G2211" s="71" t="str">
        <f>MID(F2211,1,2)</f>
        <v>CA</v>
      </c>
      <c r="H2211" s="43" t="s">
        <v>3629</v>
      </c>
      <c r="I2211" s="71" t="s">
        <v>3892</v>
      </c>
      <c r="J2211" s="71" t="s">
        <v>386</v>
      </c>
      <c r="K2211" s="43"/>
      <c r="L2211" s="71" t="s">
        <v>107</v>
      </c>
      <c r="M2211" s="73">
        <v>186</v>
      </c>
      <c r="N2211" s="71" t="s">
        <v>388</v>
      </c>
      <c r="O2211" s="73">
        <v>0.326</v>
      </c>
      <c r="P2211" s="71" t="s">
        <v>389</v>
      </c>
      <c r="Q2211" s="73">
        <v>186</v>
      </c>
      <c r="R2211" s="71" t="s">
        <v>388</v>
      </c>
      <c r="S2211" s="73">
        <v>0</v>
      </c>
      <c r="T2211" s="71" t="s">
        <v>390</v>
      </c>
      <c r="U2211" s="74">
        <v>2</v>
      </c>
      <c r="V2211" s="71" t="s">
        <v>417</v>
      </c>
      <c r="W2211" s="130">
        <v>46077.542361111111</v>
      </c>
      <c r="X2211" s="72">
        <v>46078.458333333336</v>
      </c>
      <c r="Y2211" s="72">
        <v>46080.708333333336</v>
      </c>
      <c r="Z2211" s="104" t="s">
        <v>1102</v>
      </c>
      <c r="AA2211" s="104" t="s">
        <v>1384</v>
      </c>
      <c r="AB2211" s="105"/>
      <c r="AC2211" s="105"/>
    </row>
    <row r="2212" s="70" customFormat="1" ht="11.25" customHeight="1">
      <c r="A2212" s="87"/>
      <c r="C2212" s="43" t="s">
        <v>3891</v>
      </c>
      <c r="D2212" s="71" t="s">
        <v>382</v>
      </c>
      <c r="E2212" s="71" t="str">
        <f>MID(D2212,1,2)</f>
        <v>IL</v>
      </c>
      <c r="F2212" s="71" t="s">
        <v>480</v>
      </c>
      <c r="G2212" s="71" t="str">
        <f>MID(F2212,1,2)</f>
        <v>CA</v>
      </c>
      <c r="H2212" s="43" t="s">
        <v>3629</v>
      </c>
      <c r="I2212" s="71" t="s">
        <v>3892</v>
      </c>
      <c r="J2212" s="71" t="s">
        <v>386</v>
      </c>
      <c r="K2212" s="43"/>
      <c r="L2212" s="71" t="s">
        <v>107</v>
      </c>
      <c r="M2212" s="73">
        <v>186</v>
      </c>
      <c r="N2212" s="71" t="s">
        <v>388</v>
      </c>
      <c r="O2212" s="73">
        <v>0.326</v>
      </c>
      <c r="P2212" s="71" t="s">
        <v>389</v>
      </c>
      <c r="Q2212" s="73">
        <v>186</v>
      </c>
      <c r="R2212" s="71" t="s">
        <v>388</v>
      </c>
      <c r="S2212" s="73">
        <v>0</v>
      </c>
      <c r="T2212" s="71" t="s">
        <v>390</v>
      </c>
      <c r="U2212" s="74">
        <v>2</v>
      </c>
      <c r="V2212" s="71" t="s">
        <v>417</v>
      </c>
      <c r="W2212" s="130">
        <v>46077.542361111111</v>
      </c>
      <c r="X2212" s="72">
        <v>46078.458333333336</v>
      </c>
      <c r="Y2212" s="72">
        <v>46080.708333333336</v>
      </c>
      <c r="Z2212" s="104" t="s">
        <v>382</v>
      </c>
      <c r="AA2212" s="104" t="s">
        <v>405</v>
      </c>
      <c r="AB2212" s="105">
        <v>46078.535416666666</v>
      </c>
      <c r="AC2212" s="105">
        <v>46078.7375</v>
      </c>
    </row>
    <row r="2213" s="70" customFormat="1" ht="11.25" customHeight="1">
      <c r="A2213" s="87"/>
      <c r="C2213" s="43" t="s">
        <v>3891</v>
      </c>
      <c r="D2213" s="71" t="s">
        <v>382</v>
      </c>
      <c r="E2213" s="71" t="str">
        <f>MID(D2213,1,2)</f>
        <v>IL</v>
      </c>
      <c r="F2213" s="71" t="s">
        <v>480</v>
      </c>
      <c r="G2213" s="71" t="str">
        <f>MID(F2213,1,2)</f>
        <v>CA</v>
      </c>
      <c r="H2213" s="43" t="s">
        <v>3629</v>
      </c>
      <c r="I2213" s="71" t="s">
        <v>3892</v>
      </c>
      <c r="J2213" s="71" t="s">
        <v>386</v>
      </c>
      <c r="K2213" s="43"/>
      <c r="L2213" s="71" t="s">
        <v>107</v>
      </c>
      <c r="M2213" s="73">
        <v>186</v>
      </c>
      <c r="N2213" s="71" t="s">
        <v>388</v>
      </c>
      <c r="O2213" s="73">
        <v>0.326</v>
      </c>
      <c r="P2213" s="71" t="s">
        <v>389</v>
      </c>
      <c r="Q2213" s="73">
        <v>186</v>
      </c>
      <c r="R2213" s="71" t="s">
        <v>388</v>
      </c>
      <c r="S2213" s="73">
        <v>0</v>
      </c>
      <c r="T2213" s="71" t="s">
        <v>390</v>
      </c>
      <c r="U2213" s="74">
        <v>2</v>
      </c>
      <c r="V2213" s="71" t="s">
        <v>417</v>
      </c>
      <c r="W2213" s="130">
        <v>46077.542361111111</v>
      </c>
      <c r="X2213" s="72">
        <v>46078.458333333336</v>
      </c>
      <c r="Y2213" s="72">
        <v>46080.708333333336</v>
      </c>
      <c r="Z2213" s="104" t="s">
        <v>405</v>
      </c>
      <c r="AA2213" s="104" t="s">
        <v>480</v>
      </c>
      <c r="AB2213" s="105">
        <v>46080.120138888888</v>
      </c>
      <c r="AC2213" s="105">
        <v>46080.739583333336</v>
      </c>
    </row>
    <row r="2214" s="70" customFormat="1" ht="11.25" customHeight="1">
      <c r="A2214" s="87"/>
      <c r="C2214" s="43" t="s">
        <v>3893</v>
      </c>
      <c r="D2214" s="71" t="s">
        <v>382</v>
      </c>
      <c r="E2214" s="71" t="str">
        <f>MID(D2214,1,2)</f>
        <v>IL</v>
      </c>
      <c r="F2214" s="71" t="s">
        <v>422</v>
      </c>
      <c r="G2214" s="71" t="str">
        <f>MID(F2214,1,2)</f>
        <v>US</v>
      </c>
      <c r="H2214" s="43" t="s">
        <v>3894</v>
      </c>
      <c r="I2214" s="71"/>
      <c r="J2214" s="71" t="s">
        <v>426</v>
      </c>
      <c r="K2214" s="43"/>
      <c r="L2214" s="71" t="s">
        <v>105</v>
      </c>
      <c r="M2214" s="73">
        <v>6136</v>
      </c>
      <c r="N2214" s="71" t="s">
        <v>388</v>
      </c>
      <c r="O2214" s="73">
        <v>21.852</v>
      </c>
      <c r="P2214" s="71" t="s">
        <v>389</v>
      </c>
      <c r="Q2214" s="73">
        <v>6136</v>
      </c>
      <c r="R2214" s="71" t="s">
        <v>388</v>
      </c>
      <c r="S2214" s="73">
        <v>0</v>
      </c>
      <c r="T2214" s="71" t="s">
        <v>390</v>
      </c>
      <c r="U2214" s="74">
        <v>19</v>
      </c>
      <c r="V2214" s="71" t="s">
        <v>391</v>
      </c>
      <c r="W2214" s="130">
        <v>46077.576388888891</v>
      </c>
      <c r="X2214" s="72">
        <v>46083.03125</v>
      </c>
      <c r="Y2214" s="72">
        <v>46112.722222222219</v>
      </c>
      <c r="Z2214" s="104" t="s">
        <v>382</v>
      </c>
      <c r="AA2214" s="104" t="s">
        <v>422</v>
      </c>
      <c r="AB2214" s="105"/>
      <c r="AC2214" s="105"/>
    </row>
    <row r="2215" s="70" customFormat="1" ht="11.25" customHeight="1">
      <c r="A2215" s="87"/>
      <c r="C2215" s="43" t="s">
        <v>3895</v>
      </c>
      <c r="D2215" s="71" t="s">
        <v>382</v>
      </c>
      <c r="E2215" s="71" t="str">
        <f>MID(D2215,1,2)</f>
        <v>IL</v>
      </c>
      <c r="F2215" s="71" t="s">
        <v>397</v>
      </c>
      <c r="G2215" s="71" t="str">
        <f>MID(F2215,1,2)</f>
        <v>IN</v>
      </c>
      <c r="H2215" s="43" t="s">
        <v>3889</v>
      </c>
      <c r="I2215" s="71" t="s">
        <v>3896</v>
      </c>
      <c r="J2215" s="71" t="s">
        <v>426</v>
      </c>
      <c r="K2215" s="43"/>
      <c r="L2215" s="71" t="s">
        <v>105</v>
      </c>
      <c r="M2215" s="73">
        <v>1</v>
      </c>
      <c r="N2215" s="71" t="s">
        <v>388</v>
      </c>
      <c r="O2215" s="73">
        <v>0.009</v>
      </c>
      <c r="P2215" s="71" t="s">
        <v>389</v>
      </c>
      <c r="Q2215" s="73">
        <v>1.5</v>
      </c>
      <c r="R2215" s="71" t="s">
        <v>388</v>
      </c>
      <c r="S2215" s="73">
        <v>0</v>
      </c>
      <c r="T2215" s="71" t="s">
        <v>390</v>
      </c>
      <c r="U2215" s="74">
        <v>1</v>
      </c>
      <c r="V2215" s="71" t="s">
        <v>391</v>
      </c>
      <c r="W2215" s="130">
        <v>46077.662569444445</v>
      </c>
      <c r="X2215" s="72">
        <v>46078.477083333331</v>
      </c>
      <c r="Y2215" s="72">
        <v>46080.004861111112</v>
      </c>
      <c r="Z2215" s="104" t="s">
        <v>382</v>
      </c>
      <c r="AA2215" s="104" t="s">
        <v>383</v>
      </c>
      <c r="AB2215" s="105">
        <v>46078.702777777777</v>
      </c>
      <c r="AC2215" s="105">
        <v>46078.850694444445</v>
      </c>
    </row>
    <row r="2216" s="70" customFormat="1" ht="11.25" customHeight="1">
      <c r="A2216" s="87"/>
      <c r="C2216" s="43" t="s">
        <v>3895</v>
      </c>
      <c r="D2216" s="71" t="s">
        <v>382</v>
      </c>
      <c r="E2216" s="71" t="str">
        <f>MID(D2216,1,2)</f>
        <v>IL</v>
      </c>
      <c r="F2216" s="71" t="s">
        <v>397</v>
      </c>
      <c r="G2216" s="71" t="str">
        <f>MID(F2216,1,2)</f>
        <v>IN</v>
      </c>
      <c r="H2216" s="43" t="s">
        <v>3889</v>
      </c>
      <c r="I2216" s="71" t="s">
        <v>3896</v>
      </c>
      <c r="J2216" s="71" t="s">
        <v>426</v>
      </c>
      <c r="K2216" s="43"/>
      <c r="L2216" s="71" t="s">
        <v>105</v>
      </c>
      <c r="M2216" s="73">
        <v>1</v>
      </c>
      <c r="N2216" s="71" t="s">
        <v>388</v>
      </c>
      <c r="O2216" s="73">
        <v>0.009</v>
      </c>
      <c r="P2216" s="71" t="s">
        <v>389</v>
      </c>
      <c r="Q2216" s="73">
        <v>1.5</v>
      </c>
      <c r="R2216" s="71" t="s">
        <v>388</v>
      </c>
      <c r="S2216" s="73">
        <v>0</v>
      </c>
      <c r="T2216" s="71" t="s">
        <v>390</v>
      </c>
      <c r="U2216" s="74">
        <v>1</v>
      </c>
      <c r="V2216" s="71" t="s">
        <v>391</v>
      </c>
      <c r="W2216" s="130">
        <v>46077.662569444445</v>
      </c>
      <c r="X2216" s="72">
        <v>46078.477083333331</v>
      </c>
      <c r="Y2216" s="72">
        <v>46080.004861111112</v>
      </c>
      <c r="Z2216" s="104" t="s">
        <v>383</v>
      </c>
      <c r="AA2216" s="104" t="s">
        <v>397</v>
      </c>
      <c r="AB2216" s="105">
        <v>46079.431944444441</v>
      </c>
      <c r="AC2216" s="105">
        <v>46080.006944444445</v>
      </c>
    </row>
    <row r="2217" s="70" customFormat="1" ht="11.25" customHeight="1">
      <c r="A2217" s="87"/>
      <c r="C2217" s="43" t="s">
        <v>3897</v>
      </c>
      <c r="D2217" s="71" t="s">
        <v>382</v>
      </c>
      <c r="E2217" s="71" t="str">
        <f>MID(D2217,1,2)</f>
        <v>IL</v>
      </c>
      <c r="F2217" s="71" t="s">
        <v>774</v>
      </c>
      <c r="G2217" s="71" t="str">
        <f>MID(F2217,1,2)</f>
        <v>CN</v>
      </c>
      <c r="H2217" s="43" t="s">
        <v>3782</v>
      </c>
      <c r="I2217" s="71" t="s">
        <v>3898</v>
      </c>
      <c r="J2217" s="71" t="s">
        <v>755</v>
      </c>
      <c r="K2217" s="43"/>
      <c r="L2217" s="71" t="s">
        <v>105</v>
      </c>
      <c r="M2217" s="73">
        <v>3</v>
      </c>
      <c r="N2217" s="71" t="s">
        <v>388</v>
      </c>
      <c r="O2217" s="73">
        <v>0.013</v>
      </c>
      <c r="P2217" s="71" t="s">
        <v>389</v>
      </c>
      <c r="Q2217" s="73">
        <v>3</v>
      </c>
      <c r="R2217" s="71" t="s">
        <v>388</v>
      </c>
      <c r="S2217" s="73">
        <v>0</v>
      </c>
      <c r="T2217" s="71" t="s">
        <v>390</v>
      </c>
      <c r="U2217" s="74">
        <v>1</v>
      </c>
      <c r="V2217" s="71" t="s">
        <v>391</v>
      </c>
      <c r="W2217" s="130">
        <v>46077.638344907406</v>
      </c>
      <c r="X2217" s="72">
        <v>46079.003472222219</v>
      </c>
      <c r="Y2217" s="72">
        <v>46087.305555555555</v>
      </c>
      <c r="Z2217" s="104" t="s">
        <v>382</v>
      </c>
      <c r="AA2217" s="104" t="s">
        <v>383</v>
      </c>
      <c r="AB2217" s="105">
        <v>46078.970138888886</v>
      </c>
      <c r="AC2217" s="105">
        <v>46079.282638888886</v>
      </c>
    </row>
    <row r="2218" s="70" customFormat="1" ht="11.25" customHeight="1">
      <c r="A2218" s="87"/>
      <c r="C2218" s="43" t="s">
        <v>3897</v>
      </c>
      <c r="D2218" s="71" t="s">
        <v>382</v>
      </c>
      <c r="E2218" s="71" t="str">
        <f>MID(D2218,1,2)</f>
        <v>IL</v>
      </c>
      <c r="F2218" s="71" t="s">
        <v>774</v>
      </c>
      <c r="G2218" s="71" t="str">
        <f>MID(F2218,1,2)</f>
        <v>CN</v>
      </c>
      <c r="H2218" s="43" t="s">
        <v>3782</v>
      </c>
      <c r="I2218" s="71" t="s">
        <v>3898</v>
      </c>
      <c r="J2218" s="71" t="s">
        <v>755</v>
      </c>
      <c r="K2218" s="43"/>
      <c r="L2218" s="71" t="s">
        <v>105</v>
      </c>
      <c r="M2218" s="73">
        <v>3</v>
      </c>
      <c r="N2218" s="71" t="s">
        <v>388</v>
      </c>
      <c r="O2218" s="73">
        <v>0.013</v>
      </c>
      <c r="P2218" s="71" t="s">
        <v>389</v>
      </c>
      <c r="Q2218" s="73">
        <v>3</v>
      </c>
      <c r="R2218" s="71" t="s">
        <v>388</v>
      </c>
      <c r="S2218" s="73">
        <v>0</v>
      </c>
      <c r="T2218" s="71" t="s">
        <v>390</v>
      </c>
      <c r="U2218" s="74">
        <v>1</v>
      </c>
      <c r="V2218" s="71" t="s">
        <v>391</v>
      </c>
      <c r="W2218" s="130">
        <v>46077.638344907406</v>
      </c>
      <c r="X2218" s="72">
        <v>46079.003472222219</v>
      </c>
      <c r="Y2218" s="72">
        <v>46087.305555555555</v>
      </c>
      <c r="Z2218" s="104" t="s">
        <v>383</v>
      </c>
      <c r="AA2218" s="104" t="s">
        <v>774</v>
      </c>
      <c r="AB2218" s="105">
        <v>46081.947916666664</v>
      </c>
      <c r="AC2218" s="105">
        <v>46082.005555555559</v>
      </c>
    </row>
    <row r="2219" s="70" customFormat="1" ht="11.25" customHeight="1">
      <c r="A2219" s="87"/>
      <c r="C2219" s="43" t="s">
        <v>3899</v>
      </c>
      <c r="D2219" s="71" t="s">
        <v>382</v>
      </c>
      <c r="E2219" s="71" t="str">
        <f>MID(D2219,1,2)</f>
        <v>IL</v>
      </c>
      <c r="F2219" s="71" t="s">
        <v>397</v>
      </c>
      <c r="G2219" s="71" t="str">
        <f>MID(F2219,1,2)</f>
        <v>IN</v>
      </c>
      <c r="H2219" s="43" t="s">
        <v>3889</v>
      </c>
      <c r="I2219" s="71" t="s">
        <v>3900</v>
      </c>
      <c r="J2219" s="71" t="s">
        <v>426</v>
      </c>
      <c r="K2219" s="43"/>
      <c r="L2219" s="71" t="s">
        <v>105</v>
      </c>
      <c r="M2219" s="73">
        <v>1</v>
      </c>
      <c r="N2219" s="71" t="s">
        <v>388</v>
      </c>
      <c r="O2219" s="73">
        <v>0.009</v>
      </c>
      <c r="P2219" s="71" t="s">
        <v>389</v>
      </c>
      <c r="Q2219" s="73">
        <v>1.5</v>
      </c>
      <c r="R2219" s="71" t="s">
        <v>388</v>
      </c>
      <c r="S2219" s="73">
        <v>0</v>
      </c>
      <c r="T2219" s="71" t="s">
        <v>390</v>
      </c>
      <c r="U2219" s="74">
        <v>1</v>
      </c>
      <c r="V2219" s="71" t="s">
        <v>391</v>
      </c>
      <c r="W2219" s="130">
        <v>46077.662581018521</v>
      </c>
      <c r="X2219" s="72">
        <v>46078.477083333331</v>
      </c>
      <c r="Y2219" s="72">
        <v>46080.004861111112</v>
      </c>
      <c r="Z2219" s="104" t="s">
        <v>382</v>
      </c>
      <c r="AA2219" s="104" t="s">
        <v>383</v>
      </c>
      <c r="AB2219" s="105">
        <v>46078.702777777777</v>
      </c>
      <c r="AC2219" s="105">
        <v>46078.850694444445</v>
      </c>
    </row>
    <row r="2220" s="70" customFormat="1" ht="11.25" customHeight="1">
      <c r="A2220" s="87"/>
      <c r="C2220" s="43" t="s">
        <v>3899</v>
      </c>
      <c r="D2220" s="71" t="s">
        <v>382</v>
      </c>
      <c r="E2220" s="71" t="str">
        <f>MID(D2220,1,2)</f>
        <v>IL</v>
      </c>
      <c r="F2220" s="71" t="s">
        <v>397</v>
      </c>
      <c r="G2220" s="71" t="str">
        <f>MID(F2220,1,2)</f>
        <v>IN</v>
      </c>
      <c r="H2220" s="43" t="s">
        <v>3889</v>
      </c>
      <c r="I2220" s="71" t="s">
        <v>3900</v>
      </c>
      <c r="J2220" s="71" t="s">
        <v>426</v>
      </c>
      <c r="K2220" s="43"/>
      <c r="L2220" s="71" t="s">
        <v>105</v>
      </c>
      <c r="M2220" s="73">
        <v>1</v>
      </c>
      <c r="N2220" s="71" t="s">
        <v>388</v>
      </c>
      <c r="O2220" s="73">
        <v>0.009</v>
      </c>
      <c r="P2220" s="71" t="s">
        <v>389</v>
      </c>
      <c r="Q2220" s="73">
        <v>1.5</v>
      </c>
      <c r="R2220" s="71" t="s">
        <v>388</v>
      </c>
      <c r="S2220" s="73">
        <v>0</v>
      </c>
      <c r="T2220" s="71" t="s">
        <v>390</v>
      </c>
      <c r="U2220" s="74">
        <v>1</v>
      </c>
      <c r="V2220" s="71" t="s">
        <v>391</v>
      </c>
      <c r="W2220" s="130">
        <v>46077.662581018521</v>
      </c>
      <c r="X2220" s="72">
        <v>46078.477083333331</v>
      </c>
      <c r="Y2220" s="72">
        <v>46080.004861111112</v>
      </c>
      <c r="Z2220" s="104" t="s">
        <v>383</v>
      </c>
      <c r="AA2220" s="104" t="s">
        <v>397</v>
      </c>
      <c r="AB2220" s="105">
        <v>46079.431944444441</v>
      </c>
      <c r="AC2220" s="105">
        <v>46080.006944444445</v>
      </c>
    </row>
    <row r="2221" s="70" customFormat="1" ht="11.25" customHeight="1">
      <c r="A2221" s="87"/>
      <c r="C2221" s="43" t="s">
        <v>3901</v>
      </c>
      <c r="D2221" s="71" t="s">
        <v>382</v>
      </c>
      <c r="E2221" s="71" t="str">
        <f>MID(D2221,1,2)</f>
        <v>IL</v>
      </c>
      <c r="F2221" s="71" t="s">
        <v>397</v>
      </c>
      <c r="G2221" s="71" t="str">
        <f>MID(F2221,1,2)</f>
        <v>IN</v>
      </c>
      <c r="H2221" s="43" t="s">
        <v>3889</v>
      </c>
      <c r="I2221" s="71" t="s">
        <v>3902</v>
      </c>
      <c r="J2221" s="71" t="s">
        <v>426</v>
      </c>
      <c r="K2221" s="43"/>
      <c r="L2221" s="71" t="s">
        <v>105</v>
      </c>
      <c r="M2221" s="73">
        <v>4</v>
      </c>
      <c r="N2221" s="71" t="s">
        <v>388</v>
      </c>
      <c r="O2221" s="73">
        <v>0.075</v>
      </c>
      <c r="P2221" s="71" t="s">
        <v>389</v>
      </c>
      <c r="Q2221" s="73">
        <v>12.5</v>
      </c>
      <c r="R2221" s="71" t="s">
        <v>388</v>
      </c>
      <c r="S2221" s="73">
        <v>0</v>
      </c>
      <c r="T2221" s="71" t="s">
        <v>390</v>
      </c>
      <c r="U2221" s="74">
        <v>1</v>
      </c>
      <c r="V2221" s="71" t="s">
        <v>391</v>
      </c>
      <c r="W2221" s="130">
        <v>46077.662615740737</v>
      </c>
      <c r="X2221" s="72">
        <v>46078.477083333331</v>
      </c>
      <c r="Y2221" s="72">
        <v>46080.004861111112</v>
      </c>
      <c r="Z2221" s="104" t="s">
        <v>382</v>
      </c>
      <c r="AA2221" s="104" t="s">
        <v>383</v>
      </c>
      <c r="AB2221" s="105">
        <v>46078.702777777777</v>
      </c>
      <c r="AC2221" s="105">
        <v>46078.850694444445</v>
      </c>
    </row>
    <row r="2222" s="70" customFormat="1" ht="11.25" customHeight="1">
      <c r="A2222" s="87"/>
      <c r="C2222" s="43" t="s">
        <v>3901</v>
      </c>
      <c r="D2222" s="71" t="s">
        <v>382</v>
      </c>
      <c r="E2222" s="71" t="str">
        <f>MID(D2222,1,2)</f>
        <v>IL</v>
      </c>
      <c r="F2222" s="71" t="s">
        <v>397</v>
      </c>
      <c r="G2222" s="71" t="str">
        <f>MID(F2222,1,2)</f>
        <v>IN</v>
      </c>
      <c r="H2222" s="43" t="s">
        <v>3889</v>
      </c>
      <c r="I2222" s="71" t="s">
        <v>3902</v>
      </c>
      <c r="J2222" s="71" t="s">
        <v>426</v>
      </c>
      <c r="K2222" s="43"/>
      <c r="L2222" s="71" t="s">
        <v>105</v>
      </c>
      <c r="M2222" s="73">
        <v>4</v>
      </c>
      <c r="N2222" s="71" t="s">
        <v>388</v>
      </c>
      <c r="O2222" s="73">
        <v>0.075</v>
      </c>
      <c r="P2222" s="71" t="s">
        <v>389</v>
      </c>
      <c r="Q2222" s="73">
        <v>12.5</v>
      </c>
      <c r="R2222" s="71" t="s">
        <v>388</v>
      </c>
      <c r="S2222" s="73">
        <v>0</v>
      </c>
      <c r="T2222" s="71" t="s">
        <v>390</v>
      </c>
      <c r="U2222" s="74">
        <v>1</v>
      </c>
      <c r="V2222" s="71" t="s">
        <v>391</v>
      </c>
      <c r="W2222" s="130">
        <v>46077.662615740737</v>
      </c>
      <c r="X2222" s="72">
        <v>46078.477083333331</v>
      </c>
      <c r="Y2222" s="72">
        <v>46080.004861111112</v>
      </c>
      <c r="Z2222" s="104" t="s">
        <v>383</v>
      </c>
      <c r="AA2222" s="104" t="s">
        <v>397</v>
      </c>
      <c r="AB2222" s="105">
        <v>46079.431944444441</v>
      </c>
      <c r="AC2222" s="105">
        <v>46080.006944444445</v>
      </c>
    </row>
    <row r="2223" s="70" customFormat="1" ht="11.25" customHeight="1">
      <c r="A2223" s="87"/>
      <c r="C2223" s="43" t="s">
        <v>3903</v>
      </c>
      <c r="D2223" s="71" t="s">
        <v>382</v>
      </c>
      <c r="E2223" s="71" t="str">
        <f>MID(D2223,1,2)</f>
        <v>IL</v>
      </c>
      <c r="F2223" s="71" t="s">
        <v>1108</v>
      </c>
      <c r="G2223" s="71" t="str">
        <f>MID(F2223,1,2)</f>
        <v>TW</v>
      </c>
      <c r="H2223" s="43" t="s">
        <v>3904</v>
      </c>
      <c r="I2223" s="71" t="s">
        <v>3905</v>
      </c>
      <c r="J2223" s="71" t="s">
        <v>755</v>
      </c>
      <c r="K2223" s="43"/>
      <c r="L2223" s="71" t="s">
        <v>105</v>
      </c>
      <c r="M2223" s="73">
        <v>262</v>
      </c>
      <c r="N2223" s="71" t="s">
        <v>388</v>
      </c>
      <c r="O2223" s="73">
        <v>1.699</v>
      </c>
      <c r="P2223" s="71" t="s">
        <v>389</v>
      </c>
      <c r="Q2223" s="73">
        <v>283.5</v>
      </c>
      <c r="R2223" s="71" t="s">
        <v>388</v>
      </c>
      <c r="S2223" s="73">
        <v>0</v>
      </c>
      <c r="T2223" s="71" t="s">
        <v>390</v>
      </c>
      <c r="U2223" s="74">
        <v>2</v>
      </c>
      <c r="V2223" s="71" t="s">
        <v>391</v>
      </c>
      <c r="W2223" s="130">
        <v>46077.527777777781</v>
      </c>
      <c r="X2223" s="72">
        <v>46079.9375</v>
      </c>
      <c r="Y2223" s="72">
        <v>46082.895833333336</v>
      </c>
      <c r="Z2223" s="104" t="s">
        <v>382</v>
      </c>
      <c r="AA2223" s="104" t="s">
        <v>833</v>
      </c>
      <c r="AB2223" s="105">
        <v>46079.97152777778</v>
      </c>
      <c r="AC2223" s="105"/>
    </row>
    <row r="2224" s="70" customFormat="1" ht="11.25" customHeight="1">
      <c r="A2224" s="87"/>
      <c r="C2224" s="43" t="s">
        <v>3903</v>
      </c>
      <c r="D2224" s="71" t="s">
        <v>382</v>
      </c>
      <c r="E2224" s="71" t="str">
        <f>MID(D2224,1,2)</f>
        <v>IL</v>
      </c>
      <c r="F2224" s="71" t="s">
        <v>1108</v>
      </c>
      <c r="G2224" s="71" t="str">
        <f>MID(F2224,1,2)</f>
        <v>TW</v>
      </c>
      <c r="H2224" s="43" t="s">
        <v>3904</v>
      </c>
      <c r="I2224" s="71" t="s">
        <v>3905</v>
      </c>
      <c r="J2224" s="71" t="s">
        <v>755</v>
      </c>
      <c r="K2224" s="43"/>
      <c r="L2224" s="71" t="s">
        <v>105</v>
      </c>
      <c r="M2224" s="73">
        <v>262</v>
      </c>
      <c r="N2224" s="71" t="s">
        <v>388</v>
      </c>
      <c r="O2224" s="73">
        <v>1.699</v>
      </c>
      <c r="P2224" s="71" t="s">
        <v>389</v>
      </c>
      <c r="Q2224" s="73">
        <v>283.5</v>
      </c>
      <c r="R2224" s="71" t="s">
        <v>388</v>
      </c>
      <c r="S2224" s="73">
        <v>0</v>
      </c>
      <c r="T2224" s="71" t="s">
        <v>390</v>
      </c>
      <c r="U2224" s="74">
        <v>2</v>
      </c>
      <c r="V2224" s="71" t="s">
        <v>391</v>
      </c>
      <c r="W2224" s="130">
        <v>46077.527777777781</v>
      </c>
      <c r="X2224" s="72">
        <v>46079.9375</v>
      </c>
      <c r="Y2224" s="72">
        <v>46082.895833333336</v>
      </c>
      <c r="Z2224" s="104" t="s">
        <v>833</v>
      </c>
      <c r="AA2224" s="104" t="s">
        <v>1108</v>
      </c>
      <c r="AB2224" s="105">
        <v>46082.700694444444</v>
      </c>
      <c r="AC2224" s="105">
        <v>46082.877083333333</v>
      </c>
    </row>
    <row r="2225" s="70" customFormat="1" ht="11.25" customHeight="1">
      <c r="A2225" s="87"/>
      <c r="C2225" s="43" t="s">
        <v>3906</v>
      </c>
      <c r="D2225" s="71" t="s">
        <v>382</v>
      </c>
      <c r="E2225" s="71" t="str">
        <f>MID(D2225,1,2)</f>
        <v>IL</v>
      </c>
      <c r="F2225" s="71" t="s">
        <v>408</v>
      </c>
      <c r="G2225" s="71" t="str">
        <f>MID(F2225,1,2)</f>
        <v>GR</v>
      </c>
      <c r="H2225" s="43" t="s">
        <v>3907</v>
      </c>
      <c r="I2225" s="71" t="s">
        <v>3908</v>
      </c>
      <c r="J2225" s="71" t="s">
        <v>400</v>
      </c>
      <c r="K2225" s="43"/>
      <c r="L2225" s="71" t="s">
        <v>105</v>
      </c>
      <c r="M2225" s="73">
        <v>1</v>
      </c>
      <c r="N2225" s="71" t="s">
        <v>388</v>
      </c>
      <c r="O2225" s="73">
        <v>0.015</v>
      </c>
      <c r="P2225" s="71" t="s">
        <v>389</v>
      </c>
      <c r="Q2225" s="73">
        <v>2.5</v>
      </c>
      <c r="R2225" s="71" t="s">
        <v>388</v>
      </c>
      <c r="S2225" s="73">
        <v>0</v>
      </c>
      <c r="T2225" s="71" t="s">
        <v>390</v>
      </c>
      <c r="U2225" s="74">
        <v>1</v>
      </c>
      <c r="V2225" s="71" t="s">
        <v>391</v>
      </c>
      <c r="W2225" s="130">
        <v>46077.534722222219</v>
      </c>
      <c r="X2225" s="72">
        <v>46080.229166666664</v>
      </c>
      <c r="Y2225" s="72">
        <v>46081.521527777775</v>
      </c>
      <c r="Z2225" s="104" t="s">
        <v>382</v>
      </c>
      <c r="AA2225" s="104" t="s">
        <v>408</v>
      </c>
      <c r="AB2225" s="105">
        <v>46080.261111111111</v>
      </c>
      <c r="AC2225" s="105">
        <v>46080.344444444447</v>
      </c>
    </row>
    <row r="2226" s="70" customFormat="1" ht="11.25" customHeight="1">
      <c r="A2226" s="87"/>
      <c r="C2226" s="43" t="s">
        <v>3909</v>
      </c>
      <c r="D2226" s="71" t="s">
        <v>382</v>
      </c>
      <c r="E2226" s="71" t="str">
        <f>MID(D2226,1,2)</f>
        <v>IL</v>
      </c>
      <c r="F2226" s="71" t="s">
        <v>667</v>
      </c>
      <c r="G2226" s="71" t="str">
        <f>MID(F2226,1,2)</f>
        <v>DE</v>
      </c>
      <c r="H2226" s="43" t="s">
        <v>3601</v>
      </c>
      <c r="I2226" s="71" t="s">
        <v>3910</v>
      </c>
      <c r="J2226" s="71" t="s">
        <v>400</v>
      </c>
      <c r="K2226" s="43"/>
      <c r="L2226" s="71" t="s">
        <v>105</v>
      </c>
      <c r="M2226" s="73">
        <v>22</v>
      </c>
      <c r="N2226" s="71" t="s">
        <v>388</v>
      </c>
      <c r="O2226" s="73">
        <v>0.2</v>
      </c>
      <c r="P2226" s="71" t="s">
        <v>389</v>
      </c>
      <c r="Q2226" s="73">
        <v>33.5</v>
      </c>
      <c r="R2226" s="71" t="s">
        <v>388</v>
      </c>
      <c r="S2226" s="73">
        <v>0</v>
      </c>
      <c r="T2226" s="71" t="s">
        <v>390</v>
      </c>
      <c r="U2226" s="74">
        <v>1</v>
      </c>
      <c r="V2226" s="71" t="s">
        <v>391</v>
      </c>
      <c r="W2226" s="130">
        <v>46077.690358796295</v>
      </c>
      <c r="X2226" s="72">
        <v>46079.003472222219</v>
      </c>
      <c r="Y2226" s="72">
        <v>46080.288194444445</v>
      </c>
      <c r="Z2226" s="104" t="s">
        <v>382</v>
      </c>
      <c r="AA2226" s="104" t="s">
        <v>383</v>
      </c>
      <c r="AB2226" s="105">
        <v>46078.970138888886</v>
      </c>
      <c r="AC2226" s="105">
        <v>46079.282638888886</v>
      </c>
    </row>
    <row r="2227" s="70" customFormat="1" ht="11.25" customHeight="1">
      <c r="A2227" s="87"/>
      <c r="C2227" s="43" t="s">
        <v>3909</v>
      </c>
      <c r="D2227" s="71" t="s">
        <v>382</v>
      </c>
      <c r="E2227" s="71" t="str">
        <f>MID(D2227,1,2)</f>
        <v>IL</v>
      </c>
      <c r="F2227" s="71" t="s">
        <v>667</v>
      </c>
      <c r="G2227" s="71" t="str">
        <f>MID(F2227,1,2)</f>
        <v>DE</v>
      </c>
      <c r="H2227" s="43" t="s">
        <v>3601</v>
      </c>
      <c r="I2227" s="71" t="s">
        <v>3910</v>
      </c>
      <c r="J2227" s="71" t="s">
        <v>400</v>
      </c>
      <c r="K2227" s="43"/>
      <c r="L2227" s="71" t="s">
        <v>105</v>
      </c>
      <c r="M2227" s="73">
        <v>22</v>
      </c>
      <c r="N2227" s="71" t="s">
        <v>388</v>
      </c>
      <c r="O2227" s="73">
        <v>0.2</v>
      </c>
      <c r="P2227" s="71" t="s">
        <v>389</v>
      </c>
      <c r="Q2227" s="73">
        <v>33.5</v>
      </c>
      <c r="R2227" s="71" t="s">
        <v>388</v>
      </c>
      <c r="S2227" s="73">
        <v>0</v>
      </c>
      <c r="T2227" s="71" t="s">
        <v>390</v>
      </c>
      <c r="U2227" s="74">
        <v>1</v>
      </c>
      <c r="V2227" s="71" t="s">
        <v>391</v>
      </c>
      <c r="W2227" s="130">
        <v>46077.690358796295</v>
      </c>
      <c r="X2227" s="72">
        <v>46079.003472222219</v>
      </c>
      <c r="Y2227" s="72">
        <v>46080.288194444445</v>
      </c>
      <c r="Z2227" s="104" t="s">
        <v>383</v>
      </c>
      <c r="AA2227" s="104" t="s">
        <v>667</v>
      </c>
      <c r="AB2227" s="105">
        <v>46080.006944444445</v>
      </c>
      <c r="AC2227" s="105">
        <v>46080.246527777781</v>
      </c>
    </row>
    <row r="2228" s="70" customFormat="1" ht="11.25" customHeight="1">
      <c r="A2228" s="87"/>
      <c r="C2228" s="43" t="s">
        <v>3911</v>
      </c>
      <c r="D2228" s="71" t="s">
        <v>382</v>
      </c>
      <c r="E2228" s="71" t="str">
        <f>MID(D2228,1,2)</f>
        <v>IL</v>
      </c>
      <c r="F2228" s="71" t="s">
        <v>397</v>
      </c>
      <c r="G2228" s="71" t="str">
        <f>MID(F2228,1,2)</f>
        <v>IN</v>
      </c>
      <c r="H2228" s="43" t="s">
        <v>3912</v>
      </c>
      <c r="I2228" s="71" t="s">
        <v>3913</v>
      </c>
      <c r="J2228" s="71" t="s">
        <v>811</v>
      </c>
      <c r="K2228" s="43"/>
      <c r="L2228" s="71" t="s">
        <v>105</v>
      </c>
      <c r="M2228" s="73">
        <v>23</v>
      </c>
      <c r="N2228" s="71" t="s">
        <v>388</v>
      </c>
      <c r="O2228" s="73">
        <v>0.062</v>
      </c>
      <c r="P2228" s="71" t="s">
        <v>389</v>
      </c>
      <c r="Q2228" s="73">
        <v>100</v>
      </c>
      <c r="R2228" s="71" t="s">
        <v>388</v>
      </c>
      <c r="S2228" s="73">
        <v>0</v>
      </c>
      <c r="T2228" s="71" t="s">
        <v>390</v>
      </c>
      <c r="U2228" s="74">
        <v>1</v>
      </c>
      <c r="V2228" s="71" t="s">
        <v>391</v>
      </c>
      <c r="W2228" s="130">
        <v>46077.666666666664</v>
      </c>
      <c r="X2228" s="72">
        <v>46078.895833333336</v>
      </c>
      <c r="Y2228" s="72">
        <v>46082.000694444447</v>
      </c>
      <c r="Z2228" s="104" t="s">
        <v>382</v>
      </c>
      <c r="AA2228" s="104" t="s">
        <v>833</v>
      </c>
      <c r="AB2228" s="105">
        <v>46078.911805555559</v>
      </c>
      <c r="AC2228" s="105">
        <v>46079.57708333333</v>
      </c>
    </row>
    <row r="2229" s="70" customFormat="1" ht="11.25" customHeight="1">
      <c r="A2229" s="87"/>
      <c r="C2229" s="43" t="s">
        <v>3911</v>
      </c>
      <c r="D2229" s="71" t="s">
        <v>382</v>
      </c>
      <c r="E2229" s="71" t="str">
        <f>MID(D2229,1,2)</f>
        <v>IL</v>
      </c>
      <c r="F2229" s="71" t="s">
        <v>397</v>
      </c>
      <c r="G2229" s="71" t="str">
        <f>MID(F2229,1,2)</f>
        <v>IN</v>
      </c>
      <c r="H2229" s="43" t="s">
        <v>3912</v>
      </c>
      <c r="I2229" s="71" t="s">
        <v>3913</v>
      </c>
      <c r="J2229" s="71" t="s">
        <v>811</v>
      </c>
      <c r="K2229" s="43"/>
      <c r="L2229" s="71" t="s">
        <v>105</v>
      </c>
      <c r="M2229" s="73">
        <v>23</v>
      </c>
      <c r="N2229" s="71" t="s">
        <v>388</v>
      </c>
      <c r="O2229" s="73">
        <v>0.062</v>
      </c>
      <c r="P2229" s="71" t="s">
        <v>389</v>
      </c>
      <c r="Q2229" s="73">
        <v>100</v>
      </c>
      <c r="R2229" s="71" t="s">
        <v>388</v>
      </c>
      <c r="S2229" s="73">
        <v>0</v>
      </c>
      <c r="T2229" s="71" t="s">
        <v>390</v>
      </c>
      <c r="U2229" s="74">
        <v>1</v>
      </c>
      <c r="V2229" s="71" t="s">
        <v>391</v>
      </c>
      <c r="W2229" s="130">
        <v>46077.666666666664</v>
      </c>
      <c r="X2229" s="72">
        <v>46078.895833333336</v>
      </c>
      <c r="Y2229" s="72">
        <v>46082.000694444447</v>
      </c>
      <c r="Z2229" s="104" t="s">
        <v>833</v>
      </c>
      <c r="AA2229" s="104" t="s">
        <v>397</v>
      </c>
      <c r="AB2229" s="105">
        <v>46080.920138888891</v>
      </c>
      <c r="AC2229" s="105">
        <v>46080.98541666667</v>
      </c>
    </row>
    <row r="2230" s="70" customFormat="1" ht="11.25" customHeight="1">
      <c r="A2230" s="87"/>
      <c r="C2230" s="43" t="s">
        <v>3914</v>
      </c>
      <c r="D2230" s="71" t="s">
        <v>382</v>
      </c>
      <c r="E2230" s="71" t="str">
        <f>MID(D2230,1,2)</f>
        <v>IL</v>
      </c>
      <c r="F2230" s="71" t="s">
        <v>774</v>
      </c>
      <c r="G2230" s="71" t="str">
        <f>MID(F2230,1,2)</f>
        <v>CN</v>
      </c>
      <c r="H2230" s="43" t="s">
        <v>3915</v>
      </c>
      <c r="I2230" s="71" t="s">
        <v>3916</v>
      </c>
      <c r="J2230" s="71" t="s">
        <v>454</v>
      </c>
      <c r="K2230" s="43"/>
      <c r="L2230" s="71" t="s">
        <v>107</v>
      </c>
      <c r="M2230" s="73">
        <v>64</v>
      </c>
      <c r="N2230" s="71" t="s">
        <v>388</v>
      </c>
      <c r="O2230" s="73">
        <v>0.797</v>
      </c>
      <c r="P2230" s="71" t="s">
        <v>389</v>
      </c>
      <c r="Q2230" s="73">
        <v>133</v>
      </c>
      <c r="R2230" s="71" t="s">
        <v>388</v>
      </c>
      <c r="S2230" s="73">
        <v>0</v>
      </c>
      <c r="T2230" s="71" t="s">
        <v>390</v>
      </c>
      <c r="U2230" s="74">
        <v>1</v>
      </c>
      <c r="V2230" s="71" t="s">
        <v>391</v>
      </c>
      <c r="W2230" s="130">
        <v>46077.672951388886</v>
      </c>
      <c r="X2230" s="72">
        <v>46079.618055555555</v>
      </c>
      <c r="Y2230" s="72">
        <v>46082.847222222219</v>
      </c>
      <c r="Z2230" s="104" t="s">
        <v>382</v>
      </c>
      <c r="AA2230" s="104" t="s">
        <v>817</v>
      </c>
      <c r="AB2230" s="105">
        <v>46079.526388888888</v>
      </c>
      <c r="AC2230" s="105">
        <v>46079.89375</v>
      </c>
    </row>
    <row r="2231" s="70" customFormat="1" ht="11.25" customHeight="1">
      <c r="A2231" s="87"/>
      <c r="C2231" s="43" t="s">
        <v>3914</v>
      </c>
      <c r="D2231" s="71" t="s">
        <v>382</v>
      </c>
      <c r="E2231" s="71" t="str">
        <f>MID(D2231,1,2)</f>
        <v>IL</v>
      </c>
      <c r="F2231" s="71" t="s">
        <v>774</v>
      </c>
      <c r="G2231" s="71" t="str">
        <f>MID(F2231,1,2)</f>
        <v>CN</v>
      </c>
      <c r="H2231" s="43" t="s">
        <v>3915</v>
      </c>
      <c r="I2231" s="71" t="s">
        <v>3916</v>
      </c>
      <c r="J2231" s="71" t="s">
        <v>454</v>
      </c>
      <c r="K2231" s="43"/>
      <c r="L2231" s="71" t="s">
        <v>107</v>
      </c>
      <c r="M2231" s="73">
        <v>64</v>
      </c>
      <c r="N2231" s="71" t="s">
        <v>388</v>
      </c>
      <c r="O2231" s="73">
        <v>0.797</v>
      </c>
      <c r="P2231" s="71" t="s">
        <v>389</v>
      </c>
      <c r="Q2231" s="73">
        <v>133</v>
      </c>
      <c r="R2231" s="71" t="s">
        <v>388</v>
      </c>
      <c r="S2231" s="73">
        <v>0</v>
      </c>
      <c r="T2231" s="71" t="s">
        <v>390</v>
      </c>
      <c r="U2231" s="74">
        <v>1</v>
      </c>
      <c r="V2231" s="71" t="s">
        <v>391</v>
      </c>
      <c r="W2231" s="130">
        <v>46077.672951388886</v>
      </c>
      <c r="X2231" s="72">
        <v>46079.618055555555</v>
      </c>
      <c r="Y2231" s="72">
        <v>46082.847222222219</v>
      </c>
      <c r="Z2231" s="104" t="s">
        <v>817</v>
      </c>
      <c r="AA2231" s="104" t="s">
        <v>774</v>
      </c>
      <c r="AB2231" s="105">
        <v>46082.51875</v>
      </c>
      <c r="AC2231" s="105">
        <v>46082.852777777778</v>
      </c>
    </row>
    <row r="2232" s="70" customFormat="1" ht="11.25" customHeight="1">
      <c r="A2232" s="87"/>
      <c r="C2232" s="43" t="s">
        <v>3917</v>
      </c>
      <c r="D2232" s="71" t="s">
        <v>382</v>
      </c>
      <c r="E2232" s="71" t="str">
        <f>MID(D2232,1,2)</f>
        <v>IL</v>
      </c>
      <c r="F2232" s="71" t="s">
        <v>919</v>
      </c>
      <c r="G2232" s="71" t="str">
        <f>MID(F2232,1,2)</f>
        <v>CN</v>
      </c>
      <c r="H2232" s="43"/>
      <c r="I2232" s="71" t="s">
        <v>3918</v>
      </c>
      <c r="J2232" s="71" t="s">
        <v>435</v>
      </c>
      <c r="K2232" s="43"/>
      <c r="L2232" s="71" t="s">
        <v>105</v>
      </c>
      <c r="M2232" s="73">
        <v>192</v>
      </c>
      <c r="N2232" s="71" t="s">
        <v>388</v>
      </c>
      <c r="O2232" s="73">
        <v>1.391</v>
      </c>
      <c r="P2232" s="71" t="s">
        <v>389</v>
      </c>
      <c r="Q2232" s="73">
        <v>232</v>
      </c>
      <c r="R2232" s="71" t="s">
        <v>388</v>
      </c>
      <c r="S2232" s="73">
        <v>0</v>
      </c>
      <c r="T2232" s="71" t="s">
        <v>390</v>
      </c>
      <c r="U2232" s="74">
        <v>1</v>
      </c>
      <c r="V2232" s="71" t="s">
        <v>391</v>
      </c>
      <c r="W2232" s="130">
        <v>46078.833252314813</v>
      </c>
      <c r="X2232" s="72">
        <v>46085.503472222219</v>
      </c>
      <c r="Y2232" s="72">
        <v>46092.715277777781</v>
      </c>
      <c r="Z2232" s="104"/>
      <c r="AA2232" s="104"/>
      <c r="AB2232" s="105"/>
      <c r="AC2232" s="105"/>
    </row>
    <row r="2233" s="70" customFormat="1" ht="11.25" customHeight="1">
      <c r="A2233" s="87"/>
      <c r="C2233" s="43" t="s">
        <v>3919</v>
      </c>
      <c r="D2233" s="71" t="s">
        <v>382</v>
      </c>
      <c r="E2233" s="71" t="str">
        <f>MID(D2233,1,2)</f>
        <v>IL</v>
      </c>
      <c r="F2233" s="71" t="s">
        <v>546</v>
      </c>
      <c r="G2233" s="71" t="str">
        <f>MID(F2233,1,2)</f>
        <v>GB</v>
      </c>
      <c r="H2233" s="43" t="s">
        <v>3920</v>
      </c>
      <c r="I2233" s="71"/>
      <c r="J2233" s="71" t="s">
        <v>426</v>
      </c>
      <c r="K2233" s="43"/>
      <c r="L2233" s="71" t="s">
        <v>105</v>
      </c>
      <c r="M2233" s="73">
        <v>45</v>
      </c>
      <c r="N2233" s="71" t="s">
        <v>388</v>
      </c>
      <c r="O2233" s="73">
        <v>0.107</v>
      </c>
      <c r="P2233" s="71" t="s">
        <v>389</v>
      </c>
      <c r="Q2233" s="73">
        <v>100</v>
      </c>
      <c r="R2233" s="71" t="s">
        <v>388</v>
      </c>
      <c r="S2233" s="73">
        <v>0</v>
      </c>
      <c r="T2233" s="71" t="s">
        <v>390</v>
      </c>
      <c r="U2233" s="74">
        <v>1</v>
      </c>
      <c r="V2233" s="71" t="s">
        <v>391</v>
      </c>
      <c r="W2233" s="130">
        <v>46077.584027777775</v>
      </c>
      <c r="X2233" s="72">
        <v>46078.570833333331</v>
      </c>
      <c r="Y2233" s="72">
        <v>46079.570833333331</v>
      </c>
      <c r="Z2233" s="104" t="s">
        <v>382</v>
      </c>
      <c r="AA2233" s="104" t="s">
        <v>546</v>
      </c>
      <c r="AB2233" s="105">
        <v>46079.385416666664</v>
      </c>
      <c r="AC2233" s="105">
        <v>46079.511111111111</v>
      </c>
    </row>
    <row r="2234" s="70" customFormat="1" ht="11.25" customHeight="1">
      <c r="A2234" s="87"/>
      <c r="C2234" s="43" t="s">
        <v>3921</v>
      </c>
      <c r="D2234" s="71" t="s">
        <v>382</v>
      </c>
      <c r="E2234" s="71" t="str">
        <f>MID(D2234,1,2)</f>
        <v>IL</v>
      </c>
      <c r="F2234" s="71" t="s">
        <v>414</v>
      </c>
      <c r="G2234" s="71" t="str">
        <f>MID(F2234,1,2)</f>
        <v>US</v>
      </c>
      <c r="H2234" s="43" t="s">
        <v>3683</v>
      </c>
      <c r="I2234" s="71" t="s">
        <v>3922</v>
      </c>
      <c r="J2234" s="71" t="s">
        <v>386</v>
      </c>
      <c r="K2234" s="43" t="s">
        <v>759</v>
      </c>
      <c r="L2234" s="71" t="s">
        <v>107</v>
      </c>
      <c r="M2234" s="73">
        <v>81</v>
      </c>
      <c r="N2234" s="71" t="s">
        <v>388</v>
      </c>
      <c r="O2234" s="73">
        <v>0.627</v>
      </c>
      <c r="P2234" s="71" t="s">
        <v>389</v>
      </c>
      <c r="Q2234" s="73">
        <v>104.5</v>
      </c>
      <c r="R2234" s="71" t="s">
        <v>388</v>
      </c>
      <c r="S2234" s="73">
        <v>0</v>
      </c>
      <c r="T2234" s="71" t="s">
        <v>390</v>
      </c>
      <c r="U2234" s="74">
        <v>3</v>
      </c>
      <c r="V2234" s="71" t="s">
        <v>391</v>
      </c>
      <c r="W2234" s="130">
        <v>46077.590277777781</v>
      </c>
      <c r="X2234" s="72">
        <v>46080.03125</v>
      </c>
      <c r="Y2234" s="72">
        <v>46080.239583333336</v>
      </c>
      <c r="Z2234" s="104" t="s">
        <v>382</v>
      </c>
      <c r="AA2234" s="104" t="s">
        <v>414</v>
      </c>
      <c r="AB2234" s="105">
        <v>46080.027777777781</v>
      </c>
      <c r="AC2234" s="105">
        <v>46080.23125</v>
      </c>
    </row>
    <row r="2235" s="70" customFormat="1" ht="11.25" customHeight="1">
      <c r="A2235" s="87"/>
      <c r="C2235" s="43" t="s">
        <v>3923</v>
      </c>
      <c r="D2235" s="71" t="s">
        <v>382</v>
      </c>
      <c r="E2235" s="71" t="str">
        <f>MID(D2235,1,2)</f>
        <v>IL</v>
      </c>
      <c r="F2235" s="71" t="s">
        <v>419</v>
      </c>
      <c r="G2235" s="71" t="str">
        <f>MID(F2235,1,2)</f>
        <v>US</v>
      </c>
      <c r="H2235" s="43" t="s">
        <v>3924</v>
      </c>
      <c r="I2235" s="71" t="s">
        <v>3925</v>
      </c>
      <c r="J2235" s="71" t="s">
        <v>386</v>
      </c>
      <c r="K2235" s="43"/>
      <c r="L2235" s="71" t="s">
        <v>107</v>
      </c>
      <c r="M2235" s="73">
        <v>30</v>
      </c>
      <c r="N2235" s="71" t="s">
        <v>388</v>
      </c>
      <c r="O2235" s="73">
        <v>0.232</v>
      </c>
      <c r="P2235" s="71" t="s">
        <v>389</v>
      </c>
      <c r="Q2235" s="73">
        <v>39</v>
      </c>
      <c r="R2235" s="71" t="s">
        <v>388</v>
      </c>
      <c r="S2235" s="73">
        <v>0</v>
      </c>
      <c r="T2235" s="71" t="s">
        <v>390</v>
      </c>
      <c r="U2235" s="74">
        <v>1</v>
      </c>
      <c r="V2235" s="71" t="s">
        <v>391</v>
      </c>
      <c r="W2235" s="130">
        <v>46077.611111111109</v>
      </c>
      <c r="X2235" s="72">
        <v>46079.479166666664</v>
      </c>
      <c r="Y2235" s="72">
        <v>46080.645833333336</v>
      </c>
      <c r="Z2235" s="104" t="s">
        <v>382</v>
      </c>
      <c r="AA2235" s="104" t="s">
        <v>422</v>
      </c>
      <c r="AB2235" s="105">
        <v>46079.970138888886</v>
      </c>
      <c r="AC2235" s="105">
        <v>46080.174305555556</v>
      </c>
    </row>
    <row r="2236" s="70" customFormat="1" ht="11.25" customHeight="1">
      <c r="A2236" s="87"/>
      <c r="C2236" s="43" t="s">
        <v>3923</v>
      </c>
      <c r="D2236" s="71" t="s">
        <v>382</v>
      </c>
      <c r="E2236" s="71" t="str">
        <f>MID(D2236,1,2)</f>
        <v>IL</v>
      </c>
      <c r="F2236" s="71" t="s">
        <v>419</v>
      </c>
      <c r="G2236" s="71" t="str">
        <f>MID(F2236,1,2)</f>
        <v>US</v>
      </c>
      <c r="H2236" s="43" t="s">
        <v>3924</v>
      </c>
      <c r="I2236" s="71" t="s">
        <v>3925</v>
      </c>
      <c r="J2236" s="71" t="s">
        <v>386</v>
      </c>
      <c r="K2236" s="43"/>
      <c r="L2236" s="71" t="s">
        <v>107</v>
      </c>
      <c r="M2236" s="73">
        <v>30</v>
      </c>
      <c r="N2236" s="71" t="s">
        <v>388</v>
      </c>
      <c r="O2236" s="73">
        <v>0.232</v>
      </c>
      <c r="P2236" s="71" t="s">
        <v>389</v>
      </c>
      <c r="Q2236" s="73">
        <v>39</v>
      </c>
      <c r="R2236" s="71" t="s">
        <v>388</v>
      </c>
      <c r="S2236" s="73">
        <v>0</v>
      </c>
      <c r="T2236" s="71" t="s">
        <v>390</v>
      </c>
      <c r="U2236" s="74">
        <v>1</v>
      </c>
      <c r="V2236" s="71" t="s">
        <v>391</v>
      </c>
      <c r="W2236" s="130">
        <v>46077.611111111109</v>
      </c>
      <c r="X2236" s="72">
        <v>46079.479166666664</v>
      </c>
      <c r="Y2236" s="72">
        <v>46080.645833333336</v>
      </c>
      <c r="Z2236" s="104" t="s">
        <v>422</v>
      </c>
      <c r="AA2236" s="104" t="s">
        <v>419</v>
      </c>
      <c r="AB2236" s="105">
        <v>46080.540277777778</v>
      </c>
      <c r="AC2236" s="105">
        <v>46080.63125</v>
      </c>
    </row>
    <row r="2237" s="70" customFormat="1" ht="11.25" customHeight="1">
      <c r="A2237" s="87"/>
      <c r="C2237" s="43" t="s">
        <v>3926</v>
      </c>
      <c r="D2237" s="71" t="s">
        <v>382</v>
      </c>
      <c r="E2237" s="71" t="str">
        <f>MID(D2237,1,2)</f>
        <v>IL</v>
      </c>
      <c r="F2237" s="71" t="s">
        <v>414</v>
      </c>
      <c r="G2237" s="71" t="str">
        <f>MID(F2237,1,2)</f>
        <v>US</v>
      </c>
      <c r="H2237" s="43"/>
      <c r="I2237" s="71" t="s">
        <v>3927</v>
      </c>
      <c r="J2237" s="71" t="s">
        <v>386</v>
      </c>
      <c r="K2237" s="43"/>
      <c r="L2237" s="71" t="s">
        <v>107</v>
      </c>
      <c r="M2237" s="73">
        <v>351</v>
      </c>
      <c r="N2237" s="71" t="s">
        <v>388</v>
      </c>
      <c r="O2237" s="73">
        <v>3.451</v>
      </c>
      <c r="P2237" s="71" t="s">
        <v>389</v>
      </c>
      <c r="Q2237" s="73">
        <v>575.5</v>
      </c>
      <c r="R2237" s="71" t="s">
        <v>388</v>
      </c>
      <c r="S2237" s="73">
        <v>0</v>
      </c>
      <c r="T2237" s="71" t="s">
        <v>390</v>
      </c>
      <c r="U2237" s="74">
        <v>1</v>
      </c>
      <c r="V2237" s="71" t="s">
        <v>391</v>
      </c>
      <c r="W2237" s="130">
        <v>46077.604861111111</v>
      </c>
      <c r="X2237" s="72">
        <v>46080.03125</v>
      </c>
      <c r="Y2237" s="72">
        <v>46080.239583333336</v>
      </c>
      <c r="Z2237" s="104"/>
      <c r="AA2237" s="104"/>
      <c r="AB2237" s="105"/>
      <c r="AC2237" s="105"/>
    </row>
    <row r="2238" s="70" customFormat="1" ht="11.25" customHeight="1">
      <c r="A2238" s="87"/>
      <c r="C2238" s="43" t="s">
        <v>3928</v>
      </c>
      <c r="D2238" s="71" t="s">
        <v>382</v>
      </c>
      <c r="E2238" s="71" t="str">
        <f>MID(D2238,1,2)</f>
        <v>IL</v>
      </c>
      <c r="F2238" s="71" t="s">
        <v>414</v>
      </c>
      <c r="G2238" s="71" t="str">
        <f>MID(F2238,1,2)</f>
        <v>US</v>
      </c>
      <c r="H2238" s="43" t="s">
        <v>3929</v>
      </c>
      <c r="I2238" s="71" t="s">
        <v>3930</v>
      </c>
      <c r="J2238" s="71" t="s">
        <v>454</v>
      </c>
      <c r="K2238" s="43"/>
      <c r="L2238" s="71" t="s">
        <v>107</v>
      </c>
      <c r="M2238" s="73">
        <v>2380</v>
      </c>
      <c r="N2238" s="71" t="s">
        <v>388</v>
      </c>
      <c r="O2238" s="73">
        <v>16.893</v>
      </c>
      <c r="P2238" s="71" t="s">
        <v>389</v>
      </c>
      <c r="Q2238" s="73">
        <v>6000</v>
      </c>
      <c r="R2238" s="71" t="s">
        <v>388</v>
      </c>
      <c r="S2238" s="73">
        <v>0</v>
      </c>
      <c r="T2238" s="71" t="s">
        <v>390</v>
      </c>
      <c r="U2238" s="74">
        <v>1</v>
      </c>
      <c r="V2238" s="71" t="s">
        <v>391</v>
      </c>
      <c r="W2238" s="130"/>
      <c r="X2238" s="72">
        <v>46081.25</v>
      </c>
      <c r="Y2238" s="72">
        <v>46081.447916666664</v>
      </c>
      <c r="Z2238" s="104" t="s">
        <v>382</v>
      </c>
      <c r="AA2238" s="104" t="s">
        <v>414</v>
      </c>
      <c r="AB2238" s="105">
        <v>46081.271527777775</v>
      </c>
      <c r="AC2238" s="105">
        <v>46081.450694444444</v>
      </c>
    </row>
    <row r="2239" s="70" customFormat="1" ht="11.25" customHeight="1">
      <c r="A2239" s="87"/>
      <c r="C2239" s="43" t="s">
        <v>3931</v>
      </c>
      <c r="D2239" s="71" t="s">
        <v>382</v>
      </c>
      <c r="E2239" s="71" t="str">
        <f>MID(D2239,1,2)</f>
        <v>IL</v>
      </c>
      <c r="F2239" s="71" t="s">
        <v>616</v>
      </c>
      <c r="G2239" s="71" t="str">
        <f>MID(F2239,1,2)</f>
        <v>HN</v>
      </c>
      <c r="H2239" s="43" t="s">
        <v>3932</v>
      </c>
      <c r="I2239" s="71"/>
      <c r="J2239" s="71" t="s">
        <v>426</v>
      </c>
      <c r="K2239" s="43"/>
      <c r="L2239" s="71" t="s">
        <v>105</v>
      </c>
      <c r="M2239" s="73">
        <v>157</v>
      </c>
      <c r="N2239" s="71" t="s">
        <v>388</v>
      </c>
      <c r="O2239" s="73">
        <v>0.432</v>
      </c>
      <c r="P2239" s="71" t="s">
        <v>389</v>
      </c>
      <c r="Q2239" s="73">
        <v>157</v>
      </c>
      <c r="R2239" s="71" t="s">
        <v>388</v>
      </c>
      <c r="S2239" s="73">
        <v>0</v>
      </c>
      <c r="T2239" s="71" t="s">
        <v>390</v>
      </c>
      <c r="U2239" s="74">
        <v>1</v>
      </c>
      <c r="V2239" s="71" t="s">
        <v>391</v>
      </c>
      <c r="W2239" s="130">
        <v>46078.430555555555</v>
      </c>
      <c r="X2239" s="72">
        <v>46103.375</v>
      </c>
      <c r="Y2239" s="72">
        <v>46106.354166666664</v>
      </c>
      <c r="Z2239" s="104" t="s">
        <v>382</v>
      </c>
      <c r="AA2239" s="104" t="s">
        <v>577</v>
      </c>
      <c r="AB2239" s="105"/>
      <c r="AC2239" s="105"/>
    </row>
    <row r="2240" s="70" customFormat="1" ht="11.25" customHeight="1">
      <c r="A2240" s="87"/>
      <c r="C2240" s="43" t="s">
        <v>3931</v>
      </c>
      <c r="D2240" s="71" t="s">
        <v>382</v>
      </c>
      <c r="E2240" s="71" t="str">
        <f>MID(D2240,1,2)</f>
        <v>IL</v>
      </c>
      <c r="F2240" s="71" t="s">
        <v>616</v>
      </c>
      <c r="G2240" s="71" t="str">
        <f>MID(F2240,1,2)</f>
        <v>HN</v>
      </c>
      <c r="H2240" s="43" t="s">
        <v>3932</v>
      </c>
      <c r="I2240" s="71"/>
      <c r="J2240" s="71" t="s">
        <v>426</v>
      </c>
      <c r="K2240" s="43"/>
      <c r="L2240" s="71" t="s">
        <v>105</v>
      </c>
      <c r="M2240" s="73">
        <v>157</v>
      </c>
      <c r="N2240" s="71" t="s">
        <v>388</v>
      </c>
      <c r="O2240" s="73">
        <v>0.432</v>
      </c>
      <c r="P2240" s="71" t="s">
        <v>389</v>
      </c>
      <c r="Q2240" s="73">
        <v>157</v>
      </c>
      <c r="R2240" s="71" t="s">
        <v>388</v>
      </c>
      <c r="S2240" s="73">
        <v>0</v>
      </c>
      <c r="T2240" s="71" t="s">
        <v>390</v>
      </c>
      <c r="U2240" s="74">
        <v>1</v>
      </c>
      <c r="V2240" s="71" t="s">
        <v>391</v>
      </c>
      <c r="W2240" s="130">
        <v>46078.430555555555</v>
      </c>
      <c r="X2240" s="72">
        <v>46103.375</v>
      </c>
      <c r="Y2240" s="72">
        <v>46106.354166666664</v>
      </c>
      <c r="Z2240" s="104" t="s">
        <v>577</v>
      </c>
      <c r="AA2240" s="104" t="s">
        <v>618</v>
      </c>
      <c r="AB2240" s="105"/>
      <c r="AC2240" s="105"/>
    </row>
    <row r="2241" s="70" customFormat="1" ht="11.25" customHeight="1">
      <c r="A2241" s="87"/>
      <c r="C2241" s="43" t="s">
        <v>3931</v>
      </c>
      <c r="D2241" s="71" t="s">
        <v>382</v>
      </c>
      <c r="E2241" s="71" t="str">
        <f>MID(D2241,1,2)</f>
        <v>IL</v>
      </c>
      <c r="F2241" s="71" t="s">
        <v>616</v>
      </c>
      <c r="G2241" s="71" t="str">
        <f>MID(F2241,1,2)</f>
        <v>HN</v>
      </c>
      <c r="H2241" s="43" t="s">
        <v>3932</v>
      </c>
      <c r="I2241" s="71"/>
      <c r="J2241" s="71" t="s">
        <v>426</v>
      </c>
      <c r="K2241" s="43"/>
      <c r="L2241" s="71" t="s">
        <v>105</v>
      </c>
      <c r="M2241" s="73">
        <v>157</v>
      </c>
      <c r="N2241" s="71" t="s">
        <v>388</v>
      </c>
      <c r="O2241" s="73">
        <v>0.432</v>
      </c>
      <c r="P2241" s="71" t="s">
        <v>389</v>
      </c>
      <c r="Q2241" s="73">
        <v>157</v>
      </c>
      <c r="R2241" s="71" t="s">
        <v>388</v>
      </c>
      <c r="S2241" s="73">
        <v>0</v>
      </c>
      <c r="T2241" s="71" t="s">
        <v>390</v>
      </c>
      <c r="U2241" s="74">
        <v>1</v>
      </c>
      <c r="V2241" s="71" t="s">
        <v>391</v>
      </c>
      <c r="W2241" s="130">
        <v>46078.430555555555</v>
      </c>
      <c r="X2241" s="72">
        <v>46103.375</v>
      </c>
      <c r="Y2241" s="72">
        <v>46106.354166666664</v>
      </c>
      <c r="Z2241" s="104" t="s">
        <v>618</v>
      </c>
      <c r="AA2241" s="104" t="s">
        <v>619</v>
      </c>
      <c r="AB2241" s="105"/>
      <c r="AC2241" s="105"/>
    </row>
    <row r="2242" s="70" customFormat="1" ht="11.25" customHeight="1">
      <c r="A2242" s="87"/>
      <c r="C2242" s="43" t="s">
        <v>3931</v>
      </c>
      <c r="D2242" s="71" t="s">
        <v>382</v>
      </c>
      <c r="E2242" s="71" t="str">
        <f>MID(D2242,1,2)</f>
        <v>IL</v>
      </c>
      <c r="F2242" s="71" t="s">
        <v>616</v>
      </c>
      <c r="G2242" s="71" t="str">
        <f>MID(F2242,1,2)</f>
        <v>HN</v>
      </c>
      <c r="H2242" s="43" t="s">
        <v>3932</v>
      </c>
      <c r="I2242" s="71"/>
      <c r="J2242" s="71" t="s">
        <v>426</v>
      </c>
      <c r="K2242" s="43"/>
      <c r="L2242" s="71" t="s">
        <v>105</v>
      </c>
      <c r="M2242" s="73">
        <v>157</v>
      </c>
      <c r="N2242" s="71" t="s">
        <v>388</v>
      </c>
      <c r="O2242" s="73">
        <v>0.432</v>
      </c>
      <c r="P2242" s="71" t="s">
        <v>389</v>
      </c>
      <c r="Q2242" s="73">
        <v>157</v>
      </c>
      <c r="R2242" s="71" t="s">
        <v>388</v>
      </c>
      <c r="S2242" s="73">
        <v>0</v>
      </c>
      <c r="T2242" s="71" t="s">
        <v>390</v>
      </c>
      <c r="U2242" s="74">
        <v>1</v>
      </c>
      <c r="V2242" s="71" t="s">
        <v>391</v>
      </c>
      <c r="W2242" s="130">
        <v>46078.430555555555</v>
      </c>
      <c r="X2242" s="72">
        <v>46103.375</v>
      </c>
      <c r="Y2242" s="72">
        <v>46106.354166666664</v>
      </c>
      <c r="Z2242" s="104" t="s">
        <v>619</v>
      </c>
      <c r="AA2242" s="104" t="s">
        <v>616</v>
      </c>
      <c r="AB2242" s="105"/>
      <c r="AC2242" s="105"/>
    </row>
    <row r="2243" s="70" customFormat="1" ht="11.25" customHeight="1">
      <c r="A2243" s="87"/>
      <c r="C2243" s="43" t="s">
        <v>3933</v>
      </c>
      <c r="D2243" s="71" t="s">
        <v>382</v>
      </c>
      <c r="E2243" s="71" t="str">
        <f>MID(D2243,1,2)</f>
        <v>IL</v>
      </c>
      <c r="F2243" s="71" t="s">
        <v>546</v>
      </c>
      <c r="G2243" s="71" t="str">
        <f>MID(F2243,1,2)</f>
        <v>GB</v>
      </c>
      <c r="H2243" s="43" t="s">
        <v>3934</v>
      </c>
      <c r="I2243" s="71" t="s">
        <v>3935</v>
      </c>
      <c r="J2243" s="71" t="s">
        <v>400</v>
      </c>
      <c r="K2243" s="43"/>
      <c r="L2243" s="71" t="s">
        <v>105</v>
      </c>
      <c r="M2243" s="73">
        <v>50</v>
      </c>
      <c r="N2243" s="71" t="s">
        <v>388</v>
      </c>
      <c r="O2243" s="73">
        <v>0.2</v>
      </c>
      <c r="P2243" s="71" t="s">
        <v>389</v>
      </c>
      <c r="Q2243" s="73">
        <v>50</v>
      </c>
      <c r="R2243" s="71" t="s">
        <v>388</v>
      </c>
      <c r="S2243" s="73">
        <v>0</v>
      </c>
      <c r="T2243" s="71" t="s">
        <v>390</v>
      </c>
      <c r="U2243" s="74">
        <v>2</v>
      </c>
      <c r="V2243" s="71" t="s">
        <v>391</v>
      </c>
      <c r="W2243" s="130"/>
      <c r="X2243" s="72">
        <v>46098.381944444445</v>
      </c>
      <c r="Y2243" s="72">
        <v>46108.524305555555</v>
      </c>
      <c r="Z2243" s="104" t="s">
        <v>382</v>
      </c>
      <c r="AA2243" s="104" t="s">
        <v>546</v>
      </c>
      <c r="AB2243" s="105"/>
      <c r="AC2243" s="105"/>
    </row>
    <row r="2244" s="70" customFormat="1" ht="11.25" customHeight="1">
      <c r="A2244" s="87"/>
      <c r="C2244" s="43" t="s">
        <v>3936</v>
      </c>
      <c r="D2244" s="71" t="s">
        <v>382</v>
      </c>
      <c r="E2244" s="71" t="str">
        <f>MID(D2244,1,2)</f>
        <v>IL</v>
      </c>
      <c r="F2244" s="71" t="s">
        <v>919</v>
      </c>
      <c r="G2244" s="71" t="str">
        <f>MID(F2244,1,2)</f>
        <v>CN</v>
      </c>
      <c r="H2244" s="43" t="s">
        <v>3937</v>
      </c>
      <c r="I2244" s="71" t="s">
        <v>3938</v>
      </c>
      <c r="J2244" s="71" t="s">
        <v>755</v>
      </c>
      <c r="K2244" s="43"/>
      <c r="L2244" s="71" t="s">
        <v>105</v>
      </c>
      <c r="M2244" s="73">
        <v>16</v>
      </c>
      <c r="N2244" s="71" t="s">
        <v>388</v>
      </c>
      <c r="O2244" s="73">
        <v>0.475</v>
      </c>
      <c r="P2244" s="71" t="s">
        <v>389</v>
      </c>
      <c r="Q2244" s="73">
        <v>79.5</v>
      </c>
      <c r="R2244" s="71" t="s">
        <v>388</v>
      </c>
      <c r="S2244" s="73">
        <v>0</v>
      </c>
      <c r="T2244" s="71" t="s">
        <v>390</v>
      </c>
      <c r="U2244" s="74">
        <v>1</v>
      </c>
      <c r="V2244" s="71" t="s">
        <v>391</v>
      </c>
      <c r="W2244" s="130">
        <v>46078.965254629627</v>
      </c>
      <c r="X2244" s="72">
        <v>46080.21875</v>
      </c>
      <c r="Y2244" s="72">
        <v>46085.517361111109</v>
      </c>
      <c r="Z2244" s="104" t="s">
        <v>382</v>
      </c>
      <c r="AA2244" s="104" t="s">
        <v>451</v>
      </c>
      <c r="AB2244" s="105">
        <v>46080.213888888888</v>
      </c>
      <c r="AC2244" s="105">
        <v>46080.327777777777</v>
      </c>
    </row>
    <row r="2245" s="70" customFormat="1" ht="11.25" customHeight="1">
      <c r="A2245" s="87"/>
      <c r="C2245" s="43" t="s">
        <v>3936</v>
      </c>
      <c r="D2245" s="71" t="s">
        <v>382</v>
      </c>
      <c r="E2245" s="71" t="str">
        <f>MID(D2245,1,2)</f>
        <v>IL</v>
      </c>
      <c r="F2245" s="71" t="s">
        <v>919</v>
      </c>
      <c r="G2245" s="71" t="str">
        <f>MID(F2245,1,2)</f>
        <v>CN</v>
      </c>
      <c r="H2245" s="43" t="s">
        <v>3937</v>
      </c>
      <c r="I2245" s="71" t="s">
        <v>3938</v>
      </c>
      <c r="J2245" s="71" t="s">
        <v>755</v>
      </c>
      <c r="K2245" s="43"/>
      <c r="L2245" s="71" t="s">
        <v>105</v>
      </c>
      <c r="M2245" s="73">
        <v>16</v>
      </c>
      <c r="N2245" s="71" t="s">
        <v>388</v>
      </c>
      <c r="O2245" s="73">
        <v>0.475</v>
      </c>
      <c r="P2245" s="71" t="s">
        <v>389</v>
      </c>
      <c r="Q2245" s="73">
        <v>79.5</v>
      </c>
      <c r="R2245" s="71" t="s">
        <v>388</v>
      </c>
      <c r="S2245" s="73">
        <v>0</v>
      </c>
      <c r="T2245" s="71" t="s">
        <v>390</v>
      </c>
      <c r="U2245" s="74">
        <v>1</v>
      </c>
      <c r="V2245" s="71" t="s">
        <v>391</v>
      </c>
      <c r="W2245" s="130">
        <v>46078.965254629627</v>
      </c>
      <c r="X2245" s="72">
        <v>46080.21875</v>
      </c>
      <c r="Y2245" s="72">
        <v>46085.517361111109</v>
      </c>
      <c r="Z2245" s="104" t="s">
        <v>451</v>
      </c>
      <c r="AA2245" s="104" t="s">
        <v>667</v>
      </c>
      <c r="AB2245" s="105">
        <v>46081.152777777781</v>
      </c>
      <c r="AC2245" s="105">
        <v>46082.15902777778</v>
      </c>
    </row>
    <row r="2246" s="70" customFormat="1" ht="11.25" customHeight="1">
      <c r="A2246" s="87"/>
      <c r="C2246" s="43" t="s">
        <v>3936</v>
      </c>
      <c r="D2246" s="71" t="s">
        <v>382</v>
      </c>
      <c r="E2246" s="71" t="str">
        <f>MID(D2246,1,2)</f>
        <v>IL</v>
      </c>
      <c r="F2246" s="71" t="s">
        <v>919</v>
      </c>
      <c r="G2246" s="71" t="str">
        <f>MID(F2246,1,2)</f>
        <v>CN</v>
      </c>
      <c r="H2246" s="43" t="s">
        <v>3937</v>
      </c>
      <c r="I2246" s="71" t="s">
        <v>3938</v>
      </c>
      <c r="J2246" s="71" t="s">
        <v>755</v>
      </c>
      <c r="K2246" s="43"/>
      <c r="L2246" s="71" t="s">
        <v>105</v>
      </c>
      <c r="M2246" s="73">
        <v>16</v>
      </c>
      <c r="N2246" s="71" t="s">
        <v>388</v>
      </c>
      <c r="O2246" s="73">
        <v>0.475</v>
      </c>
      <c r="P2246" s="71" t="s">
        <v>389</v>
      </c>
      <c r="Q2246" s="73">
        <v>79.5</v>
      </c>
      <c r="R2246" s="71" t="s">
        <v>388</v>
      </c>
      <c r="S2246" s="73">
        <v>0</v>
      </c>
      <c r="T2246" s="71" t="s">
        <v>390</v>
      </c>
      <c r="U2246" s="74">
        <v>1</v>
      </c>
      <c r="V2246" s="71" t="s">
        <v>391</v>
      </c>
      <c r="W2246" s="130">
        <v>46078.965254629627</v>
      </c>
      <c r="X2246" s="72">
        <v>46080.21875</v>
      </c>
      <c r="Y2246" s="72">
        <v>46085.517361111109</v>
      </c>
      <c r="Z2246" s="104" t="s">
        <v>667</v>
      </c>
      <c r="AA2246" s="104" t="s">
        <v>919</v>
      </c>
      <c r="AB2246" s="105">
        <v>46084.79375</v>
      </c>
      <c r="AC2246" s="105">
        <v>46085.486111111109</v>
      </c>
    </row>
    <row r="2247" s="70" customFormat="1" ht="11.25" customHeight="1">
      <c r="A2247" s="87"/>
      <c r="C2247" s="43" t="s">
        <v>3939</v>
      </c>
      <c r="D2247" s="71" t="s">
        <v>382</v>
      </c>
      <c r="E2247" s="71" t="str">
        <f>MID(D2247,1,2)</f>
        <v>IL</v>
      </c>
      <c r="F2247" s="71" t="s">
        <v>414</v>
      </c>
      <c r="G2247" s="71" t="str">
        <f>MID(F2247,1,2)</f>
        <v>US</v>
      </c>
      <c r="H2247" s="43" t="s">
        <v>3940</v>
      </c>
      <c r="I2247" s="71"/>
      <c r="J2247" s="71" t="s">
        <v>426</v>
      </c>
      <c r="K2247" s="43"/>
      <c r="L2247" s="71" t="s">
        <v>105</v>
      </c>
      <c r="M2247" s="73">
        <v>7830</v>
      </c>
      <c r="N2247" s="71" t="s">
        <v>388</v>
      </c>
      <c r="O2247" s="73">
        <v>30.102</v>
      </c>
      <c r="P2247" s="71" t="s">
        <v>389</v>
      </c>
      <c r="Q2247" s="73">
        <v>7830</v>
      </c>
      <c r="R2247" s="71" t="s">
        <v>388</v>
      </c>
      <c r="S2247" s="73">
        <v>0</v>
      </c>
      <c r="T2247" s="71" t="s">
        <v>390</v>
      </c>
      <c r="U2247" s="74">
        <v>40</v>
      </c>
      <c r="V2247" s="71" t="s">
        <v>391</v>
      </c>
      <c r="W2247" s="130">
        <v>46077.645833333336</v>
      </c>
      <c r="X2247" s="72">
        <v>46094.197916666664</v>
      </c>
      <c r="Y2247" s="72">
        <v>46096.58125</v>
      </c>
      <c r="Z2247" s="104" t="s">
        <v>382</v>
      </c>
      <c r="AA2247" s="104" t="s">
        <v>414</v>
      </c>
      <c r="AB2247" s="105"/>
      <c r="AC2247" s="105"/>
    </row>
    <row r="2248" s="70" customFormat="1" ht="11.25" customHeight="1">
      <c r="A2248" s="87"/>
      <c r="C2248" s="43" t="s">
        <v>3941</v>
      </c>
      <c r="D2248" s="71" t="s">
        <v>382</v>
      </c>
      <c r="E2248" s="71" t="str">
        <f>MID(D2248,1,2)</f>
        <v>IL</v>
      </c>
      <c r="F2248" s="71" t="s">
        <v>3718</v>
      </c>
      <c r="G2248" s="71" t="str">
        <f>MID(F2248,1,2)</f>
        <v>UG</v>
      </c>
      <c r="H2248" s="43" t="s">
        <v>3719</v>
      </c>
      <c r="I2248" s="71" t="s">
        <v>3942</v>
      </c>
      <c r="J2248" s="71" t="s">
        <v>400</v>
      </c>
      <c r="K2248" s="43"/>
      <c r="L2248" s="71" t="s">
        <v>105</v>
      </c>
      <c r="M2248" s="73">
        <v>240</v>
      </c>
      <c r="N2248" s="71" t="s">
        <v>388</v>
      </c>
      <c r="O2248" s="73">
        <v>0.908</v>
      </c>
      <c r="P2248" s="71" t="s">
        <v>389</v>
      </c>
      <c r="Q2248" s="73">
        <v>240</v>
      </c>
      <c r="R2248" s="71" t="s">
        <v>388</v>
      </c>
      <c r="S2248" s="73">
        <v>0</v>
      </c>
      <c r="T2248" s="71" t="s">
        <v>390</v>
      </c>
      <c r="U2248" s="74">
        <v>1</v>
      </c>
      <c r="V2248" s="71" t="s">
        <v>391</v>
      </c>
      <c r="W2248" s="130">
        <v>46078.70820601852</v>
      </c>
      <c r="X2248" s="72">
        <v>46079.305555555555</v>
      </c>
      <c r="Y2248" s="72">
        <v>46111.597222222219</v>
      </c>
      <c r="Z2248" s="104" t="s">
        <v>382</v>
      </c>
      <c r="AA2248" s="104" t="s">
        <v>1310</v>
      </c>
      <c r="AB2248" s="105"/>
      <c r="AC2248" s="105"/>
    </row>
    <row r="2249" s="70" customFormat="1" ht="11.25" customHeight="1">
      <c r="A2249" s="87"/>
      <c r="C2249" s="43" t="s">
        <v>3941</v>
      </c>
      <c r="D2249" s="71" t="s">
        <v>382</v>
      </c>
      <c r="E2249" s="71" t="str">
        <f>MID(D2249,1,2)</f>
        <v>IL</v>
      </c>
      <c r="F2249" s="71" t="s">
        <v>3718</v>
      </c>
      <c r="G2249" s="71" t="str">
        <f>MID(F2249,1,2)</f>
        <v>UG</v>
      </c>
      <c r="H2249" s="43" t="s">
        <v>3719</v>
      </c>
      <c r="I2249" s="71" t="s">
        <v>3942</v>
      </c>
      <c r="J2249" s="71" t="s">
        <v>400</v>
      </c>
      <c r="K2249" s="43"/>
      <c r="L2249" s="71" t="s">
        <v>105</v>
      </c>
      <c r="M2249" s="73">
        <v>240</v>
      </c>
      <c r="N2249" s="71" t="s">
        <v>388</v>
      </c>
      <c r="O2249" s="73">
        <v>0.908</v>
      </c>
      <c r="P2249" s="71" t="s">
        <v>389</v>
      </c>
      <c r="Q2249" s="73">
        <v>240</v>
      </c>
      <c r="R2249" s="71" t="s">
        <v>388</v>
      </c>
      <c r="S2249" s="73">
        <v>0</v>
      </c>
      <c r="T2249" s="71" t="s">
        <v>390</v>
      </c>
      <c r="U2249" s="74">
        <v>1</v>
      </c>
      <c r="V2249" s="71" t="s">
        <v>391</v>
      </c>
      <c r="W2249" s="130">
        <v>46078.70820601852</v>
      </c>
      <c r="X2249" s="72">
        <v>46079.305555555555</v>
      </c>
      <c r="Y2249" s="72">
        <v>46111.597222222219</v>
      </c>
      <c r="Z2249" s="104" t="s">
        <v>1310</v>
      </c>
      <c r="AA2249" s="104" t="s">
        <v>3718</v>
      </c>
      <c r="AB2249" s="105"/>
      <c r="AC2249" s="105"/>
    </row>
    <row r="2250" s="70" customFormat="1" ht="11.25" customHeight="1">
      <c r="A2250" s="87"/>
      <c r="C2250" s="43" t="s">
        <v>3943</v>
      </c>
      <c r="D2250" s="71" t="s">
        <v>382</v>
      </c>
      <c r="E2250" s="71" t="str">
        <f>MID(D2250,1,2)</f>
        <v>IL</v>
      </c>
      <c r="F2250" s="71" t="s">
        <v>414</v>
      </c>
      <c r="G2250" s="71" t="str">
        <f>MID(F2250,1,2)</f>
        <v>US</v>
      </c>
      <c r="H2250" s="43" t="s">
        <v>2791</v>
      </c>
      <c r="I2250" s="71" t="s">
        <v>3944</v>
      </c>
      <c r="J2250" s="71" t="s">
        <v>386</v>
      </c>
      <c r="K2250" s="43"/>
      <c r="L2250" s="71" t="s">
        <v>107</v>
      </c>
      <c r="M2250" s="73">
        <v>175</v>
      </c>
      <c r="N2250" s="71" t="s">
        <v>388</v>
      </c>
      <c r="O2250" s="73">
        <v>1.164</v>
      </c>
      <c r="P2250" s="71" t="s">
        <v>389</v>
      </c>
      <c r="Q2250" s="73">
        <v>194</v>
      </c>
      <c r="R2250" s="71" t="s">
        <v>388</v>
      </c>
      <c r="S2250" s="73">
        <v>0</v>
      </c>
      <c r="T2250" s="71" t="s">
        <v>390</v>
      </c>
      <c r="U2250" s="74">
        <v>1</v>
      </c>
      <c r="V2250" s="71" t="s">
        <v>446</v>
      </c>
      <c r="W2250" s="130">
        <v>46079.639618055553</v>
      </c>
      <c r="X2250" s="72">
        <v>46082.03125</v>
      </c>
      <c r="Y2250" s="72">
        <v>46096.291666666664</v>
      </c>
      <c r="Z2250" s="104" t="s">
        <v>382</v>
      </c>
      <c r="AA2250" s="104" t="s">
        <v>414</v>
      </c>
      <c r="AB2250" s="105">
        <v>46091.945833333331</v>
      </c>
      <c r="AC2250" s="105">
        <v>46092.136111111111</v>
      </c>
    </row>
    <row r="2251" s="70" customFormat="1" ht="11.25" customHeight="1">
      <c r="A2251" s="87"/>
      <c r="C2251" s="43" t="s">
        <v>3945</v>
      </c>
      <c r="D2251" s="71" t="s">
        <v>382</v>
      </c>
      <c r="E2251" s="71" t="str">
        <f>MID(D2251,1,2)</f>
        <v>IL</v>
      </c>
      <c r="F2251" s="71" t="s">
        <v>480</v>
      </c>
      <c r="G2251" s="71" t="str">
        <f>MID(F2251,1,2)</f>
        <v>CA</v>
      </c>
      <c r="H2251" s="43" t="s">
        <v>3946</v>
      </c>
      <c r="I2251" s="71" t="s">
        <v>3947</v>
      </c>
      <c r="J2251" s="71" t="s">
        <v>386</v>
      </c>
      <c r="K2251" s="43"/>
      <c r="L2251" s="71" t="s">
        <v>107</v>
      </c>
      <c r="M2251" s="73">
        <v>39</v>
      </c>
      <c r="N2251" s="71" t="s">
        <v>388</v>
      </c>
      <c r="O2251" s="73">
        <v>0.084</v>
      </c>
      <c r="P2251" s="71" t="s">
        <v>389</v>
      </c>
      <c r="Q2251" s="73">
        <v>39</v>
      </c>
      <c r="R2251" s="71" t="s">
        <v>388</v>
      </c>
      <c r="S2251" s="73">
        <v>0</v>
      </c>
      <c r="T2251" s="71" t="s">
        <v>390</v>
      </c>
      <c r="U2251" s="74">
        <v>1</v>
      </c>
      <c r="V2251" s="71" t="s">
        <v>417</v>
      </c>
      <c r="W2251" s="130">
        <v>46078.36875</v>
      </c>
      <c r="X2251" s="72">
        <v>46080.458333333336</v>
      </c>
      <c r="Y2251" s="72">
        <v>46083.765972222223</v>
      </c>
      <c r="Z2251" s="104" t="s">
        <v>1102</v>
      </c>
      <c r="AA2251" s="104" t="s">
        <v>1103</v>
      </c>
      <c r="AB2251" s="105"/>
      <c r="AC2251" s="105"/>
    </row>
    <row r="2252" s="70" customFormat="1" ht="11.25" customHeight="1">
      <c r="A2252" s="87"/>
      <c r="C2252" s="43" t="s">
        <v>3945</v>
      </c>
      <c r="D2252" s="71" t="s">
        <v>382</v>
      </c>
      <c r="E2252" s="71" t="str">
        <f>MID(D2252,1,2)</f>
        <v>IL</v>
      </c>
      <c r="F2252" s="71" t="s">
        <v>480</v>
      </c>
      <c r="G2252" s="71" t="str">
        <f>MID(F2252,1,2)</f>
        <v>CA</v>
      </c>
      <c r="H2252" s="43" t="s">
        <v>3946</v>
      </c>
      <c r="I2252" s="71" t="s">
        <v>3947</v>
      </c>
      <c r="J2252" s="71" t="s">
        <v>386</v>
      </c>
      <c r="K2252" s="43"/>
      <c r="L2252" s="71" t="s">
        <v>107</v>
      </c>
      <c r="M2252" s="73">
        <v>39</v>
      </c>
      <c r="N2252" s="71" t="s">
        <v>388</v>
      </c>
      <c r="O2252" s="73">
        <v>0.084</v>
      </c>
      <c r="P2252" s="71" t="s">
        <v>389</v>
      </c>
      <c r="Q2252" s="73">
        <v>39</v>
      </c>
      <c r="R2252" s="71" t="s">
        <v>388</v>
      </c>
      <c r="S2252" s="73">
        <v>0</v>
      </c>
      <c r="T2252" s="71" t="s">
        <v>390</v>
      </c>
      <c r="U2252" s="74">
        <v>1</v>
      </c>
      <c r="V2252" s="71" t="s">
        <v>417</v>
      </c>
      <c r="W2252" s="130">
        <v>46078.36875</v>
      </c>
      <c r="X2252" s="72">
        <v>46080.458333333336</v>
      </c>
      <c r="Y2252" s="72">
        <v>46083.765972222223</v>
      </c>
      <c r="Z2252" s="104" t="s">
        <v>382</v>
      </c>
      <c r="AA2252" s="104" t="s">
        <v>405</v>
      </c>
      <c r="AB2252" s="105">
        <v>46080.638888888891</v>
      </c>
      <c r="AC2252" s="105">
        <v>46080.906944444447</v>
      </c>
    </row>
    <row r="2253" s="70" customFormat="1" ht="11.25" customHeight="1">
      <c r="A2253" s="87"/>
      <c r="C2253" s="43" t="s">
        <v>3945</v>
      </c>
      <c r="D2253" s="71" t="s">
        <v>382</v>
      </c>
      <c r="E2253" s="71" t="str">
        <f>MID(D2253,1,2)</f>
        <v>IL</v>
      </c>
      <c r="F2253" s="71" t="s">
        <v>480</v>
      </c>
      <c r="G2253" s="71" t="str">
        <f>MID(F2253,1,2)</f>
        <v>CA</v>
      </c>
      <c r="H2253" s="43" t="s">
        <v>3946</v>
      </c>
      <c r="I2253" s="71" t="s">
        <v>3947</v>
      </c>
      <c r="J2253" s="71" t="s">
        <v>386</v>
      </c>
      <c r="K2253" s="43"/>
      <c r="L2253" s="71" t="s">
        <v>107</v>
      </c>
      <c r="M2253" s="73">
        <v>39</v>
      </c>
      <c r="N2253" s="71" t="s">
        <v>388</v>
      </c>
      <c r="O2253" s="73">
        <v>0.084</v>
      </c>
      <c r="P2253" s="71" t="s">
        <v>389</v>
      </c>
      <c r="Q2253" s="73">
        <v>39</v>
      </c>
      <c r="R2253" s="71" t="s">
        <v>388</v>
      </c>
      <c r="S2253" s="73">
        <v>0</v>
      </c>
      <c r="T2253" s="71" t="s">
        <v>390</v>
      </c>
      <c r="U2253" s="74">
        <v>1</v>
      </c>
      <c r="V2253" s="71" t="s">
        <v>417</v>
      </c>
      <c r="W2253" s="130">
        <v>46078.36875</v>
      </c>
      <c r="X2253" s="72">
        <v>46080.458333333336</v>
      </c>
      <c r="Y2253" s="72">
        <v>46083.765972222223</v>
      </c>
      <c r="Z2253" s="104" t="s">
        <v>405</v>
      </c>
      <c r="AA2253" s="104" t="s">
        <v>480</v>
      </c>
      <c r="AB2253" s="105">
        <v>46082.000694444447</v>
      </c>
      <c r="AC2253" s="105">
        <v>46082.666666666664</v>
      </c>
    </row>
    <row r="2254" s="70" customFormat="1" ht="11.25" customHeight="1">
      <c r="A2254" s="87"/>
      <c r="C2254" s="43" t="s">
        <v>3948</v>
      </c>
      <c r="D2254" s="71" t="s">
        <v>382</v>
      </c>
      <c r="E2254" s="71" t="str">
        <f>MID(D2254,1,2)</f>
        <v>IL</v>
      </c>
      <c r="F2254" s="71" t="s">
        <v>573</v>
      </c>
      <c r="G2254" s="71" t="str">
        <f>MID(F2254,1,2)</f>
        <v>CH</v>
      </c>
      <c r="H2254" s="43" t="s">
        <v>3949</v>
      </c>
      <c r="I2254" s="71" t="s">
        <v>3950</v>
      </c>
      <c r="J2254" s="71" t="s">
        <v>483</v>
      </c>
      <c r="K2254" s="43"/>
      <c r="L2254" s="71" t="s">
        <v>105</v>
      </c>
      <c r="M2254" s="73">
        <v>4</v>
      </c>
      <c r="N2254" s="71" t="s">
        <v>388</v>
      </c>
      <c r="O2254" s="73">
        <v>0.039</v>
      </c>
      <c r="P2254" s="71" t="s">
        <v>389</v>
      </c>
      <c r="Q2254" s="73">
        <v>6.5</v>
      </c>
      <c r="R2254" s="71" t="s">
        <v>388</v>
      </c>
      <c r="S2254" s="73">
        <v>0</v>
      </c>
      <c r="T2254" s="71" t="s">
        <v>390</v>
      </c>
      <c r="U2254" s="74">
        <v>1</v>
      </c>
      <c r="V2254" s="71" t="s">
        <v>391</v>
      </c>
      <c r="W2254" s="130">
        <v>46078.704756944448</v>
      </c>
      <c r="X2254" s="72">
        <v>46079.690972222219</v>
      </c>
      <c r="Y2254" s="72">
        <v>46080.452777777777</v>
      </c>
      <c r="Z2254" s="104" t="s">
        <v>382</v>
      </c>
      <c r="AA2254" s="104" t="s">
        <v>383</v>
      </c>
      <c r="AB2254" s="105">
        <v>46079.705555555556</v>
      </c>
      <c r="AC2254" s="105">
        <v>46079.852777777778</v>
      </c>
    </row>
    <row r="2255" s="70" customFormat="1" ht="11.25" customHeight="1">
      <c r="A2255" s="87"/>
      <c r="C2255" s="43" t="s">
        <v>3948</v>
      </c>
      <c r="D2255" s="71" t="s">
        <v>382</v>
      </c>
      <c r="E2255" s="71" t="str">
        <f>MID(D2255,1,2)</f>
        <v>IL</v>
      </c>
      <c r="F2255" s="71" t="s">
        <v>573</v>
      </c>
      <c r="G2255" s="71" t="str">
        <f>MID(F2255,1,2)</f>
        <v>CH</v>
      </c>
      <c r="H2255" s="43" t="s">
        <v>3949</v>
      </c>
      <c r="I2255" s="71" t="s">
        <v>3950</v>
      </c>
      <c r="J2255" s="71" t="s">
        <v>483</v>
      </c>
      <c r="K2255" s="43"/>
      <c r="L2255" s="71" t="s">
        <v>105</v>
      </c>
      <c r="M2255" s="73">
        <v>4</v>
      </c>
      <c r="N2255" s="71" t="s">
        <v>388</v>
      </c>
      <c r="O2255" s="73">
        <v>0.039</v>
      </c>
      <c r="P2255" s="71" t="s">
        <v>389</v>
      </c>
      <c r="Q2255" s="73">
        <v>6.5</v>
      </c>
      <c r="R2255" s="71" t="s">
        <v>388</v>
      </c>
      <c r="S2255" s="73">
        <v>0</v>
      </c>
      <c r="T2255" s="71" t="s">
        <v>390</v>
      </c>
      <c r="U2255" s="74">
        <v>1</v>
      </c>
      <c r="V2255" s="71" t="s">
        <v>391</v>
      </c>
      <c r="W2255" s="130">
        <v>46078.704756944448</v>
      </c>
      <c r="X2255" s="72">
        <v>46079.690972222219</v>
      </c>
      <c r="Y2255" s="72">
        <v>46080.452777777777</v>
      </c>
      <c r="Z2255" s="104" t="s">
        <v>383</v>
      </c>
      <c r="AA2255" s="104" t="s">
        <v>573</v>
      </c>
      <c r="AB2255" s="105">
        <v>46080.418055555558</v>
      </c>
      <c r="AC2255" s="105">
        <v>46080.45416666667</v>
      </c>
    </row>
    <row r="2256" s="70" customFormat="1" ht="11.25" customHeight="1">
      <c r="A2256" s="87"/>
      <c r="C2256" s="43" t="s">
        <v>3951</v>
      </c>
      <c r="D2256" s="71" t="s">
        <v>382</v>
      </c>
      <c r="E2256" s="71" t="str">
        <f>MID(D2256,1,2)</f>
        <v>IL</v>
      </c>
      <c r="F2256" s="71" t="s">
        <v>774</v>
      </c>
      <c r="G2256" s="71" t="str">
        <f>MID(F2256,1,2)</f>
        <v>CN</v>
      </c>
      <c r="H2256" s="43" t="s">
        <v>3952</v>
      </c>
      <c r="I2256" s="71" t="s">
        <v>3953</v>
      </c>
      <c r="J2256" s="71" t="s">
        <v>755</v>
      </c>
      <c r="K2256" s="43"/>
      <c r="L2256" s="71" t="s">
        <v>105</v>
      </c>
      <c r="M2256" s="73">
        <v>16</v>
      </c>
      <c r="N2256" s="71" t="s">
        <v>388</v>
      </c>
      <c r="O2256" s="73">
        <v>0.475</v>
      </c>
      <c r="P2256" s="71" t="s">
        <v>389</v>
      </c>
      <c r="Q2256" s="73">
        <v>100</v>
      </c>
      <c r="R2256" s="71" t="s">
        <v>388</v>
      </c>
      <c r="S2256" s="73">
        <v>0</v>
      </c>
      <c r="T2256" s="71" t="s">
        <v>390</v>
      </c>
      <c r="U2256" s="74">
        <v>1</v>
      </c>
      <c r="V2256" s="71" t="s">
        <v>391</v>
      </c>
      <c r="W2256" s="130">
        <v>46078.965266203704</v>
      </c>
      <c r="X2256" s="72">
        <v>46085.996527777781</v>
      </c>
      <c r="Y2256" s="72">
        <v>46093.118055555555</v>
      </c>
      <c r="Z2256" s="104" t="s">
        <v>382</v>
      </c>
      <c r="AA2256" s="104" t="s">
        <v>1117</v>
      </c>
      <c r="AB2256" s="105">
        <v>46087.102083333331</v>
      </c>
      <c r="AC2256" s="105"/>
    </row>
    <row r="2257" s="70" customFormat="1" ht="11.25" customHeight="1">
      <c r="A2257" s="87"/>
      <c r="C2257" s="43" t="s">
        <v>3951</v>
      </c>
      <c r="D2257" s="71" t="s">
        <v>382</v>
      </c>
      <c r="E2257" s="71" t="str">
        <f>MID(D2257,1,2)</f>
        <v>IL</v>
      </c>
      <c r="F2257" s="71" t="s">
        <v>774</v>
      </c>
      <c r="G2257" s="71" t="str">
        <f>MID(F2257,1,2)</f>
        <v>CN</v>
      </c>
      <c r="H2257" s="43" t="s">
        <v>3952</v>
      </c>
      <c r="I2257" s="71" t="s">
        <v>3953</v>
      </c>
      <c r="J2257" s="71" t="s">
        <v>755</v>
      </c>
      <c r="K2257" s="43"/>
      <c r="L2257" s="71" t="s">
        <v>105</v>
      </c>
      <c r="M2257" s="73">
        <v>16</v>
      </c>
      <c r="N2257" s="71" t="s">
        <v>388</v>
      </c>
      <c r="O2257" s="73">
        <v>0.475</v>
      </c>
      <c r="P2257" s="71" t="s">
        <v>389</v>
      </c>
      <c r="Q2257" s="73">
        <v>100</v>
      </c>
      <c r="R2257" s="71" t="s">
        <v>388</v>
      </c>
      <c r="S2257" s="73">
        <v>0</v>
      </c>
      <c r="T2257" s="71" t="s">
        <v>390</v>
      </c>
      <c r="U2257" s="74">
        <v>1</v>
      </c>
      <c r="V2257" s="71" t="s">
        <v>391</v>
      </c>
      <c r="W2257" s="130">
        <v>46078.965266203704</v>
      </c>
      <c r="X2257" s="72">
        <v>46085.996527777781</v>
      </c>
      <c r="Y2257" s="72">
        <v>46093.118055555555</v>
      </c>
      <c r="Z2257" s="104" t="s">
        <v>1117</v>
      </c>
      <c r="AA2257" s="104" t="s">
        <v>1538</v>
      </c>
      <c r="AB2257" s="105">
        <v>46090.825694444444</v>
      </c>
      <c r="AC2257" s="105"/>
    </row>
    <row r="2258" s="70" customFormat="1" ht="11.25" customHeight="1">
      <c r="A2258" s="87"/>
      <c r="C2258" s="43" t="s">
        <v>3951</v>
      </c>
      <c r="D2258" s="71" t="s">
        <v>382</v>
      </c>
      <c r="E2258" s="71" t="str">
        <f>MID(D2258,1,2)</f>
        <v>IL</v>
      </c>
      <c r="F2258" s="71" t="s">
        <v>774</v>
      </c>
      <c r="G2258" s="71" t="str">
        <f>MID(F2258,1,2)</f>
        <v>CN</v>
      </c>
      <c r="H2258" s="43" t="s">
        <v>3952</v>
      </c>
      <c r="I2258" s="71" t="s">
        <v>3953</v>
      </c>
      <c r="J2258" s="71" t="s">
        <v>755</v>
      </c>
      <c r="K2258" s="43"/>
      <c r="L2258" s="71" t="s">
        <v>105</v>
      </c>
      <c r="M2258" s="73">
        <v>16</v>
      </c>
      <c r="N2258" s="71" t="s">
        <v>388</v>
      </c>
      <c r="O2258" s="73">
        <v>0.475</v>
      </c>
      <c r="P2258" s="71" t="s">
        <v>389</v>
      </c>
      <c r="Q2258" s="73">
        <v>100</v>
      </c>
      <c r="R2258" s="71" t="s">
        <v>388</v>
      </c>
      <c r="S2258" s="73">
        <v>0</v>
      </c>
      <c r="T2258" s="71" t="s">
        <v>390</v>
      </c>
      <c r="U2258" s="74">
        <v>1</v>
      </c>
      <c r="V2258" s="71" t="s">
        <v>391</v>
      </c>
      <c r="W2258" s="130">
        <v>46078.965266203704</v>
      </c>
      <c r="X2258" s="72">
        <v>46085.996527777781</v>
      </c>
      <c r="Y2258" s="72">
        <v>46093.118055555555</v>
      </c>
      <c r="Z2258" s="104" t="s">
        <v>1538</v>
      </c>
      <c r="AA2258" s="104" t="s">
        <v>774</v>
      </c>
      <c r="AB2258" s="105">
        <v>46092.026388888888</v>
      </c>
      <c r="AC2258" s="105">
        <v>46092.143055555556</v>
      </c>
    </row>
    <row r="2259" s="70" customFormat="1" ht="11.25" customHeight="1">
      <c r="A2259" s="87"/>
      <c r="C2259" s="43" t="s">
        <v>3954</v>
      </c>
      <c r="D2259" s="71" t="s">
        <v>382</v>
      </c>
      <c r="E2259" s="71" t="str">
        <f>MID(D2259,1,2)</f>
        <v>IL</v>
      </c>
      <c r="F2259" s="71" t="s">
        <v>774</v>
      </c>
      <c r="G2259" s="71" t="str">
        <f>MID(F2259,1,2)</f>
        <v>CN</v>
      </c>
      <c r="H2259" s="43" t="s">
        <v>3952</v>
      </c>
      <c r="I2259" s="71" t="s">
        <v>3955</v>
      </c>
      <c r="J2259" s="71" t="s">
        <v>755</v>
      </c>
      <c r="K2259" s="43"/>
      <c r="L2259" s="71" t="s">
        <v>105</v>
      </c>
      <c r="M2259" s="73">
        <v>33</v>
      </c>
      <c r="N2259" s="71" t="s">
        <v>388</v>
      </c>
      <c r="O2259" s="73">
        <v>0.574</v>
      </c>
      <c r="P2259" s="71" t="s">
        <v>389</v>
      </c>
      <c r="Q2259" s="73">
        <v>96</v>
      </c>
      <c r="R2259" s="71" t="s">
        <v>388</v>
      </c>
      <c r="S2259" s="73">
        <v>0</v>
      </c>
      <c r="T2259" s="71" t="s">
        <v>390</v>
      </c>
      <c r="U2259" s="74">
        <v>1</v>
      </c>
      <c r="V2259" s="71" t="s">
        <v>391</v>
      </c>
      <c r="W2259" s="130">
        <v>46078.965277777781</v>
      </c>
      <c r="X2259" s="72">
        <v>46085.996527777781</v>
      </c>
      <c r="Y2259" s="72">
        <v>46093.118055555555</v>
      </c>
      <c r="Z2259" s="104" t="s">
        <v>382</v>
      </c>
      <c r="AA2259" s="104" t="s">
        <v>1117</v>
      </c>
      <c r="AB2259" s="105">
        <v>46087.102083333331</v>
      </c>
      <c r="AC2259" s="105"/>
    </row>
    <row r="2260" s="70" customFormat="1" ht="11.25" customHeight="1">
      <c r="A2260" s="87"/>
      <c r="C2260" s="43" t="s">
        <v>3954</v>
      </c>
      <c r="D2260" s="71" t="s">
        <v>382</v>
      </c>
      <c r="E2260" s="71" t="str">
        <f>MID(D2260,1,2)</f>
        <v>IL</v>
      </c>
      <c r="F2260" s="71" t="s">
        <v>774</v>
      </c>
      <c r="G2260" s="71" t="str">
        <f>MID(F2260,1,2)</f>
        <v>CN</v>
      </c>
      <c r="H2260" s="43" t="s">
        <v>3952</v>
      </c>
      <c r="I2260" s="71" t="s">
        <v>3955</v>
      </c>
      <c r="J2260" s="71" t="s">
        <v>755</v>
      </c>
      <c r="K2260" s="43"/>
      <c r="L2260" s="71" t="s">
        <v>105</v>
      </c>
      <c r="M2260" s="73">
        <v>33</v>
      </c>
      <c r="N2260" s="71" t="s">
        <v>388</v>
      </c>
      <c r="O2260" s="73">
        <v>0.574</v>
      </c>
      <c r="P2260" s="71" t="s">
        <v>389</v>
      </c>
      <c r="Q2260" s="73">
        <v>96</v>
      </c>
      <c r="R2260" s="71" t="s">
        <v>388</v>
      </c>
      <c r="S2260" s="73">
        <v>0</v>
      </c>
      <c r="T2260" s="71" t="s">
        <v>390</v>
      </c>
      <c r="U2260" s="74">
        <v>1</v>
      </c>
      <c r="V2260" s="71" t="s">
        <v>391</v>
      </c>
      <c r="W2260" s="130">
        <v>46078.965277777781</v>
      </c>
      <c r="X2260" s="72">
        <v>46085.996527777781</v>
      </c>
      <c r="Y2260" s="72">
        <v>46093.118055555555</v>
      </c>
      <c r="Z2260" s="104" t="s">
        <v>1117</v>
      </c>
      <c r="AA2260" s="104" t="s">
        <v>1538</v>
      </c>
      <c r="AB2260" s="105">
        <v>46090.825694444444</v>
      </c>
      <c r="AC2260" s="105"/>
    </row>
    <row r="2261" s="70" customFormat="1" ht="11.25" customHeight="1">
      <c r="A2261" s="87"/>
      <c r="C2261" s="43" t="s">
        <v>3954</v>
      </c>
      <c r="D2261" s="71" t="s">
        <v>382</v>
      </c>
      <c r="E2261" s="71" t="str">
        <f>MID(D2261,1,2)</f>
        <v>IL</v>
      </c>
      <c r="F2261" s="71" t="s">
        <v>774</v>
      </c>
      <c r="G2261" s="71" t="str">
        <f>MID(F2261,1,2)</f>
        <v>CN</v>
      </c>
      <c r="H2261" s="43" t="s">
        <v>3952</v>
      </c>
      <c r="I2261" s="71" t="s">
        <v>3955</v>
      </c>
      <c r="J2261" s="71" t="s">
        <v>755</v>
      </c>
      <c r="K2261" s="43"/>
      <c r="L2261" s="71" t="s">
        <v>105</v>
      </c>
      <c r="M2261" s="73">
        <v>33</v>
      </c>
      <c r="N2261" s="71" t="s">
        <v>388</v>
      </c>
      <c r="O2261" s="73">
        <v>0.574</v>
      </c>
      <c r="P2261" s="71" t="s">
        <v>389</v>
      </c>
      <c r="Q2261" s="73">
        <v>96</v>
      </c>
      <c r="R2261" s="71" t="s">
        <v>388</v>
      </c>
      <c r="S2261" s="73">
        <v>0</v>
      </c>
      <c r="T2261" s="71" t="s">
        <v>390</v>
      </c>
      <c r="U2261" s="74">
        <v>1</v>
      </c>
      <c r="V2261" s="71" t="s">
        <v>391</v>
      </c>
      <c r="W2261" s="130">
        <v>46078.965277777781</v>
      </c>
      <c r="X2261" s="72">
        <v>46085.996527777781</v>
      </c>
      <c r="Y2261" s="72">
        <v>46093.118055555555</v>
      </c>
      <c r="Z2261" s="104" t="s">
        <v>1538</v>
      </c>
      <c r="AA2261" s="104" t="s">
        <v>774</v>
      </c>
      <c r="AB2261" s="105">
        <v>46092.026388888888</v>
      </c>
      <c r="AC2261" s="105">
        <v>46092.143055555556</v>
      </c>
    </row>
    <row r="2262" s="70" customFormat="1" ht="11.25" customHeight="1">
      <c r="A2262" s="87"/>
      <c r="C2262" s="43" t="s">
        <v>3956</v>
      </c>
      <c r="D2262" s="71" t="s">
        <v>382</v>
      </c>
      <c r="E2262" s="71" t="str">
        <f>MID(D2262,1,2)</f>
        <v>IL</v>
      </c>
      <c r="F2262" s="71" t="s">
        <v>408</v>
      </c>
      <c r="G2262" s="71" t="str">
        <f>MID(F2262,1,2)</f>
        <v>GR</v>
      </c>
      <c r="H2262" s="43" t="s">
        <v>3907</v>
      </c>
      <c r="I2262" s="71" t="s">
        <v>3957</v>
      </c>
      <c r="J2262" s="71" t="s">
        <v>400</v>
      </c>
      <c r="K2262" s="43"/>
      <c r="L2262" s="71" t="s">
        <v>105</v>
      </c>
      <c r="M2262" s="73">
        <v>4</v>
      </c>
      <c r="N2262" s="71" t="s">
        <v>388</v>
      </c>
      <c r="O2262" s="73">
        <v>0.054</v>
      </c>
      <c r="P2262" s="71" t="s">
        <v>389</v>
      </c>
      <c r="Q2262" s="73">
        <v>9</v>
      </c>
      <c r="R2262" s="71" t="s">
        <v>388</v>
      </c>
      <c r="S2262" s="73">
        <v>0</v>
      </c>
      <c r="T2262" s="71" t="s">
        <v>390</v>
      </c>
      <c r="U2262" s="74">
        <v>1</v>
      </c>
      <c r="V2262" s="71" t="s">
        <v>391</v>
      </c>
      <c r="W2262" s="130">
        <v>46078.795578703706</v>
      </c>
      <c r="X2262" s="72">
        <v>46080.229166666664</v>
      </c>
      <c r="Y2262" s="72">
        <v>46081.521527777775</v>
      </c>
      <c r="Z2262" s="104" t="s">
        <v>382</v>
      </c>
      <c r="AA2262" s="104" t="s">
        <v>408</v>
      </c>
      <c r="AB2262" s="105">
        <v>46080.261111111111</v>
      </c>
      <c r="AC2262" s="105">
        <v>46080.344444444447</v>
      </c>
    </row>
    <row r="2263" s="70" customFormat="1" ht="11.25" customHeight="1">
      <c r="A2263" s="87"/>
      <c r="C2263" s="43" t="s">
        <v>3958</v>
      </c>
      <c r="D2263" s="71" t="s">
        <v>382</v>
      </c>
      <c r="E2263" s="71" t="str">
        <f>MID(D2263,1,2)</f>
        <v>IL</v>
      </c>
      <c r="F2263" s="71" t="s">
        <v>817</v>
      </c>
      <c r="G2263" s="71" t="str">
        <f>MID(F2263,1,2)</f>
        <v>IN</v>
      </c>
      <c r="H2263" s="43" t="s">
        <v>3959</v>
      </c>
      <c r="I2263" s="71" t="s">
        <v>3960</v>
      </c>
      <c r="J2263" s="71" t="s">
        <v>426</v>
      </c>
      <c r="K2263" s="43"/>
      <c r="L2263" s="71" t="s">
        <v>105</v>
      </c>
      <c r="M2263" s="73">
        <v>128</v>
      </c>
      <c r="N2263" s="71" t="s">
        <v>388</v>
      </c>
      <c r="O2263" s="73">
        <v>0.9</v>
      </c>
      <c r="P2263" s="71" t="s">
        <v>389</v>
      </c>
      <c r="Q2263" s="73">
        <v>150</v>
      </c>
      <c r="R2263" s="71" t="s">
        <v>388</v>
      </c>
      <c r="S2263" s="73">
        <v>0</v>
      </c>
      <c r="T2263" s="71" t="s">
        <v>390</v>
      </c>
      <c r="U2263" s="74">
        <v>1</v>
      </c>
      <c r="V2263" s="71" t="s">
        <v>391</v>
      </c>
      <c r="W2263" s="130"/>
      <c r="X2263" s="72">
        <v>46079.486111111109</v>
      </c>
      <c r="Y2263" s="72">
        <v>46079.868055555555</v>
      </c>
      <c r="Z2263" s="104" t="s">
        <v>382</v>
      </c>
      <c r="AA2263" s="104" t="s">
        <v>817</v>
      </c>
      <c r="AB2263" s="105">
        <v>46079.526388888888</v>
      </c>
      <c r="AC2263" s="105">
        <v>46079.89375</v>
      </c>
    </row>
    <row r="2264" s="70" customFormat="1" ht="11.25" customHeight="1">
      <c r="A2264" s="87"/>
      <c r="C2264" s="43" t="s">
        <v>3961</v>
      </c>
      <c r="D2264" s="71" t="s">
        <v>382</v>
      </c>
      <c r="E2264" s="71" t="str">
        <f>MID(D2264,1,2)</f>
        <v>IL</v>
      </c>
      <c r="F2264" s="71" t="s">
        <v>414</v>
      </c>
      <c r="G2264" s="71" t="str">
        <f>MID(F2264,1,2)</f>
        <v>US</v>
      </c>
      <c r="H2264" s="43" t="s">
        <v>3683</v>
      </c>
      <c r="I2264" s="71" t="s">
        <v>3962</v>
      </c>
      <c r="J2264" s="71" t="s">
        <v>400</v>
      </c>
      <c r="K2264" s="43"/>
      <c r="L2264" s="71" t="s">
        <v>105</v>
      </c>
      <c r="M2264" s="73">
        <v>1</v>
      </c>
      <c r="N2264" s="71" t="s">
        <v>388</v>
      </c>
      <c r="O2264" s="73">
        <v>0.014</v>
      </c>
      <c r="P2264" s="71" t="s">
        <v>389</v>
      </c>
      <c r="Q2264" s="73">
        <v>2.5</v>
      </c>
      <c r="R2264" s="71" t="s">
        <v>388</v>
      </c>
      <c r="S2264" s="73">
        <v>0</v>
      </c>
      <c r="T2264" s="71" t="s">
        <v>390</v>
      </c>
      <c r="U2264" s="74">
        <v>1</v>
      </c>
      <c r="V2264" s="71" t="s">
        <v>427</v>
      </c>
      <c r="W2264" s="130">
        <v>46077.688194444447</v>
      </c>
      <c r="X2264" s="72">
        <v>46080.03125</v>
      </c>
      <c r="Y2264" s="72">
        <v>46080.239583333336</v>
      </c>
      <c r="Z2264" s="104" t="s">
        <v>382</v>
      </c>
      <c r="AA2264" s="104" t="s">
        <v>414</v>
      </c>
      <c r="AB2264" s="105">
        <v>46080.027777777781</v>
      </c>
      <c r="AC2264" s="105">
        <v>46080.23125</v>
      </c>
    </row>
    <row r="2265" s="70" customFormat="1" ht="11.25" customHeight="1">
      <c r="A2265" s="87"/>
      <c r="C2265" s="43" t="s">
        <v>3963</v>
      </c>
      <c r="D2265" s="71" t="s">
        <v>382</v>
      </c>
      <c r="E2265" s="71" t="str">
        <f>MID(D2265,1,2)</f>
        <v>IL</v>
      </c>
      <c r="F2265" s="71" t="s">
        <v>597</v>
      </c>
      <c r="G2265" s="71" t="str">
        <f>MID(F2265,1,2)</f>
        <v>NL</v>
      </c>
      <c r="H2265" s="43" t="s">
        <v>3964</v>
      </c>
      <c r="I2265" s="71"/>
      <c r="J2265" s="71" t="s">
        <v>426</v>
      </c>
      <c r="K2265" s="43"/>
      <c r="L2265" s="71" t="s">
        <v>105</v>
      </c>
      <c r="M2265" s="73">
        <v>16</v>
      </c>
      <c r="N2265" s="71" t="s">
        <v>388</v>
      </c>
      <c r="O2265" s="73">
        <v>0.054</v>
      </c>
      <c r="P2265" s="71" t="s">
        <v>389</v>
      </c>
      <c r="Q2265" s="73">
        <v>16</v>
      </c>
      <c r="R2265" s="71" t="s">
        <v>388</v>
      </c>
      <c r="S2265" s="73">
        <v>0</v>
      </c>
      <c r="T2265" s="71" t="s">
        <v>390</v>
      </c>
      <c r="U2265" s="74">
        <v>1</v>
      </c>
      <c r="V2265" s="71" t="s">
        <v>391</v>
      </c>
      <c r="W2265" s="130">
        <v>46078.62777777778</v>
      </c>
      <c r="X2265" s="72">
        <v>46080.159722222219</v>
      </c>
      <c r="Y2265" s="72">
        <v>46110.444444444445</v>
      </c>
      <c r="Z2265" s="104" t="s">
        <v>382</v>
      </c>
      <c r="AA2265" s="104" t="s">
        <v>597</v>
      </c>
      <c r="AB2265" s="105"/>
      <c r="AC2265" s="105"/>
    </row>
    <row r="2266" s="70" customFormat="1" ht="11.25" customHeight="1">
      <c r="A2266" s="87"/>
      <c r="C2266" s="43" t="s">
        <v>3965</v>
      </c>
      <c r="D2266" s="71" t="s">
        <v>382</v>
      </c>
      <c r="E2266" s="71" t="str">
        <f>MID(D2266,1,2)</f>
        <v>IL</v>
      </c>
      <c r="F2266" s="71" t="s">
        <v>774</v>
      </c>
      <c r="G2266" s="71" t="str">
        <f>MID(F2266,1,2)</f>
        <v>CN</v>
      </c>
      <c r="H2266" s="43" t="s">
        <v>3952</v>
      </c>
      <c r="I2266" s="71" t="s">
        <v>3966</v>
      </c>
      <c r="J2266" s="71" t="s">
        <v>755</v>
      </c>
      <c r="K2266" s="43"/>
      <c r="L2266" s="71" t="s">
        <v>105</v>
      </c>
      <c r="M2266" s="73">
        <v>1</v>
      </c>
      <c r="N2266" s="71" t="s">
        <v>388</v>
      </c>
      <c r="O2266" s="73">
        <v>0.012</v>
      </c>
      <c r="P2266" s="71" t="s">
        <v>389</v>
      </c>
      <c r="Q2266" s="73">
        <v>2</v>
      </c>
      <c r="R2266" s="71" t="s">
        <v>388</v>
      </c>
      <c r="S2266" s="73">
        <v>0</v>
      </c>
      <c r="T2266" s="71" t="s">
        <v>390</v>
      </c>
      <c r="U2266" s="74">
        <v>1</v>
      </c>
      <c r="V2266" s="71" t="s">
        <v>391</v>
      </c>
      <c r="W2266" s="130">
        <v>46078.968692129631</v>
      </c>
      <c r="X2266" s="72">
        <v>46085.996527777781</v>
      </c>
      <c r="Y2266" s="72">
        <v>46093.118055555555</v>
      </c>
      <c r="Z2266" s="104" t="s">
        <v>382</v>
      </c>
      <c r="AA2266" s="104" t="s">
        <v>1117</v>
      </c>
      <c r="AB2266" s="105">
        <v>46087.102083333331</v>
      </c>
      <c r="AC2266" s="105"/>
    </row>
    <row r="2267" s="70" customFormat="1" ht="11.25" customHeight="1">
      <c r="A2267" s="87"/>
      <c r="C2267" s="43" t="s">
        <v>3965</v>
      </c>
      <c r="D2267" s="71" t="s">
        <v>382</v>
      </c>
      <c r="E2267" s="71" t="str">
        <f>MID(D2267,1,2)</f>
        <v>IL</v>
      </c>
      <c r="F2267" s="71" t="s">
        <v>774</v>
      </c>
      <c r="G2267" s="71" t="str">
        <f>MID(F2267,1,2)</f>
        <v>CN</v>
      </c>
      <c r="H2267" s="43" t="s">
        <v>3952</v>
      </c>
      <c r="I2267" s="71" t="s">
        <v>3966</v>
      </c>
      <c r="J2267" s="71" t="s">
        <v>755</v>
      </c>
      <c r="K2267" s="43"/>
      <c r="L2267" s="71" t="s">
        <v>105</v>
      </c>
      <c r="M2267" s="73">
        <v>1</v>
      </c>
      <c r="N2267" s="71" t="s">
        <v>388</v>
      </c>
      <c r="O2267" s="73">
        <v>0.012</v>
      </c>
      <c r="P2267" s="71" t="s">
        <v>389</v>
      </c>
      <c r="Q2267" s="73">
        <v>2</v>
      </c>
      <c r="R2267" s="71" t="s">
        <v>388</v>
      </c>
      <c r="S2267" s="73">
        <v>0</v>
      </c>
      <c r="T2267" s="71" t="s">
        <v>390</v>
      </c>
      <c r="U2267" s="74">
        <v>1</v>
      </c>
      <c r="V2267" s="71" t="s">
        <v>391</v>
      </c>
      <c r="W2267" s="130">
        <v>46078.968692129631</v>
      </c>
      <c r="X2267" s="72">
        <v>46085.996527777781</v>
      </c>
      <c r="Y2267" s="72">
        <v>46093.118055555555</v>
      </c>
      <c r="Z2267" s="104" t="s">
        <v>1117</v>
      </c>
      <c r="AA2267" s="104" t="s">
        <v>1538</v>
      </c>
      <c r="AB2267" s="105">
        <v>46090.825694444444</v>
      </c>
      <c r="AC2267" s="105"/>
    </row>
    <row r="2268" s="70" customFormat="1" ht="11.25" customHeight="1">
      <c r="A2268" s="87"/>
      <c r="C2268" s="43" t="s">
        <v>3965</v>
      </c>
      <c r="D2268" s="71" t="s">
        <v>382</v>
      </c>
      <c r="E2268" s="71" t="str">
        <f>MID(D2268,1,2)</f>
        <v>IL</v>
      </c>
      <c r="F2268" s="71" t="s">
        <v>774</v>
      </c>
      <c r="G2268" s="71" t="str">
        <f>MID(F2268,1,2)</f>
        <v>CN</v>
      </c>
      <c r="H2268" s="43" t="s">
        <v>3952</v>
      </c>
      <c r="I2268" s="71" t="s">
        <v>3966</v>
      </c>
      <c r="J2268" s="71" t="s">
        <v>755</v>
      </c>
      <c r="K2268" s="43"/>
      <c r="L2268" s="71" t="s">
        <v>105</v>
      </c>
      <c r="M2268" s="73">
        <v>1</v>
      </c>
      <c r="N2268" s="71" t="s">
        <v>388</v>
      </c>
      <c r="O2268" s="73">
        <v>0.012</v>
      </c>
      <c r="P2268" s="71" t="s">
        <v>389</v>
      </c>
      <c r="Q2268" s="73">
        <v>2</v>
      </c>
      <c r="R2268" s="71" t="s">
        <v>388</v>
      </c>
      <c r="S2268" s="73">
        <v>0</v>
      </c>
      <c r="T2268" s="71" t="s">
        <v>390</v>
      </c>
      <c r="U2268" s="74">
        <v>1</v>
      </c>
      <c r="V2268" s="71" t="s">
        <v>391</v>
      </c>
      <c r="W2268" s="130">
        <v>46078.968692129631</v>
      </c>
      <c r="X2268" s="72">
        <v>46085.996527777781</v>
      </c>
      <c r="Y2268" s="72">
        <v>46093.118055555555</v>
      </c>
      <c r="Z2268" s="104" t="s">
        <v>1538</v>
      </c>
      <c r="AA2268" s="104" t="s">
        <v>774</v>
      </c>
      <c r="AB2268" s="105">
        <v>46092.026388888888</v>
      </c>
      <c r="AC2268" s="105">
        <v>46092.143055555556</v>
      </c>
    </row>
    <row r="2269" s="70" customFormat="1" ht="11.25" customHeight="1">
      <c r="A2269" s="87"/>
      <c r="C2269" s="43" t="s">
        <v>3967</v>
      </c>
      <c r="D2269" s="71" t="s">
        <v>382</v>
      </c>
      <c r="E2269" s="71" t="str">
        <f>MID(D2269,1,2)</f>
        <v>IL</v>
      </c>
      <c r="F2269" s="71" t="s">
        <v>597</v>
      </c>
      <c r="G2269" s="71" t="str">
        <f>MID(F2269,1,2)</f>
        <v>NL</v>
      </c>
      <c r="H2269" s="43" t="s">
        <v>3968</v>
      </c>
      <c r="I2269" s="71"/>
      <c r="J2269" s="71" t="s">
        <v>426</v>
      </c>
      <c r="K2269" s="43"/>
      <c r="L2269" s="71" t="s">
        <v>105</v>
      </c>
      <c r="M2269" s="73">
        <v>11</v>
      </c>
      <c r="N2269" s="71" t="s">
        <v>388</v>
      </c>
      <c r="O2269" s="73">
        <v>0.054</v>
      </c>
      <c r="P2269" s="71" t="s">
        <v>389</v>
      </c>
      <c r="Q2269" s="73">
        <v>11</v>
      </c>
      <c r="R2269" s="71" t="s">
        <v>388</v>
      </c>
      <c r="S2269" s="73">
        <v>0</v>
      </c>
      <c r="T2269" s="71" t="s">
        <v>390</v>
      </c>
      <c r="U2269" s="74">
        <v>1</v>
      </c>
      <c r="V2269" s="71" t="s">
        <v>391</v>
      </c>
      <c r="W2269" s="130">
        <v>46077.722916666666</v>
      </c>
      <c r="X2269" s="72">
        <v>46080.159722222219</v>
      </c>
      <c r="Y2269" s="72">
        <v>46080.338194444441</v>
      </c>
      <c r="Z2269" s="104" t="s">
        <v>382</v>
      </c>
      <c r="AA2269" s="104" t="s">
        <v>597</v>
      </c>
      <c r="AB2269" s="105">
        <v>46080.164583333331</v>
      </c>
      <c r="AC2269" s="105">
        <v>46080.326388888891</v>
      </c>
    </row>
    <row r="2270" s="70" customFormat="1" ht="11.25" customHeight="1">
      <c r="A2270" s="87"/>
      <c r="C2270" s="43" t="s">
        <v>3969</v>
      </c>
      <c r="D2270" s="71" t="s">
        <v>382</v>
      </c>
      <c r="E2270" s="71" t="str">
        <f>MID(D2270,1,2)</f>
        <v>IL</v>
      </c>
      <c r="F2270" s="71" t="s">
        <v>2453</v>
      </c>
      <c r="G2270" s="71" t="str">
        <f>MID(F2270,1,2)</f>
        <v>GE</v>
      </c>
      <c r="H2270" s="43" t="s">
        <v>3970</v>
      </c>
      <c r="I2270" s="71" t="s">
        <v>3971</v>
      </c>
      <c r="J2270" s="71" t="s">
        <v>400</v>
      </c>
      <c r="K2270" s="43"/>
      <c r="L2270" s="71" t="s">
        <v>105</v>
      </c>
      <c r="M2270" s="73">
        <v>7</v>
      </c>
      <c r="N2270" s="71" t="s">
        <v>388</v>
      </c>
      <c r="O2270" s="73">
        <v>0.106</v>
      </c>
      <c r="P2270" s="71" t="s">
        <v>389</v>
      </c>
      <c r="Q2270" s="73">
        <v>18</v>
      </c>
      <c r="R2270" s="71" t="s">
        <v>388</v>
      </c>
      <c r="S2270" s="73">
        <v>0</v>
      </c>
      <c r="T2270" s="71" t="s">
        <v>390</v>
      </c>
      <c r="U2270" s="74">
        <v>1</v>
      </c>
      <c r="V2270" s="71" t="s">
        <v>391</v>
      </c>
      <c r="W2270" s="130">
        <v>46078.420625</v>
      </c>
      <c r="X2270" s="72">
        <v>46078.760416666664</v>
      </c>
      <c r="Y2270" s="72">
        <v>46079.951388888891</v>
      </c>
      <c r="Z2270" s="104" t="s">
        <v>382</v>
      </c>
      <c r="AA2270" s="104" t="s">
        <v>2453</v>
      </c>
      <c r="AB2270" s="105">
        <v>46078.759027777778</v>
      </c>
      <c r="AC2270" s="105">
        <v>46078.945833333331</v>
      </c>
    </row>
    <row r="2271" s="70" customFormat="1" ht="11.25" customHeight="1">
      <c r="A2271" s="87"/>
      <c r="C2271" s="43" t="s">
        <v>3972</v>
      </c>
      <c r="D2271" s="71" t="s">
        <v>382</v>
      </c>
      <c r="E2271" s="71" t="str">
        <f>MID(D2271,1,2)</f>
        <v>IL</v>
      </c>
      <c r="F2271" s="71" t="s">
        <v>546</v>
      </c>
      <c r="G2271" s="71" t="str">
        <f>MID(F2271,1,2)</f>
        <v>GB</v>
      </c>
      <c r="H2271" s="43" t="s">
        <v>3973</v>
      </c>
      <c r="I2271" s="71"/>
      <c r="J2271" s="71" t="s">
        <v>426</v>
      </c>
      <c r="K2271" s="43"/>
      <c r="L2271" s="71" t="s">
        <v>105</v>
      </c>
      <c r="M2271" s="73">
        <v>180</v>
      </c>
      <c r="N2271" s="71" t="s">
        <v>388</v>
      </c>
      <c r="O2271" s="73">
        <v>1.357</v>
      </c>
      <c r="P2271" s="71" t="s">
        <v>389</v>
      </c>
      <c r="Q2271" s="73">
        <v>226.5</v>
      </c>
      <c r="R2271" s="71" t="s">
        <v>388</v>
      </c>
      <c r="S2271" s="73">
        <v>0</v>
      </c>
      <c r="T2271" s="71" t="s">
        <v>390</v>
      </c>
      <c r="U2271" s="74">
        <v>1</v>
      </c>
      <c r="V2271" s="71" t="s">
        <v>391</v>
      </c>
      <c r="W2271" s="130"/>
      <c r="X2271" s="72">
        <v>46079.652777777781</v>
      </c>
      <c r="Y2271" s="72">
        <v>46100.902777777781</v>
      </c>
      <c r="Z2271" s="104" t="s">
        <v>382</v>
      </c>
      <c r="AA2271" s="104" t="s">
        <v>595</v>
      </c>
      <c r="AB2271" s="105"/>
      <c r="AC2271" s="105"/>
    </row>
    <row r="2272" s="70" customFormat="1" ht="11.25" customHeight="1">
      <c r="A2272" s="87"/>
      <c r="C2272" s="43" t="s">
        <v>3972</v>
      </c>
      <c r="D2272" s="71" t="s">
        <v>382</v>
      </c>
      <c r="E2272" s="71" t="str">
        <f>MID(D2272,1,2)</f>
        <v>IL</v>
      </c>
      <c r="F2272" s="71" t="s">
        <v>546</v>
      </c>
      <c r="G2272" s="71" t="str">
        <f>MID(F2272,1,2)</f>
        <v>GB</v>
      </c>
      <c r="H2272" s="43" t="s">
        <v>3973</v>
      </c>
      <c r="I2272" s="71"/>
      <c r="J2272" s="71" t="s">
        <v>426</v>
      </c>
      <c r="K2272" s="43"/>
      <c r="L2272" s="71" t="s">
        <v>105</v>
      </c>
      <c r="M2272" s="73">
        <v>180</v>
      </c>
      <c r="N2272" s="71" t="s">
        <v>388</v>
      </c>
      <c r="O2272" s="73">
        <v>1.357</v>
      </c>
      <c r="P2272" s="71" t="s">
        <v>389</v>
      </c>
      <c r="Q2272" s="73">
        <v>226.5</v>
      </c>
      <c r="R2272" s="71" t="s">
        <v>388</v>
      </c>
      <c r="S2272" s="73">
        <v>0</v>
      </c>
      <c r="T2272" s="71" t="s">
        <v>390</v>
      </c>
      <c r="U2272" s="74">
        <v>1</v>
      </c>
      <c r="V2272" s="71" t="s">
        <v>391</v>
      </c>
      <c r="W2272" s="130"/>
      <c r="X2272" s="72">
        <v>46079.652777777781</v>
      </c>
      <c r="Y2272" s="72">
        <v>46100.902777777781</v>
      </c>
      <c r="Z2272" s="104" t="s">
        <v>595</v>
      </c>
      <c r="AA2272" s="104" t="s">
        <v>546</v>
      </c>
      <c r="AB2272" s="105"/>
      <c r="AC2272" s="105"/>
    </row>
    <row r="2273" s="70" customFormat="1" ht="11.25" customHeight="1">
      <c r="A2273" s="87"/>
      <c r="C2273" s="43" t="s">
        <v>3974</v>
      </c>
      <c r="D2273" s="71" t="s">
        <v>382</v>
      </c>
      <c r="E2273" s="71" t="str">
        <f>MID(D2273,1,2)</f>
        <v>IL</v>
      </c>
      <c r="F2273" s="71" t="s">
        <v>468</v>
      </c>
      <c r="G2273" s="71" t="str">
        <f>MID(F2273,1,2)</f>
        <v>US</v>
      </c>
      <c r="H2273" s="43" t="s">
        <v>3620</v>
      </c>
      <c r="I2273" s="71" t="s">
        <v>3975</v>
      </c>
      <c r="J2273" s="71" t="s">
        <v>386</v>
      </c>
      <c r="K2273" s="43"/>
      <c r="L2273" s="71" t="s">
        <v>107</v>
      </c>
      <c r="M2273" s="73">
        <v>17</v>
      </c>
      <c r="N2273" s="71" t="s">
        <v>388</v>
      </c>
      <c r="O2273" s="73">
        <v>0.098</v>
      </c>
      <c r="P2273" s="71" t="s">
        <v>389</v>
      </c>
      <c r="Q2273" s="73">
        <v>17</v>
      </c>
      <c r="R2273" s="71" t="s">
        <v>388</v>
      </c>
      <c r="S2273" s="73">
        <v>0</v>
      </c>
      <c r="T2273" s="71" t="s">
        <v>390</v>
      </c>
      <c r="U2273" s="74">
        <v>1</v>
      </c>
      <c r="V2273" s="71" t="s">
        <v>446</v>
      </c>
      <c r="W2273" s="130">
        <v>46079.611747685187</v>
      </c>
      <c r="X2273" s="72">
        <v>46081.979166666664</v>
      </c>
      <c r="Y2273" s="72">
        <v>46090.416666666664</v>
      </c>
      <c r="Z2273" s="104" t="s">
        <v>382</v>
      </c>
      <c r="AA2273" s="104" t="s">
        <v>408</v>
      </c>
      <c r="AB2273" s="105">
        <v>46084.73125</v>
      </c>
      <c r="AC2273" s="105">
        <v>46084.975694444445</v>
      </c>
    </row>
    <row r="2274" s="70" customFormat="1" ht="11.25" customHeight="1">
      <c r="A2274" s="87"/>
      <c r="C2274" s="43" t="s">
        <v>3974</v>
      </c>
      <c r="D2274" s="71" t="s">
        <v>382</v>
      </c>
      <c r="E2274" s="71" t="str">
        <f>MID(D2274,1,2)</f>
        <v>IL</v>
      </c>
      <c r="F2274" s="71" t="s">
        <v>468</v>
      </c>
      <c r="G2274" s="71" t="str">
        <f>MID(F2274,1,2)</f>
        <v>US</v>
      </c>
      <c r="H2274" s="43" t="s">
        <v>3620</v>
      </c>
      <c r="I2274" s="71" t="s">
        <v>3975</v>
      </c>
      <c r="J2274" s="71" t="s">
        <v>386</v>
      </c>
      <c r="K2274" s="43"/>
      <c r="L2274" s="71" t="s">
        <v>107</v>
      </c>
      <c r="M2274" s="73">
        <v>17</v>
      </c>
      <c r="N2274" s="71" t="s">
        <v>388</v>
      </c>
      <c r="O2274" s="73">
        <v>0.098</v>
      </c>
      <c r="P2274" s="71" t="s">
        <v>389</v>
      </c>
      <c r="Q2274" s="73">
        <v>17</v>
      </c>
      <c r="R2274" s="71" t="s">
        <v>388</v>
      </c>
      <c r="S2274" s="73">
        <v>0</v>
      </c>
      <c r="T2274" s="71" t="s">
        <v>390</v>
      </c>
      <c r="U2274" s="74">
        <v>1</v>
      </c>
      <c r="V2274" s="71" t="s">
        <v>446</v>
      </c>
      <c r="W2274" s="130">
        <v>46079.611747685187</v>
      </c>
      <c r="X2274" s="72">
        <v>46081.979166666664</v>
      </c>
      <c r="Y2274" s="72">
        <v>46090.416666666664</v>
      </c>
      <c r="Z2274" s="104" t="s">
        <v>408</v>
      </c>
      <c r="AA2274" s="104" t="s">
        <v>422</v>
      </c>
      <c r="AB2274" s="105">
        <v>46087.51666666667</v>
      </c>
      <c r="AC2274" s="105">
        <v>46087.672222222223</v>
      </c>
    </row>
    <row r="2275" s="70" customFormat="1" ht="11.25" customHeight="1">
      <c r="A2275" s="87"/>
      <c r="C2275" s="43" t="s">
        <v>3974</v>
      </c>
      <c r="D2275" s="71" t="s">
        <v>382</v>
      </c>
      <c r="E2275" s="71" t="str">
        <f>MID(D2275,1,2)</f>
        <v>IL</v>
      </c>
      <c r="F2275" s="71" t="s">
        <v>468</v>
      </c>
      <c r="G2275" s="71" t="str">
        <f>MID(F2275,1,2)</f>
        <v>US</v>
      </c>
      <c r="H2275" s="43" t="s">
        <v>3620</v>
      </c>
      <c r="I2275" s="71" t="s">
        <v>3975</v>
      </c>
      <c r="J2275" s="71" t="s">
        <v>386</v>
      </c>
      <c r="K2275" s="43"/>
      <c r="L2275" s="71" t="s">
        <v>107</v>
      </c>
      <c r="M2275" s="73">
        <v>17</v>
      </c>
      <c r="N2275" s="71" t="s">
        <v>388</v>
      </c>
      <c r="O2275" s="73">
        <v>0.098</v>
      </c>
      <c r="P2275" s="71" t="s">
        <v>389</v>
      </c>
      <c r="Q2275" s="73">
        <v>17</v>
      </c>
      <c r="R2275" s="71" t="s">
        <v>388</v>
      </c>
      <c r="S2275" s="73">
        <v>0</v>
      </c>
      <c r="T2275" s="71" t="s">
        <v>390</v>
      </c>
      <c r="U2275" s="74">
        <v>1</v>
      </c>
      <c r="V2275" s="71" t="s">
        <v>446</v>
      </c>
      <c r="W2275" s="130">
        <v>46079.611747685187</v>
      </c>
      <c r="X2275" s="72">
        <v>46081.979166666664</v>
      </c>
      <c r="Y2275" s="72">
        <v>46090.416666666664</v>
      </c>
      <c r="Z2275" s="104" t="s">
        <v>422</v>
      </c>
      <c r="AA2275" s="104" t="s">
        <v>468</v>
      </c>
      <c r="AB2275" s="105">
        <v>46090.263888888891</v>
      </c>
      <c r="AC2275" s="105">
        <v>46090.386111111111</v>
      </c>
    </row>
    <row r="2276" s="70" customFormat="1" ht="11.25" customHeight="1">
      <c r="A2276" s="87"/>
      <c r="C2276" s="43" t="s">
        <v>3976</v>
      </c>
      <c r="D2276" s="71" t="s">
        <v>382</v>
      </c>
      <c r="E2276" s="71" t="str">
        <f>MID(D2276,1,2)</f>
        <v>IL</v>
      </c>
      <c r="F2276" s="71" t="s">
        <v>3977</v>
      </c>
      <c r="G2276" s="71" t="str">
        <f>MID(F2276,1,2)</f>
        <v>BO</v>
      </c>
      <c r="H2276" s="43" t="s">
        <v>3978</v>
      </c>
      <c r="I2276" s="71" t="s">
        <v>3979</v>
      </c>
      <c r="J2276" s="71" t="s">
        <v>386</v>
      </c>
      <c r="K2276" s="43"/>
      <c r="L2276" s="71" t="s">
        <v>107</v>
      </c>
      <c r="M2276" s="73">
        <v>318</v>
      </c>
      <c r="N2276" s="71" t="s">
        <v>388</v>
      </c>
      <c r="O2276" s="73">
        <v>1.104</v>
      </c>
      <c r="P2276" s="71" t="s">
        <v>389</v>
      </c>
      <c r="Q2276" s="73">
        <v>318</v>
      </c>
      <c r="R2276" s="71" t="s">
        <v>388</v>
      </c>
      <c r="S2276" s="73">
        <v>0</v>
      </c>
      <c r="T2276" s="71" t="s">
        <v>390</v>
      </c>
      <c r="U2276" s="74">
        <v>1</v>
      </c>
      <c r="V2276" s="71" t="s">
        <v>391</v>
      </c>
      <c r="W2276" s="130">
        <v>46078.381944444445</v>
      </c>
      <c r="X2276" s="72">
        <v>46080.048611111109</v>
      </c>
      <c r="Y2276" s="72">
        <v>46084.75</v>
      </c>
      <c r="Z2276" s="104" t="s">
        <v>382</v>
      </c>
      <c r="AA2276" s="104" t="s">
        <v>433</v>
      </c>
      <c r="AB2276" s="105">
        <v>46080.267361111109</v>
      </c>
      <c r="AC2276" s="105"/>
    </row>
    <row r="2277" s="70" customFormat="1" ht="11.25" customHeight="1">
      <c r="A2277" s="87"/>
      <c r="C2277" s="43" t="s">
        <v>3976</v>
      </c>
      <c r="D2277" s="71" t="s">
        <v>382</v>
      </c>
      <c r="E2277" s="71" t="str">
        <f>MID(D2277,1,2)</f>
        <v>IL</v>
      </c>
      <c r="F2277" s="71" t="s">
        <v>3977</v>
      </c>
      <c r="G2277" s="71" t="str">
        <f>MID(F2277,1,2)</f>
        <v>BO</v>
      </c>
      <c r="H2277" s="43" t="s">
        <v>3978</v>
      </c>
      <c r="I2277" s="71" t="s">
        <v>3979</v>
      </c>
      <c r="J2277" s="71" t="s">
        <v>386</v>
      </c>
      <c r="K2277" s="43"/>
      <c r="L2277" s="71" t="s">
        <v>107</v>
      </c>
      <c r="M2277" s="73">
        <v>318</v>
      </c>
      <c r="N2277" s="71" t="s">
        <v>388</v>
      </c>
      <c r="O2277" s="73">
        <v>1.104</v>
      </c>
      <c r="P2277" s="71" t="s">
        <v>389</v>
      </c>
      <c r="Q2277" s="73">
        <v>318</v>
      </c>
      <c r="R2277" s="71" t="s">
        <v>388</v>
      </c>
      <c r="S2277" s="73">
        <v>0</v>
      </c>
      <c r="T2277" s="71" t="s">
        <v>390</v>
      </c>
      <c r="U2277" s="74">
        <v>1</v>
      </c>
      <c r="V2277" s="71" t="s">
        <v>391</v>
      </c>
      <c r="W2277" s="130">
        <v>46078.381944444445</v>
      </c>
      <c r="X2277" s="72">
        <v>46080.048611111109</v>
      </c>
      <c r="Y2277" s="72">
        <v>46084.75</v>
      </c>
      <c r="Z2277" s="104" t="s">
        <v>433</v>
      </c>
      <c r="AA2277" s="104" t="s">
        <v>3977</v>
      </c>
      <c r="AB2277" s="105">
        <v>46082.625</v>
      </c>
      <c r="AC2277" s="105">
        <v>46082.894444444442</v>
      </c>
    </row>
    <row r="2278" s="70" customFormat="1" ht="11.25" customHeight="1">
      <c r="A2278" s="87"/>
      <c r="C2278" s="43" t="s">
        <v>3980</v>
      </c>
      <c r="D2278" s="71" t="s">
        <v>382</v>
      </c>
      <c r="E2278" s="71" t="str">
        <f>MID(D2278,1,2)</f>
        <v>IL</v>
      </c>
      <c r="F2278" s="71" t="s">
        <v>414</v>
      </c>
      <c r="G2278" s="71" t="str">
        <f>MID(F2278,1,2)</f>
        <v>US</v>
      </c>
      <c r="H2278" s="43" t="s">
        <v>3683</v>
      </c>
      <c r="I2278" s="71" t="s">
        <v>3981</v>
      </c>
      <c r="J2278" s="71" t="s">
        <v>386</v>
      </c>
      <c r="K2278" s="43" t="s">
        <v>759</v>
      </c>
      <c r="L2278" s="71" t="s">
        <v>107</v>
      </c>
      <c r="M2278" s="73">
        <v>5</v>
      </c>
      <c r="N2278" s="71" t="s">
        <v>388</v>
      </c>
      <c r="O2278" s="73">
        <v>0.096</v>
      </c>
      <c r="P2278" s="71" t="s">
        <v>389</v>
      </c>
      <c r="Q2278" s="73">
        <v>16</v>
      </c>
      <c r="R2278" s="71" t="s">
        <v>388</v>
      </c>
      <c r="S2278" s="73">
        <v>0</v>
      </c>
      <c r="T2278" s="71" t="s">
        <v>390</v>
      </c>
      <c r="U2278" s="74">
        <v>2</v>
      </c>
      <c r="V2278" s="71" t="s">
        <v>427</v>
      </c>
      <c r="W2278" s="130">
        <v>46077.722916666666</v>
      </c>
      <c r="X2278" s="72">
        <v>46080.03125</v>
      </c>
      <c r="Y2278" s="72">
        <v>46080.239583333336</v>
      </c>
      <c r="Z2278" s="104" t="s">
        <v>382</v>
      </c>
      <c r="AA2278" s="104" t="s">
        <v>414</v>
      </c>
      <c r="AB2278" s="105">
        <v>46080.027777777781</v>
      </c>
      <c r="AC2278" s="105">
        <v>46080.23125</v>
      </c>
    </row>
    <row r="2279" s="70" customFormat="1" ht="11.25" customHeight="1">
      <c r="A2279" s="87"/>
      <c r="C2279" s="43" t="s">
        <v>3982</v>
      </c>
      <c r="D2279" s="71" t="s">
        <v>382</v>
      </c>
      <c r="E2279" s="71" t="str">
        <f>MID(D2279,1,2)</f>
        <v>IL</v>
      </c>
      <c r="F2279" s="71" t="s">
        <v>414</v>
      </c>
      <c r="G2279" s="71" t="str">
        <f>MID(F2279,1,2)</f>
        <v>US</v>
      </c>
      <c r="H2279" s="43" t="s">
        <v>3683</v>
      </c>
      <c r="I2279" s="71" t="s">
        <v>3983</v>
      </c>
      <c r="J2279" s="71" t="s">
        <v>386</v>
      </c>
      <c r="K2279" s="43" t="s">
        <v>759</v>
      </c>
      <c r="L2279" s="71" t="s">
        <v>107</v>
      </c>
      <c r="M2279" s="73">
        <v>8</v>
      </c>
      <c r="N2279" s="71" t="s">
        <v>388</v>
      </c>
      <c r="O2279" s="73">
        <v>0.148</v>
      </c>
      <c r="P2279" s="71" t="s">
        <v>389</v>
      </c>
      <c r="Q2279" s="73">
        <v>25</v>
      </c>
      <c r="R2279" s="71" t="s">
        <v>388</v>
      </c>
      <c r="S2279" s="73">
        <v>0</v>
      </c>
      <c r="T2279" s="71" t="s">
        <v>390</v>
      </c>
      <c r="U2279" s="74">
        <v>1</v>
      </c>
      <c r="V2279" s="71" t="s">
        <v>427</v>
      </c>
      <c r="W2279" s="130">
        <v>46077.729861111111</v>
      </c>
      <c r="X2279" s="72">
        <v>46080.03125</v>
      </c>
      <c r="Y2279" s="72">
        <v>46080.239583333336</v>
      </c>
      <c r="Z2279" s="104" t="s">
        <v>382</v>
      </c>
      <c r="AA2279" s="104" t="s">
        <v>414</v>
      </c>
      <c r="AB2279" s="105">
        <v>46080.027777777781</v>
      </c>
      <c r="AC2279" s="105">
        <v>46080.23125</v>
      </c>
    </row>
    <row r="2280" s="70" customFormat="1" ht="11.25" customHeight="1">
      <c r="A2280" s="87"/>
      <c r="C2280" s="43" t="s">
        <v>3984</v>
      </c>
      <c r="D2280" s="71" t="s">
        <v>382</v>
      </c>
      <c r="E2280" s="71" t="str">
        <f>MID(D2280,1,2)</f>
        <v>IL</v>
      </c>
      <c r="F2280" s="71" t="s">
        <v>1108</v>
      </c>
      <c r="G2280" s="71" t="str">
        <f>MID(F2280,1,2)</f>
        <v>TW</v>
      </c>
      <c r="H2280" s="43" t="s">
        <v>3904</v>
      </c>
      <c r="I2280" s="71" t="s">
        <v>3985</v>
      </c>
      <c r="J2280" s="71" t="s">
        <v>755</v>
      </c>
      <c r="K2280" s="43"/>
      <c r="L2280" s="71" t="s">
        <v>105</v>
      </c>
      <c r="M2280" s="73">
        <v>186</v>
      </c>
      <c r="N2280" s="71" t="s">
        <v>388</v>
      </c>
      <c r="O2280" s="73">
        <v>1.476</v>
      </c>
      <c r="P2280" s="71" t="s">
        <v>389</v>
      </c>
      <c r="Q2280" s="73">
        <v>246</v>
      </c>
      <c r="R2280" s="71" t="s">
        <v>388</v>
      </c>
      <c r="S2280" s="73">
        <v>0</v>
      </c>
      <c r="T2280" s="71" t="s">
        <v>390</v>
      </c>
      <c r="U2280" s="74">
        <v>1</v>
      </c>
      <c r="V2280" s="71" t="s">
        <v>391</v>
      </c>
      <c r="W2280" s="130">
        <v>46078.36875</v>
      </c>
      <c r="X2280" s="72">
        <v>46079.9375</v>
      </c>
      <c r="Y2280" s="72">
        <v>46082.895833333336</v>
      </c>
      <c r="Z2280" s="104" t="s">
        <v>382</v>
      </c>
      <c r="AA2280" s="104" t="s">
        <v>833</v>
      </c>
      <c r="AB2280" s="105">
        <v>46079.97152777778</v>
      </c>
      <c r="AC2280" s="105"/>
    </row>
    <row r="2281" s="70" customFormat="1" ht="11.25" customHeight="1">
      <c r="A2281" s="87"/>
      <c r="C2281" s="43" t="s">
        <v>3984</v>
      </c>
      <c r="D2281" s="71" t="s">
        <v>382</v>
      </c>
      <c r="E2281" s="71" t="str">
        <f>MID(D2281,1,2)</f>
        <v>IL</v>
      </c>
      <c r="F2281" s="71" t="s">
        <v>1108</v>
      </c>
      <c r="G2281" s="71" t="str">
        <f>MID(F2281,1,2)</f>
        <v>TW</v>
      </c>
      <c r="H2281" s="43" t="s">
        <v>3904</v>
      </c>
      <c r="I2281" s="71" t="s">
        <v>3985</v>
      </c>
      <c r="J2281" s="71" t="s">
        <v>755</v>
      </c>
      <c r="K2281" s="43"/>
      <c r="L2281" s="71" t="s">
        <v>105</v>
      </c>
      <c r="M2281" s="73">
        <v>186</v>
      </c>
      <c r="N2281" s="71" t="s">
        <v>388</v>
      </c>
      <c r="O2281" s="73">
        <v>1.476</v>
      </c>
      <c r="P2281" s="71" t="s">
        <v>389</v>
      </c>
      <c r="Q2281" s="73">
        <v>246</v>
      </c>
      <c r="R2281" s="71" t="s">
        <v>388</v>
      </c>
      <c r="S2281" s="73">
        <v>0</v>
      </c>
      <c r="T2281" s="71" t="s">
        <v>390</v>
      </c>
      <c r="U2281" s="74">
        <v>1</v>
      </c>
      <c r="V2281" s="71" t="s">
        <v>391</v>
      </c>
      <c r="W2281" s="130">
        <v>46078.36875</v>
      </c>
      <c r="X2281" s="72">
        <v>46079.9375</v>
      </c>
      <c r="Y2281" s="72">
        <v>46082.895833333336</v>
      </c>
      <c r="Z2281" s="104" t="s">
        <v>833</v>
      </c>
      <c r="AA2281" s="104" t="s">
        <v>1108</v>
      </c>
      <c r="AB2281" s="105">
        <v>46082.700694444444</v>
      </c>
      <c r="AC2281" s="105">
        <v>46082.877083333333</v>
      </c>
    </row>
    <row r="2282" s="70" customFormat="1" ht="11.25" customHeight="1">
      <c r="A2282" s="87"/>
      <c r="C2282" s="43" t="s">
        <v>3986</v>
      </c>
      <c r="D2282" s="71" t="s">
        <v>382</v>
      </c>
      <c r="E2282" s="71" t="str">
        <f>MID(D2282,1,2)</f>
        <v>IL</v>
      </c>
      <c r="F2282" s="71" t="s">
        <v>526</v>
      </c>
      <c r="G2282" s="71" t="str">
        <f>MID(F2282,1,2)</f>
        <v>US</v>
      </c>
      <c r="H2282" s="43" t="s">
        <v>3987</v>
      </c>
      <c r="I2282" s="71" t="s">
        <v>3988</v>
      </c>
      <c r="J2282" s="71" t="s">
        <v>386</v>
      </c>
      <c r="K2282" s="43"/>
      <c r="L2282" s="71" t="s">
        <v>107</v>
      </c>
      <c r="M2282" s="73">
        <v>89</v>
      </c>
      <c r="N2282" s="71" t="s">
        <v>388</v>
      </c>
      <c r="O2282" s="73">
        <v>0.312</v>
      </c>
      <c r="P2282" s="71" t="s">
        <v>389</v>
      </c>
      <c r="Q2282" s="73">
        <v>89</v>
      </c>
      <c r="R2282" s="71" t="s">
        <v>388</v>
      </c>
      <c r="S2282" s="73">
        <v>0</v>
      </c>
      <c r="T2282" s="71" t="s">
        <v>390</v>
      </c>
      <c r="U2282" s="74">
        <v>1</v>
      </c>
      <c r="V2282" s="71" t="s">
        <v>391</v>
      </c>
      <c r="W2282" s="130">
        <v>46078.396527777775</v>
      </c>
      <c r="X2282" s="72">
        <v>46080.458333333336</v>
      </c>
      <c r="Y2282" s="72">
        <v>46103.666666666664</v>
      </c>
      <c r="Z2282" s="104" t="s">
        <v>382</v>
      </c>
      <c r="AA2282" s="104" t="s">
        <v>408</v>
      </c>
      <c r="AB2282" s="105">
        <v>46096.900694444441</v>
      </c>
      <c r="AC2282" s="105">
        <v>46098</v>
      </c>
    </row>
    <row r="2283" s="70" customFormat="1" ht="11.25" customHeight="1">
      <c r="A2283" s="87"/>
      <c r="C2283" s="43" t="s">
        <v>3986</v>
      </c>
      <c r="D2283" s="71" t="s">
        <v>382</v>
      </c>
      <c r="E2283" s="71" t="str">
        <f>MID(D2283,1,2)</f>
        <v>IL</v>
      </c>
      <c r="F2283" s="71" t="s">
        <v>526</v>
      </c>
      <c r="G2283" s="71" t="str">
        <f>MID(F2283,1,2)</f>
        <v>US</v>
      </c>
      <c r="H2283" s="43" t="s">
        <v>3987</v>
      </c>
      <c r="I2283" s="71" t="s">
        <v>3988</v>
      </c>
      <c r="J2283" s="71" t="s">
        <v>386</v>
      </c>
      <c r="K2283" s="43"/>
      <c r="L2283" s="71" t="s">
        <v>107</v>
      </c>
      <c r="M2283" s="73">
        <v>89</v>
      </c>
      <c r="N2283" s="71" t="s">
        <v>388</v>
      </c>
      <c r="O2283" s="73">
        <v>0.312</v>
      </c>
      <c r="P2283" s="71" t="s">
        <v>389</v>
      </c>
      <c r="Q2283" s="73">
        <v>89</v>
      </c>
      <c r="R2283" s="71" t="s">
        <v>388</v>
      </c>
      <c r="S2283" s="73">
        <v>0</v>
      </c>
      <c r="T2283" s="71" t="s">
        <v>390</v>
      </c>
      <c r="U2283" s="74">
        <v>1</v>
      </c>
      <c r="V2283" s="71" t="s">
        <v>391</v>
      </c>
      <c r="W2283" s="130">
        <v>46078.396527777775</v>
      </c>
      <c r="X2283" s="72">
        <v>46080.458333333336</v>
      </c>
      <c r="Y2283" s="72">
        <v>46103.666666666664</v>
      </c>
      <c r="Z2283" s="104" t="s">
        <v>408</v>
      </c>
      <c r="AA2283" s="104" t="s">
        <v>405</v>
      </c>
      <c r="AB2283" s="105">
        <v>46100.503472222219</v>
      </c>
      <c r="AC2283" s="105">
        <v>46100.6875</v>
      </c>
    </row>
    <row r="2284" s="70" customFormat="1" ht="11.25" customHeight="1">
      <c r="A2284" s="87"/>
      <c r="C2284" s="43" t="s">
        <v>3986</v>
      </c>
      <c r="D2284" s="71" t="s">
        <v>382</v>
      </c>
      <c r="E2284" s="71" t="str">
        <f>MID(D2284,1,2)</f>
        <v>IL</v>
      </c>
      <c r="F2284" s="71" t="s">
        <v>526</v>
      </c>
      <c r="G2284" s="71" t="str">
        <f>MID(F2284,1,2)</f>
        <v>US</v>
      </c>
      <c r="H2284" s="43" t="s">
        <v>3987</v>
      </c>
      <c r="I2284" s="71" t="s">
        <v>3988</v>
      </c>
      <c r="J2284" s="71" t="s">
        <v>386</v>
      </c>
      <c r="K2284" s="43"/>
      <c r="L2284" s="71" t="s">
        <v>107</v>
      </c>
      <c r="M2284" s="73">
        <v>89</v>
      </c>
      <c r="N2284" s="71" t="s">
        <v>388</v>
      </c>
      <c r="O2284" s="73">
        <v>0.312</v>
      </c>
      <c r="P2284" s="71" t="s">
        <v>389</v>
      </c>
      <c r="Q2284" s="73">
        <v>89</v>
      </c>
      <c r="R2284" s="71" t="s">
        <v>388</v>
      </c>
      <c r="S2284" s="73">
        <v>0</v>
      </c>
      <c r="T2284" s="71" t="s">
        <v>390</v>
      </c>
      <c r="U2284" s="74">
        <v>1</v>
      </c>
      <c r="V2284" s="71" t="s">
        <v>391</v>
      </c>
      <c r="W2284" s="130">
        <v>46078.396527777775</v>
      </c>
      <c r="X2284" s="72">
        <v>46080.458333333336</v>
      </c>
      <c r="Y2284" s="72">
        <v>46103.666666666664</v>
      </c>
      <c r="Z2284" s="104" t="s">
        <v>405</v>
      </c>
      <c r="AA2284" s="104" t="s">
        <v>526</v>
      </c>
      <c r="AB2284" s="105"/>
      <c r="AC2284" s="105"/>
    </row>
    <row r="2285" s="70" customFormat="1" ht="11.25" customHeight="1">
      <c r="A2285" s="87"/>
      <c r="C2285" s="43" t="s">
        <v>3989</v>
      </c>
      <c r="D2285" s="71" t="s">
        <v>382</v>
      </c>
      <c r="E2285" s="71" t="str">
        <f>MID(D2285,1,2)</f>
        <v>IL</v>
      </c>
      <c r="F2285" s="71" t="s">
        <v>496</v>
      </c>
      <c r="G2285" s="71" t="str">
        <f>MID(F2285,1,2)</f>
        <v>RO</v>
      </c>
      <c r="H2285" s="43" t="s">
        <v>3990</v>
      </c>
      <c r="I2285" s="71" t="s">
        <v>3991</v>
      </c>
      <c r="J2285" s="71" t="s">
        <v>400</v>
      </c>
      <c r="K2285" s="43"/>
      <c r="L2285" s="71" t="s">
        <v>105</v>
      </c>
      <c r="M2285" s="73">
        <v>50</v>
      </c>
      <c r="N2285" s="71" t="s">
        <v>388</v>
      </c>
      <c r="O2285" s="73">
        <v>0.701</v>
      </c>
      <c r="P2285" s="71" t="s">
        <v>389</v>
      </c>
      <c r="Q2285" s="73">
        <v>117</v>
      </c>
      <c r="R2285" s="71" t="s">
        <v>388</v>
      </c>
      <c r="S2285" s="73">
        <v>0</v>
      </c>
      <c r="T2285" s="71" t="s">
        <v>390</v>
      </c>
      <c r="U2285" s="74">
        <v>1</v>
      </c>
      <c r="V2285" s="71" t="s">
        <v>391</v>
      </c>
      <c r="W2285" s="130">
        <v>46078.768055555556</v>
      </c>
      <c r="X2285" s="72">
        <v>46082.25</v>
      </c>
      <c r="Y2285" s="72">
        <v>46085.416666666664</v>
      </c>
      <c r="Z2285" s="104" t="s">
        <v>408</v>
      </c>
      <c r="AA2285" s="104" t="s">
        <v>496</v>
      </c>
      <c r="AB2285" s="105"/>
      <c r="AC2285" s="105"/>
    </row>
    <row r="2286" s="70" customFormat="1" ht="11.25" customHeight="1">
      <c r="A2286" s="87"/>
      <c r="C2286" s="43" t="s">
        <v>3989</v>
      </c>
      <c r="D2286" s="71" t="s">
        <v>382</v>
      </c>
      <c r="E2286" s="71" t="str">
        <f>MID(D2286,1,2)</f>
        <v>IL</v>
      </c>
      <c r="F2286" s="71" t="s">
        <v>496</v>
      </c>
      <c r="G2286" s="71" t="str">
        <f>MID(F2286,1,2)</f>
        <v>RO</v>
      </c>
      <c r="H2286" s="43" t="s">
        <v>3990</v>
      </c>
      <c r="I2286" s="71" t="s">
        <v>3991</v>
      </c>
      <c r="J2286" s="71" t="s">
        <v>400</v>
      </c>
      <c r="K2286" s="43"/>
      <c r="L2286" s="71" t="s">
        <v>105</v>
      </c>
      <c r="M2286" s="73">
        <v>50</v>
      </c>
      <c r="N2286" s="71" t="s">
        <v>388</v>
      </c>
      <c r="O2286" s="73">
        <v>0.701</v>
      </c>
      <c r="P2286" s="71" t="s">
        <v>389</v>
      </c>
      <c r="Q2286" s="73">
        <v>117</v>
      </c>
      <c r="R2286" s="71" t="s">
        <v>388</v>
      </c>
      <c r="S2286" s="73">
        <v>0</v>
      </c>
      <c r="T2286" s="71" t="s">
        <v>390</v>
      </c>
      <c r="U2286" s="74">
        <v>1</v>
      </c>
      <c r="V2286" s="71" t="s">
        <v>391</v>
      </c>
      <c r="W2286" s="130">
        <v>46078.768055555556</v>
      </c>
      <c r="X2286" s="72">
        <v>46082.25</v>
      </c>
      <c r="Y2286" s="72">
        <v>46085.416666666664</v>
      </c>
      <c r="Z2286" s="104" t="s">
        <v>382</v>
      </c>
      <c r="AA2286" s="104" t="s">
        <v>408</v>
      </c>
      <c r="AB2286" s="105">
        <v>46082.999305555553</v>
      </c>
      <c r="AC2286" s="105">
        <v>46083.086805555555</v>
      </c>
    </row>
    <row r="2287" s="70" customFormat="1" ht="11.25" customHeight="1">
      <c r="A2287" s="87"/>
      <c r="C2287" s="43" t="s">
        <v>3992</v>
      </c>
      <c r="D2287" s="71" t="s">
        <v>382</v>
      </c>
      <c r="E2287" s="71" t="str">
        <f>MID(D2287,1,2)</f>
        <v>IL</v>
      </c>
      <c r="F2287" s="71" t="s">
        <v>1538</v>
      </c>
      <c r="G2287" s="71" t="str">
        <f>MID(F2287,1,2)</f>
        <v>KR</v>
      </c>
      <c r="H2287" s="43" t="s">
        <v>3993</v>
      </c>
      <c r="I2287" s="71" t="s">
        <v>3994</v>
      </c>
      <c r="J2287" s="71" t="s">
        <v>755</v>
      </c>
      <c r="K2287" s="43"/>
      <c r="L2287" s="71" t="s">
        <v>105</v>
      </c>
      <c r="M2287" s="73">
        <v>100</v>
      </c>
      <c r="N2287" s="71" t="s">
        <v>388</v>
      </c>
      <c r="O2287" s="73">
        <v>0.767</v>
      </c>
      <c r="P2287" s="71" t="s">
        <v>389</v>
      </c>
      <c r="Q2287" s="73">
        <v>128</v>
      </c>
      <c r="R2287" s="71" t="s">
        <v>388</v>
      </c>
      <c r="S2287" s="73">
        <v>0</v>
      </c>
      <c r="T2287" s="71" t="s">
        <v>390</v>
      </c>
      <c r="U2287" s="74">
        <v>1</v>
      </c>
      <c r="V2287" s="71" t="s">
        <v>391</v>
      </c>
      <c r="W2287" s="130">
        <v>46079.117581018516</v>
      </c>
      <c r="X2287" s="72">
        <v>46079.291666666664</v>
      </c>
      <c r="Y2287" s="72">
        <v>46105.625</v>
      </c>
      <c r="Z2287" s="104" t="s">
        <v>382</v>
      </c>
      <c r="AA2287" s="104" t="s">
        <v>466</v>
      </c>
      <c r="AB2287" s="105">
        <v>46087.102083333331</v>
      </c>
      <c r="AC2287" s="105">
        <v>46087.234722222223</v>
      </c>
    </row>
    <row r="2288" s="70" customFormat="1" ht="11.25" customHeight="1">
      <c r="A2288" s="87"/>
      <c r="C2288" s="43" t="s">
        <v>3992</v>
      </c>
      <c r="D2288" s="71" t="s">
        <v>382</v>
      </c>
      <c r="E2288" s="71" t="str">
        <f>MID(D2288,1,2)</f>
        <v>IL</v>
      </c>
      <c r="F2288" s="71" t="s">
        <v>1538</v>
      </c>
      <c r="G2288" s="71" t="str">
        <f>MID(F2288,1,2)</f>
        <v>KR</v>
      </c>
      <c r="H2288" s="43" t="s">
        <v>3993</v>
      </c>
      <c r="I2288" s="71" t="s">
        <v>3994</v>
      </c>
      <c r="J2288" s="71" t="s">
        <v>755</v>
      </c>
      <c r="K2288" s="43"/>
      <c r="L2288" s="71" t="s">
        <v>105</v>
      </c>
      <c r="M2288" s="73">
        <v>100</v>
      </c>
      <c r="N2288" s="71" t="s">
        <v>388</v>
      </c>
      <c r="O2288" s="73">
        <v>0.767</v>
      </c>
      <c r="P2288" s="71" t="s">
        <v>389</v>
      </c>
      <c r="Q2288" s="73">
        <v>128</v>
      </c>
      <c r="R2288" s="71" t="s">
        <v>388</v>
      </c>
      <c r="S2288" s="73">
        <v>0</v>
      </c>
      <c r="T2288" s="71" t="s">
        <v>390</v>
      </c>
      <c r="U2288" s="74">
        <v>1</v>
      </c>
      <c r="V2288" s="71" t="s">
        <v>391</v>
      </c>
      <c r="W2288" s="130">
        <v>46079.117581018516</v>
      </c>
      <c r="X2288" s="72">
        <v>46079.291666666664</v>
      </c>
      <c r="Y2288" s="72">
        <v>46105.625</v>
      </c>
      <c r="Z2288" s="104" t="s">
        <v>466</v>
      </c>
      <c r="AA2288" s="104" t="s">
        <v>1117</v>
      </c>
      <c r="AB2288" s="105">
        <v>46101.209722222222</v>
      </c>
      <c r="AC2288" s="105">
        <v>46101.428472222222</v>
      </c>
    </row>
    <row r="2289" s="70" customFormat="1" ht="11.25" customHeight="1">
      <c r="A2289" s="87"/>
      <c r="C2289" s="43" t="s">
        <v>3992</v>
      </c>
      <c r="D2289" s="71" t="s">
        <v>382</v>
      </c>
      <c r="E2289" s="71" t="str">
        <f>MID(D2289,1,2)</f>
        <v>IL</v>
      </c>
      <c r="F2289" s="71" t="s">
        <v>1538</v>
      </c>
      <c r="G2289" s="71" t="str">
        <f>MID(F2289,1,2)</f>
        <v>KR</v>
      </c>
      <c r="H2289" s="43" t="s">
        <v>3993</v>
      </c>
      <c r="I2289" s="71" t="s">
        <v>3994</v>
      </c>
      <c r="J2289" s="71" t="s">
        <v>755</v>
      </c>
      <c r="K2289" s="43"/>
      <c r="L2289" s="71" t="s">
        <v>105</v>
      </c>
      <c r="M2289" s="73">
        <v>100</v>
      </c>
      <c r="N2289" s="71" t="s">
        <v>388</v>
      </c>
      <c r="O2289" s="73">
        <v>0.767</v>
      </c>
      <c r="P2289" s="71" t="s">
        <v>389</v>
      </c>
      <c r="Q2289" s="73">
        <v>128</v>
      </c>
      <c r="R2289" s="71" t="s">
        <v>388</v>
      </c>
      <c r="S2289" s="73">
        <v>0</v>
      </c>
      <c r="T2289" s="71" t="s">
        <v>390</v>
      </c>
      <c r="U2289" s="74">
        <v>1</v>
      </c>
      <c r="V2289" s="71" t="s">
        <v>391</v>
      </c>
      <c r="W2289" s="130">
        <v>46079.117581018516</v>
      </c>
      <c r="X2289" s="72">
        <v>46079.291666666664</v>
      </c>
      <c r="Y2289" s="72">
        <v>46105.625</v>
      </c>
      <c r="Z2289" s="104" t="s">
        <v>1117</v>
      </c>
      <c r="AA2289" s="104" t="s">
        <v>1538</v>
      </c>
      <c r="AB2289" s="105"/>
      <c r="AC2289" s="105"/>
    </row>
    <row r="2290" s="70" customFormat="1" ht="11.25" customHeight="1">
      <c r="A2290" s="87"/>
      <c r="C2290" s="43" t="s">
        <v>3995</v>
      </c>
      <c r="D2290" s="71" t="s">
        <v>382</v>
      </c>
      <c r="E2290" s="71" t="str">
        <f>MID(D2290,1,2)</f>
        <v>IL</v>
      </c>
      <c r="F2290" s="71" t="s">
        <v>774</v>
      </c>
      <c r="G2290" s="71" t="str">
        <f>MID(F2290,1,2)</f>
        <v>CN</v>
      </c>
      <c r="H2290" s="43" t="s">
        <v>3952</v>
      </c>
      <c r="I2290" s="71" t="s">
        <v>3996</v>
      </c>
      <c r="J2290" s="71" t="s">
        <v>755</v>
      </c>
      <c r="K2290" s="43"/>
      <c r="L2290" s="71" t="s">
        <v>105</v>
      </c>
      <c r="M2290" s="73">
        <v>10</v>
      </c>
      <c r="N2290" s="71" t="s">
        <v>388</v>
      </c>
      <c r="O2290" s="73">
        <v>0.109</v>
      </c>
      <c r="P2290" s="71" t="s">
        <v>389</v>
      </c>
      <c r="Q2290" s="73">
        <v>18.5</v>
      </c>
      <c r="R2290" s="71" t="s">
        <v>388</v>
      </c>
      <c r="S2290" s="73">
        <v>0</v>
      </c>
      <c r="T2290" s="71" t="s">
        <v>390</v>
      </c>
      <c r="U2290" s="74">
        <v>1</v>
      </c>
      <c r="V2290" s="71" t="s">
        <v>391</v>
      </c>
      <c r="W2290" s="130">
        <v>46078.968715277777</v>
      </c>
      <c r="X2290" s="72">
        <v>46085.996527777781</v>
      </c>
      <c r="Y2290" s="72">
        <v>46093.118055555555</v>
      </c>
      <c r="Z2290" s="104" t="s">
        <v>382</v>
      </c>
      <c r="AA2290" s="104" t="s">
        <v>1117</v>
      </c>
      <c r="AB2290" s="105">
        <v>46087.102083333331</v>
      </c>
      <c r="AC2290" s="105"/>
    </row>
    <row r="2291" s="70" customFormat="1" ht="11.25" customHeight="1">
      <c r="A2291" s="87"/>
      <c r="C2291" s="43" t="s">
        <v>3995</v>
      </c>
      <c r="D2291" s="71" t="s">
        <v>382</v>
      </c>
      <c r="E2291" s="71" t="str">
        <f>MID(D2291,1,2)</f>
        <v>IL</v>
      </c>
      <c r="F2291" s="71" t="s">
        <v>774</v>
      </c>
      <c r="G2291" s="71" t="str">
        <f>MID(F2291,1,2)</f>
        <v>CN</v>
      </c>
      <c r="H2291" s="43" t="s">
        <v>3952</v>
      </c>
      <c r="I2291" s="71" t="s">
        <v>3996</v>
      </c>
      <c r="J2291" s="71" t="s">
        <v>755</v>
      </c>
      <c r="K2291" s="43"/>
      <c r="L2291" s="71" t="s">
        <v>105</v>
      </c>
      <c r="M2291" s="73">
        <v>10</v>
      </c>
      <c r="N2291" s="71" t="s">
        <v>388</v>
      </c>
      <c r="O2291" s="73">
        <v>0.109</v>
      </c>
      <c r="P2291" s="71" t="s">
        <v>389</v>
      </c>
      <c r="Q2291" s="73">
        <v>18.5</v>
      </c>
      <c r="R2291" s="71" t="s">
        <v>388</v>
      </c>
      <c r="S2291" s="73">
        <v>0</v>
      </c>
      <c r="T2291" s="71" t="s">
        <v>390</v>
      </c>
      <c r="U2291" s="74">
        <v>1</v>
      </c>
      <c r="V2291" s="71" t="s">
        <v>391</v>
      </c>
      <c r="W2291" s="130">
        <v>46078.968715277777</v>
      </c>
      <c r="X2291" s="72">
        <v>46085.996527777781</v>
      </c>
      <c r="Y2291" s="72">
        <v>46093.118055555555</v>
      </c>
      <c r="Z2291" s="104" t="s">
        <v>1117</v>
      </c>
      <c r="AA2291" s="104" t="s">
        <v>1538</v>
      </c>
      <c r="AB2291" s="105">
        <v>46090.825694444444</v>
      </c>
      <c r="AC2291" s="105"/>
    </row>
    <row r="2292" s="70" customFormat="1" ht="11.25" customHeight="1">
      <c r="A2292" s="87"/>
      <c r="C2292" s="43" t="s">
        <v>3995</v>
      </c>
      <c r="D2292" s="71" t="s">
        <v>382</v>
      </c>
      <c r="E2292" s="71" t="str">
        <f>MID(D2292,1,2)</f>
        <v>IL</v>
      </c>
      <c r="F2292" s="71" t="s">
        <v>774</v>
      </c>
      <c r="G2292" s="71" t="str">
        <f>MID(F2292,1,2)</f>
        <v>CN</v>
      </c>
      <c r="H2292" s="43" t="s">
        <v>3952</v>
      </c>
      <c r="I2292" s="71" t="s">
        <v>3996</v>
      </c>
      <c r="J2292" s="71" t="s">
        <v>755</v>
      </c>
      <c r="K2292" s="43"/>
      <c r="L2292" s="71" t="s">
        <v>105</v>
      </c>
      <c r="M2292" s="73">
        <v>10</v>
      </c>
      <c r="N2292" s="71" t="s">
        <v>388</v>
      </c>
      <c r="O2292" s="73">
        <v>0.109</v>
      </c>
      <c r="P2292" s="71" t="s">
        <v>389</v>
      </c>
      <c r="Q2292" s="73">
        <v>18.5</v>
      </c>
      <c r="R2292" s="71" t="s">
        <v>388</v>
      </c>
      <c r="S2292" s="73">
        <v>0</v>
      </c>
      <c r="T2292" s="71" t="s">
        <v>390</v>
      </c>
      <c r="U2292" s="74">
        <v>1</v>
      </c>
      <c r="V2292" s="71" t="s">
        <v>391</v>
      </c>
      <c r="W2292" s="130">
        <v>46078.968715277777</v>
      </c>
      <c r="X2292" s="72">
        <v>46085.996527777781</v>
      </c>
      <c r="Y2292" s="72">
        <v>46093.118055555555</v>
      </c>
      <c r="Z2292" s="104" t="s">
        <v>1538</v>
      </c>
      <c r="AA2292" s="104" t="s">
        <v>774</v>
      </c>
      <c r="AB2292" s="105">
        <v>46092.026388888888</v>
      </c>
      <c r="AC2292" s="105">
        <v>46092.143055555556</v>
      </c>
    </row>
    <row r="2293" s="70" customFormat="1" ht="11.25" customHeight="1">
      <c r="A2293" s="87"/>
      <c r="C2293" s="43" t="s">
        <v>3997</v>
      </c>
      <c r="D2293" s="71" t="s">
        <v>382</v>
      </c>
      <c r="E2293" s="71" t="str">
        <f>MID(D2293,1,2)</f>
        <v>IL</v>
      </c>
      <c r="F2293" s="71" t="s">
        <v>3998</v>
      </c>
      <c r="G2293" s="71" t="str">
        <f>MID(F2293,1,2)</f>
        <v>RO</v>
      </c>
      <c r="H2293" s="43" t="s">
        <v>3999</v>
      </c>
      <c r="I2293" s="71" t="s">
        <v>4000</v>
      </c>
      <c r="J2293" s="71" t="s">
        <v>386</v>
      </c>
      <c r="K2293" s="43"/>
      <c r="L2293" s="71" t="s">
        <v>107</v>
      </c>
      <c r="M2293" s="73">
        <v>233</v>
      </c>
      <c r="N2293" s="71" t="s">
        <v>388</v>
      </c>
      <c r="O2293" s="73">
        <v>0.559</v>
      </c>
      <c r="P2293" s="71" t="s">
        <v>389</v>
      </c>
      <c r="Q2293" s="73">
        <v>233</v>
      </c>
      <c r="R2293" s="71" t="s">
        <v>388</v>
      </c>
      <c r="S2293" s="73">
        <v>0</v>
      </c>
      <c r="T2293" s="71" t="s">
        <v>390</v>
      </c>
      <c r="U2293" s="74">
        <v>12</v>
      </c>
      <c r="V2293" s="71" t="s">
        <v>391</v>
      </c>
      <c r="W2293" s="130">
        <v>46079.381944444445</v>
      </c>
      <c r="X2293" s="72">
        <v>46092.964583333334</v>
      </c>
      <c r="Y2293" s="72">
        <v>46096.572916666664</v>
      </c>
      <c r="Z2293" s="104" t="s">
        <v>382</v>
      </c>
      <c r="AA2293" s="104" t="s">
        <v>496</v>
      </c>
      <c r="AB2293" s="105">
        <v>46096.452777777777</v>
      </c>
      <c r="AC2293" s="105">
        <v>46096.5625</v>
      </c>
    </row>
    <row r="2294" s="70" customFormat="1" ht="11.25" customHeight="1">
      <c r="A2294" s="87"/>
      <c r="C2294" s="43" t="s">
        <v>4001</v>
      </c>
      <c r="D2294" s="71" t="s">
        <v>382</v>
      </c>
      <c r="E2294" s="71" t="str">
        <f>MID(D2294,1,2)</f>
        <v>IL</v>
      </c>
      <c r="F2294" s="71" t="s">
        <v>383</v>
      </c>
      <c r="G2294" s="71" t="str">
        <f>MID(F2294,1,2)</f>
        <v>DE</v>
      </c>
      <c r="H2294" s="43" t="s">
        <v>4002</v>
      </c>
      <c r="I2294" s="71" t="s">
        <v>4003</v>
      </c>
      <c r="J2294" s="71" t="s">
        <v>386</v>
      </c>
      <c r="K2294" s="43"/>
      <c r="L2294" s="71" t="s">
        <v>107</v>
      </c>
      <c r="M2294" s="73">
        <v>261</v>
      </c>
      <c r="N2294" s="71" t="s">
        <v>388</v>
      </c>
      <c r="O2294" s="73">
        <v>2.133</v>
      </c>
      <c r="P2294" s="71" t="s">
        <v>389</v>
      </c>
      <c r="Q2294" s="73">
        <v>355.5</v>
      </c>
      <c r="R2294" s="71" t="s">
        <v>388</v>
      </c>
      <c r="S2294" s="73">
        <v>0</v>
      </c>
      <c r="T2294" s="71" t="s">
        <v>390</v>
      </c>
      <c r="U2294" s="74">
        <v>2</v>
      </c>
      <c r="V2294" s="71" t="s">
        <v>391</v>
      </c>
      <c r="W2294" s="130">
        <v>46086.864652777775</v>
      </c>
      <c r="X2294" s="72">
        <v>46087.25</v>
      </c>
      <c r="Y2294" s="72">
        <v>46090.615972222222</v>
      </c>
      <c r="Z2294" s="104" t="s">
        <v>382</v>
      </c>
      <c r="AA2294" s="104" t="s">
        <v>466</v>
      </c>
      <c r="AB2294" s="105">
        <v>46088.06875</v>
      </c>
      <c r="AC2294" s="105">
        <v>46088.195833333331</v>
      </c>
    </row>
    <row r="2295" s="70" customFormat="1" ht="11.25" customHeight="1">
      <c r="A2295" s="87"/>
      <c r="C2295" s="43" t="s">
        <v>4001</v>
      </c>
      <c r="D2295" s="71" t="s">
        <v>382</v>
      </c>
      <c r="E2295" s="71" t="str">
        <f>MID(D2295,1,2)</f>
        <v>IL</v>
      </c>
      <c r="F2295" s="71" t="s">
        <v>383</v>
      </c>
      <c r="G2295" s="71" t="str">
        <f>MID(F2295,1,2)</f>
        <v>DE</v>
      </c>
      <c r="H2295" s="43" t="s">
        <v>4002</v>
      </c>
      <c r="I2295" s="71" t="s">
        <v>4003</v>
      </c>
      <c r="J2295" s="71" t="s">
        <v>386</v>
      </c>
      <c r="K2295" s="43"/>
      <c r="L2295" s="71" t="s">
        <v>107</v>
      </c>
      <c r="M2295" s="73">
        <v>261</v>
      </c>
      <c r="N2295" s="71" t="s">
        <v>388</v>
      </c>
      <c r="O2295" s="73">
        <v>2.133</v>
      </c>
      <c r="P2295" s="71" t="s">
        <v>389</v>
      </c>
      <c r="Q2295" s="73">
        <v>355.5</v>
      </c>
      <c r="R2295" s="71" t="s">
        <v>388</v>
      </c>
      <c r="S2295" s="73">
        <v>0</v>
      </c>
      <c r="T2295" s="71" t="s">
        <v>390</v>
      </c>
      <c r="U2295" s="74">
        <v>2</v>
      </c>
      <c r="V2295" s="71" t="s">
        <v>391</v>
      </c>
      <c r="W2295" s="130">
        <v>46086.864652777775</v>
      </c>
      <c r="X2295" s="72">
        <v>46087.25</v>
      </c>
      <c r="Y2295" s="72">
        <v>46090.615972222222</v>
      </c>
      <c r="Z2295" s="104" t="s">
        <v>466</v>
      </c>
      <c r="AA2295" s="104" t="s">
        <v>383</v>
      </c>
      <c r="AB2295" s="105">
        <v>46089.086805555555</v>
      </c>
      <c r="AC2295" s="105">
        <v>46093.676388888889</v>
      </c>
    </row>
    <row r="2296" s="70" customFormat="1" ht="11.25" customHeight="1">
      <c r="A2296" s="87"/>
      <c r="C2296" s="43" t="s">
        <v>4004</v>
      </c>
      <c r="D2296" s="71" t="s">
        <v>382</v>
      </c>
      <c r="E2296" s="71" t="str">
        <f>MID(D2296,1,2)</f>
        <v>IL</v>
      </c>
      <c r="F2296" s="71" t="s">
        <v>1108</v>
      </c>
      <c r="G2296" s="71" t="str">
        <f>MID(F2296,1,2)</f>
        <v>TW</v>
      </c>
      <c r="H2296" s="43" t="s">
        <v>4005</v>
      </c>
      <c r="I2296" s="71" t="s">
        <v>4006</v>
      </c>
      <c r="J2296" s="71" t="s">
        <v>426</v>
      </c>
      <c r="K2296" s="43"/>
      <c r="L2296" s="71" t="s">
        <v>105</v>
      </c>
      <c r="M2296" s="73">
        <v>16</v>
      </c>
      <c r="N2296" s="71" t="s">
        <v>388</v>
      </c>
      <c r="O2296" s="73">
        <v>0.063</v>
      </c>
      <c r="P2296" s="71" t="s">
        <v>389</v>
      </c>
      <c r="Q2296" s="73">
        <v>16</v>
      </c>
      <c r="R2296" s="71" t="s">
        <v>388</v>
      </c>
      <c r="S2296" s="73">
        <v>0</v>
      </c>
      <c r="T2296" s="71" t="s">
        <v>390</v>
      </c>
      <c r="U2296" s="74">
        <v>1</v>
      </c>
      <c r="V2296" s="71" t="s">
        <v>391</v>
      </c>
      <c r="W2296" s="130">
        <v>46078.611805555556</v>
      </c>
      <c r="X2296" s="72">
        <v>46079.9375</v>
      </c>
      <c r="Y2296" s="72">
        <v>46091.75277777778</v>
      </c>
      <c r="Z2296" s="104" t="s">
        <v>382</v>
      </c>
      <c r="AA2296" s="104" t="s">
        <v>833</v>
      </c>
      <c r="AB2296" s="105"/>
      <c r="AC2296" s="105"/>
    </row>
    <row r="2297" s="70" customFormat="1" ht="11.25" customHeight="1">
      <c r="A2297" s="87"/>
      <c r="C2297" s="43" t="s">
        <v>4004</v>
      </c>
      <c r="D2297" s="71" t="s">
        <v>382</v>
      </c>
      <c r="E2297" s="71" t="str">
        <f>MID(D2297,1,2)</f>
        <v>IL</v>
      </c>
      <c r="F2297" s="71" t="s">
        <v>1108</v>
      </c>
      <c r="G2297" s="71" t="str">
        <f>MID(F2297,1,2)</f>
        <v>TW</v>
      </c>
      <c r="H2297" s="43" t="s">
        <v>4005</v>
      </c>
      <c r="I2297" s="71" t="s">
        <v>4006</v>
      </c>
      <c r="J2297" s="71" t="s">
        <v>426</v>
      </c>
      <c r="K2297" s="43"/>
      <c r="L2297" s="71" t="s">
        <v>105</v>
      </c>
      <c r="M2297" s="73">
        <v>16</v>
      </c>
      <c r="N2297" s="71" t="s">
        <v>388</v>
      </c>
      <c r="O2297" s="73">
        <v>0.063</v>
      </c>
      <c r="P2297" s="71" t="s">
        <v>389</v>
      </c>
      <c r="Q2297" s="73">
        <v>16</v>
      </c>
      <c r="R2297" s="71" t="s">
        <v>388</v>
      </c>
      <c r="S2297" s="73">
        <v>0</v>
      </c>
      <c r="T2297" s="71" t="s">
        <v>390</v>
      </c>
      <c r="U2297" s="74">
        <v>1</v>
      </c>
      <c r="V2297" s="71" t="s">
        <v>391</v>
      </c>
      <c r="W2297" s="130">
        <v>46078.611805555556</v>
      </c>
      <c r="X2297" s="72">
        <v>46079.9375</v>
      </c>
      <c r="Y2297" s="72">
        <v>46091.75277777778</v>
      </c>
      <c r="Z2297" s="104" t="s">
        <v>833</v>
      </c>
      <c r="AA2297" s="104" t="s">
        <v>1108</v>
      </c>
      <c r="AB2297" s="105"/>
      <c r="AC2297" s="105"/>
    </row>
    <row r="2298" s="70" customFormat="1" ht="11.25" customHeight="1">
      <c r="A2298" s="87"/>
      <c r="C2298" s="43" t="s">
        <v>4007</v>
      </c>
      <c r="D2298" s="71" t="s">
        <v>382</v>
      </c>
      <c r="E2298" s="71" t="str">
        <f>MID(D2298,1,2)</f>
        <v>IL</v>
      </c>
      <c r="F2298" s="71" t="s">
        <v>3998</v>
      </c>
      <c r="G2298" s="71" t="str">
        <f>MID(F2298,1,2)</f>
        <v>RO</v>
      </c>
      <c r="H2298" s="43" t="s">
        <v>3999</v>
      </c>
      <c r="I2298" s="71" t="s">
        <v>4008</v>
      </c>
      <c r="J2298" s="71" t="s">
        <v>386</v>
      </c>
      <c r="K2298" s="43"/>
      <c r="L2298" s="71" t="s">
        <v>107</v>
      </c>
      <c r="M2298" s="73">
        <v>28</v>
      </c>
      <c r="N2298" s="71" t="s">
        <v>388</v>
      </c>
      <c r="O2298" s="73">
        <v>0.123</v>
      </c>
      <c r="P2298" s="71" t="s">
        <v>389</v>
      </c>
      <c r="Q2298" s="73">
        <v>28</v>
      </c>
      <c r="R2298" s="71" t="s">
        <v>388</v>
      </c>
      <c r="S2298" s="73">
        <v>0</v>
      </c>
      <c r="T2298" s="71" t="s">
        <v>390</v>
      </c>
      <c r="U2298" s="74">
        <v>2</v>
      </c>
      <c r="V2298" s="71" t="s">
        <v>536</v>
      </c>
      <c r="W2298" s="130">
        <v>46078.45208333333</v>
      </c>
      <c r="X2298" s="72">
        <v>46093</v>
      </c>
      <c r="Y2298" s="72">
        <v>46096.572916666664</v>
      </c>
      <c r="Z2298" s="104" t="s">
        <v>382</v>
      </c>
      <c r="AA2298" s="104" t="s">
        <v>496</v>
      </c>
      <c r="AB2298" s="105">
        <v>46096.452777777777</v>
      </c>
      <c r="AC2298" s="105">
        <v>46096.5625</v>
      </c>
    </row>
    <row r="2299" s="70" customFormat="1" ht="11.25" customHeight="1">
      <c r="A2299" s="87"/>
      <c r="C2299" s="43" t="s">
        <v>4009</v>
      </c>
      <c r="D2299" s="71" t="s">
        <v>382</v>
      </c>
      <c r="E2299" s="71" t="str">
        <f>MID(D2299,1,2)</f>
        <v>IL</v>
      </c>
      <c r="F2299" s="71" t="s">
        <v>597</v>
      </c>
      <c r="G2299" s="71" t="str">
        <f>MID(F2299,1,2)</f>
        <v>NL</v>
      </c>
      <c r="H2299" s="43" t="s">
        <v>4010</v>
      </c>
      <c r="I2299" s="71" t="s">
        <v>4011</v>
      </c>
      <c r="J2299" s="71" t="s">
        <v>454</v>
      </c>
      <c r="K2299" s="43"/>
      <c r="L2299" s="71" t="s">
        <v>107</v>
      </c>
      <c r="M2299" s="73">
        <v>190</v>
      </c>
      <c r="N2299" s="71" t="s">
        <v>388</v>
      </c>
      <c r="O2299" s="73">
        <v>1.366</v>
      </c>
      <c r="P2299" s="71" t="s">
        <v>389</v>
      </c>
      <c r="Q2299" s="73">
        <v>228</v>
      </c>
      <c r="R2299" s="71" t="s">
        <v>388</v>
      </c>
      <c r="S2299" s="73">
        <v>0</v>
      </c>
      <c r="T2299" s="71" t="s">
        <v>390</v>
      </c>
      <c r="U2299" s="74">
        <v>2</v>
      </c>
      <c r="V2299" s="71" t="s">
        <v>391</v>
      </c>
      <c r="W2299" s="130">
        <v>46079.542256944442</v>
      </c>
      <c r="X2299" s="72">
        <v>46080.37777777778</v>
      </c>
      <c r="Y2299" s="72">
        <v>46083.402777777781</v>
      </c>
      <c r="Z2299" s="104" t="s">
        <v>382</v>
      </c>
      <c r="AA2299" s="104" t="s">
        <v>590</v>
      </c>
      <c r="AB2299" s="105">
        <v>46080.609722222223</v>
      </c>
      <c r="AC2299" s="105">
        <v>46081.085416666669</v>
      </c>
    </row>
    <row r="2300" s="70" customFormat="1" ht="11.25" customHeight="1">
      <c r="A2300" s="87"/>
      <c r="C2300" s="43" t="s">
        <v>4009</v>
      </c>
      <c r="D2300" s="71" t="s">
        <v>382</v>
      </c>
      <c r="E2300" s="71" t="str">
        <f>MID(D2300,1,2)</f>
        <v>IL</v>
      </c>
      <c r="F2300" s="71" t="s">
        <v>597</v>
      </c>
      <c r="G2300" s="71" t="str">
        <f>MID(F2300,1,2)</f>
        <v>NL</v>
      </c>
      <c r="H2300" s="43" t="s">
        <v>4010</v>
      </c>
      <c r="I2300" s="71" t="s">
        <v>4011</v>
      </c>
      <c r="J2300" s="71" t="s">
        <v>454</v>
      </c>
      <c r="K2300" s="43"/>
      <c r="L2300" s="71" t="s">
        <v>107</v>
      </c>
      <c r="M2300" s="73">
        <v>190</v>
      </c>
      <c r="N2300" s="71" t="s">
        <v>388</v>
      </c>
      <c r="O2300" s="73">
        <v>1.366</v>
      </c>
      <c r="P2300" s="71" t="s">
        <v>389</v>
      </c>
      <c r="Q2300" s="73">
        <v>228</v>
      </c>
      <c r="R2300" s="71" t="s">
        <v>388</v>
      </c>
      <c r="S2300" s="73">
        <v>0</v>
      </c>
      <c r="T2300" s="71" t="s">
        <v>390</v>
      </c>
      <c r="U2300" s="74">
        <v>2</v>
      </c>
      <c r="V2300" s="71" t="s">
        <v>391</v>
      </c>
      <c r="W2300" s="130">
        <v>46079.542256944442</v>
      </c>
      <c r="X2300" s="72">
        <v>46080.37777777778</v>
      </c>
      <c r="Y2300" s="72">
        <v>46083.402777777781</v>
      </c>
      <c r="Z2300" s="104" t="s">
        <v>590</v>
      </c>
      <c r="AA2300" s="104" t="s">
        <v>597</v>
      </c>
      <c r="AB2300" s="105">
        <v>46083.295138888891</v>
      </c>
      <c r="AC2300" s="105">
        <v>46083.390277777777</v>
      </c>
    </row>
    <row r="2301" s="70" customFormat="1" ht="11.25" customHeight="1">
      <c r="A2301" s="87"/>
      <c r="C2301" s="43" t="s">
        <v>4012</v>
      </c>
      <c r="D2301" s="71" t="s">
        <v>382</v>
      </c>
      <c r="E2301" s="71" t="str">
        <f>MID(D2301,1,2)</f>
        <v>IL</v>
      </c>
      <c r="F2301" s="71" t="s">
        <v>1169</v>
      </c>
      <c r="G2301" s="71" t="str">
        <f>MID(F2301,1,2)</f>
        <v>HU</v>
      </c>
      <c r="H2301" s="43" t="s">
        <v>4013</v>
      </c>
      <c r="I2301" s="71" t="s">
        <v>4014</v>
      </c>
      <c r="J2301" s="71" t="s">
        <v>811</v>
      </c>
      <c r="K2301" s="43"/>
      <c r="L2301" s="71" t="s">
        <v>105</v>
      </c>
      <c r="M2301" s="73">
        <v>26</v>
      </c>
      <c r="N2301" s="71" t="s">
        <v>388</v>
      </c>
      <c r="O2301" s="73">
        <v>0.124</v>
      </c>
      <c r="P2301" s="71" t="s">
        <v>389</v>
      </c>
      <c r="Q2301" s="73">
        <v>100</v>
      </c>
      <c r="R2301" s="71" t="s">
        <v>388</v>
      </c>
      <c r="S2301" s="73">
        <v>0</v>
      </c>
      <c r="T2301" s="71" t="s">
        <v>390</v>
      </c>
      <c r="U2301" s="74">
        <v>2</v>
      </c>
      <c r="V2301" s="71" t="s">
        <v>391</v>
      </c>
      <c r="W2301" s="130">
        <v>46078.645833333336</v>
      </c>
      <c r="X2301" s="72">
        <v>46079.295138888891</v>
      </c>
      <c r="Y2301" s="72">
        <v>46079.819444444445</v>
      </c>
      <c r="Z2301" s="104" t="s">
        <v>382</v>
      </c>
      <c r="AA2301" s="104" t="s">
        <v>1169</v>
      </c>
      <c r="AB2301" s="105">
        <v>46079.293055555558</v>
      </c>
      <c r="AC2301" s="105">
        <v>46079.400694444441</v>
      </c>
    </row>
    <row r="2302" s="70" customFormat="1" ht="11.25" customHeight="1">
      <c r="A2302" s="87"/>
      <c r="C2302" s="43" t="s">
        <v>4015</v>
      </c>
      <c r="D2302" s="71" t="s">
        <v>382</v>
      </c>
      <c r="E2302" s="71" t="str">
        <f>MID(D2302,1,2)</f>
        <v>IL</v>
      </c>
      <c r="F2302" s="71" t="s">
        <v>597</v>
      </c>
      <c r="G2302" s="71" t="str">
        <f>MID(F2302,1,2)</f>
        <v>NL</v>
      </c>
      <c r="H2302" s="43" t="s">
        <v>4010</v>
      </c>
      <c r="I2302" s="71" t="s">
        <v>4016</v>
      </c>
      <c r="J2302" s="71" t="s">
        <v>400</v>
      </c>
      <c r="K2302" s="43"/>
      <c r="L2302" s="71" t="s">
        <v>105</v>
      </c>
      <c r="M2302" s="73">
        <v>102</v>
      </c>
      <c r="N2302" s="71" t="s">
        <v>388</v>
      </c>
      <c r="O2302" s="73">
        <v>0.749</v>
      </c>
      <c r="P2302" s="71" t="s">
        <v>389</v>
      </c>
      <c r="Q2302" s="73">
        <v>125</v>
      </c>
      <c r="R2302" s="71" t="s">
        <v>388</v>
      </c>
      <c r="S2302" s="73">
        <v>0</v>
      </c>
      <c r="T2302" s="71" t="s">
        <v>390</v>
      </c>
      <c r="U2302" s="74">
        <v>1</v>
      </c>
      <c r="V2302" s="71" t="s">
        <v>391</v>
      </c>
      <c r="W2302" s="130">
        <v>46078.424305555556</v>
      </c>
      <c r="X2302" s="72">
        <v>46080.586805555555</v>
      </c>
      <c r="Y2302" s="72">
        <v>46083.402777777781</v>
      </c>
      <c r="Z2302" s="104" t="s">
        <v>382</v>
      </c>
      <c r="AA2302" s="104" t="s">
        <v>590</v>
      </c>
      <c r="AB2302" s="105">
        <v>46080.609722222223</v>
      </c>
      <c r="AC2302" s="105">
        <v>46081.085416666669</v>
      </c>
    </row>
    <row r="2303" s="70" customFormat="1" ht="11.25" customHeight="1">
      <c r="A2303" s="87"/>
      <c r="C2303" s="43" t="s">
        <v>4015</v>
      </c>
      <c r="D2303" s="71" t="s">
        <v>382</v>
      </c>
      <c r="E2303" s="71" t="str">
        <f>MID(D2303,1,2)</f>
        <v>IL</v>
      </c>
      <c r="F2303" s="71" t="s">
        <v>597</v>
      </c>
      <c r="G2303" s="71" t="str">
        <f>MID(F2303,1,2)</f>
        <v>NL</v>
      </c>
      <c r="H2303" s="43" t="s">
        <v>4010</v>
      </c>
      <c r="I2303" s="71" t="s">
        <v>4016</v>
      </c>
      <c r="J2303" s="71" t="s">
        <v>400</v>
      </c>
      <c r="K2303" s="43"/>
      <c r="L2303" s="71" t="s">
        <v>105</v>
      </c>
      <c r="M2303" s="73">
        <v>102</v>
      </c>
      <c r="N2303" s="71" t="s">
        <v>388</v>
      </c>
      <c r="O2303" s="73">
        <v>0.749</v>
      </c>
      <c r="P2303" s="71" t="s">
        <v>389</v>
      </c>
      <c r="Q2303" s="73">
        <v>125</v>
      </c>
      <c r="R2303" s="71" t="s">
        <v>388</v>
      </c>
      <c r="S2303" s="73">
        <v>0</v>
      </c>
      <c r="T2303" s="71" t="s">
        <v>390</v>
      </c>
      <c r="U2303" s="74">
        <v>1</v>
      </c>
      <c r="V2303" s="71" t="s">
        <v>391</v>
      </c>
      <c r="W2303" s="130">
        <v>46078.424305555556</v>
      </c>
      <c r="X2303" s="72">
        <v>46080.586805555555</v>
      </c>
      <c r="Y2303" s="72">
        <v>46083.402777777781</v>
      </c>
      <c r="Z2303" s="104" t="s">
        <v>590</v>
      </c>
      <c r="AA2303" s="104" t="s">
        <v>597</v>
      </c>
      <c r="AB2303" s="105">
        <v>46083.295138888891</v>
      </c>
      <c r="AC2303" s="105">
        <v>46083.390277777777</v>
      </c>
    </row>
    <row r="2304" s="70" customFormat="1" ht="11.25" customHeight="1">
      <c r="A2304" s="87"/>
      <c r="C2304" s="43" t="s">
        <v>4017</v>
      </c>
      <c r="D2304" s="71" t="s">
        <v>382</v>
      </c>
      <c r="E2304" s="71" t="str">
        <f>MID(D2304,1,2)</f>
        <v>IL</v>
      </c>
      <c r="F2304" s="71" t="s">
        <v>414</v>
      </c>
      <c r="G2304" s="71" t="str">
        <f>MID(F2304,1,2)</f>
        <v>US</v>
      </c>
      <c r="H2304" s="43" t="s">
        <v>3683</v>
      </c>
      <c r="I2304" s="71" t="s">
        <v>4018</v>
      </c>
      <c r="J2304" s="71" t="s">
        <v>386</v>
      </c>
      <c r="K2304" s="43"/>
      <c r="L2304" s="71" t="s">
        <v>107</v>
      </c>
      <c r="M2304" s="73">
        <v>60</v>
      </c>
      <c r="N2304" s="71" t="s">
        <v>388</v>
      </c>
      <c r="O2304" s="73">
        <v>0.643</v>
      </c>
      <c r="P2304" s="71" t="s">
        <v>389</v>
      </c>
      <c r="Q2304" s="73">
        <v>107.5</v>
      </c>
      <c r="R2304" s="71" t="s">
        <v>388</v>
      </c>
      <c r="S2304" s="73">
        <v>0</v>
      </c>
      <c r="T2304" s="71" t="s">
        <v>390</v>
      </c>
      <c r="U2304" s="74">
        <v>1</v>
      </c>
      <c r="V2304" s="71" t="s">
        <v>391</v>
      </c>
      <c r="W2304" s="130">
        <v>46078.40347222222</v>
      </c>
      <c r="X2304" s="72">
        <v>46080.03125</v>
      </c>
      <c r="Y2304" s="72">
        <v>46080.239583333336</v>
      </c>
      <c r="Z2304" s="104" t="s">
        <v>382</v>
      </c>
      <c r="AA2304" s="104" t="s">
        <v>414</v>
      </c>
      <c r="AB2304" s="105">
        <v>46080.027777777781</v>
      </c>
      <c r="AC2304" s="105">
        <v>46080.23125</v>
      </c>
    </row>
    <row r="2305" s="70" customFormat="1" ht="11.25" customHeight="1">
      <c r="A2305" s="87"/>
      <c r="C2305" s="43" t="s">
        <v>4019</v>
      </c>
      <c r="D2305" s="71" t="s">
        <v>382</v>
      </c>
      <c r="E2305" s="71" t="str">
        <f>MID(D2305,1,2)</f>
        <v>IL</v>
      </c>
      <c r="F2305" s="71" t="s">
        <v>774</v>
      </c>
      <c r="G2305" s="71" t="str">
        <f>MID(F2305,1,2)</f>
        <v>CN</v>
      </c>
      <c r="H2305" s="43" t="s">
        <v>3952</v>
      </c>
      <c r="I2305" s="71" t="s">
        <v>4020</v>
      </c>
      <c r="J2305" s="71" t="s">
        <v>755</v>
      </c>
      <c r="K2305" s="43"/>
      <c r="L2305" s="71" t="s">
        <v>105</v>
      </c>
      <c r="M2305" s="73">
        <v>226</v>
      </c>
      <c r="N2305" s="71" t="s">
        <v>388</v>
      </c>
      <c r="O2305" s="73">
        <v>2.922</v>
      </c>
      <c r="P2305" s="71" t="s">
        <v>389</v>
      </c>
      <c r="Q2305" s="73">
        <v>487</v>
      </c>
      <c r="R2305" s="71" t="s">
        <v>388</v>
      </c>
      <c r="S2305" s="73">
        <v>0</v>
      </c>
      <c r="T2305" s="71" t="s">
        <v>390</v>
      </c>
      <c r="U2305" s="74">
        <v>3</v>
      </c>
      <c r="V2305" s="71" t="s">
        <v>391</v>
      </c>
      <c r="W2305" s="130">
        <v>46078.96875</v>
      </c>
      <c r="X2305" s="72">
        <v>46085.996527777781</v>
      </c>
      <c r="Y2305" s="72">
        <v>46093.118055555555</v>
      </c>
      <c r="Z2305" s="104" t="s">
        <v>382</v>
      </c>
      <c r="AA2305" s="104" t="s">
        <v>1117</v>
      </c>
      <c r="AB2305" s="105">
        <v>46087.102083333331</v>
      </c>
      <c r="AC2305" s="105"/>
    </row>
    <row r="2306" s="70" customFormat="1" ht="11.25" customHeight="1">
      <c r="A2306" s="87"/>
      <c r="C2306" s="43" t="s">
        <v>4019</v>
      </c>
      <c r="D2306" s="71" t="s">
        <v>382</v>
      </c>
      <c r="E2306" s="71" t="str">
        <f>MID(D2306,1,2)</f>
        <v>IL</v>
      </c>
      <c r="F2306" s="71" t="s">
        <v>774</v>
      </c>
      <c r="G2306" s="71" t="str">
        <f>MID(F2306,1,2)</f>
        <v>CN</v>
      </c>
      <c r="H2306" s="43" t="s">
        <v>3952</v>
      </c>
      <c r="I2306" s="71" t="s">
        <v>4020</v>
      </c>
      <c r="J2306" s="71" t="s">
        <v>755</v>
      </c>
      <c r="K2306" s="43"/>
      <c r="L2306" s="71" t="s">
        <v>105</v>
      </c>
      <c r="M2306" s="73">
        <v>226</v>
      </c>
      <c r="N2306" s="71" t="s">
        <v>388</v>
      </c>
      <c r="O2306" s="73">
        <v>2.922</v>
      </c>
      <c r="P2306" s="71" t="s">
        <v>389</v>
      </c>
      <c r="Q2306" s="73">
        <v>487</v>
      </c>
      <c r="R2306" s="71" t="s">
        <v>388</v>
      </c>
      <c r="S2306" s="73">
        <v>0</v>
      </c>
      <c r="T2306" s="71" t="s">
        <v>390</v>
      </c>
      <c r="U2306" s="74">
        <v>3</v>
      </c>
      <c r="V2306" s="71" t="s">
        <v>391</v>
      </c>
      <c r="W2306" s="130">
        <v>46078.96875</v>
      </c>
      <c r="X2306" s="72">
        <v>46085.996527777781</v>
      </c>
      <c r="Y2306" s="72">
        <v>46093.118055555555</v>
      </c>
      <c r="Z2306" s="104" t="s">
        <v>1117</v>
      </c>
      <c r="AA2306" s="104" t="s">
        <v>1538</v>
      </c>
      <c r="AB2306" s="105">
        <v>46090.825694444444</v>
      </c>
      <c r="AC2306" s="105"/>
    </row>
    <row r="2307" s="70" customFormat="1" ht="11.25" customHeight="1">
      <c r="A2307" s="87"/>
      <c r="C2307" s="43" t="s">
        <v>4019</v>
      </c>
      <c r="D2307" s="71" t="s">
        <v>382</v>
      </c>
      <c r="E2307" s="71" t="str">
        <f>MID(D2307,1,2)</f>
        <v>IL</v>
      </c>
      <c r="F2307" s="71" t="s">
        <v>774</v>
      </c>
      <c r="G2307" s="71" t="str">
        <f>MID(F2307,1,2)</f>
        <v>CN</v>
      </c>
      <c r="H2307" s="43" t="s">
        <v>3952</v>
      </c>
      <c r="I2307" s="71" t="s">
        <v>4020</v>
      </c>
      <c r="J2307" s="71" t="s">
        <v>755</v>
      </c>
      <c r="K2307" s="43"/>
      <c r="L2307" s="71" t="s">
        <v>105</v>
      </c>
      <c r="M2307" s="73">
        <v>226</v>
      </c>
      <c r="N2307" s="71" t="s">
        <v>388</v>
      </c>
      <c r="O2307" s="73">
        <v>2.922</v>
      </c>
      <c r="P2307" s="71" t="s">
        <v>389</v>
      </c>
      <c r="Q2307" s="73">
        <v>487</v>
      </c>
      <c r="R2307" s="71" t="s">
        <v>388</v>
      </c>
      <c r="S2307" s="73">
        <v>0</v>
      </c>
      <c r="T2307" s="71" t="s">
        <v>390</v>
      </c>
      <c r="U2307" s="74">
        <v>3</v>
      </c>
      <c r="V2307" s="71" t="s">
        <v>391</v>
      </c>
      <c r="W2307" s="130">
        <v>46078.96875</v>
      </c>
      <c r="X2307" s="72">
        <v>46085.996527777781</v>
      </c>
      <c r="Y2307" s="72">
        <v>46093.118055555555</v>
      </c>
      <c r="Z2307" s="104" t="s">
        <v>1538</v>
      </c>
      <c r="AA2307" s="104" t="s">
        <v>774</v>
      </c>
      <c r="AB2307" s="105">
        <v>46092.026388888888</v>
      </c>
      <c r="AC2307" s="105">
        <v>46092.143055555556</v>
      </c>
    </row>
    <row r="2308" s="70" customFormat="1" ht="11.25" customHeight="1">
      <c r="A2308" s="87"/>
      <c r="C2308" s="43" t="s">
        <v>4021</v>
      </c>
      <c r="D2308" s="71" t="s">
        <v>382</v>
      </c>
      <c r="E2308" s="71" t="str">
        <f>MID(D2308,1,2)</f>
        <v>IL</v>
      </c>
      <c r="F2308" s="71" t="s">
        <v>468</v>
      </c>
      <c r="G2308" s="71" t="str">
        <f>MID(F2308,1,2)</f>
        <v>US</v>
      </c>
      <c r="H2308" s="43" t="s">
        <v>3620</v>
      </c>
      <c r="I2308" s="71" t="s">
        <v>4022</v>
      </c>
      <c r="J2308" s="71" t="s">
        <v>386</v>
      </c>
      <c r="K2308" s="43"/>
      <c r="L2308" s="71" t="s">
        <v>107</v>
      </c>
      <c r="M2308" s="73">
        <v>2</v>
      </c>
      <c r="N2308" s="71" t="s">
        <v>388</v>
      </c>
      <c r="O2308" s="73">
        <v>0.022</v>
      </c>
      <c r="P2308" s="71" t="s">
        <v>389</v>
      </c>
      <c r="Q2308" s="73">
        <v>4</v>
      </c>
      <c r="R2308" s="71" t="s">
        <v>388</v>
      </c>
      <c r="S2308" s="73">
        <v>0</v>
      </c>
      <c r="T2308" s="71" t="s">
        <v>390</v>
      </c>
      <c r="U2308" s="74">
        <v>1</v>
      </c>
      <c r="V2308" s="71" t="s">
        <v>446</v>
      </c>
      <c r="W2308" s="130">
        <v>46079.673611111109</v>
      </c>
      <c r="X2308" s="72">
        <v>46081.979166666664</v>
      </c>
      <c r="Y2308" s="72">
        <v>46090.416666666664</v>
      </c>
      <c r="Z2308" s="104" t="s">
        <v>382</v>
      </c>
      <c r="AA2308" s="104" t="s">
        <v>408</v>
      </c>
      <c r="AB2308" s="105">
        <v>46084.73125</v>
      </c>
      <c r="AC2308" s="105">
        <v>46084.975694444445</v>
      </c>
    </row>
    <row r="2309" s="70" customFormat="1" ht="11.25" customHeight="1">
      <c r="A2309" s="87"/>
      <c r="C2309" s="43" t="s">
        <v>4021</v>
      </c>
      <c r="D2309" s="71" t="s">
        <v>382</v>
      </c>
      <c r="E2309" s="71" t="str">
        <f>MID(D2309,1,2)</f>
        <v>IL</v>
      </c>
      <c r="F2309" s="71" t="s">
        <v>468</v>
      </c>
      <c r="G2309" s="71" t="str">
        <f>MID(F2309,1,2)</f>
        <v>US</v>
      </c>
      <c r="H2309" s="43" t="s">
        <v>3620</v>
      </c>
      <c r="I2309" s="71" t="s">
        <v>4022</v>
      </c>
      <c r="J2309" s="71" t="s">
        <v>386</v>
      </c>
      <c r="K2309" s="43"/>
      <c r="L2309" s="71" t="s">
        <v>107</v>
      </c>
      <c r="M2309" s="73">
        <v>2</v>
      </c>
      <c r="N2309" s="71" t="s">
        <v>388</v>
      </c>
      <c r="O2309" s="73">
        <v>0.022</v>
      </c>
      <c r="P2309" s="71" t="s">
        <v>389</v>
      </c>
      <c r="Q2309" s="73">
        <v>4</v>
      </c>
      <c r="R2309" s="71" t="s">
        <v>388</v>
      </c>
      <c r="S2309" s="73">
        <v>0</v>
      </c>
      <c r="T2309" s="71" t="s">
        <v>390</v>
      </c>
      <c r="U2309" s="74">
        <v>1</v>
      </c>
      <c r="V2309" s="71" t="s">
        <v>446</v>
      </c>
      <c r="W2309" s="130">
        <v>46079.673611111109</v>
      </c>
      <c r="X2309" s="72">
        <v>46081.979166666664</v>
      </c>
      <c r="Y2309" s="72">
        <v>46090.416666666664</v>
      </c>
      <c r="Z2309" s="104" t="s">
        <v>408</v>
      </c>
      <c r="AA2309" s="104" t="s">
        <v>422</v>
      </c>
      <c r="AB2309" s="105">
        <v>46087.51666666667</v>
      </c>
      <c r="AC2309" s="105">
        <v>46087.672222222223</v>
      </c>
    </row>
    <row r="2310" s="70" customFormat="1" ht="11.25" customHeight="1">
      <c r="A2310" s="87"/>
      <c r="C2310" s="43" t="s">
        <v>4021</v>
      </c>
      <c r="D2310" s="71" t="s">
        <v>382</v>
      </c>
      <c r="E2310" s="71" t="str">
        <f>MID(D2310,1,2)</f>
        <v>IL</v>
      </c>
      <c r="F2310" s="71" t="s">
        <v>468</v>
      </c>
      <c r="G2310" s="71" t="str">
        <f>MID(F2310,1,2)</f>
        <v>US</v>
      </c>
      <c r="H2310" s="43" t="s">
        <v>3620</v>
      </c>
      <c r="I2310" s="71" t="s">
        <v>4022</v>
      </c>
      <c r="J2310" s="71" t="s">
        <v>386</v>
      </c>
      <c r="K2310" s="43"/>
      <c r="L2310" s="71" t="s">
        <v>107</v>
      </c>
      <c r="M2310" s="73">
        <v>2</v>
      </c>
      <c r="N2310" s="71" t="s">
        <v>388</v>
      </c>
      <c r="O2310" s="73">
        <v>0.022</v>
      </c>
      <c r="P2310" s="71" t="s">
        <v>389</v>
      </c>
      <c r="Q2310" s="73">
        <v>4</v>
      </c>
      <c r="R2310" s="71" t="s">
        <v>388</v>
      </c>
      <c r="S2310" s="73">
        <v>0</v>
      </c>
      <c r="T2310" s="71" t="s">
        <v>390</v>
      </c>
      <c r="U2310" s="74">
        <v>1</v>
      </c>
      <c r="V2310" s="71" t="s">
        <v>446</v>
      </c>
      <c r="W2310" s="130">
        <v>46079.673611111109</v>
      </c>
      <c r="X2310" s="72">
        <v>46081.979166666664</v>
      </c>
      <c r="Y2310" s="72">
        <v>46090.416666666664</v>
      </c>
      <c r="Z2310" s="104" t="s">
        <v>422</v>
      </c>
      <c r="AA2310" s="104" t="s">
        <v>468</v>
      </c>
      <c r="AB2310" s="105">
        <v>46090.263888888891</v>
      </c>
      <c r="AC2310" s="105">
        <v>46090.386111111111</v>
      </c>
    </row>
    <row r="2311" s="70" customFormat="1" ht="11.25" customHeight="1">
      <c r="A2311" s="87"/>
      <c r="C2311" s="43" t="s">
        <v>4023</v>
      </c>
      <c r="D2311" s="71" t="s">
        <v>382</v>
      </c>
      <c r="E2311" s="71" t="str">
        <f>MID(D2311,1,2)</f>
        <v>IL</v>
      </c>
      <c r="F2311" s="71" t="s">
        <v>526</v>
      </c>
      <c r="G2311" s="71" t="str">
        <f>MID(F2311,1,2)</f>
        <v>US</v>
      </c>
      <c r="H2311" s="43" t="s">
        <v>4024</v>
      </c>
      <c r="I2311" s="71" t="s">
        <v>4025</v>
      </c>
      <c r="J2311" s="71" t="s">
        <v>426</v>
      </c>
      <c r="K2311" s="43"/>
      <c r="L2311" s="71" t="s">
        <v>105</v>
      </c>
      <c r="M2311" s="73">
        <v>175</v>
      </c>
      <c r="N2311" s="71" t="s">
        <v>388</v>
      </c>
      <c r="O2311" s="73">
        <v>0.711</v>
      </c>
      <c r="P2311" s="71" t="s">
        <v>389</v>
      </c>
      <c r="Q2311" s="73">
        <v>175</v>
      </c>
      <c r="R2311" s="71" t="s">
        <v>388</v>
      </c>
      <c r="S2311" s="73">
        <v>0</v>
      </c>
      <c r="T2311" s="71" t="s">
        <v>390</v>
      </c>
      <c r="U2311" s="74">
        <v>1</v>
      </c>
      <c r="V2311" s="71" t="s">
        <v>391</v>
      </c>
      <c r="W2311" s="130">
        <v>46078.430555555555</v>
      </c>
      <c r="X2311" s="72">
        <v>46082.114583333336</v>
      </c>
      <c r="Y2311" s="72">
        <v>46111.25</v>
      </c>
      <c r="Z2311" s="104" t="s">
        <v>382</v>
      </c>
      <c r="AA2311" s="104" t="s">
        <v>471</v>
      </c>
      <c r="AB2311" s="105">
        <v>46100.782638888886</v>
      </c>
      <c r="AC2311" s="105"/>
    </row>
    <row r="2312" s="70" customFormat="1" ht="11.25" customHeight="1">
      <c r="A2312" s="87"/>
      <c r="C2312" s="43" t="s">
        <v>4023</v>
      </c>
      <c r="D2312" s="71" t="s">
        <v>382</v>
      </c>
      <c r="E2312" s="71" t="str">
        <f>MID(D2312,1,2)</f>
        <v>IL</v>
      </c>
      <c r="F2312" s="71" t="s">
        <v>526</v>
      </c>
      <c r="G2312" s="71" t="str">
        <f>MID(F2312,1,2)</f>
        <v>US</v>
      </c>
      <c r="H2312" s="43" t="s">
        <v>4024</v>
      </c>
      <c r="I2312" s="71" t="s">
        <v>4025</v>
      </c>
      <c r="J2312" s="71" t="s">
        <v>426</v>
      </c>
      <c r="K2312" s="43"/>
      <c r="L2312" s="71" t="s">
        <v>105</v>
      </c>
      <c r="M2312" s="73">
        <v>175</v>
      </c>
      <c r="N2312" s="71" t="s">
        <v>388</v>
      </c>
      <c r="O2312" s="73">
        <v>0.711</v>
      </c>
      <c r="P2312" s="71" t="s">
        <v>389</v>
      </c>
      <c r="Q2312" s="73">
        <v>175</v>
      </c>
      <c r="R2312" s="71" t="s">
        <v>388</v>
      </c>
      <c r="S2312" s="73">
        <v>0</v>
      </c>
      <c r="T2312" s="71" t="s">
        <v>390</v>
      </c>
      <c r="U2312" s="74">
        <v>1</v>
      </c>
      <c r="V2312" s="71" t="s">
        <v>391</v>
      </c>
      <c r="W2312" s="130">
        <v>46078.430555555555</v>
      </c>
      <c r="X2312" s="72">
        <v>46082.114583333336</v>
      </c>
      <c r="Y2312" s="72">
        <v>46111.25</v>
      </c>
      <c r="Z2312" s="104" t="s">
        <v>471</v>
      </c>
      <c r="AA2312" s="104" t="s">
        <v>526</v>
      </c>
      <c r="AB2312" s="105">
        <v>46102.552083333336</v>
      </c>
      <c r="AC2312" s="105">
        <v>46102.631944444445</v>
      </c>
    </row>
    <row r="2313" s="70" customFormat="1" ht="11.25" customHeight="1">
      <c r="A2313" s="87"/>
      <c r="C2313" s="43" t="s">
        <v>4026</v>
      </c>
      <c r="D2313" s="71" t="s">
        <v>382</v>
      </c>
      <c r="E2313" s="71" t="str">
        <f>MID(D2313,1,2)</f>
        <v>IL</v>
      </c>
      <c r="F2313" s="71" t="s">
        <v>414</v>
      </c>
      <c r="G2313" s="71" t="str">
        <f>MID(F2313,1,2)</f>
        <v>US</v>
      </c>
      <c r="H2313" s="43" t="s">
        <v>3683</v>
      </c>
      <c r="I2313" s="71" t="s">
        <v>4027</v>
      </c>
      <c r="J2313" s="71" t="s">
        <v>454</v>
      </c>
      <c r="K2313" s="43" t="s">
        <v>759</v>
      </c>
      <c r="L2313" s="71" t="s">
        <v>107</v>
      </c>
      <c r="M2313" s="73">
        <v>6</v>
      </c>
      <c r="N2313" s="71" t="s">
        <v>388</v>
      </c>
      <c r="O2313" s="73">
        <v>0.076</v>
      </c>
      <c r="P2313" s="71" t="s">
        <v>389</v>
      </c>
      <c r="Q2313" s="73">
        <v>13</v>
      </c>
      <c r="R2313" s="71" t="s">
        <v>388</v>
      </c>
      <c r="S2313" s="73">
        <v>0</v>
      </c>
      <c r="T2313" s="71" t="s">
        <v>390</v>
      </c>
      <c r="U2313" s="74">
        <v>2</v>
      </c>
      <c r="V2313" s="71" t="s">
        <v>427</v>
      </c>
      <c r="W2313" s="130">
        <v>46078.892754629633</v>
      </c>
      <c r="X2313" s="72">
        <v>46080.03125</v>
      </c>
      <c r="Y2313" s="72">
        <v>46080.239583333336</v>
      </c>
      <c r="Z2313" s="104" t="s">
        <v>382</v>
      </c>
      <c r="AA2313" s="104" t="s">
        <v>414</v>
      </c>
      <c r="AB2313" s="105">
        <v>46080.027777777781</v>
      </c>
      <c r="AC2313" s="105">
        <v>46080.23125</v>
      </c>
    </row>
    <row r="2314" s="70" customFormat="1" ht="11.25" customHeight="1">
      <c r="A2314" s="87"/>
      <c r="C2314" s="43" t="s">
        <v>4028</v>
      </c>
      <c r="D2314" s="71" t="s">
        <v>382</v>
      </c>
      <c r="E2314" s="71" t="str">
        <f>MID(D2314,1,2)</f>
        <v>IL</v>
      </c>
      <c r="F2314" s="71" t="s">
        <v>597</v>
      </c>
      <c r="G2314" s="71" t="str">
        <f>MID(F2314,1,2)</f>
        <v>NL</v>
      </c>
      <c r="H2314" s="43" t="s">
        <v>4010</v>
      </c>
      <c r="I2314" s="71" t="s">
        <v>4029</v>
      </c>
      <c r="J2314" s="71" t="s">
        <v>400</v>
      </c>
      <c r="K2314" s="43"/>
      <c r="L2314" s="71" t="s">
        <v>105</v>
      </c>
      <c r="M2314" s="73">
        <v>98</v>
      </c>
      <c r="N2314" s="71" t="s">
        <v>388</v>
      </c>
      <c r="O2314" s="73">
        <v>0.749</v>
      </c>
      <c r="P2314" s="71" t="s">
        <v>389</v>
      </c>
      <c r="Q2314" s="73">
        <v>125</v>
      </c>
      <c r="R2314" s="71" t="s">
        <v>388</v>
      </c>
      <c r="S2314" s="73">
        <v>0</v>
      </c>
      <c r="T2314" s="71" t="s">
        <v>390</v>
      </c>
      <c r="U2314" s="74">
        <v>1</v>
      </c>
      <c r="V2314" s="71" t="s">
        <v>391</v>
      </c>
      <c r="W2314" s="130">
        <v>46078.4375</v>
      </c>
      <c r="X2314" s="72">
        <v>46080.586805555555</v>
      </c>
      <c r="Y2314" s="72">
        <v>46083.402777777781</v>
      </c>
      <c r="Z2314" s="104" t="s">
        <v>382</v>
      </c>
      <c r="AA2314" s="104" t="s">
        <v>590</v>
      </c>
      <c r="AB2314" s="105">
        <v>46080.609722222223</v>
      </c>
      <c r="AC2314" s="105">
        <v>46081.085416666669</v>
      </c>
    </row>
    <row r="2315" s="70" customFormat="1" ht="11.25" customHeight="1">
      <c r="A2315" s="87"/>
      <c r="C2315" s="43" t="s">
        <v>4028</v>
      </c>
      <c r="D2315" s="71" t="s">
        <v>382</v>
      </c>
      <c r="E2315" s="71" t="str">
        <f>MID(D2315,1,2)</f>
        <v>IL</v>
      </c>
      <c r="F2315" s="71" t="s">
        <v>597</v>
      </c>
      <c r="G2315" s="71" t="str">
        <f>MID(F2315,1,2)</f>
        <v>NL</v>
      </c>
      <c r="H2315" s="43" t="s">
        <v>4010</v>
      </c>
      <c r="I2315" s="71" t="s">
        <v>4029</v>
      </c>
      <c r="J2315" s="71" t="s">
        <v>400</v>
      </c>
      <c r="K2315" s="43"/>
      <c r="L2315" s="71" t="s">
        <v>105</v>
      </c>
      <c r="M2315" s="73">
        <v>98</v>
      </c>
      <c r="N2315" s="71" t="s">
        <v>388</v>
      </c>
      <c r="O2315" s="73">
        <v>0.749</v>
      </c>
      <c r="P2315" s="71" t="s">
        <v>389</v>
      </c>
      <c r="Q2315" s="73">
        <v>125</v>
      </c>
      <c r="R2315" s="71" t="s">
        <v>388</v>
      </c>
      <c r="S2315" s="73">
        <v>0</v>
      </c>
      <c r="T2315" s="71" t="s">
        <v>390</v>
      </c>
      <c r="U2315" s="74">
        <v>1</v>
      </c>
      <c r="V2315" s="71" t="s">
        <v>391</v>
      </c>
      <c r="W2315" s="130">
        <v>46078.4375</v>
      </c>
      <c r="X2315" s="72">
        <v>46080.586805555555</v>
      </c>
      <c r="Y2315" s="72">
        <v>46083.402777777781</v>
      </c>
      <c r="Z2315" s="104" t="s">
        <v>590</v>
      </c>
      <c r="AA2315" s="104" t="s">
        <v>597</v>
      </c>
      <c r="AB2315" s="105">
        <v>46083.295138888891</v>
      </c>
      <c r="AC2315" s="105">
        <v>46083.390277777777</v>
      </c>
    </row>
    <row r="2316" s="70" customFormat="1" ht="11.25" customHeight="1">
      <c r="A2316" s="87"/>
      <c r="C2316" s="43" t="s">
        <v>4030</v>
      </c>
      <c r="D2316" s="71" t="s">
        <v>382</v>
      </c>
      <c r="E2316" s="71" t="str">
        <f>MID(D2316,1,2)</f>
        <v>IL</v>
      </c>
      <c r="F2316" s="71" t="s">
        <v>414</v>
      </c>
      <c r="G2316" s="71" t="str">
        <f>MID(F2316,1,2)</f>
        <v>US</v>
      </c>
      <c r="H2316" s="43" t="s">
        <v>3683</v>
      </c>
      <c r="I2316" s="71" t="s">
        <v>4031</v>
      </c>
      <c r="J2316" s="71" t="s">
        <v>454</v>
      </c>
      <c r="K2316" s="43" t="s">
        <v>759</v>
      </c>
      <c r="L2316" s="71" t="s">
        <v>107</v>
      </c>
      <c r="M2316" s="73">
        <v>3</v>
      </c>
      <c r="N2316" s="71" t="s">
        <v>388</v>
      </c>
      <c r="O2316" s="73">
        <v>0.038</v>
      </c>
      <c r="P2316" s="71" t="s">
        <v>389</v>
      </c>
      <c r="Q2316" s="73">
        <v>6.5</v>
      </c>
      <c r="R2316" s="71" t="s">
        <v>388</v>
      </c>
      <c r="S2316" s="73">
        <v>0</v>
      </c>
      <c r="T2316" s="71" t="s">
        <v>390</v>
      </c>
      <c r="U2316" s="74">
        <v>1</v>
      </c>
      <c r="V2316" s="71" t="s">
        <v>427</v>
      </c>
      <c r="W2316" s="130">
        <v>46078.4375</v>
      </c>
      <c r="X2316" s="72">
        <v>46080.03125</v>
      </c>
      <c r="Y2316" s="72">
        <v>46080.239583333336</v>
      </c>
      <c r="Z2316" s="104" t="s">
        <v>382</v>
      </c>
      <c r="AA2316" s="104" t="s">
        <v>414</v>
      </c>
      <c r="AB2316" s="105">
        <v>46080.027777777781</v>
      </c>
      <c r="AC2316" s="105">
        <v>46080.23125</v>
      </c>
    </row>
    <row r="2317" s="70" customFormat="1" ht="11.25" customHeight="1">
      <c r="A2317" s="87"/>
      <c r="C2317" s="43" t="s">
        <v>4032</v>
      </c>
      <c r="D2317" s="71" t="s">
        <v>382</v>
      </c>
      <c r="E2317" s="71" t="str">
        <f>MID(D2317,1,2)</f>
        <v>IL</v>
      </c>
      <c r="F2317" s="71" t="s">
        <v>1538</v>
      </c>
      <c r="G2317" s="71" t="str">
        <f>MID(F2317,1,2)</f>
        <v>KR</v>
      </c>
      <c r="H2317" s="43" t="s">
        <v>4033</v>
      </c>
      <c r="I2317" s="71" t="s">
        <v>4034</v>
      </c>
      <c r="J2317" s="71" t="s">
        <v>400</v>
      </c>
      <c r="K2317" s="43"/>
      <c r="L2317" s="71" t="s">
        <v>105</v>
      </c>
      <c r="M2317" s="73">
        <v>12</v>
      </c>
      <c r="N2317" s="71" t="s">
        <v>388</v>
      </c>
      <c r="O2317" s="73">
        <v>0.106</v>
      </c>
      <c r="P2317" s="71" t="s">
        <v>389</v>
      </c>
      <c r="Q2317" s="73">
        <v>18</v>
      </c>
      <c r="R2317" s="71" t="s">
        <v>388</v>
      </c>
      <c r="S2317" s="73">
        <v>0</v>
      </c>
      <c r="T2317" s="71" t="s">
        <v>390</v>
      </c>
      <c r="U2317" s="74">
        <v>1</v>
      </c>
      <c r="V2317" s="71" t="s">
        <v>391</v>
      </c>
      <c r="W2317" s="130">
        <v>46078.920023148145</v>
      </c>
      <c r="X2317" s="72">
        <v>46080.429166666669</v>
      </c>
      <c r="Y2317" s="72">
        <v>46081.958333333336</v>
      </c>
      <c r="Z2317" s="104" t="s">
        <v>382</v>
      </c>
      <c r="AA2317" s="104" t="s">
        <v>383</v>
      </c>
      <c r="AB2317" s="105">
        <v>46080.56527777778</v>
      </c>
      <c r="AC2317" s="105">
        <v>46080.703472222223</v>
      </c>
    </row>
    <row r="2318" s="70" customFormat="1" ht="11.25" customHeight="1">
      <c r="A2318" s="87"/>
      <c r="C2318" s="43" t="s">
        <v>4032</v>
      </c>
      <c r="D2318" s="71" t="s">
        <v>382</v>
      </c>
      <c r="E2318" s="71" t="str">
        <f>MID(D2318,1,2)</f>
        <v>IL</v>
      </c>
      <c r="F2318" s="71" t="s">
        <v>1538</v>
      </c>
      <c r="G2318" s="71" t="str">
        <f>MID(F2318,1,2)</f>
        <v>KR</v>
      </c>
      <c r="H2318" s="43" t="s">
        <v>4033</v>
      </c>
      <c r="I2318" s="71" t="s">
        <v>4034</v>
      </c>
      <c r="J2318" s="71" t="s">
        <v>400</v>
      </c>
      <c r="K2318" s="43"/>
      <c r="L2318" s="71" t="s">
        <v>105</v>
      </c>
      <c r="M2318" s="73">
        <v>12</v>
      </c>
      <c r="N2318" s="71" t="s">
        <v>388</v>
      </c>
      <c r="O2318" s="73">
        <v>0.106</v>
      </c>
      <c r="P2318" s="71" t="s">
        <v>389</v>
      </c>
      <c r="Q2318" s="73">
        <v>18</v>
      </c>
      <c r="R2318" s="71" t="s">
        <v>388</v>
      </c>
      <c r="S2318" s="73">
        <v>0</v>
      </c>
      <c r="T2318" s="71" t="s">
        <v>390</v>
      </c>
      <c r="U2318" s="74">
        <v>1</v>
      </c>
      <c r="V2318" s="71" t="s">
        <v>391</v>
      </c>
      <c r="W2318" s="130">
        <v>46078.920023148145</v>
      </c>
      <c r="X2318" s="72">
        <v>46080.429166666669</v>
      </c>
      <c r="Y2318" s="72">
        <v>46081.958333333336</v>
      </c>
      <c r="Z2318" s="104" t="s">
        <v>383</v>
      </c>
      <c r="AA2318" s="104" t="s">
        <v>1538</v>
      </c>
      <c r="AB2318" s="105">
        <v>46080.87222222222</v>
      </c>
      <c r="AC2318" s="105">
        <v>46081.948611111111</v>
      </c>
    </row>
    <row r="2319" s="70" customFormat="1" ht="11.25" customHeight="1">
      <c r="A2319" s="87"/>
      <c r="C2319" s="43" t="s">
        <v>4035</v>
      </c>
      <c r="D2319" s="71" t="s">
        <v>382</v>
      </c>
      <c r="E2319" s="71" t="str">
        <f>MID(D2319,1,2)</f>
        <v>IL</v>
      </c>
      <c r="F2319" s="71" t="s">
        <v>419</v>
      </c>
      <c r="G2319" s="71" t="str">
        <f>MID(F2319,1,2)</f>
        <v>US</v>
      </c>
      <c r="H2319" s="43" t="s">
        <v>3924</v>
      </c>
      <c r="I2319" s="71" t="s">
        <v>4036</v>
      </c>
      <c r="J2319" s="71" t="s">
        <v>386</v>
      </c>
      <c r="K2319" s="43"/>
      <c r="L2319" s="71" t="s">
        <v>107</v>
      </c>
      <c r="M2319" s="73">
        <v>3</v>
      </c>
      <c r="N2319" s="71" t="s">
        <v>388</v>
      </c>
      <c r="O2319" s="73">
        <v>0.047</v>
      </c>
      <c r="P2319" s="71" t="s">
        <v>389</v>
      </c>
      <c r="Q2319" s="73">
        <v>8</v>
      </c>
      <c r="R2319" s="71" t="s">
        <v>388</v>
      </c>
      <c r="S2319" s="73">
        <v>0</v>
      </c>
      <c r="T2319" s="71" t="s">
        <v>390</v>
      </c>
      <c r="U2319" s="74">
        <v>1</v>
      </c>
      <c r="V2319" s="71" t="s">
        <v>446</v>
      </c>
      <c r="W2319" s="130">
        <v>46078.795497685183</v>
      </c>
      <c r="X2319" s="72">
        <v>46079.479166666664</v>
      </c>
      <c r="Y2319" s="72">
        <v>46080.645833333336</v>
      </c>
      <c r="Z2319" s="104" t="s">
        <v>382</v>
      </c>
      <c r="AA2319" s="104" t="s">
        <v>422</v>
      </c>
      <c r="AB2319" s="105">
        <v>46079.970138888886</v>
      </c>
      <c r="AC2319" s="105">
        <v>46080.174305555556</v>
      </c>
    </row>
    <row r="2320" s="70" customFormat="1" ht="11.25" customHeight="1">
      <c r="A2320" s="87"/>
      <c r="C2320" s="43" t="s">
        <v>4035</v>
      </c>
      <c r="D2320" s="71" t="s">
        <v>382</v>
      </c>
      <c r="E2320" s="71" t="str">
        <f>MID(D2320,1,2)</f>
        <v>IL</v>
      </c>
      <c r="F2320" s="71" t="s">
        <v>419</v>
      </c>
      <c r="G2320" s="71" t="str">
        <f>MID(F2320,1,2)</f>
        <v>US</v>
      </c>
      <c r="H2320" s="43" t="s">
        <v>3924</v>
      </c>
      <c r="I2320" s="71" t="s">
        <v>4036</v>
      </c>
      <c r="J2320" s="71" t="s">
        <v>386</v>
      </c>
      <c r="K2320" s="43"/>
      <c r="L2320" s="71" t="s">
        <v>107</v>
      </c>
      <c r="M2320" s="73">
        <v>3</v>
      </c>
      <c r="N2320" s="71" t="s">
        <v>388</v>
      </c>
      <c r="O2320" s="73">
        <v>0.047</v>
      </c>
      <c r="P2320" s="71" t="s">
        <v>389</v>
      </c>
      <c r="Q2320" s="73">
        <v>8</v>
      </c>
      <c r="R2320" s="71" t="s">
        <v>388</v>
      </c>
      <c r="S2320" s="73">
        <v>0</v>
      </c>
      <c r="T2320" s="71" t="s">
        <v>390</v>
      </c>
      <c r="U2320" s="74">
        <v>1</v>
      </c>
      <c r="V2320" s="71" t="s">
        <v>446</v>
      </c>
      <c r="W2320" s="130">
        <v>46078.795497685183</v>
      </c>
      <c r="X2320" s="72">
        <v>46079.479166666664</v>
      </c>
      <c r="Y2320" s="72">
        <v>46080.645833333336</v>
      </c>
      <c r="Z2320" s="104" t="s">
        <v>422</v>
      </c>
      <c r="AA2320" s="104" t="s">
        <v>419</v>
      </c>
      <c r="AB2320" s="105">
        <v>46080.540277777778</v>
      </c>
      <c r="AC2320" s="105">
        <v>46080.63125</v>
      </c>
    </row>
    <row r="2321" s="70" customFormat="1" ht="11.25" customHeight="1">
      <c r="A2321" s="87"/>
      <c r="C2321" s="43" t="s">
        <v>4037</v>
      </c>
      <c r="D2321" s="71" t="s">
        <v>382</v>
      </c>
      <c r="E2321" s="71" t="str">
        <f>MID(D2321,1,2)</f>
        <v>IL</v>
      </c>
      <c r="F2321" s="71" t="s">
        <v>597</v>
      </c>
      <c r="G2321" s="71" t="str">
        <f>MID(F2321,1,2)</f>
        <v>NL</v>
      </c>
      <c r="H2321" s="43" t="s">
        <v>4010</v>
      </c>
      <c r="I2321" s="71" t="s">
        <v>4038</v>
      </c>
      <c r="J2321" s="71" t="s">
        <v>400</v>
      </c>
      <c r="K2321" s="43"/>
      <c r="L2321" s="71" t="s">
        <v>105</v>
      </c>
      <c r="M2321" s="73">
        <v>10</v>
      </c>
      <c r="N2321" s="71" t="s">
        <v>388</v>
      </c>
      <c r="O2321" s="73">
        <v>0.092</v>
      </c>
      <c r="P2321" s="71" t="s">
        <v>389</v>
      </c>
      <c r="Q2321" s="73">
        <v>15.5</v>
      </c>
      <c r="R2321" s="71" t="s">
        <v>388</v>
      </c>
      <c r="S2321" s="73">
        <v>0</v>
      </c>
      <c r="T2321" s="71" t="s">
        <v>390</v>
      </c>
      <c r="U2321" s="74">
        <v>1</v>
      </c>
      <c r="V2321" s="71" t="s">
        <v>391</v>
      </c>
      <c r="W2321" s="130">
        <v>46078.445138888892</v>
      </c>
      <c r="X2321" s="72">
        <v>46080.586805555555</v>
      </c>
      <c r="Y2321" s="72">
        <v>46083.402777777781</v>
      </c>
      <c r="Z2321" s="104" t="s">
        <v>382</v>
      </c>
      <c r="AA2321" s="104" t="s">
        <v>590</v>
      </c>
      <c r="AB2321" s="105">
        <v>46080.609722222223</v>
      </c>
      <c r="AC2321" s="105">
        <v>46081.085416666669</v>
      </c>
    </row>
    <row r="2322" s="70" customFormat="1" ht="11.25" customHeight="1">
      <c r="A2322" s="87"/>
      <c r="C2322" s="43" t="s">
        <v>4037</v>
      </c>
      <c r="D2322" s="71" t="s">
        <v>382</v>
      </c>
      <c r="E2322" s="71" t="str">
        <f>MID(D2322,1,2)</f>
        <v>IL</v>
      </c>
      <c r="F2322" s="71" t="s">
        <v>597</v>
      </c>
      <c r="G2322" s="71" t="str">
        <f>MID(F2322,1,2)</f>
        <v>NL</v>
      </c>
      <c r="H2322" s="43" t="s">
        <v>4010</v>
      </c>
      <c r="I2322" s="71" t="s">
        <v>4038</v>
      </c>
      <c r="J2322" s="71" t="s">
        <v>400</v>
      </c>
      <c r="K2322" s="43"/>
      <c r="L2322" s="71" t="s">
        <v>105</v>
      </c>
      <c r="M2322" s="73">
        <v>10</v>
      </c>
      <c r="N2322" s="71" t="s">
        <v>388</v>
      </c>
      <c r="O2322" s="73">
        <v>0.092</v>
      </c>
      <c r="P2322" s="71" t="s">
        <v>389</v>
      </c>
      <c r="Q2322" s="73">
        <v>15.5</v>
      </c>
      <c r="R2322" s="71" t="s">
        <v>388</v>
      </c>
      <c r="S2322" s="73">
        <v>0</v>
      </c>
      <c r="T2322" s="71" t="s">
        <v>390</v>
      </c>
      <c r="U2322" s="74">
        <v>1</v>
      </c>
      <c r="V2322" s="71" t="s">
        <v>391</v>
      </c>
      <c r="W2322" s="130">
        <v>46078.445138888892</v>
      </c>
      <c r="X2322" s="72">
        <v>46080.586805555555</v>
      </c>
      <c r="Y2322" s="72">
        <v>46083.402777777781</v>
      </c>
      <c r="Z2322" s="104" t="s">
        <v>590</v>
      </c>
      <c r="AA2322" s="104" t="s">
        <v>597</v>
      </c>
      <c r="AB2322" s="105">
        <v>46083.295138888891</v>
      </c>
      <c r="AC2322" s="105">
        <v>46083.390277777777</v>
      </c>
    </row>
    <row r="2323" s="70" customFormat="1" ht="11.25" customHeight="1">
      <c r="A2323" s="87"/>
      <c r="C2323" s="43" t="s">
        <v>4039</v>
      </c>
      <c r="D2323" s="71" t="s">
        <v>382</v>
      </c>
      <c r="E2323" s="71" t="str">
        <f>MID(D2323,1,2)</f>
        <v>IL</v>
      </c>
      <c r="F2323" s="71" t="s">
        <v>468</v>
      </c>
      <c r="G2323" s="71" t="str">
        <f>MID(F2323,1,2)</f>
        <v>US</v>
      </c>
      <c r="H2323" s="43" t="s">
        <v>4040</v>
      </c>
      <c r="I2323" s="71" t="s">
        <v>4041</v>
      </c>
      <c r="J2323" s="71" t="s">
        <v>386</v>
      </c>
      <c r="K2323" s="43"/>
      <c r="L2323" s="71" t="s">
        <v>107</v>
      </c>
      <c r="M2323" s="73">
        <v>165</v>
      </c>
      <c r="N2323" s="71" t="s">
        <v>388</v>
      </c>
      <c r="O2323" s="73">
        <v>0.516</v>
      </c>
      <c r="P2323" s="71" t="s">
        <v>389</v>
      </c>
      <c r="Q2323" s="73">
        <v>165</v>
      </c>
      <c r="R2323" s="71" t="s">
        <v>388</v>
      </c>
      <c r="S2323" s="73">
        <v>0</v>
      </c>
      <c r="T2323" s="71" t="s">
        <v>390</v>
      </c>
      <c r="U2323" s="74">
        <v>5</v>
      </c>
      <c r="V2323" s="71" t="s">
        <v>391</v>
      </c>
      <c r="W2323" s="130">
        <v>46079.952164351853</v>
      </c>
      <c r="X2323" s="72">
        <v>46083.45208333333</v>
      </c>
      <c r="Y2323" s="72">
        <v>46103.479166666664</v>
      </c>
      <c r="Z2323" s="104" t="s">
        <v>382</v>
      </c>
      <c r="AA2323" s="104" t="s">
        <v>408</v>
      </c>
      <c r="AB2323" s="105">
        <v>46096.147916666669</v>
      </c>
      <c r="AC2323" s="105"/>
    </row>
    <row r="2324" s="70" customFormat="1" ht="11.25" customHeight="1">
      <c r="A2324" s="87"/>
      <c r="C2324" s="43" t="s">
        <v>4039</v>
      </c>
      <c r="D2324" s="71" t="s">
        <v>382</v>
      </c>
      <c r="E2324" s="71" t="str">
        <f>MID(D2324,1,2)</f>
        <v>IL</v>
      </c>
      <c r="F2324" s="71" t="s">
        <v>468</v>
      </c>
      <c r="G2324" s="71" t="str">
        <f>MID(F2324,1,2)</f>
        <v>US</v>
      </c>
      <c r="H2324" s="43" t="s">
        <v>4040</v>
      </c>
      <c r="I2324" s="71" t="s">
        <v>4041</v>
      </c>
      <c r="J2324" s="71" t="s">
        <v>386</v>
      </c>
      <c r="K2324" s="43"/>
      <c r="L2324" s="71" t="s">
        <v>107</v>
      </c>
      <c r="M2324" s="73">
        <v>165</v>
      </c>
      <c r="N2324" s="71" t="s">
        <v>388</v>
      </c>
      <c r="O2324" s="73">
        <v>0.516</v>
      </c>
      <c r="P2324" s="71" t="s">
        <v>389</v>
      </c>
      <c r="Q2324" s="73">
        <v>165</v>
      </c>
      <c r="R2324" s="71" t="s">
        <v>388</v>
      </c>
      <c r="S2324" s="73">
        <v>0</v>
      </c>
      <c r="T2324" s="71" t="s">
        <v>390</v>
      </c>
      <c r="U2324" s="74">
        <v>5</v>
      </c>
      <c r="V2324" s="71" t="s">
        <v>391</v>
      </c>
      <c r="W2324" s="130">
        <v>46079.952164351853</v>
      </c>
      <c r="X2324" s="72">
        <v>46083.45208333333</v>
      </c>
      <c r="Y2324" s="72">
        <v>46103.479166666664</v>
      </c>
      <c r="Z2324" s="104" t="s">
        <v>408</v>
      </c>
      <c r="AA2324" s="104" t="s">
        <v>405</v>
      </c>
      <c r="AB2324" s="105">
        <v>46100.503472222219</v>
      </c>
      <c r="AC2324" s="105">
        <v>46100.6875</v>
      </c>
    </row>
    <row r="2325" s="70" customFormat="1" ht="11.25" customHeight="1">
      <c r="A2325" s="87"/>
      <c r="C2325" s="43" t="s">
        <v>4039</v>
      </c>
      <c r="D2325" s="71" t="s">
        <v>382</v>
      </c>
      <c r="E2325" s="71" t="str">
        <f>MID(D2325,1,2)</f>
        <v>IL</v>
      </c>
      <c r="F2325" s="71" t="s">
        <v>468</v>
      </c>
      <c r="G2325" s="71" t="str">
        <f>MID(F2325,1,2)</f>
        <v>US</v>
      </c>
      <c r="H2325" s="43" t="s">
        <v>4040</v>
      </c>
      <c r="I2325" s="71" t="s">
        <v>4041</v>
      </c>
      <c r="J2325" s="71" t="s">
        <v>386</v>
      </c>
      <c r="K2325" s="43"/>
      <c r="L2325" s="71" t="s">
        <v>107</v>
      </c>
      <c r="M2325" s="73">
        <v>165</v>
      </c>
      <c r="N2325" s="71" t="s">
        <v>388</v>
      </c>
      <c r="O2325" s="73">
        <v>0.516</v>
      </c>
      <c r="P2325" s="71" t="s">
        <v>389</v>
      </c>
      <c r="Q2325" s="73">
        <v>165</v>
      </c>
      <c r="R2325" s="71" t="s">
        <v>388</v>
      </c>
      <c r="S2325" s="73">
        <v>0</v>
      </c>
      <c r="T2325" s="71" t="s">
        <v>390</v>
      </c>
      <c r="U2325" s="74">
        <v>5</v>
      </c>
      <c r="V2325" s="71" t="s">
        <v>391</v>
      </c>
      <c r="W2325" s="130">
        <v>46079.952164351853</v>
      </c>
      <c r="X2325" s="72">
        <v>46083.45208333333</v>
      </c>
      <c r="Y2325" s="72">
        <v>46103.479166666664</v>
      </c>
      <c r="Z2325" s="104" t="s">
        <v>405</v>
      </c>
      <c r="AA2325" s="104" t="s">
        <v>468</v>
      </c>
      <c r="AB2325" s="105">
        <v>46102.856944444444</v>
      </c>
      <c r="AC2325" s="105">
        <v>46102.94027777778</v>
      </c>
    </row>
    <row r="2326" s="70" customFormat="1" ht="11.25" customHeight="1">
      <c r="A2326" s="87"/>
      <c r="C2326" s="43" t="s">
        <v>4042</v>
      </c>
      <c r="D2326" s="71" t="s">
        <v>382</v>
      </c>
      <c r="E2326" s="71" t="str">
        <f>MID(D2326,1,2)</f>
        <v>IL</v>
      </c>
      <c r="F2326" s="71" t="s">
        <v>465</v>
      </c>
      <c r="G2326" s="71" t="str">
        <f>MID(F2326,1,2)</f>
        <v>AZ</v>
      </c>
      <c r="H2326" s="43" t="s">
        <v>4043</v>
      </c>
      <c r="I2326" s="71"/>
      <c r="J2326" s="71" t="s">
        <v>426</v>
      </c>
      <c r="K2326" s="43"/>
      <c r="L2326" s="71" t="s">
        <v>105</v>
      </c>
      <c r="M2326" s="73">
        <v>51</v>
      </c>
      <c r="N2326" s="71" t="s">
        <v>388</v>
      </c>
      <c r="O2326" s="73">
        <v>0.199</v>
      </c>
      <c r="P2326" s="71" t="s">
        <v>389</v>
      </c>
      <c r="Q2326" s="73">
        <v>100</v>
      </c>
      <c r="R2326" s="71" t="s">
        <v>388</v>
      </c>
      <c r="S2326" s="73">
        <v>0</v>
      </c>
      <c r="T2326" s="71" t="s">
        <v>390</v>
      </c>
      <c r="U2326" s="74">
        <v>1</v>
      </c>
      <c r="V2326" s="71" t="s">
        <v>391</v>
      </c>
      <c r="W2326" s="130"/>
      <c r="X2326" s="72">
        <v>46103.493055555555</v>
      </c>
      <c r="Y2326" s="72">
        <v>46104.493055555555</v>
      </c>
      <c r="Z2326" s="104" t="s">
        <v>382</v>
      </c>
      <c r="AA2326" s="104" t="s">
        <v>465</v>
      </c>
      <c r="AB2326" s="105"/>
      <c r="AC2326" s="105"/>
    </row>
    <row r="2327" s="70" customFormat="1" ht="11.25" customHeight="1">
      <c r="A2327" s="87"/>
      <c r="C2327" s="43" t="s">
        <v>4044</v>
      </c>
      <c r="D2327" s="71" t="s">
        <v>382</v>
      </c>
      <c r="E2327" s="71" t="str">
        <f>MID(D2327,1,2)</f>
        <v>IL</v>
      </c>
      <c r="F2327" s="71" t="s">
        <v>684</v>
      </c>
      <c r="G2327" s="71" t="str">
        <f>MID(F2327,1,2)</f>
        <v>IT</v>
      </c>
      <c r="H2327" s="43" t="s">
        <v>4045</v>
      </c>
      <c r="I2327" s="71" t="s">
        <v>4046</v>
      </c>
      <c r="J2327" s="71" t="s">
        <v>454</v>
      </c>
      <c r="K2327" s="43"/>
      <c r="L2327" s="71" t="s">
        <v>107</v>
      </c>
      <c r="M2327" s="73">
        <v>1250</v>
      </c>
      <c r="N2327" s="71" t="s">
        <v>388</v>
      </c>
      <c r="O2327" s="73">
        <v>6.18</v>
      </c>
      <c r="P2327" s="71" t="s">
        <v>389</v>
      </c>
      <c r="Q2327" s="73">
        <v>1250</v>
      </c>
      <c r="R2327" s="71" t="s">
        <v>388</v>
      </c>
      <c r="S2327" s="73">
        <v>0</v>
      </c>
      <c r="T2327" s="71" t="s">
        <v>390</v>
      </c>
      <c r="U2327" s="74">
        <v>5</v>
      </c>
      <c r="V2327" s="71" t="s">
        <v>391</v>
      </c>
      <c r="W2327" s="130">
        <v>46078.631944444445</v>
      </c>
      <c r="X2327" s="72">
        <v>46082.683333333334</v>
      </c>
      <c r="Y2327" s="72">
        <v>46090.988194444442</v>
      </c>
      <c r="Z2327" s="104" t="s">
        <v>382</v>
      </c>
      <c r="AA2327" s="104" t="s">
        <v>684</v>
      </c>
      <c r="AB2327" s="105">
        <v>46090.84375</v>
      </c>
      <c r="AC2327" s="105">
        <v>46090.980555555558</v>
      </c>
    </row>
    <row r="2328" s="70" customFormat="1" ht="11.25" customHeight="1">
      <c r="A2328" s="87"/>
      <c r="C2328" s="43" t="s">
        <v>4047</v>
      </c>
      <c r="D2328" s="71" t="s">
        <v>382</v>
      </c>
      <c r="E2328" s="71" t="str">
        <f>MID(D2328,1,2)</f>
        <v>IL</v>
      </c>
      <c r="F2328" s="71" t="s">
        <v>526</v>
      </c>
      <c r="G2328" s="71" t="str">
        <f>MID(F2328,1,2)</f>
        <v>US</v>
      </c>
      <c r="H2328" s="43" t="s">
        <v>4048</v>
      </c>
      <c r="I2328" s="71" t="s">
        <v>4049</v>
      </c>
      <c r="J2328" s="71" t="s">
        <v>386</v>
      </c>
      <c r="K2328" s="43"/>
      <c r="L2328" s="71" t="s">
        <v>107</v>
      </c>
      <c r="M2328" s="73">
        <v>167</v>
      </c>
      <c r="N2328" s="71" t="s">
        <v>388</v>
      </c>
      <c r="O2328" s="73">
        <v>1.512</v>
      </c>
      <c r="P2328" s="71" t="s">
        <v>389</v>
      </c>
      <c r="Q2328" s="73">
        <v>252</v>
      </c>
      <c r="R2328" s="71" t="s">
        <v>388</v>
      </c>
      <c r="S2328" s="73">
        <v>10</v>
      </c>
      <c r="T2328" s="71" t="s">
        <v>390</v>
      </c>
      <c r="U2328" s="74">
        <v>2</v>
      </c>
      <c r="V2328" s="71" t="s">
        <v>391</v>
      </c>
      <c r="W2328" s="130">
        <v>46078.473611111112</v>
      </c>
      <c r="X2328" s="72">
        <v>46080.03125</v>
      </c>
      <c r="Y2328" s="72">
        <v>46080.25277777778</v>
      </c>
      <c r="Z2328" s="104" t="s">
        <v>382</v>
      </c>
      <c r="AA2328" s="104" t="s">
        <v>526</v>
      </c>
      <c r="AB2328" s="105">
        <v>46080.040277777778</v>
      </c>
      <c r="AC2328" s="105">
        <v>46080.249305555553</v>
      </c>
    </row>
    <row r="2329" s="70" customFormat="1" ht="11.25" customHeight="1">
      <c r="A2329" s="87"/>
      <c r="C2329" s="43" t="s">
        <v>4050</v>
      </c>
      <c r="D2329" s="71" t="s">
        <v>382</v>
      </c>
      <c r="E2329" s="71" t="str">
        <f>MID(D2329,1,2)</f>
        <v>IL</v>
      </c>
      <c r="F2329" s="71" t="s">
        <v>1117</v>
      </c>
      <c r="G2329" s="71" t="str">
        <f>MID(F2329,1,2)</f>
        <v>BE</v>
      </c>
      <c r="H2329" s="43" t="s">
        <v>4051</v>
      </c>
      <c r="I2329" s="71" t="s">
        <v>4052</v>
      </c>
      <c r="J2329" s="71" t="s">
        <v>454</v>
      </c>
      <c r="K2329" s="43"/>
      <c r="L2329" s="71" t="s">
        <v>107</v>
      </c>
      <c r="M2329" s="73">
        <v>126</v>
      </c>
      <c r="N2329" s="71" t="s">
        <v>388</v>
      </c>
      <c r="O2329" s="73">
        <v>0.432</v>
      </c>
      <c r="P2329" s="71" t="s">
        <v>389</v>
      </c>
      <c r="Q2329" s="73">
        <v>126</v>
      </c>
      <c r="R2329" s="71" t="s">
        <v>388</v>
      </c>
      <c r="S2329" s="73">
        <v>0</v>
      </c>
      <c r="T2329" s="71" t="s">
        <v>390</v>
      </c>
      <c r="U2329" s="74">
        <v>1</v>
      </c>
      <c r="V2329" s="71" t="s">
        <v>391</v>
      </c>
      <c r="W2329" s="130">
        <v>46079.805833333332</v>
      </c>
      <c r="X2329" s="72">
        <v>46081.246527777781</v>
      </c>
      <c r="Y2329" s="72">
        <v>46081.798611111109</v>
      </c>
      <c r="Z2329" s="104" t="s">
        <v>382</v>
      </c>
      <c r="AA2329" s="104" t="s">
        <v>595</v>
      </c>
      <c r="AB2329" s="105">
        <v>46081.238888888889</v>
      </c>
      <c r="AC2329" s="105">
        <v>46081.339583333334</v>
      </c>
    </row>
    <row r="2330" s="70" customFormat="1" ht="11.25" customHeight="1">
      <c r="A2330" s="87"/>
      <c r="C2330" s="43" t="s">
        <v>4050</v>
      </c>
      <c r="D2330" s="71" t="s">
        <v>382</v>
      </c>
      <c r="E2330" s="71" t="str">
        <f>MID(D2330,1,2)</f>
        <v>IL</v>
      </c>
      <c r="F2330" s="71" t="s">
        <v>1117</v>
      </c>
      <c r="G2330" s="71" t="str">
        <f>MID(F2330,1,2)</f>
        <v>BE</v>
      </c>
      <c r="H2330" s="43" t="s">
        <v>4051</v>
      </c>
      <c r="I2330" s="71" t="s">
        <v>4052</v>
      </c>
      <c r="J2330" s="71" t="s">
        <v>454</v>
      </c>
      <c r="K2330" s="43"/>
      <c r="L2330" s="71" t="s">
        <v>107</v>
      </c>
      <c r="M2330" s="73">
        <v>126</v>
      </c>
      <c r="N2330" s="71" t="s">
        <v>388</v>
      </c>
      <c r="O2330" s="73">
        <v>0.432</v>
      </c>
      <c r="P2330" s="71" t="s">
        <v>389</v>
      </c>
      <c r="Q2330" s="73">
        <v>126</v>
      </c>
      <c r="R2330" s="71" t="s">
        <v>388</v>
      </c>
      <c r="S2330" s="73">
        <v>0</v>
      </c>
      <c r="T2330" s="71" t="s">
        <v>390</v>
      </c>
      <c r="U2330" s="74">
        <v>1</v>
      </c>
      <c r="V2330" s="71" t="s">
        <v>391</v>
      </c>
      <c r="W2330" s="130">
        <v>46079.805833333332</v>
      </c>
      <c r="X2330" s="72">
        <v>46081.246527777781</v>
      </c>
      <c r="Y2330" s="72">
        <v>46081.798611111109</v>
      </c>
      <c r="Z2330" s="104" t="s">
        <v>595</v>
      </c>
      <c r="AA2330" s="104" t="s">
        <v>1117</v>
      </c>
      <c r="AB2330" s="105">
        <v>46081.729861111111</v>
      </c>
      <c r="AC2330" s="105">
        <v>46081.919444444444</v>
      </c>
    </row>
    <row r="2331" s="70" customFormat="1" ht="11.25" customHeight="1">
      <c r="A2331" s="87"/>
      <c r="C2331" s="43" t="s">
        <v>4053</v>
      </c>
      <c r="D2331" s="71" t="s">
        <v>382</v>
      </c>
      <c r="E2331" s="71" t="str">
        <f>MID(D2331,1,2)</f>
        <v>IL</v>
      </c>
      <c r="F2331" s="71" t="s">
        <v>414</v>
      </c>
      <c r="G2331" s="71" t="str">
        <f>MID(F2331,1,2)</f>
        <v>US</v>
      </c>
      <c r="H2331" s="43" t="s">
        <v>4054</v>
      </c>
      <c r="I2331" s="71" t="s">
        <v>4055</v>
      </c>
      <c r="J2331" s="71" t="s">
        <v>454</v>
      </c>
      <c r="K2331" s="43"/>
      <c r="L2331" s="71" t="s">
        <v>107</v>
      </c>
      <c r="M2331" s="73">
        <v>698</v>
      </c>
      <c r="N2331" s="71" t="s">
        <v>388</v>
      </c>
      <c r="O2331" s="73">
        <v>10.692</v>
      </c>
      <c r="P2331" s="71" t="s">
        <v>389</v>
      </c>
      <c r="Q2331" s="73">
        <v>6000</v>
      </c>
      <c r="R2331" s="71" t="s">
        <v>388</v>
      </c>
      <c r="S2331" s="73">
        <v>0</v>
      </c>
      <c r="T2331" s="71" t="s">
        <v>390</v>
      </c>
      <c r="U2331" s="74">
        <v>1</v>
      </c>
      <c r="V2331" s="71" t="s">
        <v>391</v>
      </c>
      <c r="W2331" s="130"/>
      <c r="X2331" s="72">
        <v>46081.25</v>
      </c>
      <c r="Y2331" s="72">
        <v>46081.666666666664</v>
      </c>
      <c r="Z2331" s="104" t="s">
        <v>382</v>
      </c>
      <c r="AA2331" s="104" t="s">
        <v>414</v>
      </c>
      <c r="AB2331" s="105">
        <v>46081.271527777775</v>
      </c>
      <c r="AC2331" s="105">
        <v>46081.450694444444</v>
      </c>
    </row>
    <row r="2332" s="70" customFormat="1" ht="11.25" customHeight="1">
      <c r="A2332" s="87"/>
      <c r="C2332" s="43" t="s">
        <v>4056</v>
      </c>
      <c r="D2332" s="71" t="s">
        <v>382</v>
      </c>
      <c r="E2332" s="71" t="str">
        <f>MID(D2332,1,2)</f>
        <v>IL</v>
      </c>
      <c r="F2332" s="71" t="s">
        <v>414</v>
      </c>
      <c r="G2332" s="71" t="str">
        <f>MID(F2332,1,2)</f>
        <v>US</v>
      </c>
      <c r="H2332" s="43" t="s">
        <v>4057</v>
      </c>
      <c r="I2332" s="71" t="s">
        <v>4058</v>
      </c>
      <c r="J2332" s="71" t="s">
        <v>426</v>
      </c>
      <c r="K2332" s="43" t="s">
        <v>759</v>
      </c>
      <c r="L2332" s="71" t="s">
        <v>105</v>
      </c>
      <c r="M2332" s="73">
        <v>1300</v>
      </c>
      <c r="N2332" s="71" t="s">
        <v>388</v>
      </c>
      <c r="O2332" s="73">
        <v>9.976</v>
      </c>
      <c r="P2332" s="71" t="s">
        <v>389</v>
      </c>
      <c r="Q2332" s="73">
        <v>1663</v>
      </c>
      <c r="R2332" s="71" t="s">
        <v>388</v>
      </c>
      <c r="S2332" s="73">
        <v>0</v>
      </c>
      <c r="T2332" s="71" t="s">
        <v>390</v>
      </c>
      <c r="U2332" s="74">
        <v>5</v>
      </c>
      <c r="V2332" s="71" t="s">
        <v>391</v>
      </c>
      <c r="W2332" s="130">
        <v>46078.479166666664</v>
      </c>
      <c r="X2332" s="72">
        <v>46086.1875</v>
      </c>
      <c r="Y2332" s="72">
        <v>46086.520833333336</v>
      </c>
      <c r="Z2332" s="104" t="s">
        <v>382</v>
      </c>
      <c r="AA2332" s="104" t="s">
        <v>414</v>
      </c>
      <c r="AB2332" s="105">
        <v>46086.242361111108</v>
      </c>
      <c r="AC2332" s="105">
        <v>46086.42083333333</v>
      </c>
    </row>
    <row r="2333" s="70" customFormat="1" ht="11.25" customHeight="1">
      <c r="A2333" s="87"/>
      <c r="C2333" s="43" t="s">
        <v>4059</v>
      </c>
      <c r="D2333" s="71" t="s">
        <v>382</v>
      </c>
      <c r="E2333" s="71" t="str">
        <f>MID(D2333,1,2)</f>
        <v>IL</v>
      </c>
      <c r="F2333" s="71" t="s">
        <v>546</v>
      </c>
      <c r="G2333" s="71" t="str">
        <f>MID(F2333,1,2)</f>
        <v>GB</v>
      </c>
      <c r="H2333" s="43" t="s">
        <v>4060</v>
      </c>
      <c r="I2333" s="71" t="s">
        <v>4061</v>
      </c>
      <c r="J2333" s="71" t="s">
        <v>426</v>
      </c>
      <c r="K2333" s="43"/>
      <c r="L2333" s="71" t="s">
        <v>105</v>
      </c>
      <c r="M2333" s="73">
        <v>133</v>
      </c>
      <c r="N2333" s="71" t="s">
        <v>388</v>
      </c>
      <c r="O2333" s="73">
        <v>0.614</v>
      </c>
      <c r="P2333" s="71" t="s">
        <v>389</v>
      </c>
      <c r="Q2333" s="73">
        <v>133</v>
      </c>
      <c r="R2333" s="71" t="s">
        <v>388</v>
      </c>
      <c r="S2333" s="73">
        <v>0</v>
      </c>
      <c r="T2333" s="71" t="s">
        <v>390</v>
      </c>
      <c r="U2333" s="74">
        <v>1</v>
      </c>
      <c r="V2333" s="71" t="s">
        <v>391</v>
      </c>
      <c r="W2333" s="130">
        <v>46078.739988425928</v>
      </c>
      <c r="X2333" s="72">
        <v>46079.708333333336</v>
      </c>
      <c r="Y2333" s="72">
        <v>46079.853472222225</v>
      </c>
      <c r="Z2333" s="104" t="s">
        <v>382</v>
      </c>
      <c r="AA2333" s="104" t="s">
        <v>546</v>
      </c>
      <c r="AB2333" s="105">
        <v>46079.713194444441</v>
      </c>
      <c r="AC2333" s="105">
        <v>46079.838194444441</v>
      </c>
    </row>
    <row r="2334" s="70" customFormat="1" ht="11.25" customHeight="1">
      <c r="A2334" s="87"/>
      <c r="C2334" s="43" t="s">
        <v>4062</v>
      </c>
      <c r="D2334" s="71" t="s">
        <v>382</v>
      </c>
      <c r="E2334" s="71" t="str">
        <f>MID(D2334,1,2)</f>
        <v>IL</v>
      </c>
      <c r="F2334" s="71" t="s">
        <v>414</v>
      </c>
      <c r="G2334" s="71" t="str">
        <f>MID(F2334,1,2)</f>
        <v>US</v>
      </c>
      <c r="H2334" s="43" t="s">
        <v>3683</v>
      </c>
      <c r="I2334" s="71" t="s">
        <v>4063</v>
      </c>
      <c r="J2334" s="71" t="s">
        <v>386</v>
      </c>
      <c r="K2334" s="43"/>
      <c r="L2334" s="71" t="s">
        <v>107</v>
      </c>
      <c r="M2334" s="73">
        <v>3</v>
      </c>
      <c r="N2334" s="71" t="s">
        <v>388</v>
      </c>
      <c r="O2334" s="73">
        <v>0.074</v>
      </c>
      <c r="P2334" s="71" t="s">
        <v>389</v>
      </c>
      <c r="Q2334" s="73">
        <v>12.5</v>
      </c>
      <c r="R2334" s="71" t="s">
        <v>388</v>
      </c>
      <c r="S2334" s="73">
        <v>0</v>
      </c>
      <c r="T2334" s="71" t="s">
        <v>390</v>
      </c>
      <c r="U2334" s="74">
        <v>1</v>
      </c>
      <c r="V2334" s="71" t="s">
        <v>427</v>
      </c>
      <c r="W2334" s="130">
        <v>46078.486805555556</v>
      </c>
      <c r="X2334" s="72">
        <v>46080.03125</v>
      </c>
      <c r="Y2334" s="72">
        <v>46080.239583333336</v>
      </c>
      <c r="Z2334" s="104" t="s">
        <v>382</v>
      </c>
      <c r="AA2334" s="104" t="s">
        <v>414</v>
      </c>
      <c r="AB2334" s="105">
        <v>46080.027777777781</v>
      </c>
      <c r="AC2334" s="105">
        <v>46080.23125</v>
      </c>
    </row>
    <row r="2335" s="70" customFormat="1" ht="11.25" customHeight="1">
      <c r="A2335" s="87"/>
      <c r="C2335" s="43" t="s">
        <v>4064</v>
      </c>
      <c r="D2335" s="71" t="s">
        <v>382</v>
      </c>
      <c r="E2335" s="71" t="str">
        <f>MID(D2335,1,2)</f>
        <v>IL</v>
      </c>
      <c r="F2335" s="71" t="s">
        <v>496</v>
      </c>
      <c r="G2335" s="71" t="str">
        <f>MID(F2335,1,2)</f>
        <v>RO</v>
      </c>
      <c r="H2335" s="43" t="s">
        <v>3999</v>
      </c>
      <c r="I2335" s="71" t="s">
        <v>4065</v>
      </c>
      <c r="J2335" s="71" t="s">
        <v>386</v>
      </c>
      <c r="K2335" s="43"/>
      <c r="L2335" s="71" t="s">
        <v>107</v>
      </c>
      <c r="M2335" s="73">
        <v>7</v>
      </c>
      <c r="N2335" s="71" t="s">
        <v>388</v>
      </c>
      <c r="O2335" s="73">
        <v>0.124</v>
      </c>
      <c r="P2335" s="71" t="s">
        <v>389</v>
      </c>
      <c r="Q2335" s="73">
        <v>21</v>
      </c>
      <c r="R2335" s="71" t="s">
        <v>388</v>
      </c>
      <c r="S2335" s="73">
        <v>0</v>
      </c>
      <c r="T2335" s="71" t="s">
        <v>390</v>
      </c>
      <c r="U2335" s="74">
        <v>3</v>
      </c>
      <c r="V2335" s="71" t="s">
        <v>391</v>
      </c>
      <c r="W2335" s="130">
        <v>46078.688194444447</v>
      </c>
      <c r="X2335" s="72">
        <v>46093</v>
      </c>
      <c r="Y2335" s="72">
        <v>46097.083333333336</v>
      </c>
      <c r="Z2335" s="104" t="s">
        <v>382</v>
      </c>
      <c r="AA2335" s="104" t="s">
        <v>496</v>
      </c>
      <c r="AB2335" s="105">
        <v>46096.452777777777</v>
      </c>
      <c r="AC2335" s="105">
        <v>46096.5625</v>
      </c>
    </row>
    <row r="2336" s="70" customFormat="1" ht="11.25" customHeight="1">
      <c r="A2336" s="87"/>
      <c r="C2336" s="43" t="s">
        <v>4066</v>
      </c>
      <c r="D2336" s="71" t="s">
        <v>382</v>
      </c>
      <c r="E2336" s="71" t="str">
        <f>MID(D2336,1,2)</f>
        <v>IL</v>
      </c>
      <c r="F2336" s="71" t="s">
        <v>496</v>
      </c>
      <c r="G2336" s="71" t="str">
        <f>MID(F2336,1,2)</f>
        <v>RO</v>
      </c>
      <c r="H2336" s="43" t="s">
        <v>3999</v>
      </c>
      <c r="I2336" s="71" t="s">
        <v>4067</v>
      </c>
      <c r="J2336" s="71" t="s">
        <v>386</v>
      </c>
      <c r="K2336" s="43"/>
      <c r="L2336" s="71" t="s">
        <v>107</v>
      </c>
      <c r="M2336" s="73">
        <v>0.2</v>
      </c>
      <c r="N2336" s="71" t="s">
        <v>388</v>
      </c>
      <c r="O2336" s="73">
        <v>0.002</v>
      </c>
      <c r="P2336" s="71" t="s">
        <v>389</v>
      </c>
      <c r="Q2336" s="73">
        <v>0.5</v>
      </c>
      <c r="R2336" s="71" t="s">
        <v>388</v>
      </c>
      <c r="S2336" s="73">
        <v>0</v>
      </c>
      <c r="T2336" s="71" t="s">
        <v>390</v>
      </c>
      <c r="U2336" s="74">
        <v>1</v>
      </c>
      <c r="V2336" s="71" t="s">
        <v>391</v>
      </c>
      <c r="W2336" s="130">
        <v>46079.931284722225</v>
      </c>
      <c r="X2336" s="72">
        <v>46093</v>
      </c>
      <c r="Y2336" s="72">
        <v>46097.083333333336</v>
      </c>
      <c r="Z2336" s="104" t="s">
        <v>382</v>
      </c>
      <c r="AA2336" s="104" t="s">
        <v>496</v>
      </c>
      <c r="AB2336" s="105">
        <v>46096.452777777777</v>
      </c>
      <c r="AC2336" s="105">
        <v>46096.5625</v>
      </c>
    </row>
    <row r="2337" s="70" customFormat="1" ht="11.25" customHeight="1">
      <c r="A2337" s="87"/>
      <c r="C2337" s="43" t="s">
        <v>4068</v>
      </c>
      <c r="D2337" s="71" t="s">
        <v>382</v>
      </c>
      <c r="E2337" s="71" t="str">
        <f>MID(D2337,1,2)</f>
        <v>IL</v>
      </c>
      <c r="F2337" s="71" t="s">
        <v>597</v>
      </c>
      <c r="G2337" s="71" t="str">
        <f>MID(F2337,1,2)</f>
        <v>NL</v>
      </c>
      <c r="H2337" s="43" t="s">
        <v>4069</v>
      </c>
      <c r="I2337" s="71" t="s">
        <v>4070</v>
      </c>
      <c r="J2337" s="71" t="s">
        <v>400</v>
      </c>
      <c r="K2337" s="43"/>
      <c r="L2337" s="71" t="s">
        <v>105</v>
      </c>
      <c r="M2337" s="73">
        <v>663</v>
      </c>
      <c r="N2337" s="71" t="s">
        <v>388</v>
      </c>
      <c r="O2337" s="73">
        <v>7.932</v>
      </c>
      <c r="P2337" s="71" t="s">
        <v>389</v>
      </c>
      <c r="Q2337" s="73">
        <v>1322</v>
      </c>
      <c r="R2337" s="71" t="s">
        <v>388</v>
      </c>
      <c r="S2337" s="73">
        <v>0</v>
      </c>
      <c r="T2337" s="71" t="s">
        <v>390</v>
      </c>
      <c r="U2337" s="74">
        <v>6</v>
      </c>
      <c r="V2337" s="71" t="s">
        <v>391</v>
      </c>
      <c r="W2337" s="130">
        <v>46078.500694444447</v>
      </c>
      <c r="X2337" s="72">
        <v>46080.21875</v>
      </c>
      <c r="Y2337" s="72">
        <v>46083.020833333336</v>
      </c>
      <c r="Z2337" s="104" t="s">
        <v>382</v>
      </c>
      <c r="AA2337" s="104" t="s">
        <v>466</v>
      </c>
      <c r="AB2337" s="105">
        <v>46081.338888888888</v>
      </c>
      <c r="AC2337" s="105">
        <v>46081.461805555555</v>
      </c>
    </row>
    <row r="2338" s="70" customFormat="1" ht="11.25" customHeight="1">
      <c r="A2338" s="87"/>
      <c r="C2338" s="43" t="s">
        <v>4068</v>
      </c>
      <c r="D2338" s="71" t="s">
        <v>382</v>
      </c>
      <c r="E2338" s="71" t="str">
        <f>MID(D2338,1,2)</f>
        <v>IL</v>
      </c>
      <c r="F2338" s="71" t="s">
        <v>597</v>
      </c>
      <c r="G2338" s="71" t="str">
        <f>MID(F2338,1,2)</f>
        <v>NL</v>
      </c>
      <c r="H2338" s="43" t="s">
        <v>4069</v>
      </c>
      <c r="I2338" s="71" t="s">
        <v>4070</v>
      </c>
      <c r="J2338" s="71" t="s">
        <v>400</v>
      </c>
      <c r="K2338" s="43"/>
      <c r="L2338" s="71" t="s">
        <v>105</v>
      </c>
      <c r="M2338" s="73">
        <v>663</v>
      </c>
      <c r="N2338" s="71" t="s">
        <v>388</v>
      </c>
      <c r="O2338" s="73">
        <v>7.932</v>
      </c>
      <c r="P2338" s="71" t="s">
        <v>389</v>
      </c>
      <c r="Q2338" s="73">
        <v>1322</v>
      </c>
      <c r="R2338" s="71" t="s">
        <v>388</v>
      </c>
      <c r="S2338" s="73">
        <v>0</v>
      </c>
      <c r="T2338" s="71" t="s">
        <v>390</v>
      </c>
      <c r="U2338" s="74">
        <v>6</v>
      </c>
      <c r="V2338" s="71" t="s">
        <v>391</v>
      </c>
      <c r="W2338" s="130">
        <v>46078.500694444447</v>
      </c>
      <c r="X2338" s="72">
        <v>46080.21875</v>
      </c>
      <c r="Y2338" s="72">
        <v>46083.020833333336</v>
      </c>
      <c r="Z2338" s="104" t="s">
        <v>466</v>
      </c>
      <c r="AA2338" s="104" t="s">
        <v>597</v>
      </c>
      <c r="AB2338" s="105">
        <v>46082.321527777778</v>
      </c>
      <c r="AC2338" s="105">
        <v>46082.614583333336</v>
      </c>
    </row>
    <row r="2339" s="70" customFormat="1" ht="11.25" customHeight="1">
      <c r="A2339" s="87"/>
      <c r="C2339" s="43" t="s">
        <v>4071</v>
      </c>
      <c r="D2339" s="71" t="s">
        <v>382</v>
      </c>
      <c r="E2339" s="71" t="str">
        <f>MID(D2339,1,2)</f>
        <v>IL</v>
      </c>
      <c r="F2339" s="71" t="s">
        <v>433</v>
      </c>
      <c r="G2339" s="71" t="str">
        <f>MID(F2339,1,2)</f>
        <v>US</v>
      </c>
      <c r="H2339" s="43" t="s">
        <v>3878</v>
      </c>
      <c r="I2339" s="71" t="s">
        <v>4072</v>
      </c>
      <c r="J2339" s="71" t="s">
        <v>386</v>
      </c>
      <c r="K2339" s="43"/>
      <c r="L2339" s="71" t="s">
        <v>107</v>
      </c>
      <c r="M2339" s="73">
        <v>3</v>
      </c>
      <c r="N2339" s="71" t="s">
        <v>388</v>
      </c>
      <c r="O2339" s="73">
        <v>0.031</v>
      </c>
      <c r="P2339" s="71" t="s">
        <v>389</v>
      </c>
      <c r="Q2339" s="73">
        <v>5.5</v>
      </c>
      <c r="R2339" s="71" t="s">
        <v>388</v>
      </c>
      <c r="S2339" s="73">
        <v>0</v>
      </c>
      <c r="T2339" s="71" t="s">
        <v>390</v>
      </c>
      <c r="U2339" s="74">
        <v>1</v>
      </c>
      <c r="V2339" s="71" t="s">
        <v>446</v>
      </c>
      <c r="W2339" s="130">
        <v>46098.638888888891</v>
      </c>
      <c r="X2339" s="72">
        <v>46100.333333333336</v>
      </c>
      <c r="Y2339" s="72">
        <v>46102.5</v>
      </c>
      <c r="Z2339" s="104" t="s">
        <v>382</v>
      </c>
      <c r="AA2339" s="104" t="s">
        <v>471</v>
      </c>
      <c r="AB2339" s="105">
        <v>46100.78402777778</v>
      </c>
      <c r="AC2339" s="105"/>
    </row>
    <row r="2340" s="70" customFormat="1" ht="11.25" customHeight="1">
      <c r="A2340" s="87"/>
      <c r="C2340" s="43" t="s">
        <v>4071</v>
      </c>
      <c r="D2340" s="71" t="s">
        <v>382</v>
      </c>
      <c r="E2340" s="71" t="str">
        <f>MID(D2340,1,2)</f>
        <v>IL</v>
      </c>
      <c r="F2340" s="71" t="s">
        <v>433</v>
      </c>
      <c r="G2340" s="71" t="str">
        <f>MID(F2340,1,2)</f>
        <v>US</v>
      </c>
      <c r="H2340" s="43" t="s">
        <v>3878</v>
      </c>
      <c r="I2340" s="71" t="s">
        <v>4072</v>
      </c>
      <c r="J2340" s="71" t="s">
        <v>386</v>
      </c>
      <c r="K2340" s="43"/>
      <c r="L2340" s="71" t="s">
        <v>107</v>
      </c>
      <c r="M2340" s="73">
        <v>3</v>
      </c>
      <c r="N2340" s="71" t="s">
        <v>388</v>
      </c>
      <c r="O2340" s="73">
        <v>0.031</v>
      </c>
      <c r="P2340" s="71" t="s">
        <v>389</v>
      </c>
      <c r="Q2340" s="73">
        <v>5.5</v>
      </c>
      <c r="R2340" s="71" t="s">
        <v>388</v>
      </c>
      <c r="S2340" s="73">
        <v>0</v>
      </c>
      <c r="T2340" s="71" t="s">
        <v>390</v>
      </c>
      <c r="U2340" s="74">
        <v>1</v>
      </c>
      <c r="V2340" s="71" t="s">
        <v>446</v>
      </c>
      <c r="W2340" s="130">
        <v>46098.638888888891</v>
      </c>
      <c r="X2340" s="72">
        <v>46100.333333333336</v>
      </c>
      <c r="Y2340" s="72">
        <v>46102.5</v>
      </c>
      <c r="Z2340" s="104" t="s">
        <v>471</v>
      </c>
      <c r="AA2340" s="104" t="s">
        <v>433</v>
      </c>
      <c r="AB2340" s="105">
        <v>46102.310416666667</v>
      </c>
      <c r="AC2340" s="105">
        <v>46102.474305555559</v>
      </c>
    </row>
    <row r="2341" s="70" customFormat="1" ht="11.25" customHeight="1">
      <c r="A2341" s="87"/>
      <c r="C2341" s="43" t="s">
        <v>4073</v>
      </c>
      <c r="D2341" s="71" t="s">
        <v>382</v>
      </c>
      <c r="E2341" s="71" t="str">
        <f>MID(D2341,1,2)</f>
        <v>IL</v>
      </c>
      <c r="F2341" s="71" t="s">
        <v>2090</v>
      </c>
      <c r="G2341" s="71" t="str">
        <f>MID(F2341,1,2)</f>
        <v>NO</v>
      </c>
      <c r="H2341" s="43" t="s">
        <v>4074</v>
      </c>
      <c r="I2341" s="71" t="s">
        <v>4075</v>
      </c>
      <c r="J2341" s="71" t="s">
        <v>426</v>
      </c>
      <c r="K2341" s="43"/>
      <c r="L2341" s="71" t="s">
        <v>105</v>
      </c>
      <c r="M2341" s="73">
        <v>90</v>
      </c>
      <c r="N2341" s="71" t="s">
        <v>388</v>
      </c>
      <c r="O2341" s="73">
        <v>0.309</v>
      </c>
      <c r="P2341" s="71" t="s">
        <v>389</v>
      </c>
      <c r="Q2341" s="73">
        <v>100</v>
      </c>
      <c r="R2341" s="71" t="s">
        <v>388</v>
      </c>
      <c r="S2341" s="73">
        <v>0</v>
      </c>
      <c r="T2341" s="71" t="s">
        <v>390</v>
      </c>
      <c r="U2341" s="74">
        <v>1</v>
      </c>
      <c r="V2341" s="71" t="s">
        <v>391</v>
      </c>
      <c r="W2341" s="130">
        <v>46079.805787037039</v>
      </c>
      <c r="X2341" s="72">
        <v>46089.208333333336</v>
      </c>
      <c r="Y2341" s="72">
        <v>46094.375</v>
      </c>
      <c r="Z2341" s="104" t="s">
        <v>382</v>
      </c>
      <c r="AA2341" s="104" t="s">
        <v>408</v>
      </c>
      <c r="AB2341" s="105">
        <v>46091.788194444445</v>
      </c>
      <c r="AC2341" s="105"/>
    </row>
    <row r="2342" s="70" customFormat="1" ht="11.25" customHeight="1">
      <c r="A2342" s="87"/>
      <c r="C2342" s="43" t="s">
        <v>4073</v>
      </c>
      <c r="D2342" s="71" t="s">
        <v>382</v>
      </c>
      <c r="E2342" s="71" t="str">
        <f>MID(D2342,1,2)</f>
        <v>IL</v>
      </c>
      <c r="F2342" s="71" t="s">
        <v>2090</v>
      </c>
      <c r="G2342" s="71" t="str">
        <f>MID(F2342,1,2)</f>
        <v>NO</v>
      </c>
      <c r="H2342" s="43" t="s">
        <v>4074</v>
      </c>
      <c r="I2342" s="71" t="s">
        <v>4075</v>
      </c>
      <c r="J2342" s="71" t="s">
        <v>426</v>
      </c>
      <c r="K2342" s="43"/>
      <c r="L2342" s="71" t="s">
        <v>105</v>
      </c>
      <c r="M2342" s="73">
        <v>90</v>
      </c>
      <c r="N2342" s="71" t="s">
        <v>388</v>
      </c>
      <c r="O2342" s="73">
        <v>0.309</v>
      </c>
      <c r="P2342" s="71" t="s">
        <v>389</v>
      </c>
      <c r="Q2342" s="73">
        <v>100</v>
      </c>
      <c r="R2342" s="71" t="s">
        <v>388</v>
      </c>
      <c r="S2342" s="73">
        <v>0</v>
      </c>
      <c r="T2342" s="71" t="s">
        <v>390</v>
      </c>
      <c r="U2342" s="74">
        <v>1</v>
      </c>
      <c r="V2342" s="71" t="s">
        <v>391</v>
      </c>
      <c r="W2342" s="130">
        <v>46079.805787037039</v>
      </c>
      <c r="X2342" s="72">
        <v>46089.208333333336</v>
      </c>
      <c r="Y2342" s="72">
        <v>46094.375</v>
      </c>
      <c r="Z2342" s="104" t="s">
        <v>408</v>
      </c>
      <c r="AA2342" s="104" t="s">
        <v>3173</v>
      </c>
      <c r="AB2342" s="105">
        <v>46093.490277777775</v>
      </c>
      <c r="AC2342" s="105"/>
    </row>
    <row r="2343" s="70" customFormat="1" ht="11.25" customHeight="1">
      <c r="A2343" s="87"/>
      <c r="C2343" s="43" t="s">
        <v>4073</v>
      </c>
      <c r="D2343" s="71" t="s">
        <v>382</v>
      </c>
      <c r="E2343" s="71" t="str">
        <f>MID(D2343,1,2)</f>
        <v>IL</v>
      </c>
      <c r="F2343" s="71" t="s">
        <v>2090</v>
      </c>
      <c r="G2343" s="71" t="str">
        <f>MID(F2343,1,2)</f>
        <v>NO</v>
      </c>
      <c r="H2343" s="43" t="s">
        <v>4074</v>
      </c>
      <c r="I2343" s="71" t="s">
        <v>4075</v>
      </c>
      <c r="J2343" s="71" t="s">
        <v>426</v>
      </c>
      <c r="K2343" s="43"/>
      <c r="L2343" s="71" t="s">
        <v>105</v>
      </c>
      <c r="M2343" s="73">
        <v>90</v>
      </c>
      <c r="N2343" s="71" t="s">
        <v>388</v>
      </c>
      <c r="O2343" s="73">
        <v>0.309</v>
      </c>
      <c r="P2343" s="71" t="s">
        <v>389</v>
      </c>
      <c r="Q2343" s="73">
        <v>100</v>
      </c>
      <c r="R2343" s="71" t="s">
        <v>388</v>
      </c>
      <c r="S2343" s="73">
        <v>0</v>
      </c>
      <c r="T2343" s="71" t="s">
        <v>390</v>
      </c>
      <c r="U2343" s="74">
        <v>1</v>
      </c>
      <c r="V2343" s="71" t="s">
        <v>391</v>
      </c>
      <c r="W2343" s="130">
        <v>46079.805787037039</v>
      </c>
      <c r="X2343" s="72">
        <v>46089.208333333336</v>
      </c>
      <c r="Y2343" s="72">
        <v>46094.375</v>
      </c>
      <c r="Z2343" s="104" t="s">
        <v>3173</v>
      </c>
      <c r="AA2343" s="104" t="s">
        <v>2090</v>
      </c>
      <c r="AB2343" s="105">
        <v>46094.365972222222</v>
      </c>
      <c r="AC2343" s="105">
        <v>46094.431944444441</v>
      </c>
    </row>
    <row r="2344" s="70" customFormat="1" ht="11.25" customHeight="1">
      <c r="A2344" s="87"/>
      <c r="C2344" s="43" t="s">
        <v>4076</v>
      </c>
      <c r="D2344" s="71" t="s">
        <v>382</v>
      </c>
      <c r="E2344" s="71" t="str">
        <f>MID(D2344,1,2)</f>
        <v>IL</v>
      </c>
      <c r="F2344" s="71" t="s">
        <v>577</v>
      </c>
      <c r="G2344" s="71" t="str">
        <f>MID(F2344,1,2)</f>
        <v>FR</v>
      </c>
      <c r="H2344" s="43" t="s">
        <v>4077</v>
      </c>
      <c r="I2344" s="71" t="s">
        <v>4078</v>
      </c>
      <c r="J2344" s="71" t="s">
        <v>426</v>
      </c>
      <c r="K2344" s="43"/>
      <c r="L2344" s="71" t="s">
        <v>105</v>
      </c>
      <c r="M2344" s="73">
        <v>278</v>
      </c>
      <c r="N2344" s="71" t="s">
        <v>388</v>
      </c>
      <c r="O2344" s="73">
        <v>1.153</v>
      </c>
      <c r="P2344" s="71" t="s">
        <v>389</v>
      </c>
      <c r="Q2344" s="73">
        <v>278</v>
      </c>
      <c r="R2344" s="71" t="s">
        <v>388</v>
      </c>
      <c r="S2344" s="73">
        <v>0</v>
      </c>
      <c r="T2344" s="71" t="s">
        <v>390</v>
      </c>
      <c r="U2344" s="74">
        <v>1</v>
      </c>
      <c r="V2344" s="71" t="s">
        <v>391</v>
      </c>
      <c r="W2344" s="130">
        <v>46078.777662037035</v>
      </c>
      <c r="X2344" s="72">
        <v>46079.663194444445</v>
      </c>
      <c r="Y2344" s="72">
        <v>46079.819444444445</v>
      </c>
      <c r="Z2344" s="104" t="s">
        <v>382</v>
      </c>
      <c r="AA2344" s="104" t="s">
        <v>577</v>
      </c>
      <c r="AB2344" s="105">
        <v>46079.661111111112</v>
      </c>
      <c r="AC2344" s="105">
        <v>46079.818055555559</v>
      </c>
    </row>
    <row r="2345" s="70" customFormat="1" ht="11.25" customHeight="1">
      <c r="A2345" s="87"/>
      <c r="C2345" s="43" t="s">
        <v>4079</v>
      </c>
      <c r="D2345" s="71" t="s">
        <v>382</v>
      </c>
      <c r="E2345" s="71" t="str">
        <f>MID(D2345,1,2)</f>
        <v>IL</v>
      </c>
      <c r="F2345" s="71" t="s">
        <v>1388</v>
      </c>
      <c r="G2345" s="71" t="str">
        <f>MID(F2345,1,2)</f>
        <v>GB</v>
      </c>
      <c r="H2345" s="43" t="s">
        <v>4080</v>
      </c>
      <c r="I2345" s="71" t="s">
        <v>4081</v>
      </c>
      <c r="J2345" s="71" t="s">
        <v>811</v>
      </c>
      <c r="K2345" s="43"/>
      <c r="L2345" s="71" t="s">
        <v>105</v>
      </c>
      <c r="M2345" s="73">
        <v>463</v>
      </c>
      <c r="N2345" s="71" t="s">
        <v>388</v>
      </c>
      <c r="O2345" s="73">
        <v>1.664</v>
      </c>
      <c r="P2345" s="71" t="s">
        <v>389</v>
      </c>
      <c r="Q2345" s="73">
        <v>463</v>
      </c>
      <c r="R2345" s="71" t="s">
        <v>388</v>
      </c>
      <c r="S2345" s="73">
        <v>0</v>
      </c>
      <c r="T2345" s="71" t="s">
        <v>390</v>
      </c>
      <c r="U2345" s="74">
        <v>1</v>
      </c>
      <c r="V2345" s="71" t="s">
        <v>391</v>
      </c>
      <c r="W2345" s="130">
        <v>46078.770775462966</v>
      </c>
      <c r="X2345" s="72">
        <v>46079.635416666664</v>
      </c>
      <c r="Y2345" s="72">
        <v>46081.0625</v>
      </c>
      <c r="Z2345" s="104" t="s">
        <v>382</v>
      </c>
      <c r="AA2345" s="104" t="s">
        <v>684</v>
      </c>
      <c r="AB2345" s="105">
        <v>46079.679166666669</v>
      </c>
      <c r="AC2345" s="105"/>
    </row>
    <row r="2346" s="70" customFormat="1" ht="11.25" customHeight="1">
      <c r="A2346" s="87"/>
      <c r="C2346" s="43" t="s">
        <v>4079</v>
      </c>
      <c r="D2346" s="71" t="s">
        <v>382</v>
      </c>
      <c r="E2346" s="71" t="str">
        <f>MID(D2346,1,2)</f>
        <v>IL</v>
      </c>
      <c r="F2346" s="71" t="s">
        <v>1388</v>
      </c>
      <c r="G2346" s="71" t="str">
        <f>MID(F2346,1,2)</f>
        <v>GB</v>
      </c>
      <c r="H2346" s="43" t="s">
        <v>4080</v>
      </c>
      <c r="I2346" s="71" t="s">
        <v>4081</v>
      </c>
      <c r="J2346" s="71" t="s">
        <v>811</v>
      </c>
      <c r="K2346" s="43"/>
      <c r="L2346" s="71" t="s">
        <v>105</v>
      </c>
      <c r="M2346" s="73">
        <v>463</v>
      </c>
      <c r="N2346" s="71" t="s">
        <v>388</v>
      </c>
      <c r="O2346" s="73">
        <v>1.664</v>
      </c>
      <c r="P2346" s="71" t="s">
        <v>389</v>
      </c>
      <c r="Q2346" s="73">
        <v>463</v>
      </c>
      <c r="R2346" s="71" t="s">
        <v>388</v>
      </c>
      <c r="S2346" s="73">
        <v>0</v>
      </c>
      <c r="T2346" s="71" t="s">
        <v>390</v>
      </c>
      <c r="U2346" s="74">
        <v>1</v>
      </c>
      <c r="V2346" s="71" t="s">
        <v>391</v>
      </c>
      <c r="W2346" s="130">
        <v>46078.770775462966</v>
      </c>
      <c r="X2346" s="72">
        <v>46079.635416666664</v>
      </c>
      <c r="Y2346" s="72">
        <v>46081.0625</v>
      </c>
      <c r="Z2346" s="104" t="s">
        <v>684</v>
      </c>
      <c r="AA2346" s="104" t="s">
        <v>1391</v>
      </c>
      <c r="AB2346" s="105">
        <v>46079.970833333333</v>
      </c>
      <c r="AC2346" s="105"/>
    </row>
    <row r="2347" s="70" customFormat="1" ht="11.25" customHeight="1">
      <c r="A2347" s="87"/>
      <c r="C2347" s="43" t="s">
        <v>4079</v>
      </c>
      <c r="D2347" s="71" t="s">
        <v>382</v>
      </c>
      <c r="E2347" s="71" t="str">
        <f>MID(D2347,1,2)</f>
        <v>IL</v>
      </c>
      <c r="F2347" s="71" t="s">
        <v>1388</v>
      </c>
      <c r="G2347" s="71" t="str">
        <f>MID(F2347,1,2)</f>
        <v>GB</v>
      </c>
      <c r="H2347" s="43" t="s">
        <v>4080</v>
      </c>
      <c r="I2347" s="71" t="s">
        <v>4081</v>
      </c>
      <c r="J2347" s="71" t="s">
        <v>811</v>
      </c>
      <c r="K2347" s="43"/>
      <c r="L2347" s="71" t="s">
        <v>105</v>
      </c>
      <c r="M2347" s="73">
        <v>463</v>
      </c>
      <c r="N2347" s="71" t="s">
        <v>388</v>
      </c>
      <c r="O2347" s="73">
        <v>1.664</v>
      </c>
      <c r="P2347" s="71" t="s">
        <v>389</v>
      </c>
      <c r="Q2347" s="73">
        <v>463</v>
      </c>
      <c r="R2347" s="71" t="s">
        <v>388</v>
      </c>
      <c r="S2347" s="73">
        <v>0</v>
      </c>
      <c r="T2347" s="71" t="s">
        <v>390</v>
      </c>
      <c r="U2347" s="74">
        <v>1</v>
      </c>
      <c r="V2347" s="71" t="s">
        <v>391</v>
      </c>
      <c r="W2347" s="130">
        <v>46078.770775462966</v>
      </c>
      <c r="X2347" s="72">
        <v>46079.635416666664</v>
      </c>
      <c r="Y2347" s="72">
        <v>46081.0625</v>
      </c>
      <c r="Z2347" s="104" t="s">
        <v>1391</v>
      </c>
      <c r="AA2347" s="104" t="s">
        <v>1388</v>
      </c>
      <c r="AB2347" s="105">
        <v>46081.020833333336</v>
      </c>
      <c r="AC2347" s="105">
        <v>46081.256944444445</v>
      </c>
    </row>
    <row r="2348" s="70" customFormat="1" ht="11.25" customHeight="1">
      <c r="A2348" s="87"/>
      <c r="C2348" s="43" t="s">
        <v>4082</v>
      </c>
      <c r="D2348" s="71" t="s">
        <v>382</v>
      </c>
      <c r="E2348" s="71" t="str">
        <f>MID(D2348,1,2)</f>
        <v>IL</v>
      </c>
      <c r="F2348" s="71" t="s">
        <v>595</v>
      </c>
      <c r="G2348" s="71" t="str">
        <f>MID(F2348,1,2)</f>
        <v>AT</v>
      </c>
      <c r="H2348" s="43" t="s">
        <v>4083</v>
      </c>
      <c r="I2348" s="71" t="s">
        <v>4084</v>
      </c>
      <c r="J2348" s="71" t="s">
        <v>426</v>
      </c>
      <c r="K2348" s="43"/>
      <c r="L2348" s="71" t="s">
        <v>105</v>
      </c>
      <c r="M2348" s="73">
        <v>107</v>
      </c>
      <c r="N2348" s="71" t="s">
        <v>388</v>
      </c>
      <c r="O2348" s="73">
        <v>0.688</v>
      </c>
      <c r="P2348" s="71" t="s">
        <v>389</v>
      </c>
      <c r="Q2348" s="73">
        <v>115</v>
      </c>
      <c r="R2348" s="71" t="s">
        <v>388</v>
      </c>
      <c r="S2348" s="73">
        <v>0</v>
      </c>
      <c r="T2348" s="71" t="s">
        <v>390</v>
      </c>
      <c r="U2348" s="74">
        <v>2</v>
      </c>
      <c r="V2348" s="71" t="s">
        <v>391</v>
      </c>
      <c r="W2348" s="130">
        <v>46078.535416666666</v>
      </c>
      <c r="X2348" s="72">
        <v>46080.253472222219</v>
      </c>
      <c r="Y2348" s="72">
        <v>46110.388888888891</v>
      </c>
      <c r="Z2348" s="104" t="s">
        <v>382</v>
      </c>
      <c r="AA2348" s="104" t="s">
        <v>595</v>
      </c>
      <c r="AB2348" s="105">
        <v>46080.263194444444</v>
      </c>
      <c r="AC2348" s="105"/>
    </row>
    <row r="2349" s="70" customFormat="1" ht="11.25" customHeight="1">
      <c r="A2349" s="87"/>
      <c r="C2349" s="43" t="s">
        <v>4085</v>
      </c>
      <c r="D2349" s="71" t="s">
        <v>382</v>
      </c>
      <c r="E2349" s="71" t="str">
        <f>MID(D2349,1,2)</f>
        <v>IL</v>
      </c>
      <c r="F2349" s="71" t="s">
        <v>597</v>
      </c>
      <c r="G2349" s="71" t="str">
        <f>MID(F2349,1,2)</f>
        <v>NL</v>
      </c>
      <c r="H2349" s="43" t="s">
        <v>4086</v>
      </c>
      <c r="I2349" s="71"/>
      <c r="J2349" s="71" t="s">
        <v>426</v>
      </c>
      <c r="K2349" s="43"/>
      <c r="L2349" s="71" t="s">
        <v>105</v>
      </c>
      <c r="M2349" s="73">
        <v>70</v>
      </c>
      <c r="N2349" s="71" t="s">
        <v>388</v>
      </c>
      <c r="O2349" s="73">
        <v>1.004</v>
      </c>
      <c r="P2349" s="71" t="s">
        <v>389</v>
      </c>
      <c r="Q2349" s="73">
        <v>167.5</v>
      </c>
      <c r="R2349" s="71" t="s">
        <v>388</v>
      </c>
      <c r="S2349" s="73">
        <v>0</v>
      </c>
      <c r="T2349" s="71" t="s">
        <v>390</v>
      </c>
      <c r="U2349" s="74">
        <v>1</v>
      </c>
      <c r="V2349" s="71" t="s">
        <v>391</v>
      </c>
      <c r="W2349" s="130"/>
      <c r="X2349" s="72">
        <v>46080.041666666664</v>
      </c>
      <c r="Y2349" s="72">
        <v>46080.989583333336</v>
      </c>
      <c r="Z2349" s="104" t="s">
        <v>382</v>
      </c>
      <c r="AA2349" s="104" t="s">
        <v>383</v>
      </c>
      <c r="AB2349" s="105">
        <v>46080.042361111111</v>
      </c>
      <c r="AC2349" s="105">
        <v>46080.246527777781</v>
      </c>
    </row>
    <row r="2350" s="70" customFormat="1" ht="11.25" customHeight="1">
      <c r="A2350" s="87"/>
      <c r="C2350" s="43" t="s">
        <v>4085</v>
      </c>
      <c r="D2350" s="71" t="s">
        <v>382</v>
      </c>
      <c r="E2350" s="71" t="str">
        <f>MID(D2350,1,2)</f>
        <v>IL</v>
      </c>
      <c r="F2350" s="71" t="s">
        <v>597</v>
      </c>
      <c r="G2350" s="71" t="str">
        <f>MID(F2350,1,2)</f>
        <v>NL</v>
      </c>
      <c r="H2350" s="43" t="s">
        <v>4086</v>
      </c>
      <c r="I2350" s="71"/>
      <c r="J2350" s="71" t="s">
        <v>426</v>
      </c>
      <c r="K2350" s="43"/>
      <c r="L2350" s="71" t="s">
        <v>105</v>
      </c>
      <c r="M2350" s="73">
        <v>70</v>
      </c>
      <c r="N2350" s="71" t="s">
        <v>388</v>
      </c>
      <c r="O2350" s="73">
        <v>1.004</v>
      </c>
      <c r="P2350" s="71" t="s">
        <v>389</v>
      </c>
      <c r="Q2350" s="73">
        <v>167.5</v>
      </c>
      <c r="R2350" s="71" t="s">
        <v>388</v>
      </c>
      <c r="S2350" s="73">
        <v>0</v>
      </c>
      <c r="T2350" s="71" t="s">
        <v>390</v>
      </c>
      <c r="U2350" s="74">
        <v>1</v>
      </c>
      <c r="V2350" s="71" t="s">
        <v>391</v>
      </c>
      <c r="W2350" s="130"/>
      <c r="X2350" s="72">
        <v>46080.041666666664</v>
      </c>
      <c r="Y2350" s="72">
        <v>46080.989583333336</v>
      </c>
      <c r="Z2350" s="104" t="s">
        <v>383</v>
      </c>
      <c r="AA2350" s="104" t="s">
        <v>597</v>
      </c>
      <c r="AB2350" s="105">
        <v>46080.645833333336</v>
      </c>
      <c r="AC2350" s="105">
        <v>46080.935416666667</v>
      </c>
    </row>
    <row r="2351" s="70" customFormat="1" ht="11.25" customHeight="1">
      <c r="A2351" s="87"/>
      <c r="C2351" s="43" t="s">
        <v>4087</v>
      </c>
      <c r="D2351" s="71" t="s">
        <v>382</v>
      </c>
      <c r="E2351" s="71" t="str">
        <f>MID(D2351,1,2)</f>
        <v>IL</v>
      </c>
      <c r="F2351" s="71" t="s">
        <v>4088</v>
      </c>
      <c r="G2351" s="71" t="str">
        <f>MID(F2351,1,2)</f>
        <v>FR</v>
      </c>
      <c r="H2351" s="43" t="s">
        <v>4089</v>
      </c>
      <c r="I2351" s="71" t="s">
        <v>4090</v>
      </c>
      <c r="J2351" s="71" t="s">
        <v>400</v>
      </c>
      <c r="K2351" s="43"/>
      <c r="L2351" s="71" t="s">
        <v>105</v>
      </c>
      <c r="M2351" s="73">
        <v>1</v>
      </c>
      <c r="N2351" s="71" t="s">
        <v>388</v>
      </c>
      <c r="O2351" s="73">
        <v>0.017</v>
      </c>
      <c r="P2351" s="71" t="s">
        <v>389</v>
      </c>
      <c r="Q2351" s="73">
        <v>3</v>
      </c>
      <c r="R2351" s="71" t="s">
        <v>388</v>
      </c>
      <c r="S2351" s="73">
        <v>0</v>
      </c>
      <c r="T2351" s="71" t="s">
        <v>390</v>
      </c>
      <c r="U2351" s="74">
        <v>1</v>
      </c>
      <c r="V2351" s="71" t="s">
        <v>391</v>
      </c>
      <c r="W2351" s="130">
        <v>46078.725636574076</v>
      </c>
      <c r="X2351" s="72">
        <v>46080.52847222222</v>
      </c>
      <c r="Y2351" s="72">
        <v>46083.375</v>
      </c>
      <c r="Z2351" s="104" t="s">
        <v>382</v>
      </c>
      <c r="AA2351" s="104" t="s">
        <v>383</v>
      </c>
      <c r="AB2351" s="105">
        <v>46080.56527777778</v>
      </c>
      <c r="AC2351" s="105">
        <v>46080.703472222223</v>
      </c>
    </row>
    <row r="2352" s="70" customFormat="1" ht="11.25" customHeight="1">
      <c r="A2352" s="87"/>
      <c r="C2352" s="43" t="s">
        <v>4087</v>
      </c>
      <c r="D2352" s="71" t="s">
        <v>382</v>
      </c>
      <c r="E2352" s="71" t="str">
        <f>MID(D2352,1,2)</f>
        <v>IL</v>
      </c>
      <c r="F2352" s="71" t="s">
        <v>4088</v>
      </c>
      <c r="G2352" s="71" t="str">
        <f>MID(F2352,1,2)</f>
        <v>FR</v>
      </c>
      <c r="H2352" s="43" t="s">
        <v>4089</v>
      </c>
      <c r="I2352" s="71" t="s">
        <v>4090</v>
      </c>
      <c r="J2352" s="71" t="s">
        <v>400</v>
      </c>
      <c r="K2352" s="43"/>
      <c r="L2352" s="71" t="s">
        <v>105</v>
      </c>
      <c r="M2352" s="73">
        <v>1</v>
      </c>
      <c r="N2352" s="71" t="s">
        <v>388</v>
      </c>
      <c r="O2352" s="73">
        <v>0.017</v>
      </c>
      <c r="P2352" s="71" t="s">
        <v>389</v>
      </c>
      <c r="Q2352" s="73">
        <v>3</v>
      </c>
      <c r="R2352" s="71" t="s">
        <v>388</v>
      </c>
      <c r="S2352" s="73">
        <v>0</v>
      </c>
      <c r="T2352" s="71" t="s">
        <v>390</v>
      </c>
      <c r="U2352" s="74">
        <v>1</v>
      </c>
      <c r="V2352" s="71" t="s">
        <v>391</v>
      </c>
      <c r="W2352" s="130">
        <v>46078.725636574076</v>
      </c>
      <c r="X2352" s="72">
        <v>46080.52847222222</v>
      </c>
      <c r="Y2352" s="72">
        <v>46083.375</v>
      </c>
      <c r="Z2352" s="104" t="s">
        <v>383</v>
      </c>
      <c r="AA2352" s="104" t="s">
        <v>577</v>
      </c>
      <c r="AB2352" s="105">
        <v>46081.71597222222</v>
      </c>
      <c r="AC2352" s="105">
        <v>46081.7625</v>
      </c>
    </row>
    <row r="2353" s="70" customFormat="1" ht="11.25" customHeight="1">
      <c r="A2353" s="87"/>
      <c r="C2353" s="43" t="s">
        <v>4087</v>
      </c>
      <c r="D2353" s="71" t="s">
        <v>382</v>
      </c>
      <c r="E2353" s="71" t="str">
        <f>MID(D2353,1,2)</f>
        <v>IL</v>
      </c>
      <c r="F2353" s="71" t="s">
        <v>4088</v>
      </c>
      <c r="G2353" s="71" t="str">
        <f>MID(F2353,1,2)</f>
        <v>FR</v>
      </c>
      <c r="H2353" s="43" t="s">
        <v>4089</v>
      </c>
      <c r="I2353" s="71" t="s">
        <v>4090</v>
      </c>
      <c r="J2353" s="71" t="s">
        <v>400</v>
      </c>
      <c r="K2353" s="43"/>
      <c r="L2353" s="71" t="s">
        <v>105</v>
      </c>
      <c r="M2353" s="73">
        <v>1</v>
      </c>
      <c r="N2353" s="71" t="s">
        <v>388</v>
      </c>
      <c r="O2353" s="73">
        <v>0.017</v>
      </c>
      <c r="P2353" s="71" t="s">
        <v>389</v>
      </c>
      <c r="Q2353" s="73">
        <v>3</v>
      </c>
      <c r="R2353" s="71" t="s">
        <v>388</v>
      </c>
      <c r="S2353" s="73">
        <v>0</v>
      </c>
      <c r="T2353" s="71" t="s">
        <v>390</v>
      </c>
      <c r="U2353" s="74">
        <v>1</v>
      </c>
      <c r="V2353" s="71" t="s">
        <v>391</v>
      </c>
      <c r="W2353" s="130">
        <v>46078.725636574076</v>
      </c>
      <c r="X2353" s="72">
        <v>46080.52847222222</v>
      </c>
      <c r="Y2353" s="72">
        <v>46083.375</v>
      </c>
      <c r="Z2353" s="104" t="s">
        <v>577</v>
      </c>
      <c r="AA2353" s="104" t="s">
        <v>4088</v>
      </c>
      <c r="AB2353" s="105">
        <v>46082.910416666666</v>
      </c>
      <c r="AC2353" s="105">
        <v>46083.291666666664</v>
      </c>
    </row>
    <row r="2354" s="70" customFormat="1" ht="11.25" customHeight="1">
      <c r="A2354" s="87"/>
      <c r="C2354" s="43" t="s">
        <v>4091</v>
      </c>
      <c r="D2354" s="71" t="s">
        <v>382</v>
      </c>
      <c r="E2354" s="71" t="str">
        <f>MID(D2354,1,2)</f>
        <v>IL</v>
      </c>
      <c r="F2354" s="71" t="s">
        <v>414</v>
      </c>
      <c r="G2354" s="71" t="str">
        <f>MID(F2354,1,2)</f>
        <v>US</v>
      </c>
      <c r="H2354" s="43" t="s">
        <v>3683</v>
      </c>
      <c r="I2354" s="71" t="s">
        <v>4092</v>
      </c>
      <c r="J2354" s="71" t="s">
        <v>400</v>
      </c>
      <c r="K2354" s="43"/>
      <c r="L2354" s="71" t="s">
        <v>105</v>
      </c>
      <c r="M2354" s="73">
        <v>1</v>
      </c>
      <c r="N2354" s="71" t="s">
        <v>388</v>
      </c>
      <c r="O2354" s="73">
        <v>0.012</v>
      </c>
      <c r="P2354" s="71" t="s">
        <v>389</v>
      </c>
      <c r="Q2354" s="73">
        <v>2</v>
      </c>
      <c r="R2354" s="71" t="s">
        <v>388</v>
      </c>
      <c r="S2354" s="73">
        <v>0</v>
      </c>
      <c r="T2354" s="71" t="s">
        <v>390</v>
      </c>
      <c r="U2354" s="74">
        <v>1</v>
      </c>
      <c r="V2354" s="71" t="s">
        <v>427</v>
      </c>
      <c r="W2354" s="130">
        <v>46078.878935185188</v>
      </c>
      <c r="X2354" s="72">
        <v>46080.03125</v>
      </c>
      <c r="Y2354" s="72">
        <v>46080.239583333336</v>
      </c>
      <c r="Z2354" s="104" t="s">
        <v>382</v>
      </c>
      <c r="AA2354" s="104" t="s">
        <v>414</v>
      </c>
      <c r="AB2354" s="105">
        <v>46080.027777777781</v>
      </c>
      <c r="AC2354" s="105">
        <v>46080.23125</v>
      </c>
    </row>
    <row r="2355" s="70" customFormat="1" ht="11.25" customHeight="1">
      <c r="A2355" s="87"/>
      <c r="C2355" s="43" t="s">
        <v>4093</v>
      </c>
      <c r="D2355" s="71" t="s">
        <v>382</v>
      </c>
      <c r="E2355" s="71" t="str">
        <f>MID(D2355,1,2)</f>
        <v>IL</v>
      </c>
      <c r="F2355" s="71" t="s">
        <v>595</v>
      </c>
      <c r="G2355" s="71" t="str">
        <f>MID(F2355,1,2)</f>
        <v>AT</v>
      </c>
      <c r="H2355" s="43" t="s">
        <v>4083</v>
      </c>
      <c r="I2355" s="71" t="s">
        <v>4094</v>
      </c>
      <c r="J2355" s="71" t="s">
        <v>426</v>
      </c>
      <c r="K2355" s="43"/>
      <c r="L2355" s="71" t="s">
        <v>105</v>
      </c>
      <c r="M2355" s="73">
        <v>42</v>
      </c>
      <c r="N2355" s="71" t="s">
        <v>388</v>
      </c>
      <c r="O2355" s="73">
        <v>0.132</v>
      </c>
      <c r="P2355" s="71" t="s">
        <v>389</v>
      </c>
      <c r="Q2355" s="73">
        <v>42</v>
      </c>
      <c r="R2355" s="71" t="s">
        <v>388</v>
      </c>
      <c r="S2355" s="73">
        <v>0</v>
      </c>
      <c r="T2355" s="71" t="s">
        <v>390</v>
      </c>
      <c r="U2355" s="74">
        <v>3</v>
      </c>
      <c r="V2355" s="71" t="s">
        <v>391</v>
      </c>
      <c r="W2355" s="130">
        <v>46078.542361111111</v>
      </c>
      <c r="X2355" s="72">
        <v>46080.253472222219</v>
      </c>
      <c r="Y2355" s="72">
        <v>46110.388888888891</v>
      </c>
      <c r="Z2355" s="104" t="s">
        <v>382</v>
      </c>
      <c r="AA2355" s="104" t="s">
        <v>595</v>
      </c>
      <c r="AB2355" s="105">
        <v>46080.263194444444</v>
      </c>
      <c r="AC2355" s="105"/>
    </row>
    <row r="2356" s="70" customFormat="1" ht="11.25" customHeight="1">
      <c r="A2356" s="87"/>
      <c r="C2356" s="43" t="s">
        <v>4095</v>
      </c>
      <c r="D2356" s="71" t="s">
        <v>382</v>
      </c>
      <c r="E2356" s="71" t="str">
        <f>MID(D2356,1,2)</f>
        <v>IL</v>
      </c>
      <c r="F2356" s="71" t="s">
        <v>595</v>
      </c>
      <c r="G2356" s="71" t="str">
        <f>MID(F2356,1,2)</f>
        <v>AT</v>
      </c>
      <c r="H2356" s="43" t="s">
        <v>4083</v>
      </c>
      <c r="I2356" s="71" t="s">
        <v>4096</v>
      </c>
      <c r="J2356" s="71" t="s">
        <v>426</v>
      </c>
      <c r="K2356" s="43"/>
      <c r="L2356" s="71" t="s">
        <v>105</v>
      </c>
      <c r="M2356" s="73">
        <v>23</v>
      </c>
      <c r="N2356" s="71" t="s">
        <v>388</v>
      </c>
      <c r="O2356" s="73">
        <v>0.081</v>
      </c>
      <c r="P2356" s="71" t="s">
        <v>389</v>
      </c>
      <c r="Q2356" s="73">
        <v>23</v>
      </c>
      <c r="R2356" s="71" t="s">
        <v>388</v>
      </c>
      <c r="S2356" s="73">
        <v>0</v>
      </c>
      <c r="T2356" s="71" t="s">
        <v>390</v>
      </c>
      <c r="U2356" s="74">
        <v>1</v>
      </c>
      <c r="V2356" s="71" t="s">
        <v>391</v>
      </c>
      <c r="W2356" s="130">
        <v>46078.548611111109</v>
      </c>
      <c r="X2356" s="72">
        <v>46080.253472222219</v>
      </c>
      <c r="Y2356" s="72">
        <v>46110.388888888891</v>
      </c>
      <c r="Z2356" s="104" t="s">
        <v>382</v>
      </c>
      <c r="AA2356" s="104" t="s">
        <v>595</v>
      </c>
      <c r="AB2356" s="105">
        <v>46080.263194444444</v>
      </c>
      <c r="AC2356" s="105"/>
    </row>
    <row r="2357" s="70" customFormat="1" ht="11.25" customHeight="1">
      <c r="A2357" s="87"/>
      <c r="C2357" s="43" t="s">
        <v>4097</v>
      </c>
      <c r="D2357" s="71" t="s">
        <v>382</v>
      </c>
      <c r="E2357" s="71" t="str">
        <f>MID(D2357,1,2)</f>
        <v>IL</v>
      </c>
      <c r="F2357" s="71" t="s">
        <v>817</v>
      </c>
      <c r="G2357" s="71" t="str">
        <f>MID(F2357,1,2)</f>
        <v>IN</v>
      </c>
      <c r="H2357" s="43" t="s">
        <v>1988</v>
      </c>
      <c r="I2357" s="71" t="s">
        <v>4098</v>
      </c>
      <c r="J2357" s="71" t="s">
        <v>426</v>
      </c>
      <c r="K2357" s="43"/>
      <c r="L2357" s="71" t="s">
        <v>105</v>
      </c>
      <c r="M2357" s="73">
        <v>24</v>
      </c>
      <c r="N2357" s="71" t="s">
        <v>388</v>
      </c>
      <c r="O2357" s="73">
        <v>0.161</v>
      </c>
      <c r="P2357" s="71" t="s">
        <v>389</v>
      </c>
      <c r="Q2357" s="73">
        <v>27</v>
      </c>
      <c r="R2357" s="71" t="s">
        <v>388</v>
      </c>
      <c r="S2357" s="73">
        <v>0</v>
      </c>
      <c r="T2357" s="71" t="s">
        <v>390</v>
      </c>
      <c r="U2357" s="74">
        <v>1</v>
      </c>
      <c r="V2357" s="71" t="s">
        <v>391</v>
      </c>
      <c r="W2357" s="130">
        <v>46078.725648148145</v>
      </c>
      <c r="X2357" s="72">
        <v>46079.486111111109</v>
      </c>
      <c r="Y2357" s="72">
        <v>46079.868055555555</v>
      </c>
      <c r="Z2357" s="104" t="s">
        <v>382</v>
      </c>
      <c r="AA2357" s="104" t="s">
        <v>817</v>
      </c>
      <c r="AB2357" s="105">
        <v>46079.526388888888</v>
      </c>
      <c r="AC2357" s="105">
        <v>46079.89375</v>
      </c>
    </row>
    <row r="2358" s="70" customFormat="1" ht="11.25" customHeight="1">
      <c r="A2358" s="87"/>
      <c r="C2358" s="43" t="s">
        <v>4099</v>
      </c>
      <c r="D2358" s="71" t="s">
        <v>382</v>
      </c>
      <c r="E2358" s="71" t="str">
        <f>MID(D2358,1,2)</f>
        <v>IL</v>
      </c>
      <c r="F2358" s="71" t="s">
        <v>597</v>
      </c>
      <c r="G2358" s="71" t="str">
        <f>MID(F2358,1,2)</f>
        <v>NL</v>
      </c>
      <c r="H2358" s="43" t="s">
        <v>4069</v>
      </c>
      <c r="I2358" s="71" t="s">
        <v>4100</v>
      </c>
      <c r="J2358" s="71" t="s">
        <v>411</v>
      </c>
      <c r="K2358" s="43"/>
      <c r="L2358" s="71" t="s">
        <v>105</v>
      </c>
      <c r="M2358" s="73">
        <v>89</v>
      </c>
      <c r="N2358" s="71" t="s">
        <v>388</v>
      </c>
      <c r="O2358" s="73">
        <v>0.675</v>
      </c>
      <c r="P2358" s="71" t="s">
        <v>389</v>
      </c>
      <c r="Q2358" s="73">
        <v>112.5</v>
      </c>
      <c r="R2358" s="71" t="s">
        <v>388</v>
      </c>
      <c r="S2358" s="73">
        <v>0</v>
      </c>
      <c r="T2358" s="71" t="s">
        <v>390</v>
      </c>
      <c r="U2358" s="74">
        <v>12</v>
      </c>
      <c r="V2358" s="71" t="s">
        <v>391</v>
      </c>
      <c r="W2358" s="130">
        <v>46078.584722222222</v>
      </c>
      <c r="X2358" s="72">
        <v>46080.833333333336</v>
      </c>
      <c r="Y2358" s="72">
        <v>46083.020833333336</v>
      </c>
      <c r="Z2358" s="104" t="s">
        <v>382</v>
      </c>
      <c r="AA2358" s="104" t="s">
        <v>466</v>
      </c>
      <c r="AB2358" s="105">
        <v>46081.338888888888</v>
      </c>
      <c r="AC2358" s="105">
        <v>46081.461805555555</v>
      </c>
    </row>
    <row r="2359" s="70" customFormat="1" ht="11.25" customHeight="1">
      <c r="A2359" s="87"/>
      <c r="C2359" s="43" t="s">
        <v>4099</v>
      </c>
      <c r="D2359" s="71" t="s">
        <v>382</v>
      </c>
      <c r="E2359" s="71" t="str">
        <f>MID(D2359,1,2)</f>
        <v>IL</v>
      </c>
      <c r="F2359" s="71" t="s">
        <v>597</v>
      </c>
      <c r="G2359" s="71" t="str">
        <f>MID(F2359,1,2)</f>
        <v>NL</v>
      </c>
      <c r="H2359" s="43" t="s">
        <v>4069</v>
      </c>
      <c r="I2359" s="71" t="s">
        <v>4100</v>
      </c>
      <c r="J2359" s="71" t="s">
        <v>411</v>
      </c>
      <c r="K2359" s="43"/>
      <c r="L2359" s="71" t="s">
        <v>105</v>
      </c>
      <c r="M2359" s="73">
        <v>89</v>
      </c>
      <c r="N2359" s="71" t="s">
        <v>388</v>
      </c>
      <c r="O2359" s="73">
        <v>0.675</v>
      </c>
      <c r="P2359" s="71" t="s">
        <v>389</v>
      </c>
      <c r="Q2359" s="73">
        <v>112.5</v>
      </c>
      <c r="R2359" s="71" t="s">
        <v>388</v>
      </c>
      <c r="S2359" s="73">
        <v>0</v>
      </c>
      <c r="T2359" s="71" t="s">
        <v>390</v>
      </c>
      <c r="U2359" s="74">
        <v>12</v>
      </c>
      <c r="V2359" s="71" t="s">
        <v>391</v>
      </c>
      <c r="W2359" s="130">
        <v>46078.584722222222</v>
      </c>
      <c r="X2359" s="72">
        <v>46080.833333333336</v>
      </c>
      <c r="Y2359" s="72">
        <v>46083.020833333336</v>
      </c>
      <c r="Z2359" s="104" t="s">
        <v>466</v>
      </c>
      <c r="AA2359" s="104" t="s">
        <v>597</v>
      </c>
      <c r="AB2359" s="105">
        <v>46082.321527777778</v>
      </c>
      <c r="AC2359" s="105">
        <v>46082.614583333336</v>
      </c>
    </row>
    <row r="2360" s="70" customFormat="1" ht="11.25" customHeight="1">
      <c r="A2360" s="87"/>
      <c r="C2360" s="43" t="s">
        <v>4101</v>
      </c>
      <c r="D2360" s="71" t="s">
        <v>382</v>
      </c>
      <c r="E2360" s="71" t="str">
        <f>MID(D2360,1,2)</f>
        <v>IL</v>
      </c>
      <c r="F2360" s="71" t="s">
        <v>3998</v>
      </c>
      <c r="G2360" s="71" t="str">
        <f>MID(F2360,1,2)</f>
        <v>RO</v>
      </c>
      <c r="H2360" s="43" t="s">
        <v>3999</v>
      </c>
      <c r="I2360" s="71" t="s">
        <v>4102</v>
      </c>
      <c r="J2360" s="71" t="s">
        <v>386</v>
      </c>
      <c r="K2360" s="43"/>
      <c r="L2360" s="71" t="s">
        <v>107</v>
      </c>
      <c r="M2360" s="73">
        <v>9</v>
      </c>
      <c r="N2360" s="71" t="s">
        <v>388</v>
      </c>
      <c r="O2360" s="73">
        <v>0.087</v>
      </c>
      <c r="P2360" s="71" t="s">
        <v>389</v>
      </c>
      <c r="Q2360" s="73">
        <v>14.5</v>
      </c>
      <c r="R2360" s="71" t="s">
        <v>388</v>
      </c>
      <c r="S2360" s="73">
        <v>0</v>
      </c>
      <c r="T2360" s="71" t="s">
        <v>390</v>
      </c>
      <c r="U2360" s="74">
        <v>1</v>
      </c>
      <c r="V2360" s="71" t="s">
        <v>391</v>
      </c>
      <c r="W2360" s="130">
        <v>46078.59097222222</v>
      </c>
      <c r="X2360" s="72">
        <v>46093</v>
      </c>
      <c r="Y2360" s="72">
        <v>46096.569444444445</v>
      </c>
      <c r="Z2360" s="104" t="s">
        <v>382</v>
      </c>
      <c r="AA2360" s="104" t="s">
        <v>496</v>
      </c>
      <c r="AB2360" s="105">
        <v>46096.452777777777</v>
      </c>
      <c r="AC2360" s="105">
        <v>46096.5625</v>
      </c>
    </row>
    <row r="2361" s="70" customFormat="1" ht="11.25" customHeight="1">
      <c r="A2361" s="87"/>
      <c r="C2361" s="43" t="s">
        <v>4103</v>
      </c>
      <c r="D2361" s="71" t="s">
        <v>382</v>
      </c>
      <c r="E2361" s="71" t="str">
        <f>MID(D2361,1,2)</f>
        <v>IL</v>
      </c>
      <c r="F2361" s="71" t="s">
        <v>414</v>
      </c>
      <c r="G2361" s="71" t="str">
        <f>MID(F2361,1,2)</f>
        <v>US</v>
      </c>
      <c r="H2361" s="43" t="s">
        <v>4104</v>
      </c>
      <c r="I2361" s="71" t="s">
        <v>4105</v>
      </c>
      <c r="J2361" s="71" t="s">
        <v>411</v>
      </c>
      <c r="K2361" s="43"/>
      <c r="L2361" s="71" t="s">
        <v>105</v>
      </c>
      <c r="M2361" s="73">
        <v>44</v>
      </c>
      <c r="N2361" s="71" t="s">
        <v>388</v>
      </c>
      <c r="O2361" s="73">
        <v>0.21</v>
      </c>
      <c r="P2361" s="71" t="s">
        <v>389</v>
      </c>
      <c r="Q2361" s="73">
        <v>44</v>
      </c>
      <c r="R2361" s="71" t="s">
        <v>388</v>
      </c>
      <c r="S2361" s="73">
        <v>0</v>
      </c>
      <c r="T2361" s="71" t="s">
        <v>390</v>
      </c>
      <c r="U2361" s="74">
        <v>4</v>
      </c>
      <c r="V2361" s="71" t="s">
        <v>391</v>
      </c>
      <c r="W2361" s="130">
        <v>46079.820127314815</v>
      </c>
      <c r="X2361" s="72">
        <v>46081.965277777781</v>
      </c>
      <c r="Y2361" s="72">
        <v>46095.479166666664</v>
      </c>
      <c r="Z2361" s="104" t="s">
        <v>382</v>
      </c>
      <c r="AA2361" s="104" t="s">
        <v>408</v>
      </c>
      <c r="AB2361" s="105">
        <v>46089.215277777781</v>
      </c>
      <c r="AC2361" s="105">
        <v>46089.595138888886</v>
      </c>
    </row>
    <row r="2362" s="70" customFormat="1" ht="11.25" customHeight="1">
      <c r="A2362" s="87"/>
      <c r="C2362" s="43" t="s">
        <v>4103</v>
      </c>
      <c r="D2362" s="71" t="s">
        <v>382</v>
      </c>
      <c r="E2362" s="71" t="str">
        <f>MID(D2362,1,2)</f>
        <v>IL</v>
      </c>
      <c r="F2362" s="71" t="s">
        <v>414</v>
      </c>
      <c r="G2362" s="71" t="str">
        <f>MID(F2362,1,2)</f>
        <v>US</v>
      </c>
      <c r="H2362" s="43" t="s">
        <v>4104</v>
      </c>
      <c r="I2362" s="71" t="s">
        <v>4105</v>
      </c>
      <c r="J2362" s="71" t="s">
        <v>411</v>
      </c>
      <c r="K2362" s="43"/>
      <c r="L2362" s="71" t="s">
        <v>105</v>
      </c>
      <c r="M2362" s="73">
        <v>44</v>
      </c>
      <c r="N2362" s="71" t="s">
        <v>388</v>
      </c>
      <c r="O2362" s="73">
        <v>0.21</v>
      </c>
      <c r="P2362" s="71" t="s">
        <v>389</v>
      </c>
      <c r="Q2362" s="73">
        <v>44</v>
      </c>
      <c r="R2362" s="71" t="s">
        <v>388</v>
      </c>
      <c r="S2362" s="73">
        <v>0</v>
      </c>
      <c r="T2362" s="71" t="s">
        <v>390</v>
      </c>
      <c r="U2362" s="74">
        <v>4</v>
      </c>
      <c r="V2362" s="71" t="s">
        <v>391</v>
      </c>
      <c r="W2362" s="130">
        <v>46079.820127314815</v>
      </c>
      <c r="X2362" s="72">
        <v>46081.965277777781</v>
      </c>
      <c r="Y2362" s="72">
        <v>46095.479166666664</v>
      </c>
      <c r="Z2362" s="104" t="s">
        <v>408</v>
      </c>
      <c r="AA2362" s="104" t="s">
        <v>405</v>
      </c>
      <c r="AB2362" s="105">
        <v>46093.538194444445</v>
      </c>
      <c r="AC2362" s="105">
        <v>46093.730555555558</v>
      </c>
    </row>
    <row r="2363" s="70" customFormat="1" ht="11.25" customHeight="1">
      <c r="A2363" s="87"/>
      <c r="C2363" s="43" t="s">
        <v>4103</v>
      </c>
      <c r="D2363" s="71" t="s">
        <v>382</v>
      </c>
      <c r="E2363" s="71" t="str">
        <f>MID(D2363,1,2)</f>
        <v>IL</v>
      </c>
      <c r="F2363" s="71" t="s">
        <v>414</v>
      </c>
      <c r="G2363" s="71" t="str">
        <f>MID(F2363,1,2)</f>
        <v>US</v>
      </c>
      <c r="H2363" s="43" t="s">
        <v>4104</v>
      </c>
      <c r="I2363" s="71" t="s">
        <v>4105</v>
      </c>
      <c r="J2363" s="71" t="s">
        <v>411</v>
      </c>
      <c r="K2363" s="43"/>
      <c r="L2363" s="71" t="s">
        <v>105</v>
      </c>
      <c r="M2363" s="73">
        <v>44</v>
      </c>
      <c r="N2363" s="71" t="s">
        <v>388</v>
      </c>
      <c r="O2363" s="73">
        <v>0.21</v>
      </c>
      <c r="P2363" s="71" t="s">
        <v>389</v>
      </c>
      <c r="Q2363" s="73">
        <v>44</v>
      </c>
      <c r="R2363" s="71" t="s">
        <v>388</v>
      </c>
      <c r="S2363" s="73">
        <v>0</v>
      </c>
      <c r="T2363" s="71" t="s">
        <v>390</v>
      </c>
      <c r="U2363" s="74">
        <v>4</v>
      </c>
      <c r="V2363" s="71" t="s">
        <v>391</v>
      </c>
      <c r="W2363" s="130">
        <v>46079.820127314815</v>
      </c>
      <c r="X2363" s="72">
        <v>46081.965277777781</v>
      </c>
      <c r="Y2363" s="72">
        <v>46095.479166666664</v>
      </c>
      <c r="Z2363" s="104" t="s">
        <v>405</v>
      </c>
      <c r="AA2363" s="104" t="s">
        <v>414</v>
      </c>
      <c r="AB2363" s="105">
        <v>46094.791666666664</v>
      </c>
      <c r="AC2363" s="105">
        <v>46095.57708333333</v>
      </c>
    </row>
    <row r="2364" s="70" customFormat="1" ht="11.25" customHeight="1">
      <c r="A2364" s="87"/>
      <c r="C2364" s="43" t="s">
        <v>4106</v>
      </c>
      <c r="D2364" s="71" t="s">
        <v>382</v>
      </c>
      <c r="E2364" s="71" t="str">
        <f>MID(D2364,1,2)</f>
        <v>IL</v>
      </c>
      <c r="F2364" s="71" t="s">
        <v>702</v>
      </c>
      <c r="G2364" s="71" t="str">
        <f>MID(F2364,1,2)</f>
        <v>JP</v>
      </c>
      <c r="H2364" s="43" t="s">
        <v>4107</v>
      </c>
      <c r="I2364" s="71" t="s">
        <v>4108</v>
      </c>
      <c r="J2364" s="71" t="s">
        <v>386</v>
      </c>
      <c r="K2364" s="43"/>
      <c r="L2364" s="71" t="s">
        <v>107</v>
      </c>
      <c r="M2364" s="73">
        <v>352</v>
      </c>
      <c r="N2364" s="71" t="s">
        <v>388</v>
      </c>
      <c r="O2364" s="73">
        <v>3.911</v>
      </c>
      <c r="P2364" s="71" t="s">
        <v>389</v>
      </c>
      <c r="Q2364" s="73">
        <v>652</v>
      </c>
      <c r="R2364" s="71" t="s">
        <v>388</v>
      </c>
      <c r="S2364" s="73">
        <v>0</v>
      </c>
      <c r="T2364" s="71" t="s">
        <v>390</v>
      </c>
      <c r="U2364" s="74">
        <v>5</v>
      </c>
      <c r="V2364" s="71" t="s">
        <v>391</v>
      </c>
      <c r="W2364" s="130">
        <v>46079.409722222219</v>
      </c>
      <c r="X2364" s="72">
        <v>46090.756944444445</v>
      </c>
      <c r="Y2364" s="72">
        <v>46095.270833333336</v>
      </c>
      <c r="Z2364" s="104" t="s">
        <v>382</v>
      </c>
      <c r="AA2364" s="104" t="s">
        <v>684</v>
      </c>
      <c r="AB2364" s="105">
        <v>46090.855555555558</v>
      </c>
      <c r="AC2364" s="105">
        <v>46090.973611111112</v>
      </c>
    </row>
    <row r="2365" s="70" customFormat="1" ht="11.25" customHeight="1">
      <c r="A2365" s="87"/>
      <c r="C2365" s="43" t="s">
        <v>4106</v>
      </c>
      <c r="D2365" s="71" t="s">
        <v>382</v>
      </c>
      <c r="E2365" s="71" t="str">
        <f>MID(D2365,1,2)</f>
        <v>IL</v>
      </c>
      <c r="F2365" s="71" t="s">
        <v>702</v>
      </c>
      <c r="G2365" s="71" t="str">
        <f>MID(F2365,1,2)</f>
        <v>JP</v>
      </c>
      <c r="H2365" s="43" t="s">
        <v>4107</v>
      </c>
      <c r="I2365" s="71" t="s">
        <v>4108</v>
      </c>
      <c r="J2365" s="71" t="s">
        <v>386</v>
      </c>
      <c r="K2365" s="43"/>
      <c r="L2365" s="71" t="s">
        <v>107</v>
      </c>
      <c r="M2365" s="73">
        <v>352</v>
      </c>
      <c r="N2365" s="71" t="s">
        <v>388</v>
      </c>
      <c r="O2365" s="73">
        <v>3.911</v>
      </c>
      <c r="P2365" s="71" t="s">
        <v>389</v>
      </c>
      <c r="Q2365" s="73">
        <v>652</v>
      </c>
      <c r="R2365" s="71" t="s">
        <v>388</v>
      </c>
      <c r="S2365" s="73">
        <v>0</v>
      </c>
      <c r="T2365" s="71" t="s">
        <v>390</v>
      </c>
      <c r="U2365" s="74">
        <v>5</v>
      </c>
      <c r="V2365" s="71" t="s">
        <v>391</v>
      </c>
      <c r="W2365" s="130">
        <v>46079.409722222219</v>
      </c>
      <c r="X2365" s="72">
        <v>46090.756944444445</v>
      </c>
      <c r="Y2365" s="72">
        <v>46095.270833333336</v>
      </c>
      <c r="Z2365" s="104" t="s">
        <v>684</v>
      </c>
      <c r="AA2365" s="104" t="s">
        <v>403</v>
      </c>
      <c r="AB2365" s="105">
        <v>46093.492361111108</v>
      </c>
      <c r="AC2365" s="105">
        <v>46094.274305555555</v>
      </c>
    </row>
    <row r="2366" s="70" customFormat="1" ht="11.25" customHeight="1">
      <c r="A2366" s="87"/>
      <c r="C2366" s="43" t="s">
        <v>4106</v>
      </c>
      <c r="D2366" s="71" t="s">
        <v>382</v>
      </c>
      <c r="E2366" s="71" t="str">
        <f>MID(D2366,1,2)</f>
        <v>IL</v>
      </c>
      <c r="F2366" s="71" t="s">
        <v>702</v>
      </c>
      <c r="G2366" s="71" t="str">
        <f>MID(F2366,1,2)</f>
        <v>JP</v>
      </c>
      <c r="H2366" s="43" t="s">
        <v>4107</v>
      </c>
      <c r="I2366" s="71" t="s">
        <v>4108</v>
      </c>
      <c r="J2366" s="71" t="s">
        <v>386</v>
      </c>
      <c r="K2366" s="43"/>
      <c r="L2366" s="71" t="s">
        <v>107</v>
      </c>
      <c r="M2366" s="73">
        <v>352</v>
      </c>
      <c r="N2366" s="71" t="s">
        <v>388</v>
      </c>
      <c r="O2366" s="73">
        <v>3.911</v>
      </c>
      <c r="P2366" s="71" t="s">
        <v>389</v>
      </c>
      <c r="Q2366" s="73">
        <v>652</v>
      </c>
      <c r="R2366" s="71" t="s">
        <v>388</v>
      </c>
      <c r="S2366" s="73">
        <v>0</v>
      </c>
      <c r="T2366" s="71" t="s">
        <v>390</v>
      </c>
      <c r="U2366" s="74">
        <v>5</v>
      </c>
      <c r="V2366" s="71" t="s">
        <v>391</v>
      </c>
      <c r="W2366" s="130">
        <v>46079.409722222219</v>
      </c>
      <c r="X2366" s="72">
        <v>46090.756944444445</v>
      </c>
      <c r="Y2366" s="72">
        <v>46095.270833333336</v>
      </c>
      <c r="Z2366" s="104" t="s">
        <v>403</v>
      </c>
      <c r="AA2366" s="104" t="s">
        <v>702</v>
      </c>
      <c r="AB2366" s="105">
        <v>46095.05972222222</v>
      </c>
      <c r="AC2366" s="105">
        <v>46095.270138888889</v>
      </c>
    </row>
    <row r="2367" s="70" customFormat="1" ht="11.25" customHeight="1">
      <c r="A2367" s="87"/>
      <c r="C2367" s="43" t="s">
        <v>4109</v>
      </c>
      <c r="D2367" s="71" t="s">
        <v>382</v>
      </c>
      <c r="E2367" s="71" t="str">
        <f>MID(D2367,1,2)</f>
        <v>IL</v>
      </c>
      <c r="F2367" s="71" t="s">
        <v>496</v>
      </c>
      <c r="G2367" s="71" t="str">
        <f>MID(F2367,1,2)</f>
        <v>RO</v>
      </c>
      <c r="H2367" s="43" t="s">
        <v>3999</v>
      </c>
      <c r="I2367" s="71" t="s">
        <v>4110</v>
      </c>
      <c r="J2367" s="71" t="s">
        <v>386</v>
      </c>
      <c r="K2367" s="43"/>
      <c r="L2367" s="71" t="s">
        <v>107</v>
      </c>
      <c r="M2367" s="73">
        <v>1</v>
      </c>
      <c r="N2367" s="71" t="s">
        <v>388</v>
      </c>
      <c r="O2367" s="73">
        <v>0.002</v>
      </c>
      <c r="P2367" s="71" t="s">
        <v>389</v>
      </c>
      <c r="Q2367" s="73">
        <v>1</v>
      </c>
      <c r="R2367" s="71" t="s">
        <v>388</v>
      </c>
      <c r="S2367" s="73">
        <v>0</v>
      </c>
      <c r="T2367" s="71" t="s">
        <v>390</v>
      </c>
      <c r="U2367" s="74">
        <v>1</v>
      </c>
      <c r="V2367" s="71" t="s">
        <v>391</v>
      </c>
      <c r="W2367" s="130">
        <v>46078.625</v>
      </c>
      <c r="X2367" s="72">
        <v>46093</v>
      </c>
      <c r="Y2367" s="72">
        <v>46097.083333333336</v>
      </c>
      <c r="Z2367" s="104" t="s">
        <v>382</v>
      </c>
      <c r="AA2367" s="104" t="s">
        <v>496</v>
      </c>
      <c r="AB2367" s="105">
        <v>46096.452777777777</v>
      </c>
      <c r="AC2367" s="105">
        <v>46096.5625</v>
      </c>
    </row>
    <row r="2368" s="70" customFormat="1" ht="11.25" customHeight="1">
      <c r="A2368" s="87"/>
      <c r="C2368" s="43" t="s">
        <v>4111</v>
      </c>
      <c r="D2368" s="71" t="s">
        <v>382</v>
      </c>
      <c r="E2368" s="71" t="str">
        <f>MID(D2368,1,2)</f>
        <v>IL</v>
      </c>
      <c r="F2368" s="71" t="s">
        <v>546</v>
      </c>
      <c r="G2368" s="71" t="str">
        <f>MID(F2368,1,2)</f>
        <v>GB</v>
      </c>
      <c r="H2368" s="43" t="s">
        <v>4112</v>
      </c>
      <c r="I2368" s="71" t="s">
        <v>4113</v>
      </c>
      <c r="J2368" s="71" t="s">
        <v>559</v>
      </c>
      <c r="K2368" s="43"/>
      <c r="L2368" s="71" t="s">
        <v>107</v>
      </c>
      <c r="M2368" s="73">
        <v>1</v>
      </c>
      <c r="N2368" s="71" t="s">
        <v>388</v>
      </c>
      <c r="O2368" s="73">
        <v>0.027</v>
      </c>
      <c r="P2368" s="71" t="s">
        <v>389</v>
      </c>
      <c r="Q2368" s="73">
        <v>4.5</v>
      </c>
      <c r="R2368" s="71" t="s">
        <v>388</v>
      </c>
      <c r="S2368" s="73">
        <v>0</v>
      </c>
      <c r="T2368" s="71" t="s">
        <v>390</v>
      </c>
      <c r="U2368" s="74">
        <v>1</v>
      </c>
      <c r="V2368" s="71" t="s">
        <v>391</v>
      </c>
      <c r="W2368" s="130">
        <v>46079.813194444447</v>
      </c>
      <c r="X2368" s="72">
        <v>46080.381944444445</v>
      </c>
      <c r="Y2368" s="72">
        <v>46107.322916666664</v>
      </c>
      <c r="Z2368" s="104" t="s">
        <v>382</v>
      </c>
      <c r="AA2368" s="104" t="s">
        <v>408</v>
      </c>
      <c r="AB2368" s="105"/>
      <c r="AC2368" s="105"/>
    </row>
    <row r="2369" s="70" customFormat="1" ht="11.25" customHeight="1">
      <c r="A2369" s="87"/>
      <c r="C2369" s="43" t="s">
        <v>4111</v>
      </c>
      <c r="D2369" s="71" t="s">
        <v>382</v>
      </c>
      <c r="E2369" s="71" t="str">
        <f>MID(D2369,1,2)</f>
        <v>IL</v>
      </c>
      <c r="F2369" s="71" t="s">
        <v>546</v>
      </c>
      <c r="G2369" s="71" t="str">
        <f>MID(F2369,1,2)</f>
        <v>GB</v>
      </c>
      <c r="H2369" s="43" t="s">
        <v>4112</v>
      </c>
      <c r="I2369" s="71" t="s">
        <v>4113</v>
      </c>
      <c r="J2369" s="71" t="s">
        <v>559</v>
      </c>
      <c r="K2369" s="43"/>
      <c r="L2369" s="71" t="s">
        <v>107</v>
      </c>
      <c r="M2369" s="73">
        <v>1</v>
      </c>
      <c r="N2369" s="71" t="s">
        <v>388</v>
      </c>
      <c r="O2369" s="73">
        <v>0.027</v>
      </c>
      <c r="P2369" s="71" t="s">
        <v>389</v>
      </c>
      <c r="Q2369" s="73">
        <v>4.5</v>
      </c>
      <c r="R2369" s="71" t="s">
        <v>388</v>
      </c>
      <c r="S2369" s="73">
        <v>0</v>
      </c>
      <c r="T2369" s="71" t="s">
        <v>390</v>
      </c>
      <c r="U2369" s="74">
        <v>1</v>
      </c>
      <c r="V2369" s="71" t="s">
        <v>391</v>
      </c>
      <c r="W2369" s="130">
        <v>46079.813194444447</v>
      </c>
      <c r="X2369" s="72">
        <v>46080.381944444445</v>
      </c>
      <c r="Y2369" s="72">
        <v>46107.322916666664</v>
      </c>
      <c r="Z2369" s="104" t="s">
        <v>408</v>
      </c>
      <c r="AA2369" s="104" t="s">
        <v>383</v>
      </c>
      <c r="AB2369" s="105"/>
      <c r="AC2369" s="105"/>
    </row>
    <row r="2370" s="70" customFormat="1" ht="11.25" customHeight="1">
      <c r="A2370" s="87"/>
      <c r="C2370" s="43" t="s">
        <v>4111</v>
      </c>
      <c r="D2370" s="71" t="s">
        <v>382</v>
      </c>
      <c r="E2370" s="71" t="str">
        <f>MID(D2370,1,2)</f>
        <v>IL</v>
      </c>
      <c r="F2370" s="71" t="s">
        <v>546</v>
      </c>
      <c r="G2370" s="71" t="str">
        <f>MID(F2370,1,2)</f>
        <v>GB</v>
      </c>
      <c r="H2370" s="43" t="s">
        <v>4112</v>
      </c>
      <c r="I2370" s="71" t="s">
        <v>4113</v>
      </c>
      <c r="J2370" s="71" t="s">
        <v>559</v>
      </c>
      <c r="K2370" s="43"/>
      <c r="L2370" s="71" t="s">
        <v>107</v>
      </c>
      <c r="M2370" s="73">
        <v>1</v>
      </c>
      <c r="N2370" s="71" t="s">
        <v>388</v>
      </c>
      <c r="O2370" s="73">
        <v>0.027</v>
      </c>
      <c r="P2370" s="71" t="s">
        <v>389</v>
      </c>
      <c r="Q2370" s="73">
        <v>4.5</v>
      </c>
      <c r="R2370" s="71" t="s">
        <v>388</v>
      </c>
      <c r="S2370" s="73">
        <v>0</v>
      </c>
      <c r="T2370" s="71" t="s">
        <v>390</v>
      </c>
      <c r="U2370" s="74">
        <v>1</v>
      </c>
      <c r="V2370" s="71" t="s">
        <v>391</v>
      </c>
      <c r="W2370" s="130">
        <v>46079.813194444447</v>
      </c>
      <c r="X2370" s="72">
        <v>46080.381944444445</v>
      </c>
      <c r="Y2370" s="72">
        <v>46107.322916666664</v>
      </c>
      <c r="Z2370" s="104" t="s">
        <v>383</v>
      </c>
      <c r="AA2370" s="104" t="s">
        <v>546</v>
      </c>
      <c r="AB2370" s="105"/>
      <c r="AC2370" s="105"/>
    </row>
    <row r="2371" s="70" customFormat="1" ht="11.25" customHeight="1">
      <c r="A2371" s="87"/>
      <c r="C2371" s="43" t="s">
        <v>4114</v>
      </c>
      <c r="D2371" s="71" t="s">
        <v>382</v>
      </c>
      <c r="E2371" s="71" t="str">
        <f>MID(D2371,1,2)</f>
        <v>IL</v>
      </c>
      <c r="F2371" s="71" t="s">
        <v>702</v>
      </c>
      <c r="G2371" s="71" t="str">
        <f>MID(F2371,1,2)</f>
        <v>JP</v>
      </c>
      <c r="H2371" s="43" t="s">
        <v>4115</v>
      </c>
      <c r="I2371" s="71" t="s">
        <v>4116</v>
      </c>
      <c r="J2371" s="71" t="s">
        <v>755</v>
      </c>
      <c r="K2371" s="43"/>
      <c r="L2371" s="71" t="s">
        <v>105</v>
      </c>
      <c r="M2371" s="73">
        <v>61</v>
      </c>
      <c r="N2371" s="71" t="s">
        <v>388</v>
      </c>
      <c r="O2371" s="73">
        <v>0.455</v>
      </c>
      <c r="P2371" s="71" t="s">
        <v>389</v>
      </c>
      <c r="Q2371" s="73">
        <v>76</v>
      </c>
      <c r="R2371" s="71" t="s">
        <v>388</v>
      </c>
      <c r="S2371" s="73">
        <v>0</v>
      </c>
      <c r="T2371" s="71" t="s">
        <v>390</v>
      </c>
      <c r="U2371" s="74">
        <v>1</v>
      </c>
      <c r="V2371" s="71" t="s">
        <v>391</v>
      </c>
      <c r="W2371" s="130">
        <v>46078.597916666666</v>
      </c>
      <c r="X2371" s="72">
        <v>46081.902777777781</v>
      </c>
      <c r="Y2371" s="72">
        <v>46095.270833333336</v>
      </c>
      <c r="Z2371" s="104" t="s">
        <v>382</v>
      </c>
      <c r="AA2371" s="104" t="s">
        <v>383</v>
      </c>
      <c r="AB2371" s="105">
        <v>46091.299305555556</v>
      </c>
      <c r="AC2371" s="105">
        <v>46091.435416666667</v>
      </c>
    </row>
    <row r="2372" s="70" customFormat="1" ht="11.25" customHeight="1">
      <c r="A2372" s="87"/>
      <c r="C2372" s="43" t="s">
        <v>4114</v>
      </c>
      <c r="D2372" s="71" t="s">
        <v>382</v>
      </c>
      <c r="E2372" s="71" t="str">
        <f>MID(D2372,1,2)</f>
        <v>IL</v>
      </c>
      <c r="F2372" s="71" t="s">
        <v>702</v>
      </c>
      <c r="G2372" s="71" t="str">
        <f>MID(F2372,1,2)</f>
        <v>JP</v>
      </c>
      <c r="H2372" s="43" t="s">
        <v>4115</v>
      </c>
      <c r="I2372" s="71" t="s">
        <v>4116</v>
      </c>
      <c r="J2372" s="71" t="s">
        <v>755</v>
      </c>
      <c r="K2372" s="43"/>
      <c r="L2372" s="71" t="s">
        <v>105</v>
      </c>
      <c r="M2372" s="73">
        <v>61</v>
      </c>
      <c r="N2372" s="71" t="s">
        <v>388</v>
      </c>
      <c r="O2372" s="73">
        <v>0.455</v>
      </c>
      <c r="P2372" s="71" t="s">
        <v>389</v>
      </c>
      <c r="Q2372" s="73">
        <v>76</v>
      </c>
      <c r="R2372" s="71" t="s">
        <v>388</v>
      </c>
      <c r="S2372" s="73">
        <v>0</v>
      </c>
      <c r="T2372" s="71" t="s">
        <v>390</v>
      </c>
      <c r="U2372" s="74">
        <v>1</v>
      </c>
      <c r="V2372" s="71" t="s">
        <v>391</v>
      </c>
      <c r="W2372" s="130">
        <v>46078.597916666666</v>
      </c>
      <c r="X2372" s="72">
        <v>46081.902777777781</v>
      </c>
      <c r="Y2372" s="72">
        <v>46095.270833333336</v>
      </c>
      <c r="Z2372" s="104" t="s">
        <v>383</v>
      </c>
      <c r="AA2372" s="104" t="s">
        <v>403</v>
      </c>
      <c r="AB2372" s="105">
        <v>46093.503472222219</v>
      </c>
      <c r="AC2372" s="105">
        <v>46094.292361111111</v>
      </c>
    </row>
    <row r="2373" s="70" customFormat="1" ht="11.25" customHeight="1">
      <c r="A2373" s="87"/>
      <c r="C2373" s="43" t="s">
        <v>4114</v>
      </c>
      <c r="D2373" s="71" t="s">
        <v>382</v>
      </c>
      <c r="E2373" s="71" t="str">
        <f>MID(D2373,1,2)</f>
        <v>IL</v>
      </c>
      <c r="F2373" s="71" t="s">
        <v>702</v>
      </c>
      <c r="G2373" s="71" t="str">
        <f>MID(F2373,1,2)</f>
        <v>JP</v>
      </c>
      <c r="H2373" s="43" t="s">
        <v>4115</v>
      </c>
      <c r="I2373" s="71" t="s">
        <v>4116</v>
      </c>
      <c r="J2373" s="71" t="s">
        <v>755</v>
      </c>
      <c r="K2373" s="43"/>
      <c r="L2373" s="71" t="s">
        <v>105</v>
      </c>
      <c r="M2373" s="73">
        <v>61</v>
      </c>
      <c r="N2373" s="71" t="s">
        <v>388</v>
      </c>
      <c r="O2373" s="73">
        <v>0.455</v>
      </c>
      <c r="P2373" s="71" t="s">
        <v>389</v>
      </c>
      <c r="Q2373" s="73">
        <v>76</v>
      </c>
      <c r="R2373" s="71" t="s">
        <v>388</v>
      </c>
      <c r="S2373" s="73">
        <v>0</v>
      </c>
      <c r="T2373" s="71" t="s">
        <v>390</v>
      </c>
      <c r="U2373" s="74">
        <v>1</v>
      </c>
      <c r="V2373" s="71" t="s">
        <v>391</v>
      </c>
      <c r="W2373" s="130">
        <v>46078.597916666666</v>
      </c>
      <c r="X2373" s="72">
        <v>46081.902777777781</v>
      </c>
      <c r="Y2373" s="72">
        <v>46095.270833333336</v>
      </c>
      <c r="Z2373" s="104" t="s">
        <v>403</v>
      </c>
      <c r="AA2373" s="104" t="s">
        <v>702</v>
      </c>
      <c r="AB2373" s="105">
        <v>46095.05972222222</v>
      </c>
      <c r="AC2373" s="105">
        <v>46095.270138888889</v>
      </c>
    </row>
    <row r="2374" s="70" customFormat="1" ht="11.25" customHeight="1">
      <c r="A2374" s="87"/>
      <c r="C2374" s="43" t="s">
        <v>4117</v>
      </c>
      <c r="D2374" s="71" t="s">
        <v>382</v>
      </c>
      <c r="E2374" s="71" t="str">
        <f>MID(D2374,1,2)</f>
        <v>IL</v>
      </c>
      <c r="F2374" s="71" t="s">
        <v>590</v>
      </c>
      <c r="G2374" s="71" t="str">
        <f>MID(F2374,1,2)</f>
        <v>ES</v>
      </c>
      <c r="H2374" s="43" t="s">
        <v>4118</v>
      </c>
      <c r="I2374" s="71"/>
      <c r="J2374" s="71" t="s">
        <v>411</v>
      </c>
      <c r="K2374" s="43"/>
      <c r="L2374" s="71" t="s">
        <v>105</v>
      </c>
      <c r="M2374" s="73">
        <v>1</v>
      </c>
      <c r="N2374" s="71" t="s">
        <v>388</v>
      </c>
      <c r="O2374" s="73">
        <v>0.024</v>
      </c>
      <c r="P2374" s="71" t="s">
        <v>389</v>
      </c>
      <c r="Q2374" s="73">
        <v>4</v>
      </c>
      <c r="R2374" s="71" t="s">
        <v>388</v>
      </c>
      <c r="S2374" s="73">
        <v>0</v>
      </c>
      <c r="T2374" s="71" t="s">
        <v>390</v>
      </c>
      <c r="U2374" s="74">
        <v>1</v>
      </c>
      <c r="V2374" s="71" t="s">
        <v>390</v>
      </c>
      <c r="W2374" s="130"/>
      <c r="X2374" s="72">
        <v>46080.506944444445</v>
      </c>
      <c r="Y2374" s="72">
        <v>46081.613888888889</v>
      </c>
      <c r="Z2374" s="104" t="s">
        <v>382</v>
      </c>
      <c r="AA2374" s="104" t="s">
        <v>451</v>
      </c>
      <c r="AB2374" s="105">
        <v>46080.625694444447</v>
      </c>
      <c r="AC2374" s="105">
        <v>46080.730555555558</v>
      </c>
    </row>
    <row r="2375" s="70" customFormat="1" ht="11.25" customHeight="1">
      <c r="A2375" s="87"/>
      <c r="C2375" s="43" t="s">
        <v>4117</v>
      </c>
      <c r="D2375" s="71" t="s">
        <v>382</v>
      </c>
      <c r="E2375" s="71" t="str">
        <f>MID(D2375,1,2)</f>
        <v>IL</v>
      </c>
      <c r="F2375" s="71" t="s">
        <v>590</v>
      </c>
      <c r="G2375" s="71" t="str">
        <f>MID(F2375,1,2)</f>
        <v>ES</v>
      </c>
      <c r="H2375" s="43" t="s">
        <v>4118</v>
      </c>
      <c r="I2375" s="71"/>
      <c r="J2375" s="71" t="s">
        <v>411</v>
      </c>
      <c r="K2375" s="43"/>
      <c r="L2375" s="71" t="s">
        <v>105</v>
      </c>
      <c r="M2375" s="73">
        <v>1</v>
      </c>
      <c r="N2375" s="71" t="s">
        <v>388</v>
      </c>
      <c r="O2375" s="73">
        <v>0.024</v>
      </c>
      <c r="P2375" s="71" t="s">
        <v>389</v>
      </c>
      <c r="Q2375" s="73">
        <v>4</v>
      </c>
      <c r="R2375" s="71" t="s">
        <v>388</v>
      </c>
      <c r="S2375" s="73">
        <v>0</v>
      </c>
      <c r="T2375" s="71" t="s">
        <v>390</v>
      </c>
      <c r="U2375" s="74">
        <v>1</v>
      </c>
      <c r="V2375" s="71" t="s">
        <v>390</v>
      </c>
      <c r="W2375" s="130"/>
      <c r="X2375" s="72">
        <v>46080.506944444445</v>
      </c>
      <c r="Y2375" s="72">
        <v>46081.613888888889</v>
      </c>
      <c r="Z2375" s="104" t="s">
        <v>451</v>
      </c>
      <c r="AA2375" s="104" t="s">
        <v>590</v>
      </c>
      <c r="AB2375" s="105">
        <v>46088.424305555556</v>
      </c>
      <c r="AC2375" s="105">
        <v>46088.55</v>
      </c>
    </row>
    <row r="2376" s="70" customFormat="1" ht="11.25" customHeight="1">
      <c r="A2376" s="87"/>
      <c r="C2376" s="43" t="s">
        <v>4119</v>
      </c>
      <c r="D2376" s="71" t="s">
        <v>382</v>
      </c>
      <c r="E2376" s="71" t="str">
        <f>MID(D2376,1,2)</f>
        <v>IL</v>
      </c>
      <c r="F2376" s="71" t="s">
        <v>963</v>
      </c>
      <c r="G2376" s="71" t="str">
        <f>MID(F2376,1,2)</f>
        <v>IN</v>
      </c>
      <c r="H2376" s="43" t="s">
        <v>4120</v>
      </c>
      <c r="I2376" s="71" t="s">
        <v>4121</v>
      </c>
      <c r="J2376" s="71" t="s">
        <v>400</v>
      </c>
      <c r="K2376" s="43"/>
      <c r="L2376" s="71" t="s">
        <v>105</v>
      </c>
      <c r="M2376" s="73">
        <v>2</v>
      </c>
      <c r="N2376" s="71" t="s">
        <v>388</v>
      </c>
      <c r="O2376" s="73">
        <v>0.036</v>
      </c>
      <c r="P2376" s="71" t="s">
        <v>389</v>
      </c>
      <c r="Q2376" s="73">
        <v>6</v>
      </c>
      <c r="R2376" s="71" t="s">
        <v>388</v>
      </c>
      <c r="S2376" s="73">
        <v>0</v>
      </c>
      <c r="T2376" s="71" t="s">
        <v>390</v>
      </c>
      <c r="U2376" s="74">
        <v>1</v>
      </c>
      <c r="V2376" s="71" t="s">
        <v>391</v>
      </c>
      <c r="W2376" s="130">
        <v>46078.611805555556</v>
      </c>
      <c r="X2376" s="72">
        <v>46081.854166666664</v>
      </c>
      <c r="Y2376" s="72">
        <v>46100.666666666664</v>
      </c>
      <c r="Z2376" s="104" t="s">
        <v>382</v>
      </c>
      <c r="AA2376" s="104" t="s">
        <v>402</v>
      </c>
      <c r="AB2376" s="105">
        <v>46093.429166666669</v>
      </c>
      <c r="AC2376" s="105">
        <v>46093.841666666667</v>
      </c>
    </row>
    <row r="2377" s="70" customFormat="1" ht="11.25" customHeight="1">
      <c r="A2377" s="87"/>
      <c r="C2377" s="43" t="s">
        <v>4119</v>
      </c>
      <c r="D2377" s="71" t="s">
        <v>382</v>
      </c>
      <c r="E2377" s="71" t="str">
        <f>MID(D2377,1,2)</f>
        <v>IL</v>
      </c>
      <c r="F2377" s="71" t="s">
        <v>963</v>
      </c>
      <c r="G2377" s="71" t="str">
        <f>MID(F2377,1,2)</f>
        <v>IN</v>
      </c>
      <c r="H2377" s="43" t="s">
        <v>4120</v>
      </c>
      <c r="I2377" s="71" t="s">
        <v>4121</v>
      </c>
      <c r="J2377" s="71" t="s">
        <v>400</v>
      </c>
      <c r="K2377" s="43"/>
      <c r="L2377" s="71" t="s">
        <v>105</v>
      </c>
      <c r="M2377" s="73">
        <v>2</v>
      </c>
      <c r="N2377" s="71" t="s">
        <v>388</v>
      </c>
      <c r="O2377" s="73">
        <v>0.036</v>
      </c>
      <c r="P2377" s="71" t="s">
        <v>389</v>
      </c>
      <c r="Q2377" s="73">
        <v>6</v>
      </c>
      <c r="R2377" s="71" t="s">
        <v>388</v>
      </c>
      <c r="S2377" s="73">
        <v>0</v>
      </c>
      <c r="T2377" s="71" t="s">
        <v>390</v>
      </c>
      <c r="U2377" s="74">
        <v>1</v>
      </c>
      <c r="V2377" s="71" t="s">
        <v>391</v>
      </c>
      <c r="W2377" s="130">
        <v>46078.611805555556</v>
      </c>
      <c r="X2377" s="72">
        <v>46081.854166666664</v>
      </c>
      <c r="Y2377" s="72">
        <v>46100.666666666664</v>
      </c>
      <c r="Z2377" s="104" t="s">
        <v>402</v>
      </c>
      <c r="AA2377" s="104" t="s">
        <v>809</v>
      </c>
      <c r="AB2377" s="105">
        <v>46093.888194444444</v>
      </c>
      <c r="AC2377" s="105">
        <v>46093.842361111114</v>
      </c>
    </row>
    <row r="2378" s="70" customFormat="1" ht="11.25" customHeight="1">
      <c r="A2378" s="87"/>
      <c r="C2378" s="43" t="s">
        <v>4119</v>
      </c>
      <c r="D2378" s="71" t="s">
        <v>382</v>
      </c>
      <c r="E2378" s="71" t="str">
        <f>MID(D2378,1,2)</f>
        <v>IL</v>
      </c>
      <c r="F2378" s="71" t="s">
        <v>963</v>
      </c>
      <c r="G2378" s="71" t="str">
        <f>MID(F2378,1,2)</f>
        <v>IN</v>
      </c>
      <c r="H2378" s="43" t="s">
        <v>4120</v>
      </c>
      <c r="I2378" s="71" t="s">
        <v>4121</v>
      </c>
      <c r="J2378" s="71" t="s">
        <v>400</v>
      </c>
      <c r="K2378" s="43"/>
      <c r="L2378" s="71" t="s">
        <v>105</v>
      </c>
      <c r="M2378" s="73">
        <v>2</v>
      </c>
      <c r="N2378" s="71" t="s">
        <v>388</v>
      </c>
      <c r="O2378" s="73">
        <v>0.036</v>
      </c>
      <c r="P2378" s="71" t="s">
        <v>389</v>
      </c>
      <c r="Q2378" s="73">
        <v>6</v>
      </c>
      <c r="R2378" s="71" t="s">
        <v>388</v>
      </c>
      <c r="S2378" s="73">
        <v>0</v>
      </c>
      <c r="T2378" s="71" t="s">
        <v>390</v>
      </c>
      <c r="U2378" s="74">
        <v>1</v>
      </c>
      <c r="V2378" s="71" t="s">
        <v>391</v>
      </c>
      <c r="W2378" s="130">
        <v>46078.611805555556</v>
      </c>
      <c r="X2378" s="72">
        <v>46081.854166666664</v>
      </c>
      <c r="Y2378" s="72">
        <v>46100.666666666664</v>
      </c>
      <c r="Z2378" s="104" t="s">
        <v>809</v>
      </c>
      <c r="AA2378" s="104" t="s">
        <v>963</v>
      </c>
      <c r="AB2378" s="105">
        <v>46098.365972222222</v>
      </c>
      <c r="AC2378" s="105">
        <v>46100.365972222222</v>
      </c>
    </row>
    <row r="2379" s="70" customFormat="1" ht="11.25" customHeight="1">
      <c r="A2379" s="87"/>
      <c r="C2379" s="43" t="s">
        <v>4122</v>
      </c>
      <c r="D2379" s="71" t="s">
        <v>382</v>
      </c>
      <c r="E2379" s="71" t="str">
        <f>MID(D2379,1,2)</f>
        <v>IL</v>
      </c>
      <c r="F2379" s="71" t="s">
        <v>480</v>
      </c>
      <c r="G2379" s="71" t="str">
        <f>MID(F2379,1,2)</f>
        <v>CA</v>
      </c>
      <c r="H2379" s="43" t="s">
        <v>4123</v>
      </c>
      <c r="I2379" s="71" t="s">
        <v>4124</v>
      </c>
      <c r="J2379" s="71" t="s">
        <v>483</v>
      </c>
      <c r="K2379" s="43"/>
      <c r="L2379" s="71" t="s">
        <v>105</v>
      </c>
      <c r="M2379" s="73">
        <v>13</v>
      </c>
      <c r="N2379" s="71" t="s">
        <v>388</v>
      </c>
      <c r="O2379" s="73">
        <v>0.389</v>
      </c>
      <c r="P2379" s="71" t="s">
        <v>389</v>
      </c>
      <c r="Q2379" s="73">
        <v>100</v>
      </c>
      <c r="R2379" s="71" t="s">
        <v>388</v>
      </c>
      <c r="S2379" s="73">
        <v>0</v>
      </c>
      <c r="T2379" s="71" t="s">
        <v>390</v>
      </c>
      <c r="U2379" s="74">
        <v>1</v>
      </c>
      <c r="V2379" s="71" t="s">
        <v>391</v>
      </c>
      <c r="W2379" s="130">
        <v>46078.61875</v>
      </c>
      <c r="X2379" s="72">
        <v>46080.458333333336</v>
      </c>
      <c r="Y2379" s="72">
        <v>46086.768055555556</v>
      </c>
      <c r="Z2379" s="104" t="s">
        <v>382</v>
      </c>
      <c r="AA2379" s="104" t="s">
        <v>405</v>
      </c>
      <c r="AB2379" s="105">
        <v>46080.638888888891</v>
      </c>
      <c r="AC2379" s="105">
        <v>46080.906944444447</v>
      </c>
    </row>
    <row r="2380" s="70" customFormat="1" ht="11.25" customHeight="1">
      <c r="A2380" s="87"/>
      <c r="C2380" s="43" t="s">
        <v>4122</v>
      </c>
      <c r="D2380" s="71" t="s">
        <v>382</v>
      </c>
      <c r="E2380" s="71" t="str">
        <f>MID(D2380,1,2)</f>
        <v>IL</v>
      </c>
      <c r="F2380" s="71" t="s">
        <v>480</v>
      </c>
      <c r="G2380" s="71" t="str">
        <f>MID(F2380,1,2)</f>
        <v>CA</v>
      </c>
      <c r="H2380" s="43" t="s">
        <v>4123</v>
      </c>
      <c r="I2380" s="71" t="s">
        <v>4124</v>
      </c>
      <c r="J2380" s="71" t="s">
        <v>483</v>
      </c>
      <c r="K2380" s="43"/>
      <c r="L2380" s="71" t="s">
        <v>105</v>
      </c>
      <c r="M2380" s="73">
        <v>13</v>
      </c>
      <c r="N2380" s="71" t="s">
        <v>388</v>
      </c>
      <c r="O2380" s="73">
        <v>0.389</v>
      </c>
      <c r="P2380" s="71" t="s">
        <v>389</v>
      </c>
      <c r="Q2380" s="73">
        <v>100</v>
      </c>
      <c r="R2380" s="71" t="s">
        <v>388</v>
      </c>
      <c r="S2380" s="73">
        <v>0</v>
      </c>
      <c r="T2380" s="71" t="s">
        <v>390</v>
      </c>
      <c r="U2380" s="74">
        <v>1</v>
      </c>
      <c r="V2380" s="71" t="s">
        <v>391</v>
      </c>
      <c r="W2380" s="130">
        <v>46078.61875</v>
      </c>
      <c r="X2380" s="72">
        <v>46080.458333333336</v>
      </c>
      <c r="Y2380" s="72">
        <v>46086.768055555556</v>
      </c>
      <c r="Z2380" s="104" t="s">
        <v>405</v>
      </c>
      <c r="AA2380" s="104" t="s">
        <v>480</v>
      </c>
      <c r="AB2380" s="105">
        <v>46084.486111111109</v>
      </c>
      <c r="AC2380" s="105">
        <v>46086.416666666664</v>
      </c>
    </row>
    <row r="2381" s="70" customFormat="1" ht="11.25" customHeight="1">
      <c r="A2381" s="87"/>
      <c r="C2381" s="43" t="s">
        <v>4125</v>
      </c>
      <c r="D2381" s="71" t="s">
        <v>382</v>
      </c>
      <c r="E2381" s="71" t="str">
        <f>MID(D2381,1,2)</f>
        <v>IL</v>
      </c>
      <c r="F2381" s="71" t="s">
        <v>422</v>
      </c>
      <c r="G2381" s="71" t="str">
        <f>MID(F2381,1,2)</f>
        <v>US</v>
      </c>
      <c r="H2381" s="43" t="s">
        <v>4126</v>
      </c>
      <c r="I2381" s="71"/>
      <c r="J2381" s="71" t="s">
        <v>426</v>
      </c>
      <c r="K2381" s="43"/>
      <c r="L2381" s="71" t="s">
        <v>105</v>
      </c>
      <c r="M2381" s="73">
        <v>3951</v>
      </c>
      <c r="N2381" s="71" t="s">
        <v>388</v>
      </c>
      <c r="O2381" s="73">
        <v>20.376</v>
      </c>
      <c r="P2381" s="71" t="s">
        <v>389</v>
      </c>
      <c r="Q2381" s="73">
        <v>3951</v>
      </c>
      <c r="R2381" s="71" t="s">
        <v>388</v>
      </c>
      <c r="S2381" s="73">
        <v>0</v>
      </c>
      <c r="T2381" s="71" t="s">
        <v>390</v>
      </c>
      <c r="U2381" s="74">
        <v>12</v>
      </c>
      <c r="V2381" s="71" t="s">
        <v>391</v>
      </c>
      <c r="W2381" s="130">
        <v>46078.645833333336</v>
      </c>
      <c r="X2381" s="72">
        <v>46083.003472222219</v>
      </c>
      <c r="Y2381" s="72">
        <v>46111.21875</v>
      </c>
      <c r="Z2381" s="104" t="s">
        <v>382</v>
      </c>
      <c r="AA2381" s="104" t="s">
        <v>422</v>
      </c>
      <c r="AB2381" s="105"/>
      <c r="AC2381" s="105"/>
    </row>
    <row r="2382" s="70" customFormat="1" ht="11.25" customHeight="1">
      <c r="A2382" s="87"/>
      <c r="C2382" s="43" t="s">
        <v>4127</v>
      </c>
      <c r="D2382" s="71" t="s">
        <v>382</v>
      </c>
      <c r="E2382" s="71" t="str">
        <f>MID(D2382,1,2)</f>
        <v>IL</v>
      </c>
      <c r="F2382" s="71" t="s">
        <v>1538</v>
      </c>
      <c r="G2382" s="71" t="str">
        <f>MID(F2382,1,2)</f>
        <v>KR</v>
      </c>
      <c r="H2382" s="43" t="s">
        <v>3993</v>
      </c>
      <c r="I2382" s="71" t="s">
        <v>4128</v>
      </c>
      <c r="J2382" s="71" t="s">
        <v>755</v>
      </c>
      <c r="K2382" s="43"/>
      <c r="L2382" s="71" t="s">
        <v>105</v>
      </c>
      <c r="M2382" s="73">
        <v>145</v>
      </c>
      <c r="N2382" s="71" t="s">
        <v>388</v>
      </c>
      <c r="O2382" s="73">
        <v>0.665</v>
      </c>
      <c r="P2382" s="71" t="s">
        <v>389</v>
      </c>
      <c r="Q2382" s="73">
        <v>145</v>
      </c>
      <c r="R2382" s="71" t="s">
        <v>388</v>
      </c>
      <c r="S2382" s="73">
        <v>0</v>
      </c>
      <c r="T2382" s="71" t="s">
        <v>390</v>
      </c>
      <c r="U2382" s="74">
        <v>1</v>
      </c>
      <c r="V2382" s="71" t="s">
        <v>391</v>
      </c>
      <c r="W2382" s="130">
        <v>46078.871863425928</v>
      </c>
      <c r="X2382" s="72">
        <v>46079.291666666664</v>
      </c>
      <c r="Y2382" s="72">
        <v>46105.625</v>
      </c>
      <c r="Z2382" s="104" t="s">
        <v>382</v>
      </c>
      <c r="AA2382" s="104" t="s">
        <v>466</v>
      </c>
      <c r="AB2382" s="105">
        <v>46087.102083333331</v>
      </c>
      <c r="AC2382" s="105">
        <v>46087.234722222223</v>
      </c>
    </row>
    <row r="2383" s="70" customFormat="1" ht="11.25" customHeight="1">
      <c r="A2383" s="87"/>
      <c r="C2383" s="43" t="s">
        <v>4127</v>
      </c>
      <c r="D2383" s="71" t="s">
        <v>382</v>
      </c>
      <c r="E2383" s="71" t="str">
        <f>MID(D2383,1,2)</f>
        <v>IL</v>
      </c>
      <c r="F2383" s="71" t="s">
        <v>1538</v>
      </c>
      <c r="G2383" s="71" t="str">
        <f>MID(F2383,1,2)</f>
        <v>KR</v>
      </c>
      <c r="H2383" s="43" t="s">
        <v>3993</v>
      </c>
      <c r="I2383" s="71" t="s">
        <v>4128</v>
      </c>
      <c r="J2383" s="71" t="s">
        <v>755</v>
      </c>
      <c r="K2383" s="43"/>
      <c r="L2383" s="71" t="s">
        <v>105</v>
      </c>
      <c r="M2383" s="73">
        <v>145</v>
      </c>
      <c r="N2383" s="71" t="s">
        <v>388</v>
      </c>
      <c r="O2383" s="73">
        <v>0.665</v>
      </c>
      <c r="P2383" s="71" t="s">
        <v>389</v>
      </c>
      <c r="Q2383" s="73">
        <v>145</v>
      </c>
      <c r="R2383" s="71" t="s">
        <v>388</v>
      </c>
      <c r="S2383" s="73">
        <v>0</v>
      </c>
      <c r="T2383" s="71" t="s">
        <v>390</v>
      </c>
      <c r="U2383" s="74">
        <v>1</v>
      </c>
      <c r="V2383" s="71" t="s">
        <v>391</v>
      </c>
      <c r="W2383" s="130">
        <v>46078.871863425928</v>
      </c>
      <c r="X2383" s="72">
        <v>46079.291666666664</v>
      </c>
      <c r="Y2383" s="72">
        <v>46105.625</v>
      </c>
      <c r="Z2383" s="104" t="s">
        <v>466</v>
      </c>
      <c r="AA2383" s="104" t="s">
        <v>1117</v>
      </c>
      <c r="AB2383" s="105">
        <v>46101.209722222222</v>
      </c>
      <c r="AC2383" s="105">
        <v>46101.428472222222</v>
      </c>
    </row>
    <row r="2384" s="70" customFormat="1" ht="11.25" customHeight="1">
      <c r="A2384" s="87"/>
      <c r="C2384" s="43" t="s">
        <v>4127</v>
      </c>
      <c r="D2384" s="71" t="s">
        <v>382</v>
      </c>
      <c r="E2384" s="71" t="str">
        <f>MID(D2384,1,2)</f>
        <v>IL</v>
      </c>
      <c r="F2384" s="71" t="s">
        <v>1538</v>
      </c>
      <c r="G2384" s="71" t="str">
        <f>MID(F2384,1,2)</f>
        <v>KR</v>
      </c>
      <c r="H2384" s="43" t="s">
        <v>3993</v>
      </c>
      <c r="I2384" s="71" t="s">
        <v>4128</v>
      </c>
      <c r="J2384" s="71" t="s">
        <v>755</v>
      </c>
      <c r="K2384" s="43"/>
      <c r="L2384" s="71" t="s">
        <v>105</v>
      </c>
      <c r="M2384" s="73">
        <v>145</v>
      </c>
      <c r="N2384" s="71" t="s">
        <v>388</v>
      </c>
      <c r="O2384" s="73">
        <v>0.665</v>
      </c>
      <c r="P2384" s="71" t="s">
        <v>389</v>
      </c>
      <c r="Q2384" s="73">
        <v>145</v>
      </c>
      <c r="R2384" s="71" t="s">
        <v>388</v>
      </c>
      <c r="S2384" s="73">
        <v>0</v>
      </c>
      <c r="T2384" s="71" t="s">
        <v>390</v>
      </c>
      <c r="U2384" s="74">
        <v>1</v>
      </c>
      <c r="V2384" s="71" t="s">
        <v>391</v>
      </c>
      <c r="W2384" s="130">
        <v>46078.871863425928</v>
      </c>
      <c r="X2384" s="72">
        <v>46079.291666666664</v>
      </c>
      <c r="Y2384" s="72">
        <v>46105.625</v>
      </c>
      <c r="Z2384" s="104" t="s">
        <v>1117</v>
      </c>
      <c r="AA2384" s="104" t="s">
        <v>1538</v>
      </c>
      <c r="AB2384" s="105"/>
      <c r="AC2384" s="105"/>
    </row>
    <row r="2385" s="70" customFormat="1" ht="11.25" customHeight="1">
      <c r="A2385" s="87"/>
      <c r="C2385" s="43" t="s">
        <v>4129</v>
      </c>
      <c r="D2385" s="71" t="s">
        <v>382</v>
      </c>
      <c r="E2385" s="71" t="str">
        <f>MID(D2385,1,2)</f>
        <v>IL</v>
      </c>
      <c r="F2385" s="71" t="s">
        <v>383</v>
      </c>
      <c r="G2385" s="71" t="str">
        <f>MID(F2385,1,2)</f>
        <v>DE</v>
      </c>
      <c r="H2385" s="43" t="s">
        <v>4130</v>
      </c>
      <c r="I2385" s="71" t="s">
        <v>4131</v>
      </c>
      <c r="J2385" s="71" t="s">
        <v>386</v>
      </c>
      <c r="K2385" s="43"/>
      <c r="L2385" s="71" t="s">
        <v>107</v>
      </c>
      <c r="M2385" s="73">
        <v>340</v>
      </c>
      <c r="N2385" s="71" t="s">
        <v>388</v>
      </c>
      <c r="O2385" s="73">
        <v>4.299</v>
      </c>
      <c r="P2385" s="71" t="s">
        <v>389</v>
      </c>
      <c r="Q2385" s="73">
        <v>716.5</v>
      </c>
      <c r="R2385" s="71" t="s">
        <v>388</v>
      </c>
      <c r="S2385" s="73">
        <v>0</v>
      </c>
      <c r="T2385" s="71" t="s">
        <v>390</v>
      </c>
      <c r="U2385" s="74">
        <v>2</v>
      </c>
      <c r="V2385" s="71" t="s">
        <v>391</v>
      </c>
      <c r="W2385" s="130">
        <v>46079.813159722224</v>
      </c>
      <c r="X2385" s="72">
        <v>46082.229166666664</v>
      </c>
      <c r="Y2385" s="72">
        <v>46084.083333333336</v>
      </c>
      <c r="Z2385" s="104" t="s">
        <v>383</v>
      </c>
      <c r="AA2385" s="104" t="s">
        <v>383</v>
      </c>
      <c r="AB2385" s="105">
        <v>46085.520833333336</v>
      </c>
      <c r="AC2385" s="105">
        <v>46085.572916666664</v>
      </c>
    </row>
    <row r="2386" s="70" customFormat="1" ht="11.25" customHeight="1">
      <c r="A2386" s="87"/>
      <c r="C2386" s="43" t="s">
        <v>4129</v>
      </c>
      <c r="D2386" s="71" t="s">
        <v>382</v>
      </c>
      <c r="E2386" s="71" t="str">
        <f>MID(D2386,1,2)</f>
        <v>IL</v>
      </c>
      <c r="F2386" s="71" t="s">
        <v>383</v>
      </c>
      <c r="G2386" s="71" t="str">
        <f>MID(F2386,1,2)</f>
        <v>DE</v>
      </c>
      <c r="H2386" s="43" t="s">
        <v>4130</v>
      </c>
      <c r="I2386" s="71" t="s">
        <v>4131</v>
      </c>
      <c r="J2386" s="71" t="s">
        <v>386</v>
      </c>
      <c r="K2386" s="43"/>
      <c r="L2386" s="71" t="s">
        <v>107</v>
      </c>
      <c r="M2386" s="73">
        <v>340</v>
      </c>
      <c r="N2386" s="71" t="s">
        <v>388</v>
      </c>
      <c r="O2386" s="73">
        <v>4.299</v>
      </c>
      <c r="P2386" s="71" t="s">
        <v>389</v>
      </c>
      <c r="Q2386" s="73">
        <v>716.5</v>
      </c>
      <c r="R2386" s="71" t="s">
        <v>388</v>
      </c>
      <c r="S2386" s="73">
        <v>0</v>
      </c>
      <c r="T2386" s="71" t="s">
        <v>390</v>
      </c>
      <c r="U2386" s="74">
        <v>2</v>
      </c>
      <c r="V2386" s="71" t="s">
        <v>391</v>
      </c>
      <c r="W2386" s="130">
        <v>46079.813159722224</v>
      </c>
      <c r="X2386" s="72">
        <v>46082.229166666664</v>
      </c>
      <c r="Y2386" s="72">
        <v>46084.083333333336</v>
      </c>
      <c r="Z2386" s="104" t="s">
        <v>382</v>
      </c>
      <c r="AA2386" s="104" t="s">
        <v>466</v>
      </c>
      <c r="AB2386" s="105">
        <v>46083.454861111109</v>
      </c>
      <c r="AC2386" s="105">
        <v>46083.595138888886</v>
      </c>
    </row>
    <row r="2387" s="70" customFormat="1" ht="11.25" customHeight="1">
      <c r="A2387" s="87"/>
      <c r="C2387" s="43" t="s">
        <v>4129</v>
      </c>
      <c r="D2387" s="71" t="s">
        <v>382</v>
      </c>
      <c r="E2387" s="71" t="str">
        <f>MID(D2387,1,2)</f>
        <v>IL</v>
      </c>
      <c r="F2387" s="71" t="s">
        <v>383</v>
      </c>
      <c r="G2387" s="71" t="str">
        <f>MID(F2387,1,2)</f>
        <v>DE</v>
      </c>
      <c r="H2387" s="43" t="s">
        <v>4130</v>
      </c>
      <c r="I2387" s="71" t="s">
        <v>4131</v>
      </c>
      <c r="J2387" s="71" t="s">
        <v>386</v>
      </c>
      <c r="K2387" s="43"/>
      <c r="L2387" s="71" t="s">
        <v>107</v>
      </c>
      <c r="M2387" s="73">
        <v>340</v>
      </c>
      <c r="N2387" s="71" t="s">
        <v>388</v>
      </c>
      <c r="O2387" s="73">
        <v>4.299</v>
      </c>
      <c r="P2387" s="71" t="s">
        <v>389</v>
      </c>
      <c r="Q2387" s="73">
        <v>716.5</v>
      </c>
      <c r="R2387" s="71" t="s">
        <v>388</v>
      </c>
      <c r="S2387" s="73">
        <v>0</v>
      </c>
      <c r="T2387" s="71" t="s">
        <v>390</v>
      </c>
      <c r="U2387" s="74">
        <v>2</v>
      </c>
      <c r="V2387" s="71" t="s">
        <v>391</v>
      </c>
      <c r="W2387" s="130">
        <v>46079.813159722224</v>
      </c>
      <c r="X2387" s="72">
        <v>46082.229166666664</v>
      </c>
      <c r="Y2387" s="72">
        <v>46084.083333333336</v>
      </c>
      <c r="Z2387" s="104" t="s">
        <v>466</v>
      </c>
      <c r="AA2387" s="104" t="s">
        <v>383</v>
      </c>
      <c r="AB2387" s="105">
        <v>46084.011805555558</v>
      </c>
      <c r="AC2387" s="105">
        <v>46084.371527777781</v>
      </c>
    </row>
    <row r="2388" s="70" customFormat="1" ht="11.25" customHeight="1">
      <c r="A2388" s="87"/>
      <c r="C2388" s="43" t="s">
        <v>4132</v>
      </c>
      <c r="D2388" s="71" t="s">
        <v>382</v>
      </c>
      <c r="E2388" s="71" t="str">
        <f>MID(D2388,1,2)</f>
        <v>IL</v>
      </c>
      <c r="F2388" s="71" t="s">
        <v>4133</v>
      </c>
      <c r="G2388" s="71" t="str">
        <f>MID(F2388,1,2)</f>
        <v>GT</v>
      </c>
      <c r="H2388" s="43" t="s">
        <v>4134</v>
      </c>
      <c r="I2388" s="71" t="s">
        <v>4135</v>
      </c>
      <c r="J2388" s="71" t="s">
        <v>426</v>
      </c>
      <c r="K2388" s="43"/>
      <c r="L2388" s="71" t="s">
        <v>105</v>
      </c>
      <c r="M2388" s="73">
        <v>132</v>
      </c>
      <c r="N2388" s="71" t="s">
        <v>388</v>
      </c>
      <c r="O2388" s="73">
        <v>0.432</v>
      </c>
      <c r="P2388" s="71" t="s">
        <v>389</v>
      </c>
      <c r="Q2388" s="73">
        <v>132</v>
      </c>
      <c r="R2388" s="71" t="s">
        <v>388</v>
      </c>
      <c r="S2388" s="73">
        <v>0</v>
      </c>
      <c r="T2388" s="71" t="s">
        <v>390</v>
      </c>
      <c r="U2388" s="74">
        <v>1</v>
      </c>
      <c r="V2388" s="71" t="s">
        <v>391</v>
      </c>
      <c r="W2388" s="130">
        <v>46079.805844907409</v>
      </c>
      <c r="X2388" s="72">
        <v>46082</v>
      </c>
      <c r="Y2388" s="72">
        <v>46097.000694444447</v>
      </c>
      <c r="Z2388" s="104" t="s">
        <v>382</v>
      </c>
      <c r="AA2388" s="104" t="s">
        <v>466</v>
      </c>
      <c r="AB2388" s="105">
        <v>46088.707638888889</v>
      </c>
      <c r="AC2388" s="105"/>
    </row>
    <row r="2389" s="70" customFormat="1" ht="11.25" customHeight="1">
      <c r="A2389" s="87"/>
      <c r="C2389" s="43" t="s">
        <v>4132</v>
      </c>
      <c r="D2389" s="71" t="s">
        <v>382</v>
      </c>
      <c r="E2389" s="71" t="str">
        <f>MID(D2389,1,2)</f>
        <v>IL</v>
      </c>
      <c r="F2389" s="71" t="s">
        <v>4133</v>
      </c>
      <c r="G2389" s="71" t="str">
        <f>MID(F2389,1,2)</f>
        <v>GT</v>
      </c>
      <c r="H2389" s="43" t="s">
        <v>4134</v>
      </c>
      <c r="I2389" s="71" t="s">
        <v>4135</v>
      </c>
      <c r="J2389" s="71" t="s">
        <v>426</v>
      </c>
      <c r="K2389" s="43"/>
      <c r="L2389" s="71" t="s">
        <v>105</v>
      </c>
      <c r="M2389" s="73">
        <v>132</v>
      </c>
      <c r="N2389" s="71" t="s">
        <v>388</v>
      </c>
      <c r="O2389" s="73">
        <v>0.432</v>
      </c>
      <c r="P2389" s="71" t="s">
        <v>389</v>
      </c>
      <c r="Q2389" s="73">
        <v>132</v>
      </c>
      <c r="R2389" s="71" t="s">
        <v>388</v>
      </c>
      <c r="S2389" s="73">
        <v>0</v>
      </c>
      <c r="T2389" s="71" t="s">
        <v>390</v>
      </c>
      <c r="U2389" s="74">
        <v>1</v>
      </c>
      <c r="V2389" s="71" t="s">
        <v>391</v>
      </c>
      <c r="W2389" s="130">
        <v>46079.805844907409</v>
      </c>
      <c r="X2389" s="72">
        <v>46082</v>
      </c>
      <c r="Y2389" s="72">
        <v>46097.000694444447</v>
      </c>
      <c r="Z2389" s="104" t="s">
        <v>466</v>
      </c>
      <c r="AA2389" s="104" t="s">
        <v>546</v>
      </c>
      <c r="AB2389" s="105">
        <v>46091.86875</v>
      </c>
      <c r="AC2389" s="105"/>
    </row>
    <row r="2390" s="70" customFormat="1" ht="11.25" customHeight="1">
      <c r="A2390" s="87"/>
      <c r="C2390" s="43" t="s">
        <v>4132</v>
      </c>
      <c r="D2390" s="71" t="s">
        <v>382</v>
      </c>
      <c r="E2390" s="71" t="str">
        <f>MID(D2390,1,2)</f>
        <v>IL</v>
      </c>
      <c r="F2390" s="71" t="s">
        <v>4133</v>
      </c>
      <c r="G2390" s="71" t="str">
        <f>MID(F2390,1,2)</f>
        <v>GT</v>
      </c>
      <c r="H2390" s="43" t="s">
        <v>4134</v>
      </c>
      <c r="I2390" s="71" t="s">
        <v>4135</v>
      </c>
      <c r="J2390" s="71" t="s">
        <v>426</v>
      </c>
      <c r="K2390" s="43"/>
      <c r="L2390" s="71" t="s">
        <v>105</v>
      </c>
      <c r="M2390" s="73">
        <v>132</v>
      </c>
      <c r="N2390" s="71" t="s">
        <v>388</v>
      </c>
      <c r="O2390" s="73">
        <v>0.432</v>
      </c>
      <c r="P2390" s="71" t="s">
        <v>389</v>
      </c>
      <c r="Q2390" s="73">
        <v>132</v>
      </c>
      <c r="R2390" s="71" t="s">
        <v>388</v>
      </c>
      <c r="S2390" s="73">
        <v>0</v>
      </c>
      <c r="T2390" s="71" t="s">
        <v>390</v>
      </c>
      <c r="U2390" s="74">
        <v>1</v>
      </c>
      <c r="V2390" s="71" t="s">
        <v>391</v>
      </c>
      <c r="W2390" s="130">
        <v>46079.805844907409</v>
      </c>
      <c r="X2390" s="72">
        <v>46082</v>
      </c>
      <c r="Y2390" s="72">
        <v>46097.000694444447</v>
      </c>
      <c r="Z2390" s="104" t="s">
        <v>546</v>
      </c>
      <c r="AA2390" s="104" t="s">
        <v>433</v>
      </c>
      <c r="AB2390" s="105">
        <v>46094.58125</v>
      </c>
      <c r="AC2390" s="105">
        <v>46094.834722222222</v>
      </c>
    </row>
    <row r="2391" s="70" customFormat="1" ht="11.25" customHeight="1">
      <c r="A2391" s="87"/>
      <c r="C2391" s="43" t="s">
        <v>4132</v>
      </c>
      <c r="D2391" s="71" t="s">
        <v>382</v>
      </c>
      <c r="E2391" s="71" t="str">
        <f>MID(D2391,1,2)</f>
        <v>IL</v>
      </c>
      <c r="F2391" s="71" t="s">
        <v>4133</v>
      </c>
      <c r="G2391" s="71" t="str">
        <f>MID(F2391,1,2)</f>
        <v>GT</v>
      </c>
      <c r="H2391" s="43" t="s">
        <v>4134</v>
      </c>
      <c r="I2391" s="71" t="s">
        <v>4135</v>
      </c>
      <c r="J2391" s="71" t="s">
        <v>426</v>
      </c>
      <c r="K2391" s="43"/>
      <c r="L2391" s="71" t="s">
        <v>105</v>
      </c>
      <c r="M2391" s="73">
        <v>132</v>
      </c>
      <c r="N2391" s="71" t="s">
        <v>388</v>
      </c>
      <c r="O2391" s="73">
        <v>0.432</v>
      </c>
      <c r="P2391" s="71" t="s">
        <v>389</v>
      </c>
      <c r="Q2391" s="73">
        <v>132</v>
      </c>
      <c r="R2391" s="71" t="s">
        <v>388</v>
      </c>
      <c r="S2391" s="73">
        <v>0</v>
      </c>
      <c r="T2391" s="71" t="s">
        <v>390</v>
      </c>
      <c r="U2391" s="74">
        <v>1</v>
      </c>
      <c r="V2391" s="71" t="s">
        <v>391</v>
      </c>
      <c r="W2391" s="130">
        <v>46079.805844907409</v>
      </c>
      <c r="X2391" s="72">
        <v>46082</v>
      </c>
      <c r="Y2391" s="72">
        <v>46097.000694444447</v>
      </c>
      <c r="Z2391" s="104" t="s">
        <v>433</v>
      </c>
      <c r="AA2391" s="104" t="s">
        <v>4133</v>
      </c>
      <c r="AB2391" s="105">
        <v>46097.21875</v>
      </c>
      <c r="AC2391" s="105">
        <v>46097.234722222223</v>
      </c>
    </row>
    <row r="2392" s="70" customFormat="1" ht="11.25" customHeight="1">
      <c r="A2392" s="87"/>
      <c r="C2392" s="43" t="s">
        <v>4136</v>
      </c>
      <c r="D2392" s="71" t="s">
        <v>382</v>
      </c>
      <c r="E2392" s="71" t="str">
        <f>MID(D2392,1,2)</f>
        <v>IL</v>
      </c>
      <c r="F2392" s="71" t="s">
        <v>522</v>
      </c>
      <c r="G2392" s="71" t="str">
        <f>MID(F2392,1,2)</f>
        <v>CZ</v>
      </c>
      <c r="H2392" s="43" t="s">
        <v>4137</v>
      </c>
      <c r="I2392" s="71" t="s">
        <v>4138</v>
      </c>
      <c r="J2392" s="71" t="s">
        <v>435</v>
      </c>
      <c r="K2392" s="43"/>
      <c r="L2392" s="71" t="s">
        <v>105</v>
      </c>
      <c r="M2392" s="73">
        <v>2</v>
      </c>
      <c r="N2392" s="71" t="s">
        <v>388</v>
      </c>
      <c r="O2392" s="73">
        <v>0.008</v>
      </c>
      <c r="P2392" s="71" t="s">
        <v>389</v>
      </c>
      <c r="Q2392" s="73">
        <v>2</v>
      </c>
      <c r="R2392" s="71" t="s">
        <v>388</v>
      </c>
      <c r="S2392" s="73">
        <v>0</v>
      </c>
      <c r="T2392" s="71" t="s">
        <v>390</v>
      </c>
      <c r="U2392" s="74">
        <v>1</v>
      </c>
      <c r="V2392" s="71" t="s">
        <v>391</v>
      </c>
      <c r="W2392" s="130">
        <v>46078.667361111111</v>
      </c>
      <c r="X2392" s="72">
        <v>46082.013888888891</v>
      </c>
      <c r="Y2392" s="72">
        <v>46092.336805555555</v>
      </c>
      <c r="Z2392" s="104" t="s">
        <v>382</v>
      </c>
      <c r="AA2392" s="104" t="s">
        <v>408</v>
      </c>
      <c r="AB2392" s="105">
        <v>46089.215277777781</v>
      </c>
      <c r="AC2392" s="105">
        <v>46089.309027777781</v>
      </c>
    </row>
    <row r="2393" s="70" customFormat="1" ht="11.25" customHeight="1">
      <c r="A2393" s="87"/>
      <c r="C2393" s="43" t="s">
        <v>4136</v>
      </c>
      <c r="D2393" s="71" t="s">
        <v>382</v>
      </c>
      <c r="E2393" s="71" t="str">
        <f>MID(D2393,1,2)</f>
        <v>IL</v>
      </c>
      <c r="F2393" s="71" t="s">
        <v>522</v>
      </c>
      <c r="G2393" s="71" t="str">
        <f>MID(F2393,1,2)</f>
        <v>CZ</v>
      </c>
      <c r="H2393" s="43" t="s">
        <v>4137</v>
      </c>
      <c r="I2393" s="71" t="s">
        <v>4138</v>
      </c>
      <c r="J2393" s="71" t="s">
        <v>435</v>
      </c>
      <c r="K2393" s="43"/>
      <c r="L2393" s="71" t="s">
        <v>105</v>
      </c>
      <c r="M2393" s="73">
        <v>2</v>
      </c>
      <c r="N2393" s="71" t="s">
        <v>388</v>
      </c>
      <c r="O2393" s="73">
        <v>0.008</v>
      </c>
      <c r="P2393" s="71" t="s">
        <v>389</v>
      </c>
      <c r="Q2393" s="73">
        <v>2</v>
      </c>
      <c r="R2393" s="71" t="s">
        <v>388</v>
      </c>
      <c r="S2393" s="73">
        <v>0</v>
      </c>
      <c r="T2393" s="71" t="s">
        <v>390</v>
      </c>
      <c r="U2393" s="74">
        <v>1</v>
      </c>
      <c r="V2393" s="71" t="s">
        <v>391</v>
      </c>
      <c r="W2393" s="130">
        <v>46078.667361111111</v>
      </c>
      <c r="X2393" s="72">
        <v>46082.013888888891</v>
      </c>
      <c r="Y2393" s="72">
        <v>46092.336805555555</v>
      </c>
      <c r="Z2393" s="104" t="s">
        <v>408</v>
      </c>
      <c r="AA2393" s="104" t="s">
        <v>3173</v>
      </c>
      <c r="AB2393" s="105">
        <v>46091.707638888889</v>
      </c>
      <c r="AC2393" s="105"/>
    </row>
    <row r="2394" s="70" customFormat="1" ht="11.25" customHeight="1">
      <c r="A2394" s="87"/>
      <c r="C2394" s="43" t="s">
        <v>4136</v>
      </c>
      <c r="D2394" s="71" t="s">
        <v>382</v>
      </c>
      <c r="E2394" s="71" t="str">
        <f>MID(D2394,1,2)</f>
        <v>IL</v>
      </c>
      <c r="F2394" s="71" t="s">
        <v>522</v>
      </c>
      <c r="G2394" s="71" t="str">
        <f>MID(F2394,1,2)</f>
        <v>CZ</v>
      </c>
      <c r="H2394" s="43" t="s">
        <v>4137</v>
      </c>
      <c r="I2394" s="71" t="s">
        <v>4138</v>
      </c>
      <c r="J2394" s="71" t="s">
        <v>435</v>
      </c>
      <c r="K2394" s="43"/>
      <c r="L2394" s="71" t="s">
        <v>105</v>
      </c>
      <c r="M2394" s="73">
        <v>2</v>
      </c>
      <c r="N2394" s="71" t="s">
        <v>388</v>
      </c>
      <c r="O2394" s="73">
        <v>0.008</v>
      </c>
      <c r="P2394" s="71" t="s">
        <v>389</v>
      </c>
      <c r="Q2394" s="73">
        <v>2</v>
      </c>
      <c r="R2394" s="71" t="s">
        <v>388</v>
      </c>
      <c r="S2394" s="73">
        <v>0</v>
      </c>
      <c r="T2394" s="71" t="s">
        <v>390</v>
      </c>
      <c r="U2394" s="74">
        <v>1</v>
      </c>
      <c r="V2394" s="71" t="s">
        <v>391</v>
      </c>
      <c r="W2394" s="130">
        <v>46078.667361111111</v>
      </c>
      <c r="X2394" s="72">
        <v>46082.013888888891</v>
      </c>
      <c r="Y2394" s="72">
        <v>46092.336805555555</v>
      </c>
      <c r="Z2394" s="104" t="s">
        <v>3173</v>
      </c>
      <c r="AA2394" s="104" t="s">
        <v>522</v>
      </c>
      <c r="AB2394" s="105">
        <v>46098.564583333333</v>
      </c>
      <c r="AC2394" s="105"/>
    </row>
    <row r="2395" s="70" customFormat="1" ht="11.25" customHeight="1">
      <c r="A2395" s="87"/>
      <c r="C2395" s="43" t="s">
        <v>4139</v>
      </c>
      <c r="D2395" s="71" t="s">
        <v>382</v>
      </c>
      <c r="E2395" s="71" t="str">
        <f>MID(D2395,1,2)</f>
        <v>IL</v>
      </c>
      <c r="F2395" s="71" t="s">
        <v>4140</v>
      </c>
      <c r="G2395" s="71" t="str">
        <f>MID(F2395,1,2)</f>
        <v>CA</v>
      </c>
      <c r="H2395" s="43" t="s">
        <v>4141</v>
      </c>
      <c r="I2395" s="71" t="s">
        <v>4142</v>
      </c>
      <c r="J2395" s="71" t="s">
        <v>483</v>
      </c>
      <c r="K2395" s="43"/>
      <c r="L2395" s="71" t="s">
        <v>105</v>
      </c>
      <c r="M2395" s="73">
        <v>16</v>
      </c>
      <c r="N2395" s="71" t="s">
        <v>388</v>
      </c>
      <c r="O2395" s="73">
        <v>0.389</v>
      </c>
      <c r="P2395" s="71" t="s">
        <v>389</v>
      </c>
      <c r="Q2395" s="73">
        <v>100</v>
      </c>
      <c r="R2395" s="71" t="s">
        <v>388</v>
      </c>
      <c r="S2395" s="73">
        <v>0</v>
      </c>
      <c r="T2395" s="71" t="s">
        <v>390</v>
      </c>
      <c r="U2395" s="74">
        <v>1</v>
      </c>
      <c r="V2395" s="71" t="s">
        <v>391</v>
      </c>
      <c r="W2395" s="130">
        <v>46078.667361111111</v>
      </c>
      <c r="X2395" s="72">
        <v>46080.496527777781</v>
      </c>
      <c r="Y2395" s="72">
        <v>46092.916666666664</v>
      </c>
      <c r="Z2395" s="104" t="s">
        <v>382</v>
      </c>
      <c r="AA2395" s="104" t="s">
        <v>408</v>
      </c>
      <c r="AB2395" s="105">
        <v>46089.215277777781</v>
      </c>
      <c r="AC2395" s="105">
        <v>46089.309027777781</v>
      </c>
    </row>
    <row r="2396" s="70" customFormat="1" ht="11.25" customHeight="1">
      <c r="A2396" s="87"/>
      <c r="C2396" s="43" t="s">
        <v>4139</v>
      </c>
      <c r="D2396" s="71" t="s">
        <v>382</v>
      </c>
      <c r="E2396" s="71" t="str">
        <f>MID(D2396,1,2)</f>
        <v>IL</v>
      </c>
      <c r="F2396" s="71" t="s">
        <v>4140</v>
      </c>
      <c r="G2396" s="71" t="str">
        <f>MID(F2396,1,2)</f>
        <v>CA</v>
      </c>
      <c r="H2396" s="43" t="s">
        <v>4141</v>
      </c>
      <c r="I2396" s="71" t="s">
        <v>4142</v>
      </c>
      <c r="J2396" s="71" t="s">
        <v>483</v>
      </c>
      <c r="K2396" s="43"/>
      <c r="L2396" s="71" t="s">
        <v>105</v>
      </c>
      <c r="M2396" s="73">
        <v>16</v>
      </c>
      <c r="N2396" s="71" t="s">
        <v>388</v>
      </c>
      <c r="O2396" s="73">
        <v>0.389</v>
      </c>
      <c r="P2396" s="71" t="s">
        <v>389</v>
      </c>
      <c r="Q2396" s="73">
        <v>100</v>
      </c>
      <c r="R2396" s="71" t="s">
        <v>388</v>
      </c>
      <c r="S2396" s="73">
        <v>0</v>
      </c>
      <c r="T2396" s="71" t="s">
        <v>390</v>
      </c>
      <c r="U2396" s="74">
        <v>1</v>
      </c>
      <c r="V2396" s="71" t="s">
        <v>391</v>
      </c>
      <c r="W2396" s="130">
        <v>46078.667361111111</v>
      </c>
      <c r="X2396" s="72">
        <v>46080.496527777781</v>
      </c>
      <c r="Y2396" s="72">
        <v>46092.916666666664</v>
      </c>
      <c r="Z2396" s="104" t="s">
        <v>408</v>
      </c>
      <c r="AA2396" s="104" t="s">
        <v>405</v>
      </c>
      <c r="AB2396" s="105">
        <v>46091.54791666667</v>
      </c>
      <c r="AC2396" s="105">
        <v>46091.740972222222</v>
      </c>
    </row>
    <row r="2397" s="70" customFormat="1" ht="11.25" customHeight="1">
      <c r="A2397" s="87"/>
      <c r="C2397" s="43" t="s">
        <v>4139</v>
      </c>
      <c r="D2397" s="71" t="s">
        <v>382</v>
      </c>
      <c r="E2397" s="71" t="str">
        <f>MID(D2397,1,2)</f>
        <v>IL</v>
      </c>
      <c r="F2397" s="71" t="s">
        <v>4140</v>
      </c>
      <c r="G2397" s="71" t="str">
        <f>MID(F2397,1,2)</f>
        <v>CA</v>
      </c>
      <c r="H2397" s="43" t="s">
        <v>4141</v>
      </c>
      <c r="I2397" s="71" t="s">
        <v>4142</v>
      </c>
      <c r="J2397" s="71" t="s">
        <v>483</v>
      </c>
      <c r="K2397" s="43"/>
      <c r="L2397" s="71" t="s">
        <v>105</v>
      </c>
      <c r="M2397" s="73">
        <v>16</v>
      </c>
      <c r="N2397" s="71" t="s">
        <v>388</v>
      </c>
      <c r="O2397" s="73">
        <v>0.389</v>
      </c>
      <c r="P2397" s="71" t="s">
        <v>389</v>
      </c>
      <c r="Q2397" s="73">
        <v>100</v>
      </c>
      <c r="R2397" s="71" t="s">
        <v>388</v>
      </c>
      <c r="S2397" s="73">
        <v>0</v>
      </c>
      <c r="T2397" s="71" t="s">
        <v>390</v>
      </c>
      <c r="U2397" s="74">
        <v>1</v>
      </c>
      <c r="V2397" s="71" t="s">
        <v>391</v>
      </c>
      <c r="W2397" s="130">
        <v>46078.667361111111</v>
      </c>
      <c r="X2397" s="72">
        <v>46080.496527777781</v>
      </c>
      <c r="Y2397" s="72">
        <v>46092.916666666664</v>
      </c>
      <c r="Z2397" s="104" t="s">
        <v>405</v>
      </c>
      <c r="AA2397" s="104" t="s">
        <v>4140</v>
      </c>
      <c r="AB2397" s="105">
        <v>46092.60833333333</v>
      </c>
      <c r="AC2397" s="105">
        <v>46092.73125</v>
      </c>
    </row>
    <row r="2398" s="70" customFormat="1" ht="11.25" customHeight="1">
      <c r="A2398" s="87"/>
      <c r="C2398" s="43" t="s">
        <v>4143</v>
      </c>
      <c r="D2398" s="71" t="s">
        <v>382</v>
      </c>
      <c r="E2398" s="71" t="str">
        <f>MID(D2398,1,2)</f>
        <v>IL</v>
      </c>
      <c r="F2398" s="71" t="s">
        <v>4144</v>
      </c>
      <c r="G2398" s="71" t="str">
        <f>MID(F2398,1,2)</f>
        <v>MD</v>
      </c>
      <c r="H2398" s="43" t="s">
        <v>4145</v>
      </c>
      <c r="I2398" s="71" t="s">
        <v>4146</v>
      </c>
      <c r="J2398" s="71" t="s">
        <v>400</v>
      </c>
      <c r="K2398" s="43"/>
      <c r="L2398" s="71" t="s">
        <v>105</v>
      </c>
      <c r="M2398" s="73">
        <v>274</v>
      </c>
      <c r="N2398" s="71" t="s">
        <v>388</v>
      </c>
      <c r="O2398" s="73">
        <v>2.126</v>
      </c>
      <c r="P2398" s="71" t="s">
        <v>389</v>
      </c>
      <c r="Q2398" s="73">
        <v>354.5</v>
      </c>
      <c r="R2398" s="71" t="s">
        <v>388</v>
      </c>
      <c r="S2398" s="73">
        <v>0</v>
      </c>
      <c r="T2398" s="71" t="s">
        <v>390</v>
      </c>
      <c r="U2398" s="74">
        <v>3</v>
      </c>
      <c r="V2398" s="71" t="s">
        <v>391</v>
      </c>
      <c r="W2398" s="130">
        <v>46078.701817129629</v>
      </c>
      <c r="X2398" s="72">
        <v>46103.986111111109</v>
      </c>
      <c r="Y2398" s="72">
        <v>46104.665277777778</v>
      </c>
      <c r="Z2398" s="104" t="s">
        <v>382</v>
      </c>
      <c r="AA2398" s="104" t="s">
        <v>4144</v>
      </c>
      <c r="AB2398" s="105"/>
      <c r="AC2398" s="105"/>
    </row>
    <row r="2399" s="70" customFormat="1" ht="11.25" customHeight="1">
      <c r="A2399" s="87"/>
      <c r="C2399" s="43" t="s">
        <v>4147</v>
      </c>
      <c r="D2399" s="71" t="s">
        <v>382</v>
      </c>
      <c r="E2399" s="71" t="str">
        <f>MID(D2399,1,2)</f>
        <v>IL</v>
      </c>
      <c r="F2399" s="71" t="s">
        <v>465</v>
      </c>
      <c r="G2399" s="71" t="str">
        <f>MID(F2399,1,2)</f>
        <v>AZ</v>
      </c>
      <c r="H2399" s="43" t="s">
        <v>4148</v>
      </c>
      <c r="I2399" s="71"/>
      <c r="J2399" s="71" t="s">
        <v>426</v>
      </c>
      <c r="K2399" s="43"/>
      <c r="L2399" s="71" t="s">
        <v>105</v>
      </c>
      <c r="M2399" s="73">
        <v>489</v>
      </c>
      <c r="N2399" s="71" t="s">
        <v>388</v>
      </c>
      <c r="O2399" s="73">
        <v>3.373</v>
      </c>
      <c r="P2399" s="71" t="s">
        <v>389</v>
      </c>
      <c r="Q2399" s="73">
        <v>562.5</v>
      </c>
      <c r="R2399" s="71" t="s">
        <v>388</v>
      </c>
      <c r="S2399" s="73">
        <v>0</v>
      </c>
      <c r="T2399" s="71" t="s">
        <v>390</v>
      </c>
      <c r="U2399" s="74">
        <v>1</v>
      </c>
      <c r="V2399" s="71" t="s">
        <v>391</v>
      </c>
      <c r="W2399" s="130"/>
      <c r="X2399" s="72">
        <v>46103.693055555559</v>
      </c>
      <c r="Y2399" s="72">
        <v>46105.160416666666</v>
      </c>
      <c r="Z2399" s="104" t="s">
        <v>382</v>
      </c>
      <c r="AA2399" s="104" t="s">
        <v>465</v>
      </c>
      <c r="AB2399" s="105"/>
      <c r="AC2399" s="105"/>
    </row>
    <row r="2400" s="70" customFormat="1" ht="11.25" customHeight="1">
      <c r="A2400" s="87"/>
      <c r="C2400" s="43" t="s">
        <v>4149</v>
      </c>
      <c r="D2400" s="71" t="s">
        <v>382</v>
      </c>
      <c r="E2400" s="71" t="str">
        <f>MID(D2400,1,2)</f>
        <v>IL</v>
      </c>
      <c r="F2400" s="71" t="s">
        <v>1538</v>
      </c>
      <c r="G2400" s="71" t="str">
        <f>MID(F2400,1,2)</f>
        <v>KR</v>
      </c>
      <c r="H2400" s="43" t="s">
        <v>3993</v>
      </c>
      <c r="I2400" s="71" t="s">
        <v>4150</v>
      </c>
      <c r="J2400" s="71" t="s">
        <v>755</v>
      </c>
      <c r="K2400" s="43"/>
      <c r="L2400" s="71" t="s">
        <v>105</v>
      </c>
      <c r="M2400" s="73">
        <v>80</v>
      </c>
      <c r="N2400" s="71" t="s">
        <v>388</v>
      </c>
      <c r="O2400" s="73">
        <v>0.337</v>
      </c>
      <c r="P2400" s="71" t="s">
        <v>389</v>
      </c>
      <c r="Q2400" s="73">
        <v>80</v>
      </c>
      <c r="R2400" s="71" t="s">
        <v>388</v>
      </c>
      <c r="S2400" s="73">
        <v>0</v>
      </c>
      <c r="T2400" s="71" t="s">
        <v>390</v>
      </c>
      <c r="U2400" s="74">
        <v>1</v>
      </c>
      <c r="V2400" s="71" t="s">
        <v>391</v>
      </c>
      <c r="W2400" s="130">
        <v>46078.736805555556</v>
      </c>
      <c r="X2400" s="72">
        <v>46081.590277777781</v>
      </c>
      <c r="Y2400" s="72">
        <v>46105.625</v>
      </c>
      <c r="Z2400" s="104" t="s">
        <v>382</v>
      </c>
      <c r="AA2400" s="104" t="s">
        <v>466</v>
      </c>
      <c r="AB2400" s="105">
        <v>46087.102083333331</v>
      </c>
      <c r="AC2400" s="105">
        <v>46087.234722222223</v>
      </c>
    </row>
    <row r="2401" s="70" customFormat="1" ht="11.25" customHeight="1">
      <c r="A2401" s="87"/>
      <c r="C2401" s="43" t="s">
        <v>4149</v>
      </c>
      <c r="D2401" s="71" t="s">
        <v>382</v>
      </c>
      <c r="E2401" s="71" t="str">
        <f>MID(D2401,1,2)</f>
        <v>IL</v>
      </c>
      <c r="F2401" s="71" t="s">
        <v>1538</v>
      </c>
      <c r="G2401" s="71" t="str">
        <f>MID(F2401,1,2)</f>
        <v>KR</v>
      </c>
      <c r="H2401" s="43" t="s">
        <v>3993</v>
      </c>
      <c r="I2401" s="71" t="s">
        <v>4150</v>
      </c>
      <c r="J2401" s="71" t="s">
        <v>755</v>
      </c>
      <c r="K2401" s="43"/>
      <c r="L2401" s="71" t="s">
        <v>105</v>
      </c>
      <c r="M2401" s="73">
        <v>80</v>
      </c>
      <c r="N2401" s="71" t="s">
        <v>388</v>
      </c>
      <c r="O2401" s="73">
        <v>0.337</v>
      </c>
      <c r="P2401" s="71" t="s">
        <v>389</v>
      </c>
      <c r="Q2401" s="73">
        <v>80</v>
      </c>
      <c r="R2401" s="71" t="s">
        <v>388</v>
      </c>
      <c r="S2401" s="73">
        <v>0</v>
      </c>
      <c r="T2401" s="71" t="s">
        <v>390</v>
      </c>
      <c r="U2401" s="74">
        <v>1</v>
      </c>
      <c r="V2401" s="71" t="s">
        <v>391</v>
      </c>
      <c r="W2401" s="130">
        <v>46078.736805555556</v>
      </c>
      <c r="X2401" s="72">
        <v>46081.590277777781</v>
      </c>
      <c r="Y2401" s="72">
        <v>46105.625</v>
      </c>
      <c r="Z2401" s="104" t="s">
        <v>466</v>
      </c>
      <c r="AA2401" s="104" t="s">
        <v>1117</v>
      </c>
      <c r="AB2401" s="105">
        <v>46101.209722222222</v>
      </c>
      <c r="AC2401" s="105">
        <v>46101.428472222222</v>
      </c>
    </row>
    <row r="2402" s="70" customFormat="1" ht="11.25" customHeight="1">
      <c r="A2402" s="87"/>
      <c r="C2402" s="43" t="s">
        <v>4149</v>
      </c>
      <c r="D2402" s="71" t="s">
        <v>382</v>
      </c>
      <c r="E2402" s="71" t="str">
        <f>MID(D2402,1,2)</f>
        <v>IL</v>
      </c>
      <c r="F2402" s="71" t="s">
        <v>1538</v>
      </c>
      <c r="G2402" s="71" t="str">
        <f>MID(F2402,1,2)</f>
        <v>KR</v>
      </c>
      <c r="H2402" s="43" t="s">
        <v>3993</v>
      </c>
      <c r="I2402" s="71" t="s">
        <v>4150</v>
      </c>
      <c r="J2402" s="71" t="s">
        <v>755</v>
      </c>
      <c r="K2402" s="43"/>
      <c r="L2402" s="71" t="s">
        <v>105</v>
      </c>
      <c r="M2402" s="73">
        <v>80</v>
      </c>
      <c r="N2402" s="71" t="s">
        <v>388</v>
      </c>
      <c r="O2402" s="73">
        <v>0.337</v>
      </c>
      <c r="P2402" s="71" t="s">
        <v>389</v>
      </c>
      <c r="Q2402" s="73">
        <v>80</v>
      </c>
      <c r="R2402" s="71" t="s">
        <v>388</v>
      </c>
      <c r="S2402" s="73">
        <v>0</v>
      </c>
      <c r="T2402" s="71" t="s">
        <v>390</v>
      </c>
      <c r="U2402" s="74">
        <v>1</v>
      </c>
      <c r="V2402" s="71" t="s">
        <v>391</v>
      </c>
      <c r="W2402" s="130">
        <v>46078.736805555556</v>
      </c>
      <c r="X2402" s="72">
        <v>46081.590277777781</v>
      </c>
      <c r="Y2402" s="72">
        <v>46105.625</v>
      </c>
      <c r="Z2402" s="104" t="s">
        <v>1117</v>
      </c>
      <c r="AA2402" s="104" t="s">
        <v>1538</v>
      </c>
      <c r="AB2402" s="105"/>
      <c r="AC2402" s="105"/>
    </row>
    <row r="2403" s="70" customFormat="1" ht="11.25" customHeight="1">
      <c r="A2403" s="87"/>
      <c r="C2403" s="43" t="s">
        <v>4151</v>
      </c>
      <c r="D2403" s="71" t="s">
        <v>382</v>
      </c>
      <c r="E2403" s="71" t="str">
        <f>MID(D2403,1,2)</f>
        <v>IL</v>
      </c>
      <c r="F2403" s="71" t="s">
        <v>414</v>
      </c>
      <c r="G2403" s="71" t="str">
        <f>MID(F2403,1,2)</f>
        <v>US</v>
      </c>
      <c r="H2403" s="43" t="s">
        <v>2791</v>
      </c>
      <c r="I2403" s="71" t="s">
        <v>4152</v>
      </c>
      <c r="J2403" s="71" t="s">
        <v>386</v>
      </c>
      <c r="K2403" s="43"/>
      <c r="L2403" s="71" t="s">
        <v>107</v>
      </c>
      <c r="M2403" s="73">
        <v>18</v>
      </c>
      <c r="N2403" s="71" t="s">
        <v>388</v>
      </c>
      <c r="O2403" s="73">
        <v>0.099</v>
      </c>
      <c r="P2403" s="71" t="s">
        <v>389</v>
      </c>
      <c r="Q2403" s="73">
        <v>18</v>
      </c>
      <c r="R2403" s="71" t="s">
        <v>388</v>
      </c>
      <c r="S2403" s="73">
        <v>0</v>
      </c>
      <c r="T2403" s="71" t="s">
        <v>390</v>
      </c>
      <c r="U2403" s="74">
        <v>1</v>
      </c>
      <c r="V2403" s="71" t="s">
        <v>446</v>
      </c>
      <c r="W2403" s="130">
        <v>46086.45208333333</v>
      </c>
      <c r="X2403" s="72">
        <v>46091.229166666664</v>
      </c>
      <c r="Y2403" s="72">
        <v>46096.291666666664</v>
      </c>
      <c r="Z2403" s="104" t="s">
        <v>382</v>
      </c>
      <c r="AA2403" s="104" t="s">
        <v>414</v>
      </c>
      <c r="AB2403" s="105">
        <v>46091.945833333331</v>
      </c>
      <c r="AC2403" s="105">
        <v>46092.136111111111</v>
      </c>
    </row>
    <row r="2404" s="70" customFormat="1" ht="11.25" customHeight="1">
      <c r="A2404" s="87"/>
      <c r="C2404" s="43" t="s">
        <v>4153</v>
      </c>
      <c r="D2404" s="71" t="s">
        <v>382</v>
      </c>
      <c r="E2404" s="71" t="str">
        <f>MID(D2404,1,2)</f>
        <v>IL</v>
      </c>
      <c r="F2404" s="71" t="s">
        <v>414</v>
      </c>
      <c r="G2404" s="71" t="str">
        <f>MID(F2404,1,2)</f>
        <v>US</v>
      </c>
      <c r="H2404" s="43" t="s">
        <v>2791</v>
      </c>
      <c r="I2404" s="71" t="s">
        <v>4154</v>
      </c>
      <c r="J2404" s="71" t="s">
        <v>386</v>
      </c>
      <c r="K2404" s="43"/>
      <c r="L2404" s="71" t="s">
        <v>107</v>
      </c>
      <c r="M2404" s="73">
        <v>14</v>
      </c>
      <c r="N2404" s="71" t="s">
        <v>388</v>
      </c>
      <c r="O2404" s="73">
        <v>0.112</v>
      </c>
      <c r="P2404" s="71" t="s">
        <v>389</v>
      </c>
      <c r="Q2404" s="73">
        <v>19</v>
      </c>
      <c r="R2404" s="71" t="s">
        <v>388</v>
      </c>
      <c r="S2404" s="73">
        <v>0</v>
      </c>
      <c r="T2404" s="71" t="s">
        <v>390</v>
      </c>
      <c r="U2404" s="74">
        <v>1</v>
      </c>
      <c r="V2404" s="71" t="s">
        <v>446</v>
      </c>
      <c r="W2404" s="130">
        <v>46089.675694444442</v>
      </c>
      <c r="X2404" s="72">
        <v>46091.229166666664</v>
      </c>
      <c r="Y2404" s="72">
        <v>46096.291666666664</v>
      </c>
      <c r="Z2404" s="104" t="s">
        <v>382</v>
      </c>
      <c r="AA2404" s="104" t="s">
        <v>414</v>
      </c>
      <c r="AB2404" s="105">
        <v>46091.945833333331</v>
      </c>
      <c r="AC2404" s="105">
        <v>46092.136111111111</v>
      </c>
    </row>
    <row r="2405" s="70" customFormat="1" ht="11.25" customHeight="1">
      <c r="A2405" s="87"/>
      <c r="C2405" s="43" t="s">
        <v>4155</v>
      </c>
      <c r="D2405" s="71" t="s">
        <v>382</v>
      </c>
      <c r="E2405" s="71" t="str">
        <f>MID(D2405,1,2)</f>
        <v>IL</v>
      </c>
      <c r="F2405" s="71" t="s">
        <v>414</v>
      </c>
      <c r="G2405" s="71" t="str">
        <f>MID(F2405,1,2)</f>
        <v>US</v>
      </c>
      <c r="H2405" s="43" t="s">
        <v>2791</v>
      </c>
      <c r="I2405" s="71" t="s">
        <v>4156</v>
      </c>
      <c r="J2405" s="71" t="s">
        <v>386</v>
      </c>
      <c r="K2405" s="43"/>
      <c r="L2405" s="71" t="s">
        <v>107</v>
      </c>
      <c r="M2405" s="73">
        <v>119</v>
      </c>
      <c r="N2405" s="71" t="s">
        <v>388</v>
      </c>
      <c r="O2405" s="73">
        <v>1.217</v>
      </c>
      <c r="P2405" s="71" t="s">
        <v>389</v>
      </c>
      <c r="Q2405" s="73">
        <v>203</v>
      </c>
      <c r="R2405" s="71" t="s">
        <v>388</v>
      </c>
      <c r="S2405" s="73">
        <v>0</v>
      </c>
      <c r="T2405" s="71" t="s">
        <v>390</v>
      </c>
      <c r="U2405" s="74">
        <v>1</v>
      </c>
      <c r="V2405" s="71" t="s">
        <v>391</v>
      </c>
      <c r="W2405" s="130">
        <v>46086.652777777781</v>
      </c>
      <c r="X2405" s="72">
        <v>46091.229166666664</v>
      </c>
      <c r="Y2405" s="72">
        <v>46096.291666666664</v>
      </c>
      <c r="Z2405" s="104" t="s">
        <v>382</v>
      </c>
      <c r="AA2405" s="104" t="s">
        <v>414</v>
      </c>
      <c r="AB2405" s="105">
        <v>46091.945833333331</v>
      </c>
      <c r="AC2405" s="105">
        <v>46092.136111111111</v>
      </c>
    </row>
    <row r="2406" s="70" customFormat="1" ht="11.25" customHeight="1">
      <c r="A2406" s="87"/>
      <c r="C2406" s="43" t="s">
        <v>4157</v>
      </c>
      <c r="D2406" s="71" t="s">
        <v>382</v>
      </c>
      <c r="E2406" s="71" t="str">
        <f>MID(D2406,1,2)</f>
        <v>IL</v>
      </c>
      <c r="F2406" s="71" t="s">
        <v>480</v>
      </c>
      <c r="G2406" s="71" t="str">
        <f>MID(F2406,1,2)</f>
        <v>CA</v>
      </c>
      <c r="H2406" s="43" t="s">
        <v>3946</v>
      </c>
      <c r="I2406" s="71" t="s">
        <v>4158</v>
      </c>
      <c r="J2406" s="71" t="s">
        <v>386</v>
      </c>
      <c r="K2406" s="43"/>
      <c r="L2406" s="71" t="s">
        <v>107</v>
      </c>
      <c r="M2406" s="73">
        <v>428</v>
      </c>
      <c r="N2406" s="71" t="s">
        <v>388</v>
      </c>
      <c r="O2406" s="73">
        <v>4.376</v>
      </c>
      <c r="P2406" s="71" t="s">
        <v>389</v>
      </c>
      <c r="Q2406" s="73">
        <v>729.5</v>
      </c>
      <c r="R2406" s="71" t="s">
        <v>388</v>
      </c>
      <c r="S2406" s="73">
        <v>0</v>
      </c>
      <c r="T2406" s="71" t="s">
        <v>390</v>
      </c>
      <c r="U2406" s="74">
        <v>5</v>
      </c>
      <c r="V2406" s="71" t="s">
        <v>417</v>
      </c>
      <c r="W2406" s="130">
        <v>46079.430555555555</v>
      </c>
      <c r="X2406" s="72">
        <v>46080.458333333336</v>
      </c>
      <c r="Y2406" s="72">
        <v>46083.765972222223</v>
      </c>
      <c r="Z2406" s="104" t="s">
        <v>1102</v>
      </c>
      <c r="AA2406" s="104" t="s">
        <v>1103</v>
      </c>
      <c r="AB2406" s="105"/>
      <c r="AC2406" s="105"/>
    </row>
    <row r="2407" s="70" customFormat="1" ht="11.25" customHeight="1">
      <c r="A2407" s="87"/>
      <c r="C2407" s="43" t="s">
        <v>4157</v>
      </c>
      <c r="D2407" s="71" t="s">
        <v>382</v>
      </c>
      <c r="E2407" s="71" t="str">
        <f>MID(D2407,1,2)</f>
        <v>IL</v>
      </c>
      <c r="F2407" s="71" t="s">
        <v>480</v>
      </c>
      <c r="G2407" s="71" t="str">
        <f>MID(F2407,1,2)</f>
        <v>CA</v>
      </c>
      <c r="H2407" s="43" t="s">
        <v>3946</v>
      </c>
      <c r="I2407" s="71" t="s">
        <v>4158</v>
      </c>
      <c r="J2407" s="71" t="s">
        <v>386</v>
      </c>
      <c r="K2407" s="43"/>
      <c r="L2407" s="71" t="s">
        <v>107</v>
      </c>
      <c r="M2407" s="73">
        <v>428</v>
      </c>
      <c r="N2407" s="71" t="s">
        <v>388</v>
      </c>
      <c r="O2407" s="73">
        <v>4.376</v>
      </c>
      <c r="P2407" s="71" t="s">
        <v>389</v>
      </c>
      <c r="Q2407" s="73">
        <v>729.5</v>
      </c>
      <c r="R2407" s="71" t="s">
        <v>388</v>
      </c>
      <c r="S2407" s="73">
        <v>0</v>
      </c>
      <c r="T2407" s="71" t="s">
        <v>390</v>
      </c>
      <c r="U2407" s="74">
        <v>5</v>
      </c>
      <c r="V2407" s="71" t="s">
        <v>417</v>
      </c>
      <c r="W2407" s="130">
        <v>46079.430555555555</v>
      </c>
      <c r="X2407" s="72">
        <v>46080.458333333336</v>
      </c>
      <c r="Y2407" s="72">
        <v>46083.765972222223</v>
      </c>
      <c r="Z2407" s="104" t="s">
        <v>382</v>
      </c>
      <c r="AA2407" s="104" t="s">
        <v>405</v>
      </c>
      <c r="AB2407" s="105">
        <v>46080.638888888891</v>
      </c>
      <c r="AC2407" s="105">
        <v>46080.906944444447</v>
      </c>
    </row>
    <row r="2408" s="70" customFormat="1" ht="11.25" customHeight="1">
      <c r="A2408" s="87"/>
      <c r="C2408" s="43" t="s">
        <v>4157</v>
      </c>
      <c r="D2408" s="71" t="s">
        <v>382</v>
      </c>
      <c r="E2408" s="71" t="str">
        <f>MID(D2408,1,2)</f>
        <v>IL</v>
      </c>
      <c r="F2408" s="71" t="s">
        <v>480</v>
      </c>
      <c r="G2408" s="71" t="str">
        <f>MID(F2408,1,2)</f>
        <v>CA</v>
      </c>
      <c r="H2408" s="43" t="s">
        <v>3946</v>
      </c>
      <c r="I2408" s="71" t="s">
        <v>4158</v>
      </c>
      <c r="J2408" s="71" t="s">
        <v>386</v>
      </c>
      <c r="K2408" s="43"/>
      <c r="L2408" s="71" t="s">
        <v>107</v>
      </c>
      <c r="M2408" s="73">
        <v>428</v>
      </c>
      <c r="N2408" s="71" t="s">
        <v>388</v>
      </c>
      <c r="O2408" s="73">
        <v>4.376</v>
      </c>
      <c r="P2408" s="71" t="s">
        <v>389</v>
      </c>
      <c r="Q2408" s="73">
        <v>729.5</v>
      </c>
      <c r="R2408" s="71" t="s">
        <v>388</v>
      </c>
      <c r="S2408" s="73">
        <v>0</v>
      </c>
      <c r="T2408" s="71" t="s">
        <v>390</v>
      </c>
      <c r="U2408" s="74">
        <v>5</v>
      </c>
      <c r="V2408" s="71" t="s">
        <v>417</v>
      </c>
      <c r="W2408" s="130">
        <v>46079.430555555555</v>
      </c>
      <c r="X2408" s="72">
        <v>46080.458333333336</v>
      </c>
      <c r="Y2408" s="72">
        <v>46083.765972222223</v>
      </c>
      <c r="Z2408" s="104" t="s">
        <v>405</v>
      </c>
      <c r="AA2408" s="104" t="s">
        <v>480</v>
      </c>
      <c r="AB2408" s="105">
        <v>46082.000694444447</v>
      </c>
      <c r="AC2408" s="105">
        <v>46082.666666666664</v>
      </c>
    </row>
    <row r="2409" s="70" customFormat="1" ht="11.25" customHeight="1">
      <c r="A2409" s="87"/>
      <c r="C2409" s="43" t="s">
        <v>4159</v>
      </c>
      <c r="D2409" s="71" t="s">
        <v>382</v>
      </c>
      <c r="E2409" s="71" t="str">
        <f>MID(D2409,1,2)</f>
        <v>IL</v>
      </c>
      <c r="F2409" s="71" t="s">
        <v>405</v>
      </c>
      <c r="G2409" s="71" t="str">
        <f>MID(F2409,1,2)</f>
        <v>CA</v>
      </c>
      <c r="H2409" s="43" t="s">
        <v>4160</v>
      </c>
      <c r="I2409" s="71" t="s">
        <v>4161</v>
      </c>
      <c r="J2409" s="71" t="s">
        <v>386</v>
      </c>
      <c r="K2409" s="43"/>
      <c r="L2409" s="71" t="s">
        <v>107</v>
      </c>
      <c r="M2409" s="73">
        <v>26</v>
      </c>
      <c r="N2409" s="71" t="s">
        <v>388</v>
      </c>
      <c r="O2409" s="73">
        <v>0.376</v>
      </c>
      <c r="P2409" s="71" t="s">
        <v>389</v>
      </c>
      <c r="Q2409" s="73">
        <v>63</v>
      </c>
      <c r="R2409" s="71" t="s">
        <v>388</v>
      </c>
      <c r="S2409" s="73">
        <v>0</v>
      </c>
      <c r="T2409" s="71" t="s">
        <v>390</v>
      </c>
      <c r="U2409" s="74">
        <v>1</v>
      </c>
      <c r="V2409" s="71" t="s">
        <v>417</v>
      </c>
      <c r="W2409" s="130">
        <v>58031</v>
      </c>
      <c r="X2409" s="72">
        <v>46080.458333333336</v>
      </c>
      <c r="Y2409" s="72">
        <v>46080.831944444442</v>
      </c>
      <c r="Z2409" s="104" t="s">
        <v>382</v>
      </c>
      <c r="AA2409" s="104" t="s">
        <v>405</v>
      </c>
      <c r="AB2409" s="105">
        <v>46080.638888888891</v>
      </c>
      <c r="AC2409" s="105">
        <v>46080.906944444447</v>
      </c>
    </row>
    <row r="2410" s="70" customFormat="1" ht="11.25" customHeight="1">
      <c r="A2410" s="87"/>
      <c r="C2410" s="43" t="s">
        <v>4162</v>
      </c>
      <c r="D2410" s="71" t="s">
        <v>382</v>
      </c>
      <c r="E2410" s="71" t="str">
        <f>MID(D2410,1,2)</f>
        <v>IL</v>
      </c>
      <c r="F2410" s="71" t="s">
        <v>414</v>
      </c>
      <c r="G2410" s="71" t="str">
        <f>MID(F2410,1,2)</f>
        <v>US</v>
      </c>
      <c r="H2410" s="43" t="s">
        <v>4163</v>
      </c>
      <c r="I2410" s="71" t="s">
        <v>4164</v>
      </c>
      <c r="J2410" s="71" t="s">
        <v>454</v>
      </c>
      <c r="K2410" s="43" t="s">
        <v>431</v>
      </c>
      <c r="L2410" s="71" t="s">
        <v>107</v>
      </c>
      <c r="M2410" s="73">
        <v>2</v>
      </c>
      <c r="N2410" s="71" t="s">
        <v>388</v>
      </c>
      <c r="O2410" s="73">
        <v>0.021</v>
      </c>
      <c r="P2410" s="71" t="s">
        <v>389</v>
      </c>
      <c r="Q2410" s="73">
        <v>3.5</v>
      </c>
      <c r="R2410" s="71" t="s">
        <v>388</v>
      </c>
      <c r="S2410" s="73">
        <v>0</v>
      </c>
      <c r="T2410" s="71" t="s">
        <v>390</v>
      </c>
      <c r="U2410" s="74">
        <v>1</v>
      </c>
      <c r="V2410" s="71" t="s">
        <v>427</v>
      </c>
      <c r="W2410" s="130">
        <v>46079.347916666666</v>
      </c>
      <c r="X2410" s="72">
        <v>46084.916666666664</v>
      </c>
      <c r="Y2410" s="72">
        <v>46085.114583333336</v>
      </c>
      <c r="Z2410" s="104" t="s">
        <v>382</v>
      </c>
      <c r="AA2410" s="104" t="s">
        <v>414</v>
      </c>
      <c r="AB2410" s="105">
        <v>46085.021527777775</v>
      </c>
      <c r="AC2410" s="105">
        <v>46085.20416666667</v>
      </c>
    </row>
    <row r="2411" s="70" customFormat="1" ht="11.25" customHeight="1">
      <c r="A2411" s="87"/>
      <c r="C2411" s="43" t="s">
        <v>4165</v>
      </c>
      <c r="D2411" s="71" t="s">
        <v>382</v>
      </c>
      <c r="E2411" s="71" t="str">
        <f>MID(D2411,1,2)</f>
        <v>IL</v>
      </c>
      <c r="F2411" s="71" t="s">
        <v>963</v>
      </c>
      <c r="G2411" s="71" t="str">
        <f>MID(F2411,1,2)</f>
        <v>IN</v>
      </c>
      <c r="H2411" s="43" t="s">
        <v>4120</v>
      </c>
      <c r="I2411" s="71" t="s">
        <v>4166</v>
      </c>
      <c r="J2411" s="71" t="s">
        <v>426</v>
      </c>
      <c r="K2411" s="43"/>
      <c r="L2411" s="71" t="s">
        <v>105</v>
      </c>
      <c r="M2411" s="73">
        <v>93</v>
      </c>
      <c r="N2411" s="71" t="s">
        <v>388</v>
      </c>
      <c r="O2411" s="73">
        <v>0.217</v>
      </c>
      <c r="P2411" s="71" t="s">
        <v>389</v>
      </c>
      <c r="Q2411" s="73">
        <v>93</v>
      </c>
      <c r="R2411" s="71" t="s">
        <v>388</v>
      </c>
      <c r="S2411" s="73">
        <v>0</v>
      </c>
      <c r="T2411" s="71" t="s">
        <v>390</v>
      </c>
      <c r="U2411" s="74">
        <v>1</v>
      </c>
      <c r="V2411" s="71" t="s">
        <v>391</v>
      </c>
      <c r="W2411" s="130">
        <v>46079.361805555556</v>
      </c>
      <c r="X2411" s="72">
        <v>46081.895833333336</v>
      </c>
      <c r="Y2411" s="72">
        <v>46100.666666666664</v>
      </c>
      <c r="Z2411" s="104" t="s">
        <v>382</v>
      </c>
      <c r="AA2411" s="104" t="s">
        <v>402</v>
      </c>
      <c r="AB2411" s="105">
        <v>46093.429166666669</v>
      </c>
      <c r="AC2411" s="105">
        <v>46093.841666666667</v>
      </c>
    </row>
    <row r="2412" s="70" customFormat="1" ht="11.25" customHeight="1">
      <c r="A2412" s="87"/>
      <c r="C2412" s="43" t="s">
        <v>4165</v>
      </c>
      <c r="D2412" s="71" t="s">
        <v>382</v>
      </c>
      <c r="E2412" s="71" t="str">
        <f>MID(D2412,1,2)</f>
        <v>IL</v>
      </c>
      <c r="F2412" s="71" t="s">
        <v>963</v>
      </c>
      <c r="G2412" s="71" t="str">
        <f>MID(F2412,1,2)</f>
        <v>IN</v>
      </c>
      <c r="H2412" s="43" t="s">
        <v>4120</v>
      </c>
      <c r="I2412" s="71" t="s">
        <v>4166</v>
      </c>
      <c r="J2412" s="71" t="s">
        <v>426</v>
      </c>
      <c r="K2412" s="43"/>
      <c r="L2412" s="71" t="s">
        <v>105</v>
      </c>
      <c r="M2412" s="73">
        <v>93</v>
      </c>
      <c r="N2412" s="71" t="s">
        <v>388</v>
      </c>
      <c r="O2412" s="73">
        <v>0.217</v>
      </c>
      <c r="P2412" s="71" t="s">
        <v>389</v>
      </c>
      <c r="Q2412" s="73">
        <v>93</v>
      </c>
      <c r="R2412" s="71" t="s">
        <v>388</v>
      </c>
      <c r="S2412" s="73">
        <v>0</v>
      </c>
      <c r="T2412" s="71" t="s">
        <v>390</v>
      </c>
      <c r="U2412" s="74">
        <v>1</v>
      </c>
      <c r="V2412" s="71" t="s">
        <v>391</v>
      </c>
      <c r="W2412" s="130">
        <v>46079.361805555556</v>
      </c>
      <c r="X2412" s="72">
        <v>46081.895833333336</v>
      </c>
      <c r="Y2412" s="72">
        <v>46100.666666666664</v>
      </c>
      <c r="Z2412" s="104" t="s">
        <v>402</v>
      </c>
      <c r="AA2412" s="104" t="s">
        <v>809</v>
      </c>
      <c r="AB2412" s="105">
        <v>46093.888194444444</v>
      </c>
      <c r="AC2412" s="105">
        <v>46093.842361111114</v>
      </c>
    </row>
    <row r="2413" s="70" customFormat="1" ht="11.25" customHeight="1">
      <c r="A2413" s="87"/>
      <c r="C2413" s="43" t="s">
        <v>4165</v>
      </c>
      <c r="D2413" s="71" t="s">
        <v>382</v>
      </c>
      <c r="E2413" s="71" t="str">
        <f>MID(D2413,1,2)</f>
        <v>IL</v>
      </c>
      <c r="F2413" s="71" t="s">
        <v>963</v>
      </c>
      <c r="G2413" s="71" t="str">
        <f>MID(F2413,1,2)</f>
        <v>IN</v>
      </c>
      <c r="H2413" s="43" t="s">
        <v>4120</v>
      </c>
      <c r="I2413" s="71" t="s">
        <v>4166</v>
      </c>
      <c r="J2413" s="71" t="s">
        <v>426</v>
      </c>
      <c r="K2413" s="43"/>
      <c r="L2413" s="71" t="s">
        <v>105</v>
      </c>
      <c r="M2413" s="73">
        <v>93</v>
      </c>
      <c r="N2413" s="71" t="s">
        <v>388</v>
      </c>
      <c r="O2413" s="73">
        <v>0.217</v>
      </c>
      <c r="P2413" s="71" t="s">
        <v>389</v>
      </c>
      <c r="Q2413" s="73">
        <v>93</v>
      </c>
      <c r="R2413" s="71" t="s">
        <v>388</v>
      </c>
      <c r="S2413" s="73">
        <v>0</v>
      </c>
      <c r="T2413" s="71" t="s">
        <v>390</v>
      </c>
      <c r="U2413" s="74">
        <v>1</v>
      </c>
      <c r="V2413" s="71" t="s">
        <v>391</v>
      </c>
      <c r="W2413" s="130">
        <v>46079.361805555556</v>
      </c>
      <c r="X2413" s="72">
        <v>46081.895833333336</v>
      </c>
      <c r="Y2413" s="72">
        <v>46100.666666666664</v>
      </c>
      <c r="Z2413" s="104" t="s">
        <v>809</v>
      </c>
      <c r="AA2413" s="104" t="s">
        <v>963</v>
      </c>
      <c r="AB2413" s="105">
        <v>46098.365972222222</v>
      </c>
      <c r="AC2413" s="105">
        <v>46100.365972222222</v>
      </c>
    </row>
    <row r="2414" s="70" customFormat="1" ht="11.25" customHeight="1">
      <c r="A2414" s="87"/>
      <c r="C2414" s="43" t="s">
        <v>4167</v>
      </c>
      <c r="D2414" s="71" t="s">
        <v>382</v>
      </c>
      <c r="E2414" s="71" t="str">
        <f>MID(D2414,1,2)</f>
        <v>IL</v>
      </c>
      <c r="F2414" s="71" t="s">
        <v>397</v>
      </c>
      <c r="G2414" s="71" t="str">
        <f>MID(F2414,1,2)</f>
        <v>IN</v>
      </c>
      <c r="H2414" s="43" t="s">
        <v>4168</v>
      </c>
      <c r="I2414" s="71" t="s">
        <v>4169</v>
      </c>
      <c r="J2414" s="71" t="s">
        <v>426</v>
      </c>
      <c r="K2414" s="43"/>
      <c r="L2414" s="71" t="s">
        <v>105</v>
      </c>
      <c r="M2414" s="73">
        <v>1</v>
      </c>
      <c r="N2414" s="71" t="s">
        <v>388</v>
      </c>
      <c r="O2414" s="73">
        <v>0.015</v>
      </c>
      <c r="P2414" s="71" t="s">
        <v>389</v>
      </c>
      <c r="Q2414" s="73">
        <v>2.5</v>
      </c>
      <c r="R2414" s="71" t="s">
        <v>388</v>
      </c>
      <c r="S2414" s="73">
        <v>0</v>
      </c>
      <c r="T2414" s="71" t="s">
        <v>390</v>
      </c>
      <c r="U2414" s="74">
        <v>1</v>
      </c>
      <c r="V2414" s="71" t="s">
        <v>391</v>
      </c>
      <c r="W2414" s="130">
        <v>46079.684236111112</v>
      </c>
      <c r="X2414" s="72">
        <v>46081.690972222219</v>
      </c>
      <c r="Y2414" s="72">
        <v>46110.892361111109</v>
      </c>
      <c r="Z2414" s="104" t="s">
        <v>382</v>
      </c>
      <c r="AA2414" s="104" t="s">
        <v>408</v>
      </c>
      <c r="AB2414" s="105">
        <v>46101.170138888891</v>
      </c>
      <c r="AC2414" s="105"/>
    </row>
    <row r="2415" s="70" customFormat="1" ht="11.25" customHeight="1">
      <c r="A2415" s="87"/>
      <c r="C2415" s="43" t="s">
        <v>4167</v>
      </c>
      <c r="D2415" s="71" t="s">
        <v>382</v>
      </c>
      <c r="E2415" s="71" t="str">
        <f>MID(D2415,1,2)</f>
        <v>IL</v>
      </c>
      <c r="F2415" s="71" t="s">
        <v>397</v>
      </c>
      <c r="G2415" s="71" t="str">
        <f>MID(F2415,1,2)</f>
        <v>IN</v>
      </c>
      <c r="H2415" s="43" t="s">
        <v>4168</v>
      </c>
      <c r="I2415" s="71" t="s">
        <v>4169</v>
      </c>
      <c r="J2415" s="71" t="s">
        <v>426</v>
      </c>
      <c r="K2415" s="43"/>
      <c r="L2415" s="71" t="s">
        <v>105</v>
      </c>
      <c r="M2415" s="73">
        <v>1</v>
      </c>
      <c r="N2415" s="71" t="s">
        <v>388</v>
      </c>
      <c r="O2415" s="73">
        <v>0.015</v>
      </c>
      <c r="P2415" s="71" t="s">
        <v>389</v>
      </c>
      <c r="Q2415" s="73">
        <v>2.5</v>
      </c>
      <c r="R2415" s="71" t="s">
        <v>388</v>
      </c>
      <c r="S2415" s="73">
        <v>0</v>
      </c>
      <c r="T2415" s="71" t="s">
        <v>390</v>
      </c>
      <c r="U2415" s="74">
        <v>1</v>
      </c>
      <c r="V2415" s="71" t="s">
        <v>391</v>
      </c>
      <c r="W2415" s="130">
        <v>46079.684236111112</v>
      </c>
      <c r="X2415" s="72">
        <v>46081.690972222219</v>
      </c>
      <c r="Y2415" s="72">
        <v>46110.892361111109</v>
      </c>
      <c r="Z2415" s="104" t="s">
        <v>408</v>
      </c>
      <c r="AA2415" s="104" t="s">
        <v>383</v>
      </c>
      <c r="AB2415" s="105"/>
      <c r="AC2415" s="105"/>
    </row>
    <row r="2416" s="70" customFormat="1" ht="11.25" customHeight="1">
      <c r="A2416" s="87"/>
      <c r="C2416" s="43" t="s">
        <v>4167</v>
      </c>
      <c r="D2416" s="71" t="s">
        <v>382</v>
      </c>
      <c r="E2416" s="71" t="str">
        <f>MID(D2416,1,2)</f>
        <v>IL</v>
      </c>
      <c r="F2416" s="71" t="s">
        <v>397</v>
      </c>
      <c r="G2416" s="71" t="str">
        <f>MID(F2416,1,2)</f>
        <v>IN</v>
      </c>
      <c r="H2416" s="43" t="s">
        <v>4168</v>
      </c>
      <c r="I2416" s="71" t="s">
        <v>4169</v>
      </c>
      <c r="J2416" s="71" t="s">
        <v>426</v>
      </c>
      <c r="K2416" s="43"/>
      <c r="L2416" s="71" t="s">
        <v>105</v>
      </c>
      <c r="M2416" s="73">
        <v>1</v>
      </c>
      <c r="N2416" s="71" t="s">
        <v>388</v>
      </c>
      <c r="O2416" s="73">
        <v>0.015</v>
      </c>
      <c r="P2416" s="71" t="s">
        <v>389</v>
      </c>
      <c r="Q2416" s="73">
        <v>2.5</v>
      </c>
      <c r="R2416" s="71" t="s">
        <v>388</v>
      </c>
      <c r="S2416" s="73">
        <v>0</v>
      </c>
      <c r="T2416" s="71" t="s">
        <v>390</v>
      </c>
      <c r="U2416" s="74">
        <v>1</v>
      </c>
      <c r="V2416" s="71" t="s">
        <v>391</v>
      </c>
      <c r="W2416" s="130">
        <v>46079.684236111112</v>
      </c>
      <c r="X2416" s="72">
        <v>46081.690972222219</v>
      </c>
      <c r="Y2416" s="72">
        <v>46110.892361111109</v>
      </c>
      <c r="Z2416" s="104" t="s">
        <v>383</v>
      </c>
      <c r="AA2416" s="104" t="s">
        <v>397</v>
      </c>
      <c r="AB2416" s="105"/>
      <c r="AC2416" s="105"/>
    </row>
    <row r="2417" s="70" customFormat="1" ht="11.25" customHeight="1">
      <c r="A2417" s="87"/>
      <c r="C2417" s="43" t="s">
        <v>4170</v>
      </c>
      <c r="D2417" s="71" t="s">
        <v>382</v>
      </c>
      <c r="E2417" s="71" t="str">
        <f>MID(D2417,1,2)</f>
        <v>IL</v>
      </c>
      <c r="F2417" s="71" t="s">
        <v>1234</v>
      </c>
      <c r="G2417" s="71" t="str">
        <f>MID(F2417,1,2)</f>
        <v>PH</v>
      </c>
      <c r="H2417" s="43" t="s">
        <v>4171</v>
      </c>
      <c r="I2417" s="71" t="s">
        <v>4172</v>
      </c>
      <c r="J2417" s="71" t="s">
        <v>400</v>
      </c>
      <c r="K2417" s="43"/>
      <c r="L2417" s="71" t="s">
        <v>105</v>
      </c>
      <c r="M2417" s="73">
        <v>961</v>
      </c>
      <c r="N2417" s="71" t="s">
        <v>388</v>
      </c>
      <c r="O2417" s="73">
        <v>3.697</v>
      </c>
      <c r="P2417" s="71" t="s">
        <v>389</v>
      </c>
      <c r="Q2417" s="73">
        <v>1000</v>
      </c>
      <c r="R2417" s="71" t="s">
        <v>388</v>
      </c>
      <c r="S2417" s="73">
        <v>0</v>
      </c>
      <c r="T2417" s="71" t="s">
        <v>390</v>
      </c>
      <c r="U2417" s="74">
        <v>4</v>
      </c>
      <c r="V2417" s="71" t="s">
        <v>391</v>
      </c>
      <c r="W2417" s="130">
        <v>46079.38958333333</v>
      </c>
      <c r="X2417" s="72">
        <v>46089.9375</v>
      </c>
      <c r="Y2417" s="72">
        <v>46104.666666666664</v>
      </c>
      <c r="Z2417" s="104" t="s">
        <v>382</v>
      </c>
      <c r="AA2417" s="104" t="s">
        <v>833</v>
      </c>
      <c r="AB2417" s="105"/>
      <c r="AC2417" s="105"/>
    </row>
    <row r="2418" s="70" customFormat="1" ht="11.25" customHeight="1">
      <c r="A2418" s="87"/>
      <c r="C2418" s="43" t="s">
        <v>4170</v>
      </c>
      <c r="D2418" s="71" t="s">
        <v>382</v>
      </c>
      <c r="E2418" s="71" t="str">
        <f>MID(D2418,1,2)</f>
        <v>IL</v>
      </c>
      <c r="F2418" s="71" t="s">
        <v>1234</v>
      </c>
      <c r="G2418" s="71" t="str">
        <f>MID(F2418,1,2)</f>
        <v>PH</v>
      </c>
      <c r="H2418" s="43" t="s">
        <v>4171</v>
      </c>
      <c r="I2418" s="71" t="s">
        <v>4172</v>
      </c>
      <c r="J2418" s="71" t="s">
        <v>400</v>
      </c>
      <c r="K2418" s="43"/>
      <c r="L2418" s="71" t="s">
        <v>105</v>
      </c>
      <c r="M2418" s="73">
        <v>961</v>
      </c>
      <c r="N2418" s="71" t="s">
        <v>388</v>
      </c>
      <c r="O2418" s="73">
        <v>3.697</v>
      </c>
      <c r="P2418" s="71" t="s">
        <v>389</v>
      </c>
      <c r="Q2418" s="73">
        <v>1000</v>
      </c>
      <c r="R2418" s="71" t="s">
        <v>388</v>
      </c>
      <c r="S2418" s="73">
        <v>0</v>
      </c>
      <c r="T2418" s="71" t="s">
        <v>390</v>
      </c>
      <c r="U2418" s="74">
        <v>4</v>
      </c>
      <c r="V2418" s="71" t="s">
        <v>391</v>
      </c>
      <c r="W2418" s="130">
        <v>46079.38958333333</v>
      </c>
      <c r="X2418" s="72">
        <v>46089.9375</v>
      </c>
      <c r="Y2418" s="72">
        <v>46104.666666666664</v>
      </c>
      <c r="Z2418" s="104" t="s">
        <v>833</v>
      </c>
      <c r="AA2418" s="104" t="s">
        <v>1234</v>
      </c>
      <c r="AB2418" s="105"/>
      <c r="AC2418" s="105"/>
    </row>
    <row r="2419" s="70" customFormat="1" ht="11.25" customHeight="1">
      <c r="A2419" s="87"/>
      <c r="C2419" s="43" t="s">
        <v>4173</v>
      </c>
      <c r="D2419" s="71" t="s">
        <v>382</v>
      </c>
      <c r="E2419" s="71" t="str">
        <f>MID(D2419,1,2)</f>
        <v>IL</v>
      </c>
      <c r="F2419" s="71" t="s">
        <v>1538</v>
      </c>
      <c r="G2419" s="71" t="str">
        <f>MID(F2419,1,2)</f>
        <v>KR</v>
      </c>
      <c r="H2419" s="43" t="s">
        <v>3993</v>
      </c>
      <c r="I2419" s="71" t="s">
        <v>4174</v>
      </c>
      <c r="J2419" s="71" t="s">
        <v>755</v>
      </c>
      <c r="K2419" s="43"/>
      <c r="L2419" s="71" t="s">
        <v>105</v>
      </c>
      <c r="M2419" s="73">
        <v>107</v>
      </c>
      <c r="N2419" s="71" t="s">
        <v>388</v>
      </c>
      <c r="O2419" s="73">
        <v>0.767</v>
      </c>
      <c r="P2419" s="71" t="s">
        <v>389</v>
      </c>
      <c r="Q2419" s="73">
        <v>128</v>
      </c>
      <c r="R2419" s="71" t="s">
        <v>388</v>
      </c>
      <c r="S2419" s="73">
        <v>0</v>
      </c>
      <c r="T2419" s="71" t="s">
        <v>390</v>
      </c>
      <c r="U2419" s="74">
        <v>1</v>
      </c>
      <c r="V2419" s="71" t="s">
        <v>391</v>
      </c>
      <c r="W2419" s="130">
        <v>46079.381944444445</v>
      </c>
      <c r="X2419" s="72">
        <v>46081.590277777781</v>
      </c>
      <c r="Y2419" s="72">
        <v>46105.625</v>
      </c>
      <c r="Z2419" s="104" t="s">
        <v>382</v>
      </c>
      <c r="AA2419" s="104" t="s">
        <v>466</v>
      </c>
      <c r="AB2419" s="105">
        <v>46087.102083333331</v>
      </c>
      <c r="AC2419" s="105">
        <v>46087.234722222223</v>
      </c>
    </row>
    <row r="2420" s="70" customFormat="1" ht="11.25" customHeight="1">
      <c r="A2420" s="87"/>
      <c r="C2420" s="43" t="s">
        <v>4173</v>
      </c>
      <c r="D2420" s="71" t="s">
        <v>382</v>
      </c>
      <c r="E2420" s="71" t="str">
        <f>MID(D2420,1,2)</f>
        <v>IL</v>
      </c>
      <c r="F2420" s="71" t="s">
        <v>1538</v>
      </c>
      <c r="G2420" s="71" t="str">
        <f>MID(F2420,1,2)</f>
        <v>KR</v>
      </c>
      <c r="H2420" s="43" t="s">
        <v>3993</v>
      </c>
      <c r="I2420" s="71" t="s">
        <v>4174</v>
      </c>
      <c r="J2420" s="71" t="s">
        <v>755</v>
      </c>
      <c r="K2420" s="43"/>
      <c r="L2420" s="71" t="s">
        <v>105</v>
      </c>
      <c r="M2420" s="73">
        <v>107</v>
      </c>
      <c r="N2420" s="71" t="s">
        <v>388</v>
      </c>
      <c r="O2420" s="73">
        <v>0.767</v>
      </c>
      <c r="P2420" s="71" t="s">
        <v>389</v>
      </c>
      <c r="Q2420" s="73">
        <v>128</v>
      </c>
      <c r="R2420" s="71" t="s">
        <v>388</v>
      </c>
      <c r="S2420" s="73">
        <v>0</v>
      </c>
      <c r="T2420" s="71" t="s">
        <v>390</v>
      </c>
      <c r="U2420" s="74">
        <v>1</v>
      </c>
      <c r="V2420" s="71" t="s">
        <v>391</v>
      </c>
      <c r="W2420" s="130">
        <v>46079.381944444445</v>
      </c>
      <c r="X2420" s="72">
        <v>46081.590277777781</v>
      </c>
      <c r="Y2420" s="72">
        <v>46105.625</v>
      </c>
      <c r="Z2420" s="104" t="s">
        <v>466</v>
      </c>
      <c r="AA2420" s="104" t="s">
        <v>1117</v>
      </c>
      <c r="AB2420" s="105">
        <v>46101.209722222222</v>
      </c>
      <c r="AC2420" s="105">
        <v>46101.428472222222</v>
      </c>
    </row>
    <row r="2421" s="70" customFormat="1" ht="11.25" customHeight="1">
      <c r="A2421" s="87"/>
      <c r="C2421" s="43" t="s">
        <v>4173</v>
      </c>
      <c r="D2421" s="71" t="s">
        <v>382</v>
      </c>
      <c r="E2421" s="71" t="str">
        <f>MID(D2421,1,2)</f>
        <v>IL</v>
      </c>
      <c r="F2421" s="71" t="s">
        <v>1538</v>
      </c>
      <c r="G2421" s="71" t="str">
        <f>MID(F2421,1,2)</f>
        <v>KR</v>
      </c>
      <c r="H2421" s="43" t="s">
        <v>3993</v>
      </c>
      <c r="I2421" s="71" t="s">
        <v>4174</v>
      </c>
      <c r="J2421" s="71" t="s">
        <v>755</v>
      </c>
      <c r="K2421" s="43"/>
      <c r="L2421" s="71" t="s">
        <v>105</v>
      </c>
      <c r="M2421" s="73">
        <v>107</v>
      </c>
      <c r="N2421" s="71" t="s">
        <v>388</v>
      </c>
      <c r="O2421" s="73">
        <v>0.767</v>
      </c>
      <c r="P2421" s="71" t="s">
        <v>389</v>
      </c>
      <c r="Q2421" s="73">
        <v>128</v>
      </c>
      <c r="R2421" s="71" t="s">
        <v>388</v>
      </c>
      <c r="S2421" s="73">
        <v>0</v>
      </c>
      <c r="T2421" s="71" t="s">
        <v>390</v>
      </c>
      <c r="U2421" s="74">
        <v>1</v>
      </c>
      <c r="V2421" s="71" t="s">
        <v>391</v>
      </c>
      <c r="W2421" s="130">
        <v>46079.381944444445</v>
      </c>
      <c r="X2421" s="72">
        <v>46081.590277777781</v>
      </c>
      <c r="Y2421" s="72">
        <v>46105.625</v>
      </c>
      <c r="Z2421" s="104" t="s">
        <v>1117</v>
      </c>
      <c r="AA2421" s="104" t="s">
        <v>1538</v>
      </c>
      <c r="AB2421" s="105"/>
      <c r="AC2421" s="105"/>
    </row>
    <row r="2422" s="70" customFormat="1" ht="11.25" customHeight="1">
      <c r="A2422" s="87"/>
      <c r="C2422" s="43" t="s">
        <v>4175</v>
      </c>
      <c r="D2422" s="71" t="s">
        <v>382</v>
      </c>
      <c r="E2422" s="71" t="str">
        <f>MID(D2422,1,2)</f>
        <v>IL</v>
      </c>
      <c r="F2422" s="71" t="s">
        <v>414</v>
      </c>
      <c r="G2422" s="71" t="str">
        <f>MID(F2422,1,2)</f>
        <v>US</v>
      </c>
      <c r="H2422" s="43" t="s">
        <v>4163</v>
      </c>
      <c r="I2422" s="71" t="s">
        <v>4176</v>
      </c>
      <c r="J2422" s="71" t="s">
        <v>386</v>
      </c>
      <c r="K2422" s="43" t="s">
        <v>431</v>
      </c>
      <c r="L2422" s="71" t="s">
        <v>107</v>
      </c>
      <c r="M2422" s="73">
        <v>8</v>
      </c>
      <c r="N2422" s="71" t="s">
        <v>388</v>
      </c>
      <c r="O2422" s="73">
        <v>0.102</v>
      </c>
      <c r="P2422" s="71" t="s">
        <v>389</v>
      </c>
      <c r="Q2422" s="73">
        <v>17</v>
      </c>
      <c r="R2422" s="71" t="s">
        <v>388</v>
      </c>
      <c r="S2422" s="73">
        <v>0</v>
      </c>
      <c r="T2422" s="71" t="s">
        <v>390</v>
      </c>
      <c r="U2422" s="74">
        <v>2</v>
      </c>
      <c r="V2422" s="71" t="s">
        <v>427</v>
      </c>
      <c r="W2422" s="130">
        <v>46079.36875</v>
      </c>
      <c r="X2422" s="72">
        <v>46084.916666666664</v>
      </c>
      <c r="Y2422" s="72">
        <v>46085.114583333336</v>
      </c>
      <c r="Z2422" s="104" t="s">
        <v>382</v>
      </c>
      <c r="AA2422" s="104" t="s">
        <v>414</v>
      </c>
      <c r="AB2422" s="105">
        <v>46085.021527777775</v>
      </c>
      <c r="AC2422" s="105">
        <v>46085.20416666667</v>
      </c>
    </row>
    <row r="2423" s="70" customFormat="1" ht="11.25" customHeight="1">
      <c r="A2423" s="87"/>
      <c r="C2423" s="43" t="s">
        <v>4177</v>
      </c>
      <c r="D2423" s="71" t="s">
        <v>382</v>
      </c>
      <c r="E2423" s="71" t="str">
        <f>MID(D2423,1,2)</f>
        <v>IL</v>
      </c>
      <c r="F2423" s="71" t="s">
        <v>414</v>
      </c>
      <c r="G2423" s="71" t="str">
        <f>MID(F2423,1,2)</f>
        <v>US</v>
      </c>
      <c r="H2423" s="43" t="s">
        <v>4163</v>
      </c>
      <c r="I2423" s="71" t="s">
        <v>4178</v>
      </c>
      <c r="J2423" s="71" t="s">
        <v>426</v>
      </c>
      <c r="K2423" s="43" t="s">
        <v>431</v>
      </c>
      <c r="L2423" s="71" t="s">
        <v>105</v>
      </c>
      <c r="M2423" s="73">
        <v>8</v>
      </c>
      <c r="N2423" s="71" t="s">
        <v>388</v>
      </c>
      <c r="O2423" s="73">
        <v>0.074</v>
      </c>
      <c r="P2423" s="71" t="s">
        <v>389</v>
      </c>
      <c r="Q2423" s="73">
        <v>12.5</v>
      </c>
      <c r="R2423" s="71" t="s">
        <v>388</v>
      </c>
      <c r="S2423" s="73">
        <v>0</v>
      </c>
      <c r="T2423" s="71" t="s">
        <v>390</v>
      </c>
      <c r="U2423" s="74">
        <v>1</v>
      </c>
      <c r="V2423" s="71" t="s">
        <v>427</v>
      </c>
      <c r="W2423" s="130">
        <v>46080.078784722224</v>
      </c>
      <c r="X2423" s="72">
        <v>46084.916666666664</v>
      </c>
      <c r="Y2423" s="72">
        <v>46085.114583333336</v>
      </c>
      <c r="Z2423" s="104" t="s">
        <v>382</v>
      </c>
      <c r="AA2423" s="104" t="s">
        <v>414</v>
      </c>
      <c r="AB2423" s="105">
        <v>46085.021527777775</v>
      </c>
      <c r="AC2423" s="105">
        <v>46085.20416666667</v>
      </c>
    </row>
    <row r="2424" s="70" customFormat="1" ht="11.25" customHeight="1">
      <c r="A2424" s="87"/>
      <c r="C2424" s="43" t="s">
        <v>4179</v>
      </c>
      <c r="D2424" s="71" t="s">
        <v>382</v>
      </c>
      <c r="E2424" s="71" t="str">
        <f>MID(D2424,1,2)</f>
        <v>IL</v>
      </c>
      <c r="F2424" s="71" t="s">
        <v>414</v>
      </c>
      <c r="G2424" s="71" t="str">
        <f>MID(F2424,1,2)</f>
        <v>US</v>
      </c>
      <c r="H2424" s="43" t="s">
        <v>4163</v>
      </c>
      <c r="I2424" s="71" t="s">
        <v>4180</v>
      </c>
      <c r="J2424" s="71" t="s">
        <v>386</v>
      </c>
      <c r="K2424" s="43" t="s">
        <v>431</v>
      </c>
      <c r="L2424" s="71" t="s">
        <v>107</v>
      </c>
      <c r="M2424" s="73">
        <v>1</v>
      </c>
      <c r="N2424" s="71" t="s">
        <v>388</v>
      </c>
      <c r="O2424" s="73">
        <v>0.036</v>
      </c>
      <c r="P2424" s="71" t="s">
        <v>389</v>
      </c>
      <c r="Q2424" s="73">
        <v>6</v>
      </c>
      <c r="R2424" s="71" t="s">
        <v>388</v>
      </c>
      <c r="S2424" s="73">
        <v>0</v>
      </c>
      <c r="T2424" s="71" t="s">
        <v>390</v>
      </c>
      <c r="U2424" s="74">
        <v>1</v>
      </c>
      <c r="V2424" s="71" t="s">
        <v>427</v>
      </c>
      <c r="W2424" s="130">
        <v>46079.375694444447</v>
      </c>
      <c r="X2424" s="72">
        <v>46084.916666666664</v>
      </c>
      <c r="Y2424" s="72">
        <v>46085.114583333336</v>
      </c>
      <c r="Z2424" s="104" t="s">
        <v>382</v>
      </c>
      <c r="AA2424" s="104" t="s">
        <v>414</v>
      </c>
      <c r="AB2424" s="105">
        <v>46085.021527777775</v>
      </c>
      <c r="AC2424" s="105">
        <v>46085.20416666667</v>
      </c>
    </row>
    <row r="2425" s="70" customFormat="1" ht="11.25" customHeight="1">
      <c r="A2425" s="87"/>
      <c r="C2425" s="43" t="s">
        <v>4181</v>
      </c>
      <c r="D2425" s="71" t="s">
        <v>382</v>
      </c>
      <c r="E2425" s="71" t="str">
        <f>MID(D2425,1,2)</f>
        <v>IL</v>
      </c>
      <c r="F2425" s="71" t="s">
        <v>522</v>
      </c>
      <c r="G2425" s="71" t="str">
        <f>MID(F2425,1,2)</f>
        <v>CZ</v>
      </c>
      <c r="H2425" s="43" t="s">
        <v>4182</v>
      </c>
      <c r="I2425" s="71" t="s">
        <v>4183</v>
      </c>
      <c r="J2425" s="71" t="s">
        <v>386</v>
      </c>
      <c r="K2425" s="43"/>
      <c r="L2425" s="71" t="s">
        <v>107</v>
      </c>
      <c r="M2425" s="73">
        <v>2.5</v>
      </c>
      <c r="N2425" s="71" t="s">
        <v>388</v>
      </c>
      <c r="O2425" s="73">
        <v>0.012</v>
      </c>
      <c r="P2425" s="71" t="s">
        <v>389</v>
      </c>
      <c r="Q2425" s="73">
        <v>2.5</v>
      </c>
      <c r="R2425" s="71" t="s">
        <v>388</v>
      </c>
      <c r="S2425" s="73">
        <v>0</v>
      </c>
      <c r="T2425" s="71" t="s">
        <v>390</v>
      </c>
      <c r="U2425" s="74">
        <v>1</v>
      </c>
      <c r="V2425" s="71" t="s">
        <v>391</v>
      </c>
      <c r="W2425" s="130">
        <v>46091.565798611111</v>
      </c>
      <c r="X2425" s="72">
        <v>46082.013888888891</v>
      </c>
      <c r="Y2425" s="72">
        <v>46103.336805555555</v>
      </c>
      <c r="Z2425" s="104" t="s">
        <v>382</v>
      </c>
      <c r="AA2425" s="104" t="s">
        <v>408</v>
      </c>
      <c r="AB2425" s="105">
        <v>46096.147916666669</v>
      </c>
      <c r="AC2425" s="105"/>
    </row>
    <row r="2426" s="70" customFormat="1" ht="11.25" customHeight="1">
      <c r="A2426" s="87"/>
      <c r="C2426" s="43" t="s">
        <v>4181</v>
      </c>
      <c r="D2426" s="71" t="s">
        <v>382</v>
      </c>
      <c r="E2426" s="71" t="str">
        <f>MID(D2426,1,2)</f>
        <v>IL</v>
      </c>
      <c r="F2426" s="71" t="s">
        <v>522</v>
      </c>
      <c r="G2426" s="71" t="str">
        <f>MID(F2426,1,2)</f>
        <v>CZ</v>
      </c>
      <c r="H2426" s="43" t="s">
        <v>4182</v>
      </c>
      <c r="I2426" s="71" t="s">
        <v>4183</v>
      </c>
      <c r="J2426" s="71" t="s">
        <v>386</v>
      </c>
      <c r="K2426" s="43"/>
      <c r="L2426" s="71" t="s">
        <v>107</v>
      </c>
      <c r="M2426" s="73">
        <v>2.5</v>
      </c>
      <c r="N2426" s="71" t="s">
        <v>388</v>
      </c>
      <c r="O2426" s="73">
        <v>0.012</v>
      </c>
      <c r="P2426" s="71" t="s">
        <v>389</v>
      </c>
      <c r="Q2426" s="73">
        <v>2.5</v>
      </c>
      <c r="R2426" s="71" t="s">
        <v>388</v>
      </c>
      <c r="S2426" s="73">
        <v>0</v>
      </c>
      <c r="T2426" s="71" t="s">
        <v>390</v>
      </c>
      <c r="U2426" s="74">
        <v>1</v>
      </c>
      <c r="V2426" s="71" t="s">
        <v>391</v>
      </c>
      <c r="W2426" s="130">
        <v>46091.565798611111</v>
      </c>
      <c r="X2426" s="72">
        <v>46082.013888888891</v>
      </c>
      <c r="Y2426" s="72">
        <v>46103.336805555555</v>
      </c>
      <c r="Z2426" s="104" t="s">
        <v>408</v>
      </c>
      <c r="AA2426" s="104" t="s">
        <v>3173</v>
      </c>
      <c r="AB2426" s="105"/>
      <c r="AC2426" s="105"/>
    </row>
    <row r="2427" s="70" customFormat="1" ht="11.25" customHeight="1">
      <c r="A2427" s="87"/>
      <c r="C2427" s="43" t="s">
        <v>4181</v>
      </c>
      <c r="D2427" s="71" t="s">
        <v>382</v>
      </c>
      <c r="E2427" s="71" t="str">
        <f>MID(D2427,1,2)</f>
        <v>IL</v>
      </c>
      <c r="F2427" s="71" t="s">
        <v>522</v>
      </c>
      <c r="G2427" s="71" t="str">
        <f>MID(F2427,1,2)</f>
        <v>CZ</v>
      </c>
      <c r="H2427" s="43" t="s">
        <v>4182</v>
      </c>
      <c r="I2427" s="71" t="s">
        <v>4183</v>
      </c>
      <c r="J2427" s="71" t="s">
        <v>386</v>
      </c>
      <c r="K2427" s="43"/>
      <c r="L2427" s="71" t="s">
        <v>107</v>
      </c>
      <c r="M2427" s="73">
        <v>2.5</v>
      </c>
      <c r="N2427" s="71" t="s">
        <v>388</v>
      </c>
      <c r="O2427" s="73">
        <v>0.012</v>
      </c>
      <c r="P2427" s="71" t="s">
        <v>389</v>
      </c>
      <c r="Q2427" s="73">
        <v>2.5</v>
      </c>
      <c r="R2427" s="71" t="s">
        <v>388</v>
      </c>
      <c r="S2427" s="73">
        <v>0</v>
      </c>
      <c r="T2427" s="71" t="s">
        <v>390</v>
      </c>
      <c r="U2427" s="74">
        <v>1</v>
      </c>
      <c r="V2427" s="71" t="s">
        <v>391</v>
      </c>
      <c r="W2427" s="130">
        <v>46091.565798611111</v>
      </c>
      <c r="X2427" s="72">
        <v>46082.013888888891</v>
      </c>
      <c r="Y2427" s="72">
        <v>46103.336805555555</v>
      </c>
      <c r="Z2427" s="104" t="s">
        <v>3173</v>
      </c>
      <c r="AA2427" s="104" t="s">
        <v>522</v>
      </c>
      <c r="AB2427" s="105"/>
      <c r="AC2427" s="105"/>
    </row>
    <row r="2428" s="70" customFormat="1" ht="11.25" customHeight="1">
      <c r="A2428" s="87"/>
      <c r="C2428" s="43" t="s">
        <v>4184</v>
      </c>
      <c r="D2428" s="71" t="s">
        <v>382</v>
      </c>
      <c r="E2428" s="71" t="str">
        <f>MID(D2428,1,2)</f>
        <v>IL</v>
      </c>
      <c r="F2428" s="71" t="s">
        <v>414</v>
      </c>
      <c r="G2428" s="71" t="str">
        <f>MID(F2428,1,2)</f>
        <v>US</v>
      </c>
      <c r="H2428" s="43" t="s">
        <v>4163</v>
      </c>
      <c r="I2428" s="71" t="s">
        <v>4185</v>
      </c>
      <c r="J2428" s="71" t="s">
        <v>426</v>
      </c>
      <c r="K2428" s="43" t="s">
        <v>431</v>
      </c>
      <c r="L2428" s="71" t="s">
        <v>105</v>
      </c>
      <c r="M2428" s="73">
        <v>540</v>
      </c>
      <c r="N2428" s="71" t="s">
        <v>388</v>
      </c>
      <c r="O2428" s="73">
        <v>5.775</v>
      </c>
      <c r="P2428" s="71" t="s">
        <v>389</v>
      </c>
      <c r="Q2428" s="73">
        <v>962.5</v>
      </c>
      <c r="R2428" s="71" t="s">
        <v>388</v>
      </c>
      <c r="S2428" s="73">
        <v>0</v>
      </c>
      <c r="T2428" s="71" t="s">
        <v>390</v>
      </c>
      <c r="U2428" s="74">
        <v>4</v>
      </c>
      <c r="V2428" s="71" t="s">
        <v>391</v>
      </c>
      <c r="W2428" s="130">
        <v>46080.0790162037</v>
      </c>
      <c r="X2428" s="72">
        <v>46084.916666666664</v>
      </c>
      <c r="Y2428" s="72">
        <v>46085.114583333336</v>
      </c>
      <c r="Z2428" s="104" t="s">
        <v>382</v>
      </c>
      <c r="AA2428" s="104" t="s">
        <v>414</v>
      </c>
      <c r="AB2428" s="105">
        <v>46085.021527777775</v>
      </c>
      <c r="AC2428" s="105">
        <v>46085.20416666667</v>
      </c>
    </row>
    <row r="2429" s="70" customFormat="1" ht="11.25" customHeight="1">
      <c r="A2429" s="87"/>
      <c r="C2429" s="43" t="s">
        <v>4186</v>
      </c>
      <c r="D2429" s="71" t="s">
        <v>382</v>
      </c>
      <c r="E2429" s="71" t="str">
        <f>MID(D2429,1,2)</f>
        <v>IL</v>
      </c>
      <c r="F2429" s="71" t="s">
        <v>414</v>
      </c>
      <c r="G2429" s="71" t="str">
        <f>MID(F2429,1,2)</f>
        <v>US</v>
      </c>
      <c r="H2429" s="43" t="s">
        <v>4187</v>
      </c>
      <c r="I2429" s="71" t="s">
        <v>4188</v>
      </c>
      <c r="J2429" s="71" t="s">
        <v>400</v>
      </c>
      <c r="K2429" s="43"/>
      <c r="L2429" s="71" t="s">
        <v>105</v>
      </c>
      <c r="M2429" s="73">
        <v>2</v>
      </c>
      <c r="N2429" s="71" t="s">
        <v>388</v>
      </c>
      <c r="O2429" s="73">
        <v>0.011</v>
      </c>
      <c r="P2429" s="71" t="s">
        <v>389</v>
      </c>
      <c r="Q2429" s="73">
        <v>2</v>
      </c>
      <c r="R2429" s="71" t="s">
        <v>388</v>
      </c>
      <c r="S2429" s="73">
        <v>0</v>
      </c>
      <c r="T2429" s="71" t="s">
        <v>390</v>
      </c>
      <c r="U2429" s="74">
        <v>1</v>
      </c>
      <c r="V2429" s="71" t="s">
        <v>427</v>
      </c>
      <c r="W2429" s="130">
        <v>46079.381944444445</v>
      </c>
      <c r="X2429" s="72">
        <v>46091.875</v>
      </c>
      <c r="Y2429" s="72">
        <v>46094.458333333336</v>
      </c>
      <c r="Z2429" s="104" t="s">
        <v>382</v>
      </c>
      <c r="AA2429" s="104" t="s">
        <v>414</v>
      </c>
      <c r="AB2429" s="105">
        <v>46091.955555555556</v>
      </c>
      <c r="AC2429" s="105">
        <v>46094.475</v>
      </c>
    </row>
    <row r="2430" s="70" customFormat="1" ht="11.25" customHeight="1">
      <c r="A2430" s="87"/>
      <c r="C2430" s="43" t="s">
        <v>4189</v>
      </c>
      <c r="D2430" s="71" t="s">
        <v>382</v>
      </c>
      <c r="E2430" s="71" t="str">
        <f>MID(D2430,1,2)</f>
        <v>IL</v>
      </c>
      <c r="F2430" s="71" t="s">
        <v>437</v>
      </c>
      <c r="G2430" s="71" t="str">
        <f>MID(F2430,1,2)</f>
        <v>AU</v>
      </c>
      <c r="H2430" s="43" t="s">
        <v>4190</v>
      </c>
      <c r="I2430" s="71" t="s">
        <v>4191</v>
      </c>
      <c r="J2430" s="71" t="s">
        <v>426</v>
      </c>
      <c r="K2430" s="43" t="s">
        <v>4192</v>
      </c>
      <c r="L2430" s="71" t="s">
        <v>105</v>
      </c>
      <c r="M2430" s="73">
        <v>942</v>
      </c>
      <c r="N2430" s="71" t="s">
        <v>388</v>
      </c>
      <c r="O2430" s="73">
        <v>12</v>
      </c>
      <c r="P2430" s="71" t="s">
        <v>389</v>
      </c>
      <c r="Q2430" s="73">
        <v>3300</v>
      </c>
      <c r="R2430" s="71" t="s">
        <v>388</v>
      </c>
      <c r="S2430" s="73">
        <v>0</v>
      </c>
      <c r="T2430" s="71" t="s">
        <v>390</v>
      </c>
      <c r="U2430" s="74">
        <v>8</v>
      </c>
      <c r="V2430" s="71" t="s">
        <v>391</v>
      </c>
      <c r="W2430" s="130">
        <v>46093.511087962965</v>
      </c>
      <c r="X2430" s="72">
        <v>46085.37777777778</v>
      </c>
      <c r="Y2430" s="72">
        <v>46102</v>
      </c>
      <c r="Z2430" s="104" t="s">
        <v>382</v>
      </c>
      <c r="AA2430" s="104" t="s">
        <v>471</v>
      </c>
      <c r="AB2430" s="105">
        <v>46098.474305555559</v>
      </c>
      <c r="AC2430" s="105">
        <v>46098.625</v>
      </c>
    </row>
    <row r="2431" s="70" customFormat="1" ht="11.25" customHeight="1">
      <c r="A2431" s="87"/>
      <c r="C2431" s="43" t="s">
        <v>4189</v>
      </c>
      <c r="D2431" s="71" t="s">
        <v>382</v>
      </c>
      <c r="E2431" s="71" t="str">
        <f>MID(D2431,1,2)</f>
        <v>IL</v>
      </c>
      <c r="F2431" s="71" t="s">
        <v>437</v>
      </c>
      <c r="G2431" s="71" t="str">
        <f>MID(F2431,1,2)</f>
        <v>AU</v>
      </c>
      <c r="H2431" s="43" t="s">
        <v>4190</v>
      </c>
      <c r="I2431" s="71" t="s">
        <v>4191</v>
      </c>
      <c r="J2431" s="71" t="s">
        <v>426</v>
      </c>
      <c r="K2431" s="43" t="s">
        <v>4192</v>
      </c>
      <c r="L2431" s="71" t="s">
        <v>105</v>
      </c>
      <c r="M2431" s="73">
        <v>942</v>
      </c>
      <c r="N2431" s="71" t="s">
        <v>388</v>
      </c>
      <c r="O2431" s="73">
        <v>12</v>
      </c>
      <c r="P2431" s="71" t="s">
        <v>389</v>
      </c>
      <c r="Q2431" s="73">
        <v>3300</v>
      </c>
      <c r="R2431" s="71" t="s">
        <v>388</v>
      </c>
      <c r="S2431" s="73">
        <v>0</v>
      </c>
      <c r="T2431" s="71" t="s">
        <v>390</v>
      </c>
      <c r="U2431" s="74">
        <v>8</v>
      </c>
      <c r="V2431" s="71" t="s">
        <v>391</v>
      </c>
      <c r="W2431" s="130">
        <v>46093.511087962965</v>
      </c>
      <c r="X2431" s="72">
        <v>46085.37777777778</v>
      </c>
      <c r="Y2431" s="72">
        <v>46102</v>
      </c>
      <c r="Z2431" s="104" t="s">
        <v>471</v>
      </c>
      <c r="AA2431" s="104" t="s">
        <v>526</v>
      </c>
      <c r="AB2431" s="105">
        <v>46099.538194444445</v>
      </c>
      <c r="AC2431" s="105">
        <v>46099.621527777781</v>
      </c>
    </row>
    <row r="2432" s="70" customFormat="1" ht="11.25" customHeight="1">
      <c r="A2432" s="87"/>
      <c r="C2432" s="43" t="s">
        <v>4189</v>
      </c>
      <c r="D2432" s="71" t="s">
        <v>382</v>
      </c>
      <c r="E2432" s="71" t="str">
        <f>MID(D2432,1,2)</f>
        <v>IL</v>
      </c>
      <c r="F2432" s="71" t="s">
        <v>437</v>
      </c>
      <c r="G2432" s="71" t="str">
        <f>MID(F2432,1,2)</f>
        <v>AU</v>
      </c>
      <c r="H2432" s="43" t="s">
        <v>4190</v>
      </c>
      <c r="I2432" s="71" t="s">
        <v>4191</v>
      </c>
      <c r="J2432" s="71" t="s">
        <v>426</v>
      </c>
      <c r="K2432" s="43" t="s">
        <v>4192</v>
      </c>
      <c r="L2432" s="71" t="s">
        <v>105</v>
      </c>
      <c r="M2432" s="73">
        <v>942</v>
      </c>
      <c r="N2432" s="71" t="s">
        <v>388</v>
      </c>
      <c r="O2432" s="73">
        <v>12</v>
      </c>
      <c r="P2432" s="71" t="s">
        <v>389</v>
      </c>
      <c r="Q2432" s="73">
        <v>3300</v>
      </c>
      <c r="R2432" s="71" t="s">
        <v>388</v>
      </c>
      <c r="S2432" s="73">
        <v>0</v>
      </c>
      <c r="T2432" s="71" t="s">
        <v>390</v>
      </c>
      <c r="U2432" s="74">
        <v>8</v>
      </c>
      <c r="V2432" s="71" t="s">
        <v>391</v>
      </c>
      <c r="W2432" s="130">
        <v>46093.511087962965</v>
      </c>
      <c r="X2432" s="72">
        <v>46085.37777777778</v>
      </c>
      <c r="Y2432" s="72">
        <v>46102</v>
      </c>
      <c r="Z2432" s="104" t="s">
        <v>526</v>
      </c>
      <c r="AA2432" s="104" t="s">
        <v>437</v>
      </c>
      <c r="AB2432" s="105">
        <v>46100</v>
      </c>
      <c r="AC2432" s="105">
        <v>46101.336805555555</v>
      </c>
    </row>
    <row r="2433" s="70" customFormat="1" ht="11.25" customHeight="1">
      <c r="A2433" s="87"/>
      <c r="C2433" s="43" t="s">
        <v>4193</v>
      </c>
      <c r="D2433" s="71" t="s">
        <v>382</v>
      </c>
      <c r="E2433" s="71" t="str">
        <f>MID(D2433,1,2)</f>
        <v>IL</v>
      </c>
      <c r="F2433" s="71" t="s">
        <v>522</v>
      </c>
      <c r="G2433" s="71" t="str">
        <f>MID(F2433,1,2)</f>
        <v>CZ</v>
      </c>
      <c r="H2433" s="43" t="s">
        <v>4130</v>
      </c>
      <c r="I2433" s="71" t="s">
        <v>4194</v>
      </c>
      <c r="J2433" s="71" t="s">
        <v>386</v>
      </c>
      <c r="K2433" s="43"/>
      <c r="L2433" s="71" t="s">
        <v>107</v>
      </c>
      <c r="M2433" s="73">
        <v>92</v>
      </c>
      <c r="N2433" s="71" t="s">
        <v>388</v>
      </c>
      <c r="O2433" s="73">
        <v>1.536</v>
      </c>
      <c r="P2433" s="71" t="s">
        <v>389</v>
      </c>
      <c r="Q2433" s="73">
        <v>256</v>
      </c>
      <c r="R2433" s="71" t="s">
        <v>388</v>
      </c>
      <c r="S2433" s="73">
        <v>0</v>
      </c>
      <c r="T2433" s="71" t="s">
        <v>390</v>
      </c>
      <c r="U2433" s="74">
        <v>1</v>
      </c>
      <c r="V2433" s="71" t="s">
        <v>391</v>
      </c>
      <c r="W2433" s="130">
        <v>46079.381944444445</v>
      </c>
      <c r="X2433" s="72">
        <v>46082.229166666664</v>
      </c>
      <c r="Y2433" s="72">
        <v>46086.463194444441</v>
      </c>
      <c r="Z2433" s="104" t="s">
        <v>383</v>
      </c>
      <c r="AA2433" s="104" t="s">
        <v>522</v>
      </c>
      <c r="AB2433" s="105">
        <v>46085.873611111114</v>
      </c>
      <c r="AC2433" s="105">
        <v>46086.396527777775</v>
      </c>
    </row>
    <row r="2434" s="70" customFormat="1" ht="11.25" customHeight="1">
      <c r="A2434" s="87"/>
      <c r="C2434" s="43" t="s">
        <v>4193</v>
      </c>
      <c r="D2434" s="71" t="s">
        <v>382</v>
      </c>
      <c r="E2434" s="71" t="str">
        <f>MID(D2434,1,2)</f>
        <v>IL</v>
      </c>
      <c r="F2434" s="71" t="s">
        <v>522</v>
      </c>
      <c r="G2434" s="71" t="str">
        <f>MID(F2434,1,2)</f>
        <v>CZ</v>
      </c>
      <c r="H2434" s="43" t="s">
        <v>4130</v>
      </c>
      <c r="I2434" s="71" t="s">
        <v>4194</v>
      </c>
      <c r="J2434" s="71" t="s">
        <v>386</v>
      </c>
      <c r="K2434" s="43"/>
      <c r="L2434" s="71" t="s">
        <v>107</v>
      </c>
      <c r="M2434" s="73">
        <v>92</v>
      </c>
      <c r="N2434" s="71" t="s">
        <v>388</v>
      </c>
      <c r="O2434" s="73">
        <v>1.536</v>
      </c>
      <c r="P2434" s="71" t="s">
        <v>389</v>
      </c>
      <c r="Q2434" s="73">
        <v>256</v>
      </c>
      <c r="R2434" s="71" t="s">
        <v>388</v>
      </c>
      <c r="S2434" s="73">
        <v>0</v>
      </c>
      <c r="T2434" s="71" t="s">
        <v>390</v>
      </c>
      <c r="U2434" s="74">
        <v>1</v>
      </c>
      <c r="V2434" s="71" t="s">
        <v>391</v>
      </c>
      <c r="W2434" s="130">
        <v>46079.381944444445</v>
      </c>
      <c r="X2434" s="72">
        <v>46082.229166666664</v>
      </c>
      <c r="Y2434" s="72">
        <v>46086.463194444441</v>
      </c>
      <c r="Z2434" s="104" t="s">
        <v>382</v>
      </c>
      <c r="AA2434" s="104" t="s">
        <v>466</v>
      </c>
      <c r="AB2434" s="105">
        <v>46083.454861111109</v>
      </c>
      <c r="AC2434" s="105">
        <v>46083.595138888886</v>
      </c>
    </row>
    <row r="2435" s="70" customFormat="1" ht="11.25" customHeight="1">
      <c r="A2435" s="87"/>
      <c r="C2435" s="43" t="s">
        <v>4193</v>
      </c>
      <c r="D2435" s="71" t="s">
        <v>382</v>
      </c>
      <c r="E2435" s="71" t="str">
        <f>MID(D2435,1,2)</f>
        <v>IL</v>
      </c>
      <c r="F2435" s="71" t="s">
        <v>522</v>
      </c>
      <c r="G2435" s="71" t="str">
        <f>MID(F2435,1,2)</f>
        <v>CZ</v>
      </c>
      <c r="H2435" s="43" t="s">
        <v>4130</v>
      </c>
      <c r="I2435" s="71" t="s">
        <v>4194</v>
      </c>
      <c r="J2435" s="71" t="s">
        <v>386</v>
      </c>
      <c r="K2435" s="43"/>
      <c r="L2435" s="71" t="s">
        <v>107</v>
      </c>
      <c r="M2435" s="73">
        <v>92</v>
      </c>
      <c r="N2435" s="71" t="s">
        <v>388</v>
      </c>
      <c r="O2435" s="73">
        <v>1.536</v>
      </c>
      <c r="P2435" s="71" t="s">
        <v>389</v>
      </c>
      <c r="Q2435" s="73">
        <v>256</v>
      </c>
      <c r="R2435" s="71" t="s">
        <v>388</v>
      </c>
      <c r="S2435" s="73">
        <v>0</v>
      </c>
      <c r="T2435" s="71" t="s">
        <v>390</v>
      </c>
      <c r="U2435" s="74">
        <v>1</v>
      </c>
      <c r="V2435" s="71" t="s">
        <v>391</v>
      </c>
      <c r="W2435" s="130">
        <v>46079.381944444445</v>
      </c>
      <c r="X2435" s="72">
        <v>46082.229166666664</v>
      </c>
      <c r="Y2435" s="72">
        <v>46086.463194444441</v>
      </c>
      <c r="Z2435" s="104" t="s">
        <v>466</v>
      </c>
      <c r="AA2435" s="104" t="s">
        <v>383</v>
      </c>
      <c r="AB2435" s="105">
        <v>46084.011805555558</v>
      </c>
      <c r="AC2435" s="105">
        <v>46084.371527777781</v>
      </c>
    </row>
    <row r="2436" s="70" customFormat="1" ht="11.25" customHeight="1">
      <c r="A2436" s="87"/>
      <c r="C2436" s="43" t="s">
        <v>4195</v>
      </c>
      <c r="D2436" s="71" t="s">
        <v>382</v>
      </c>
      <c r="E2436" s="71" t="str">
        <f>MID(D2436,1,2)</f>
        <v>IL</v>
      </c>
      <c r="F2436" s="71" t="s">
        <v>468</v>
      </c>
      <c r="G2436" s="71" t="str">
        <f>MID(F2436,1,2)</f>
        <v>US</v>
      </c>
      <c r="H2436" s="43" t="s">
        <v>3620</v>
      </c>
      <c r="I2436" s="71" t="s">
        <v>4196</v>
      </c>
      <c r="J2436" s="71" t="s">
        <v>386</v>
      </c>
      <c r="K2436" s="43"/>
      <c r="L2436" s="71" t="s">
        <v>107</v>
      </c>
      <c r="M2436" s="73">
        <v>48</v>
      </c>
      <c r="N2436" s="71" t="s">
        <v>388</v>
      </c>
      <c r="O2436" s="73">
        <v>0.222</v>
      </c>
      <c r="P2436" s="71" t="s">
        <v>389</v>
      </c>
      <c r="Q2436" s="73">
        <v>48</v>
      </c>
      <c r="R2436" s="71" t="s">
        <v>388</v>
      </c>
      <c r="S2436" s="73">
        <v>0</v>
      </c>
      <c r="T2436" s="71" t="s">
        <v>390</v>
      </c>
      <c r="U2436" s="74">
        <v>4</v>
      </c>
      <c r="V2436" s="71" t="s">
        <v>446</v>
      </c>
      <c r="W2436" s="130">
        <v>46079.472916666666</v>
      </c>
      <c r="X2436" s="72">
        <v>46081.979166666664</v>
      </c>
      <c r="Y2436" s="72">
        <v>46090.416666666664</v>
      </c>
      <c r="Z2436" s="104" t="s">
        <v>382</v>
      </c>
      <c r="AA2436" s="104" t="s">
        <v>408</v>
      </c>
      <c r="AB2436" s="105">
        <v>46084.73125</v>
      </c>
      <c r="AC2436" s="105">
        <v>46084.975694444445</v>
      </c>
    </row>
    <row r="2437" s="70" customFormat="1" ht="11.25" customHeight="1">
      <c r="A2437" s="87"/>
      <c r="C2437" s="43" t="s">
        <v>4195</v>
      </c>
      <c r="D2437" s="71" t="s">
        <v>382</v>
      </c>
      <c r="E2437" s="71" t="str">
        <f>MID(D2437,1,2)</f>
        <v>IL</v>
      </c>
      <c r="F2437" s="71" t="s">
        <v>468</v>
      </c>
      <c r="G2437" s="71" t="str">
        <f>MID(F2437,1,2)</f>
        <v>US</v>
      </c>
      <c r="H2437" s="43" t="s">
        <v>3620</v>
      </c>
      <c r="I2437" s="71" t="s">
        <v>4196</v>
      </c>
      <c r="J2437" s="71" t="s">
        <v>386</v>
      </c>
      <c r="K2437" s="43"/>
      <c r="L2437" s="71" t="s">
        <v>107</v>
      </c>
      <c r="M2437" s="73">
        <v>48</v>
      </c>
      <c r="N2437" s="71" t="s">
        <v>388</v>
      </c>
      <c r="O2437" s="73">
        <v>0.222</v>
      </c>
      <c r="P2437" s="71" t="s">
        <v>389</v>
      </c>
      <c r="Q2437" s="73">
        <v>48</v>
      </c>
      <c r="R2437" s="71" t="s">
        <v>388</v>
      </c>
      <c r="S2437" s="73">
        <v>0</v>
      </c>
      <c r="T2437" s="71" t="s">
        <v>390</v>
      </c>
      <c r="U2437" s="74">
        <v>4</v>
      </c>
      <c r="V2437" s="71" t="s">
        <v>446</v>
      </c>
      <c r="W2437" s="130">
        <v>46079.472916666666</v>
      </c>
      <c r="X2437" s="72">
        <v>46081.979166666664</v>
      </c>
      <c r="Y2437" s="72">
        <v>46090.416666666664</v>
      </c>
      <c r="Z2437" s="104" t="s">
        <v>408</v>
      </c>
      <c r="AA2437" s="104" t="s">
        <v>422</v>
      </c>
      <c r="AB2437" s="105">
        <v>46087.51666666667</v>
      </c>
      <c r="AC2437" s="105">
        <v>46087.672222222223</v>
      </c>
    </row>
    <row r="2438" s="70" customFormat="1" ht="11.25" customHeight="1">
      <c r="A2438" s="87"/>
      <c r="C2438" s="43" t="s">
        <v>4195</v>
      </c>
      <c r="D2438" s="71" t="s">
        <v>382</v>
      </c>
      <c r="E2438" s="71" t="str">
        <f>MID(D2438,1,2)</f>
        <v>IL</v>
      </c>
      <c r="F2438" s="71" t="s">
        <v>468</v>
      </c>
      <c r="G2438" s="71" t="str">
        <f>MID(F2438,1,2)</f>
        <v>US</v>
      </c>
      <c r="H2438" s="43" t="s">
        <v>3620</v>
      </c>
      <c r="I2438" s="71" t="s">
        <v>4196</v>
      </c>
      <c r="J2438" s="71" t="s">
        <v>386</v>
      </c>
      <c r="K2438" s="43"/>
      <c r="L2438" s="71" t="s">
        <v>107</v>
      </c>
      <c r="M2438" s="73">
        <v>48</v>
      </c>
      <c r="N2438" s="71" t="s">
        <v>388</v>
      </c>
      <c r="O2438" s="73">
        <v>0.222</v>
      </c>
      <c r="P2438" s="71" t="s">
        <v>389</v>
      </c>
      <c r="Q2438" s="73">
        <v>48</v>
      </c>
      <c r="R2438" s="71" t="s">
        <v>388</v>
      </c>
      <c r="S2438" s="73">
        <v>0</v>
      </c>
      <c r="T2438" s="71" t="s">
        <v>390</v>
      </c>
      <c r="U2438" s="74">
        <v>4</v>
      </c>
      <c r="V2438" s="71" t="s">
        <v>446</v>
      </c>
      <c r="W2438" s="130">
        <v>46079.472916666666</v>
      </c>
      <c r="X2438" s="72">
        <v>46081.979166666664</v>
      </c>
      <c r="Y2438" s="72">
        <v>46090.416666666664</v>
      </c>
      <c r="Z2438" s="104" t="s">
        <v>422</v>
      </c>
      <c r="AA2438" s="104" t="s">
        <v>468</v>
      </c>
      <c r="AB2438" s="105">
        <v>46090.263888888891</v>
      </c>
      <c r="AC2438" s="105">
        <v>46090.386111111111</v>
      </c>
    </row>
    <row r="2439" s="70" customFormat="1" ht="11.25" customHeight="1">
      <c r="A2439" s="87"/>
      <c r="C2439" s="43" t="s">
        <v>4197</v>
      </c>
      <c r="D2439" s="71" t="s">
        <v>382</v>
      </c>
      <c r="E2439" s="71" t="str">
        <f>MID(D2439,1,2)</f>
        <v>IL</v>
      </c>
      <c r="F2439" s="71" t="s">
        <v>468</v>
      </c>
      <c r="G2439" s="71" t="str">
        <f>MID(F2439,1,2)</f>
        <v>US</v>
      </c>
      <c r="H2439" s="43" t="s">
        <v>3620</v>
      </c>
      <c r="I2439" s="71" t="s">
        <v>4198</v>
      </c>
      <c r="J2439" s="71" t="s">
        <v>386</v>
      </c>
      <c r="K2439" s="43"/>
      <c r="L2439" s="71" t="s">
        <v>107</v>
      </c>
      <c r="M2439" s="73">
        <v>2</v>
      </c>
      <c r="N2439" s="71" t="s">
        <v>388</v>
      </c>
      <c r="O2439" s="73">
        <v>0.022</v>
      </c>
      <c r="P2439" s="71" t="s">
        <v>389</v>
      </c>
      <c r="Q2439" s="73">
        <v>4</v>
      </c>
      <c r="R2439" s="71" t="s">
        <v>388</v>
      </c>
      <c r="S2439" s="73">
        <v>0</v>
      </c>
      <c r="T2439" s="71" t="s">
        <v>390</v>
      </c>
      <c r="U2439" s="74">
        <v>1</v>
      </c>
      <c r="V2439" s="71" t="s">
        <v>446</v>
      </c>
      <c r="W2439" s="130">
        <v>46079.694444444445</v>
      </c>
      <c r="X2439" s="72">
        <v>46081.979166666664</v>
      </c>
      <c r="Y2439" s="72">
        <v>46090.416666666664</v>
      </c>
      <c r="Z2439" s="104" t="s">
        <v>382</v>
      </c>
      <c r="AA2439" s="104" t="s">
        <v>408</v>
      </c>
      <c r="AB2439" s="105">
        <v>46084.73125</v>
      </c>
      <c r="AC2439" s="105">
        <v>46084.975694444445</v>
      </c>
    </row>
    <row r="2440" s="70" customFormat="1" ht="11.25" customHeight="1">
      <c r="A2440" s="87"/>
      <c r="C2440" s="43" t="s">
        <v>4197</v>
      </c>
      <c r="D2440" s="71" t="s">
        <v>382</v>
      </c>
      <c r="E2440" s="71" t="str">
        <f>MID(D2440,1,2)</f>
        <v>IL</v>
      </c>
      <c r="F2440" s="71" t="s">
        <v>468</v>
      </c>
      <c r="G2440" s="71" t="str">
        <f>MID(F2440,1,2)</f>
        <v>US</v>
      </c>
      <c r="H2440" s="43" t="s">
        <v>3620</v>
      </c>
      <c r="I2440" s="71" t="s">
        <v>4198</v>
      </c>
      <c r="J2440" s="71" t="s">
        <v>386</v>
      </c>
      <c r="K2440" s="43"/>
      <c r="L2440" s="71" t="s">
        <v>107</v>
      </c>
      <c r="M2440" s="73">
        <v>2</v>
      </c>
      <c r="N2440" s="71" t="s">
        <v>388</v>
      </c>
      <c r="O2440" s="73">
        <v>0.022</v>
      </c>
      <c r="P2440" s="71" t="s">
        <v>389</v>
      </c>
      <c r="Q2440" s="73">
        <v>4</v>
      </c>
      <c r="R2440" s="71" t="s">
        <v>388</v>
      </c>
      <c r="S2440" s="73">
        <v>0</v>
      </c>
      <c r="T2440" s="71" t="s">
        <v>390</v>
      </c>
      <c r="U2440" s="74">
        <v>1</v>
      </c>
      <c r="V2440" s="71" t="s">
        <v>446</v>
      </c>
      <c r="W2440" s="130">
        <v>46079.694444444445</v>
      </c>
      <c r="X2440" s="72">
        <v>46081.979166666664</v>
      </c>
      <c r="Y2440" s="72">
        <v>46090.416666666664</v>
      </c>
      <c r="Z2440" s="104" t="s">
        <v>408</v>
      </c>
      <c r="AA2440" s="104" t="s">
        <v>422</v>
      </c>
      <c r="AB2440" s="105">
        <v>46087.51666666667</v>
      </c>
      <c r="AC2440" s="105">
        <v>46087.672222222223</v>
      </c>
    </row>
    <row r="2441" s="70" customFormat="1" ht="11.25" customHeight="1">
      <c r="A2441" s="87"/>
      <c r="C2441" s="43" t="s">
        <v>4197</v>
      </c>
      <c r="D2441" s="71" t="s">
        <v>382</v>
      </c>
      <c r="E2441" s="71" t="str">
        <f>MID(D2441,1,2)</f>
        <v>IL</v>
      </c>
      <c r="F2441" s="71" t="s">
        <v>468</v>
      </c>
      <c r="G2441" s="71" t="str">
        <f>MID(F2441,1,2)</f>
        <v>US</v>
      </c>
      <c r="H2441" s="43" t="s">
        <v>3620</v>
      </c>
      <c r="I2441" s="71" t="s">
        <v>4198</v>
      </c>
      <c r="J2441" s="71" t="s">
        <v>386</v>
      </c>
      <c r="K2441" s="43"/>
      <c r="L2441" s="71" t="s">
        <v>107</v>
      </c>
      <c r="M2441" s="73">
        <v>2</v>
      </c>
      <c r="N2441" s="71" t="s">
        <v>388</v>
      </c>
      <c r="O2441" s="73">
        <v>0.022</v>
      </c>
      <c r="P2441" s="71" t="s">
        <v>389</v>
      </c>
      <c r="Q2441" s="73">
        <v>4</v>
      </c>
      <c r="R2441" s="71" t="s">
        <v>388</v>
      </c>
      <c r="S2441" s="73">
        <v>0</v>
      </c>
      <c r="T2441" s="71" t="s">
        <v>390</v>
      </c>
      <c r="U2441" s="74">
        <v>1</v>
      </c>
      <c r="V2441" s="71" t="s">
        <v>446</v>
      </c>
      <c r="W2441" s="130">
        <v>46079.694444444445</v>
      </c>
      <c r="X2441" s="72">
        <v>46081.979166666664</v>
      </c>
      <c r="Y2441" s="72">
        <v>46090.416666666664</v>
      </c>
      <c r="Z2441" s="104" t="s">
        <v>422</v>
      </c>
      <c r="AA2441" s="104" t="s">
        <v>468</v>
      </c>
      <c r="AB2441" s="105">
        <v>46090.263888888891</v>
      </c>
      <c r="AC2441" s="105">
        <v>46090.386111111111</v>
      </c>
    </row>
    <row r="2442" s="70" customFormat="1" ht="11.25" customHeight="1">
      <c r="A2442" s="87"/>
      <c r="C2442" s="43" t="s">
        <v>4199</v>
      </c>
      <c r="D2442" s="71" t="s">
        <v>382</v>
      </c>
      <c r="E2442" s="71" t="str">
        <f>MID(D2442,1,2)</f>
        <v>IL</v>
      </c>
      <c r="F2442" s="71" t="s">
        <v>414</v>
      </c>
      <c r="G2442" s="71" t="str">
        <f>MID(F2442,1,2)</f>
        <v>US</v>
      </c>
      <c r="H2442" s="43" t="s">
        <v>2791</v>
      </c>
      <c r="I2442" s="71" t="s">
        <v>4200</v>
      </c>
      <c r="J2442" s="71" t="s">
        <v>386</v>
      </c>
      <c r="K2442" s="43"/>
      <c r="L2442" s="71" t="s">
        <v>107</v>
      </c>
      <c r="M2442" s="73">
        <v>24</v>
      </c>
      <c r="N2442" s="71" t="s">
        <v>388</v>
      </c>
      <c r="O2442" s="73">
        <v>0.111</v>
      </c>
      <c r="P2442" s="71" t="s">
        <v>389</v>
      </c>
      <c r="Q2442" s="73">
        <v>24</v>
      </c>
      <c r="R2442" s="71" t="s">
        <v>388</v>
      </c>
      <c r="S2442" s="73">
        <v>0</v>
      </c>
      <c r="T2442" s="71" t="s">
        <v>390</v>
      </c>
      <c r="U2442" s="74">
        <v>2</v>
      </c>
      <c r="V2442" s="71" t="s">
        <v>446</v>
      </c>
      <c r="W2442" s="130">
        <v>46079.424305555556</v>
      </c>
      <c r="X2442" s="72">
        <v>46081.979166666664</v>
      </c>
      <c r="Y2442" s="72">
        <v>46096.291666666664</v>
      </c>
      <c r="Z2442" s="104" t="s">
        <v>382</v>
      </c>
      <c r="AA2442" s="104" t="s">
        <v>414</v>
      </c>
      <c r="AB2442" s="105">
        <v>46091.945833333331</v>
      </c>
      <c r="AC2442" s="105">
        <v>46092.136111111111</v>
      </c>
    </row>
    <row r="2443" s="70" customFormat="1" ht="11.25" customHeight="1">
      <c r="A2443" s="87"/>
      <c r="C2443" s="43" t="s">
        <v>4201</v>
      </c>
      <c r="D2443" s="71" t="s">
        <v>382</v>
      </c>
      <c r="E2443" s="71" t="str">
        <f>MID(D2443,1,2)</f>
        <v>IL</v>
      </c>
      <c r="F2443" s="71" t="s">
        <v>4202</v>
      </c>
      <c r="G2443" s="71" t="str">
        <f>MID(F2443,1,2)</f>
        <v>RO</v>
      </c>
      <c r="H2443" s="43" t="s">
        <v>3495</v>
      </c>
      <c r="I2443" s="71" t="s">
        <v>4203</v>
      </c>
      <c r="J2443" s="71" t="s">
        <v>386</v>
      </c>
      <c r="K2443" s="43"/>
      <c r="L2443" s="71" t="s">
        <v>107</v>
      </c>
      <c r="M2443" s="73">
        <v>860</v>
      </c>
      <c r="N2443" s="71" t="s">
        <v>388</v>
      </c>
      <c r="O2443" s="73">
        <v>7.2</v>
      </c>
      <c r="P2443" s="71" t="s">
        <v>389</v>
      </c>
      <c r="Q2443" s="73">
        <v>1200</v>
      </c>
      <c r="R2443" s="71" t="s">
        <v>388</v>
      </c>
      <c r="S2443" s="73">
        <v>0</v>
      </c>
      <c r="T2443" s="71" t="s">
        <v>390</v>
      </c>
      <c r="U2443" s="74">
        <v>5</v>
      </c>
      <c r="V2443" s="71" t="s">
        <v>391</v>
      </c>
      <c r="W2443" s="130">
        <v>46079.418055555558</v>
      </c>
      <c r="X2443" s="72">
        <v>46097</v>
      </c>
      <c r="Y2443" s="72">
        <v>46100.496527777781</v>
      </c>
      <c r="Z2443" s="104" t="s">
        <v>383</v>
      </c>
      <c r="AA2443" s="104" t="s">
        <v>4204</v>
      </c>
      <c r="AB2443" s="105">
        <v>46101.8375</v>
      </c>
      <c r="AC2443" s="105"/>
    </row>
    <row r="2444" s="70" customFormat="1" ht="11.25" customHeight="1">
      <c r="A2444" s="87"/>
      <c r="C2444" s="43" t="s">
        <v>4201</v>
      </c>
      <c r="D2444" s="71" t="s">
        <v>382</v>
      </c>
      <c r="E2444" s="71" t="str">
        <f>MID(D2444,1,2)</f>
        <v>IL</v>
      </c>
      <c r="F2444" s="71" t="s">
        <v>4202</v>
      </c>
      <c r="G2444" s="71" t="str">
        <f>MID(F2444,1,2)</f>
        <v>RO</v>
      </c>
      <c r="H2444" s="43" t="s">
        <v>3495</v>
      </c>
      <c r="I2444" s="71" t="s">
        <v>4203</v>
      </c>
      <c r="J2444" s="71" t="s">
        <v>386</v>
      </c>
      <c r="K2444" s="43"/>
      <c r="L2444" s="71" t="s">
        <v>107</v>
      </c>
      <c r="M2444" s="73">
        <v>860</v>
      </c>
      <c r="N2444" s="71" t="s">
        <v>388</v>
      </c>
      <c r="O2444" s="73">
        <v>7.2</v>
      </c>
      <c r="P2444" s="71" t="s">
        <v>389</v>
      </c>
      <c r="Q2444" s="73">
        <v>1200</v>
      </c>
      <c r="R2444" s="71" t="s">
        <v>388</v>
      </c>
      <c r="S2444" s="73">
        <v>0</v>
      </c>
      <c r="T2444" s="71" t="s">
        <v>390</v>
      </c>
      <c r="U2444" s="74">
        <v>5</v>
      </c>
      <c r="V2444" s="71" t="s">
        <v>391</v>
      </c>
      <c r="W2444" s="130">
        <v>46079.418055555558</v>
      </c>
      <c r="X2444" s="72">
        <v>46097</v>
      </c>
      <c r="Y2444" s="72">
        <v>46100.496527777781</v>
      </c>
      <c r="Z2444" s="104" t="s">
        <v>382</v>
      </c>
      <c r="AA2444" s="104" t="s">
        <v>383</v>
      </c>
      <c r="AB2444" s="105">
        <v>46100.42291666667</v>
      </c>
      <c r="AC2444" s="105">
        <v>46100.552777777775</v>
      </c>
    </row>
    <row r="2445" s="70" customFormat="1" ht="11.25" customHeight="1">
      <c r="A2445" s="87"/>
      <c r="C2445" s="43" t="s">
        <v>4205</v>
      </c>
      <c r="D2445" s="71" t="s">
        <v>382</v>
      </c>
      <c r="E2445" s="71" t="str">
        <f>MID(D2445,1,2)</f>
        <v>IL</v>
      </c>
      <c r="F2445" s="71" t="s">
        <v>419</v>
      </c>
      <c r="G2445" s="71" t="str">
        <f>MID(F2445,1,2)</f>
        <v>US</v>
      </c>
      <c r="H2445" s="43" t="s">
        <v>4206</v>
      </c>
      <c r="I2445" s="71" t="s">
        <v>4207</v>
      </c>
      <c r="J2445" s="71" t="s">
        <v>386</v>
      </c>
      <c r="K2445" s="43"/>
      <c r="L2445" s="71" t="s">
        <v>107</v>
      </c>
      <c r="M2445" s="73">
        <v>34</v>
      </c>
      <c r="N2445" s="71" t="s">
        <v>388</v>
      </c>
      <c r="O2445" s="73">
        <v>0.232</v>
      </c>
      <c r="P2445" s="71" t="s">
        <v>389</v>
      </c>
      <c r="Q2445" s="73">
        <v>39</v>
      </c>
      <c r="R2445" s="71" t="s">
        <v>388</v>
      </c>
      <c r="S2445" s="73">
        <v>0</v>
      </c>
      <c r="T2445" s="71" t="s">
        <v>390</v>
      </c>
      <c r="U2445" s="74">
        <v>1</v>
      </c>
      <c r="V2445" s="71" t="s">
        <v>391</v>
      </c>
      <c r="W2445" s="130">
        <v>46079.40347222222</v>
      </c>
      <c r="X2445" s="72">
        <v>46080.965277777781</v>
      </c>
      <c r="Y2445" s="72">
        <v>46090.411805555559</v>
      </c>
      <c r="Z2445" s="104" t="s">
        <v>382</v>
      </c>
      <c r="AA2445" s="104" t="s">
        <v>408</v>
      </c>
      <c r="AB2445" s="105">
        <v>46084.73125</v>
      </c>
      <c r="AC2445" s="105"/>
    </row>
    <row r="2446" s="70" customFormat="1" ht="11.25" customHeight="1">
      <c r="A2446" s="87"/>
      <c r="C2446" s="43" t="s">
        <v>4205</v>
      </c>
      <c r="D2446" s="71" t="s">
        <v>382</v>
      </c>
      <c r="E2446" s="71" t="str">
        <f>MID(D2446,1,2)</f>
        <v>IL</v>
      </c>
      <c r="F2446" s="71" t="s">
        <v>419</v>
      </c>
      <c r="G2446" s="71" t="str">
        <f>MID(F2446,1,2)</f>
        <v>US</v>
      </c>
      <c r="H2446" s="43" t="s">
        <v>4206</v>
      </c>
      <c r="I2446" s="71" t="s">
        <v>4207</v>
      </c>
      <c r="J2446" s="71" t="s">
        <v>386</v>
      </c>
      <c r="K2446" s="43"/>
      <c r="L2446" s="71" t="s">
        <v>107</v>
      </c>
      <c r="M2446" s="73">
        <v>34</v>
      </c>
      <c r="N2446" s="71" t="s">
        <v>388</v>
      </c>
      <c r="O2446" s="73">
        <v>0.232</v>
      </c>
      <c r="P2446" s="71" t="s">
        <v>389</v>
      </c>
      <c r="Q2446" s="73">
        <v>39</v>
      </c>
      <c r="R2446" s="71" t="s">
        <v>388</v>
      </c>
      <c r="S2446" s="73">
        <v>0</v>
      </c>
      <c r="T2446" s="71" t="s">
        <v>390</v>
      </c>
      <c r="U2446" s="74">
        <v>1</v>
      </c>
      <c r="V2446" s="71" t="s">
        <v>391</v>
      </c>
      <c r="W2446" s="130">
        <v>46079.40347222222</v>
      </c>
      <c r="X2446" s="72">
        <v>46080.965277777781</v>
      </c>
      <c r="Y2446" s="72">
        <v>46090.411805555559</v>
      </c>
      <c r="Z2446" s="104" t="s">
        <v>408</v>
      </c>
      <c r="AA2446" s="104" t="s">
        <v>422</v>
      </c>
      <c r="AB2446" s="105">
        <v>46087.525694444441</v>
      </c>
      <c r="AC2446" s="105">
        <v>46087.672222222223</v>
      </c>
    </row>
    <row r="2447" s="70" customFormat="1" ht="11.25" customHeight="1">
      <c r="A2447" s="87"/>
      <c r="C2447" s="43" t="s">
        <v>4205</v>
      </c>
      <c r="D2447" s="71" t="s">
        <v>382</v>
      </c>
      <c r="E2447" s="71" t="str">
        <f>MID(D2447,1,2)</f>
        <v>IL</v>
      </c>
      <c r="F2447" s="71" t="s">
        <v>419</v>
      </c>
      <c r="G2447" s="71" t="str">
        <f>MID(F2447,1,2)</f>
        <v>US</v>
      </c>
      <c r="H2447" s="43" t="s">
        <v>4206</v>
      </c>
      <c r="I2447" s="71" t="s">
        <v>4207</v>
      </c>
      <c r="J2447" s="71" t="s">
        <v>386</v>
      </c>
      <c r="K2447" s="43"/>
      <c r="L2447" s="71" t="s">
        <v>107</v>
      </c>
      <c r="M2447" s="73">
        <v>34</v>
      </c>
      <c r="N2447" s="71" t="s">
        <v>388</v>
      </c>
      <c r="O2447" s="73">
        <v>0.232</v>
      </c>
      <c r="P2447" s="71" t="s">
        <v>389</v>
      </c>
      <c r="Q2447" s="73">
        <v>39</v>
      </c>
      <c r="R2447" s="71" t="s">
        <v>388</v>
      </c>
      <c r="S2447" s="73">
        <v>0</v>
      </c>
      <c r="T2447" s="71" t="s">
        <v>390</v>
      </c>
      <c r="U2447" s="74">
        <v>1</v>
      </c>
      <c r="V2447" s="71" t="s">
        <v>391</v>
      </c>
      <c r="W2447" s="130">
        <v>46079.40347222222</v>
      </c>
      <c r="X2447" s="72">
        <v>46080.965277777781</v>
      </c>
      <c r="Y2447" s="72">
        <v>46090.411805555559</v>
      </c>
      <c r="Z2447" s="104" t="s">
        <v>422</v>
      </c>
      <c r="AA2447" s="104" t="s">
        <v>419</v>
      </c>
      <c r="AB2447" s="105">
        <v>46090.288888888892</v>
      </c>
      <c r="AC2447" s="105">
        <v>46090.380555555559</v>
      </c>
    </row>
    <row r="2448" s="70" customFormat="1" ht="11.25" customHeight="1">
      <c r="A2448" s="87"/>
      <c r="C2448" s="43" t="s">
        <v>4208</v>
      </c>
      <c r="D2448" s="71" t="s">
        <v>382</v>
      </c>
      <c r="E2448" s="71" t="str">
        <f>MID(D2448,1,2)</f>
        <v>IL</v>
      </c>
      <c r="F2448" s="71" t="s">
        <v>1341</v>
      </c>
      <c r="G2448" s="71" t="str">
        <f>MID(F2448,1,2)</f>
        <v>IE</v>
      </c>
      <c r="H2448" s="43" t="s">
        <v>4209</v>
      </c>
      <c r="I2448" s="71" t="s">
        <v>4210</v>
      </c>
      <c r="J2448" s="71" t="s">
        <v>811</v>
      </c>
      <c r="K2448" s="43"/>
      <c r="L2448" s="71" t="s">
        <v>105</v>
      </c>
      <c r="M2448" s="73">
        <v>70</v>
      </c>
      <c r="N2448" s="71" t="s">
        <v>388</v>
      </c>
      <c r="O2448" s="73">
        <v>0.58</v>
      </c>
      <c r="P2448" s="71" t="s">
        <v>389</v>
      </c>
      <c r="Q2448" s="73">
        <v>100</v>
      </c>
      <c r="R2448" s="71" t="s">
        <v>388</v>
      </c>
      <c r="S2448" s="73">
        <v>0</v>
      </c>
      <c r="T2448" s="71" t="s">
        <v>390</v>
      </c>
      <c r="U2448" s="74">
        <v>1</v>
      </c>
      <c r="V2448" s="71" t="s">
        <v>391</v>
      </c>
      <c r="W2448" s="130">
        <v>46079.823159722226</v>
      </c>
      <c r="X2448" s="72">
        <v>46080.541666666664</v>
      </c>
      <c r="Y2448" s="72">
        <v>46081.256944444445</v>
      </c>
      <c r="Z2448" s="104" t="s">
        <v>382</v>
      </c>
      <c r="AA2448" s="104" t="s">
        <v>748</v>
      </c>
      <c r="AB2448" s="105">
        <v>46080.614583333336</v>
      </c>
      <c r="AC2448" s="105">
        <v>46080.752083333333</v>
      </c>
    </row>
    <row r="2449" s="70" customFormat="1" ht="11.25" customHeight="1">
      <c r="A2449" s="87"/>
      <c r="C2449" s="43" t="s">
        <v>4208</v>
      </c>
      <c r="D2449" s="71" t="s">
        <v>382</v>
      </c>
      <c r="E2449" s="71" t="str">
        <f>MID(D2449,1,2)</f>
        <v>IL</v>
      </c>
      <c r="F2449" s="71" t="s">
        <v>1341</v>
      </c>
      <c r="G2449" s="71" t="str">
        <f>MID(F2449,1,2)</f>
        <v>IE</v>
      </c>
      <c r="H2449" s="43" t="s">
        <v>4209</v>
      </c>
      <c r="I2449" s="71" t="s">
        <v>4210</v>
      </c>
      <c r="J2449" s="71" t="s">
        <v>811</v>
      </c>
      <c r="K2449" s="43"/>
      <c r="L2449" s="71" t="s">
        <v>105</v>
      </c>
      <c r="M2449" s="73">
        <v>70</v>
      </c>
      <c r="N2449" s="71" t="s">
        <v>388</v>
      </c>
      <c r="O2449" s="73">
        <v>0.58</v>
      </c>
      <c r="P2449" s="71" t="s">
        <v>389</v>
      </c>
      <c r="Q2449" s="73">
        <v>100</v>
      </c>
      <c r="R2449" s="71" t="s">
        <v>388</v>
      </c>
      <c r="S2449" s="73">
        <v>0</v>
      </c>
      <c r="T2449" s="71" t="s">
        <v>390</v>
      </c>
      <c r="U2449" s="74">
        <v>1</v>
      </c>
      <c r="V2449" s="71" t="s">
        <v>391</v>
      </c>
      <c r="W2449" s="130">
        <v>46079.823159722226</v>
      </c>
      <c r="X2449" s="72">
        <v>46080.541666666664</v>
      </c>
      <c r="Y2449" s="72">
        <v>46081.256944444445</v>
      </c>
      <c r="Z2449" s="104" t="s">
        <v>748</v>
      </c>
      <c r="AA2449" s="104" t="s">
        <v>1341</v>
      </c>
      <c r="AB2449" s="105">
        <v>46081.222222222219</v>
      </c>
      <c r="AC2449" s="105">
        <v>46081.347916666666</v>
      </c>
    </row>
    <row r="2450" s="70" customFormat="1" ht="11.25" customHeight="1">
      <c r="A2450" s="87"/>
      <c r="C2450" s="43" t="s">
        <v>4211</v>
      </c>
      <c r="D2450" s="71" t="s">
        <v>382</v>
      </c>
      <c r="E2450" s="71" t="str">
        <f>MID(D2450,1,2)</f>
        <v>IL</v>
      </c>
      <c r="F2450" s="71" t="s">
        <v>496</v>
      </c>
      <c r="G2450" s="71" t="str">
        <f>MID(F2450,1,2)</f>
        <v>RO</v>
      </c>
      <c r="H2450" s="43" t="s">
        <v>3990</v>
      </c>
      <c r="I2450" s="71" t="s">
        <v>4212</v>
      </c>
      <c r="J2450" s="71" t="s">
        <v>400</v>
      </c>
      <c r="K2450" s="43"/>
      <c r="L2450" s="71" t="s">
        <v>105</v>
      </c>
      <c r="M2450" s="73">
        <v>1</v>
      </c>
      <c r="N2450" s="71" t="s">
        <v>388</v>
      </c>
      <c r="O2450" s="73">
        <v>0.012</v>
      </c>
      <c r="P2450" s="71" t="s">
        <v>389</v>
      </c>
      <c r="Q2450" s="73">
        <v>2</v>
      </c>
      <c r="R2450" s="71" t="s">
        <v>388</v>
      </c>
      <c r="S2450" s="73">
        <v>0</v>
      </c>
      <c r="T2450" s="71" t="s">
        <v>390</v>
      </c>
      <c r="U2450" s="74">
        <v>1</v>
      </c>
      <c r="V2450" s="71" t="s">
        <v>391</v>
      </c>
      <c r="W2450" s="130">
        <v>46079.396527777775</v>
      </c>
      <c r="X2450" s="72">
        <v>46082.25</v>
      </c>
      <c r="Y2450" s="72">
        <v>46085.416666666664</v>
      </c>
      <c r="Z2450" s="104" t="s">
        <v>408</v>
      </c>
      <c r="AA2450" s="104" t="s">
        <v>496</v>
      </c>
      <c r="AB2450" s="105"/>
      <c r="AC2450" s="105"/>
    </row>
    <row r="2451" s="70" customFormat="1" ht="11.25" customHeight="1">
      <c r="A2451" s="87"/>
      <c r="C2451" s="43" t="s">
        <v>4211</v>
      </c>
      <c r="D2451" s="71" t="s">
        <v>382</v>
      </c>
      <c r="E2451" s="71" t="str">
        <f>MID(D2451,1,2)</f>
        <v>IL</v>
      </c>
      <c r="F2451" s="71" t="s">
        <v>496</v>
      </c>
      <c r="G2451" s="71" t="str">
        <f>MID(F2451,1,2)</f>
        <v>RO</v>
      </c>
      <c r="H2451" s="43" t="s">
        <v>3990</v>
      </c>
      <c r="I2451" s="71" t="s">
        <v>4212</v>
      </c>
      <c r="J2451" s="71" t="s">
        <v>400</v>
      </c>
      <c r="K2451" s="43"/>
      <c r="L2451" s="71" t="s">
        <v>105</v>
      </c>
      <c r="M2451" s="73">
        <v>1</v>
      </c>
      <c r="N2451" s="71" t="s">
        <v>388</v>
      </c>
      <c r="O2451" s="73">
        <v>0.012</v>
      </c>
      <c r="P2451" s="71" t="s">
        <v>389</v>
      </c>
      <c r="Q2451" s="73">
        <v>2</v>
      </c>
      <c r="R2451" s="71" t="s">
        <v>388</v>
      </c>
      <c r="S2451" s="73">
        <v>0</v>
      </c>
      <c r="T2451" s="71" t="s">
        <v>390</v>
      </c>
      <c r="U2451" s="74">
        <v>1</v>
      </c>
      <c r="V2451" s="71" t="s">
        <v>391</v>
      </c>
      <c r="W2451" s="130">
        <v>46079.396527777775</v>
      </c>
      <c r="X2451" s="72">
        <v>46082.25</v>
      </c>
      <c r="Y2451" s="72">
        <v>46085.416666666664</v>
      </c>
      <c r="Z2451" s="104" t="s">
        <v>382</v>
      </c>
      <c r="AA2451" s="104" t="s">
        <v>408</v>
      </c>
      <c r="AB2451" s="105">
        <v>46082.999305555553</v>
      </c>
      <c r="AC2451" s="105">
        <v>46083.086805555555</v>
      </c>
    </row>
    <row r="2452" s="70" customFormat="1" ht="11.25" customHeight="1">
      <c r="A2452" s="87"/>
      <c r="C2452" s="43" t="s">
        <v>4213</v>
      </c>
      <c r="D2452" s="71" t="s">
        <v>382</v>
      </c>
      <c r="E2452" s="71" t="str">
        <f>MID(D2452,1,2)</f>
        <v>IL</v>
      </c>
      <c r="F2452" s="71" t="s">
        <v>1234</v>
      </c>
      <c r="G2452" s="71" t="str">
        <f>MID(F2452,1,2)</f>
        <v>PH</v>
      </c>
      <c r="H2452" s="43" t="s">
        <v>4214</v>
      </c>
      <c r="I2452" s="71" t="s">
        <v>4215</v>
      </c>
      <c r="J2452" s="71" t="s">
        <v>483</v>
      </c>
      <c r="K2452" s="43"/>
      <c r="L2452" s="71" t="s">
        <v>105</v>
      </c>
      <c r="M2452" s="73">
        <v>93</v>
      </c>
      <c r="N2452" s="71" t="s">
        <v>388</v>
      </c>
      <c r="O2452" s="73">
        <v>1.103</v>
      </c>
      <c r="P2452" s="71" t="s">
        <v>389</v>
      </c>
      <c r="Q2452" s="73">
        <v>184</v>
      </c>
      <c r="R2452" s="71" t="s">
        <v>388</v>
      </c>
      <c r="S2452" s="73">
        <v>0</v>
      </c>
      <c r="T2452" s="71" t="s">
        <v>390</v>
      </c>
      <c r="U2452" s="74">
        <v>1</v>
      </c>
      <c r="V2452" s="71" t="s">
        <v>391</v>
      </c>
      <c r="W2452" s="130">
        <v>46079.451388888891</v>
      </c>
      <c r="X2452" s="72">
        <v>46087.855555555558</v>
      </c>
      <c r="Y2452" s="72">
        <v>46108.218055555553</v>
      </c>
      <c r="Z2452" s="104" t="s">
        <v>382</v>
      </c>
      <c r="AA2452" s="104" t="s">
        <v>408</v>
      </c>
      <c r="AB2452" s="105">
        <v>46096.882638888892</v>
      </c>
      <c r="AC2452" s="105"/>
    </row>
    <row r="2453" s="70" customFormat="1" ht="11.25" customHeight="1">
      <c r="A2453" s="87"/>
      <c r="C2453" s="43" t="s">
        <v>4213</v>
      </c>
      <c r="D2453" s="71" t="s">
        <v>382</v>
      </c>
      <c r="E2453" s="71" t="str">
        <f>MID(D2453,1,2)</f>
        <v>IL</v>
      </c>
      <c r="F2453" s="71" t="s">
        <v>1234</v>
      </c>
      <c r="G2453" s="71" t="str">
        <f>MID(F2453,1,2)</f>
        <v>PH</v>
      </c>
      <c r="H2453" s="43" t="s">
        <v>4214</v>
      </c>
      <c r="I2453" s="71" t="s">
        <v>4215</v>
      </c>
      <c r="J2453" s="71" t="s">
        <v>483</v>
      </c>
      <c r="K2453" s="43"/>
      <c r="L2453" s="71" t="s">
        <v>105</v>
      </c>
      <c r="M2453" s="73">
        <v>93</v>
      </c>
      <c r="N2453" s="71" t="s">
        <v>388</v>
      </c>
      <c r="O2453" s="73">
        <v>1.103</v>
      </c>
      <c r="P2453" s="71" t="s">
        <v>389</v>
      </c>
      <c r="Q2453" s="73">
        <v>184</v>
      </c>
      <c r="R2453" s="71" t="s">
        <v>388</v>
      </c>
      <c r="S2453" s="73">
        <v>0</v>
      </c>
      <c r="T2453" s="71" t="s">
        <v>390</v>
      </c>
      <c r="U2453" s="74">
        <v>1</v>
      </c>
      <c r="V2453" s="71" t="s">
        <v>391</v>
      </c>
      <c r="W2453" s="130">
        <v>46079.451388888891</v>
      </c>
      <c r="X2453" s="72">
        <v>46087.855555555558</v>
      </c>
      <c r="Y2453" s="72">
        <v>46108.218055555553</v>
      </c>
      <c r="Z2453" s="104" t="s">
        <v>408</v>
      </c>
      <c r="AA2453" s="104" t="s">
        <v>480</v>
      </c>
      <c r="AB2453" s="105">
        <v>46099.450694444444</v>
      </c>
      <c r="AC2453" s="105">
        <v>46099.616666666669</v>
      </c>
    </row>
    <row r="2454" s="70" customFormat="1" ht="11.25" customHeight="1">
      <c r="A2454" s="87"/>
      <c r="C2454" s="43" t="s">
        <v>4213</v>
      </c>
      <c r="D2454" s="71" t="s">
        <v>382</v>
      </c>
      <c r="E2454" s="71" t="str">
        <f>MID(D2454,1,2)</f>
        <v>IL</v>
      </c>
      <c r="F2454" s="71" t="s">
        <v>1234</v>
      </c>
      <c r="G2454" s="71" t="str">
        <f>MID(F2454,1,2)</f>
        <v>PH</v>
      </c>
      <c r="H2454" s="43" t="s">
        <v>4214</v>
      </c>
      <c r="I2454" s="71" t="s">
        <v>4215</v>
      </c>
      <c r="J2454" s="71" t="s">
        <v>483</v>
      </c>
      <c r="K2454" s="43"/>
      <c r="L2454" s="71" t="s">
        <v>105</v>
      </c>
      <c r="M2454" s="73">
        <v>93</v>
      </c>
      <c r="N2454" s="71" t="s">
        <v>388</v>
      </c>
      <c r="O2454" s="73">
        <v>1.103</v>
      </c>
      <c r="P2454" s="71" t="s">
        <v>389</v>
      </c>
      <c r="Q2454" s="73">
        <v>184</v>
      </c>
      <c r="R2454" s="71" t="s">
        <v>388</v>
      </c>
      <c r="S2454" s="73">
        <v>0</v>
      </c>
      <c r="T2454" s="71" t="s">
        <v>390</v>
      </c>
      <c r="U2454" s="74">
        <v>1</v>
      </c>
      <c r="V2454" s="71" t="s">
        <v>391</v>
      </c>
      <c r="W2454" s="130">
        <v>46079.451388888891</v>
      </c>
      <c r="X2454" s="72">
        <v>46087.855555555558</v>
      </c>
      <c r="Y2454" s="72">
        <v>46108.218055555553</v>
      </c>
      <c r="Z2454" s="104" t="s">
        <v>480</v>
      </c>
      <c r="AA2454" s="104" t="s">
        <v>4216</v>
      </c>
      <c r="AB2454" s="105">
        <v>46100.702777777777</v>
      </c>
      <c r="AC2454" s="105"/>
    </row>
    <row r="2455" s="70" customFormat="1" ht="11.25" customHeight="1">
      <c r="A2455" s="87"/>
      <c r="C2455" s="43" t="s">
        <v>4213</v>
      </c>
      <c r="D2455" s="71" t="s">
        <v>382</v>
      </c>
      <c r="E2455" s="71" t="str">
        <f>MID(D2455,1,2)</f>
        <v>IL</v>
      </c>
      <c r="F2455" s="71" t="s">
        <v>1234</v>
      </c>
      <c r="G2455" s="71" t="str">
        <f>MID(F2455,1,2)</f>
        <v>PH</v>
      </c>
      <c r="H2455" s="43" t="s">
        <v>4214</v>
      </c>
      <c r="I2455" s="71" t="s">
        <v>4215</v>
      </c>
      <c r="J2455" s="71" t="s">
        <v>483</v>
      </c>
      <c r="K2455" s="43"/>
      <c r="L2455" s="71" t="s">
        <v>105</v>
      </c>
      <c r="M2455" s="73">
        <v>93</v>
      </c>
      <c r="N2455" s="71" t="s">
        <v>388</v>
      </c>
      <c r="O2455" s="73">
        <v>1.103</v>
      </c>
      <c r="P2455" s="71" t="s">
        <v>389</v>
      </c>
      <c r="Q2455" s="73">
        <v>184</v>
      </c>
      <c r="R2455" s="71" t="s">
        <v>388</v>
      </c>
      <c r="S2455" s="73">
        <v>0</v>
      </c>
      <c r="T2455" s="71" t="s">
        <v>390</v>
      </c>
      <c r="U2455" s="74">
        <v>1</v>
      </c>
      <c r="V2455" s="71" t="s">
        <v>391</v>
      </c>
      <c r="W2455" s="130">
        <v>46079.451388888891</v>
      </c>
      <c r="X2455" s="72">
        <v>46087.855555555558</v>
      </c>
      <c r="Y2455" s="72">
        <v>46108.218055555553</v>
      </c>
      <c r="Z2455" s="104" t="s">
        <v>4216</v>
      </c>
      <c r="AA2455" s="104" t="s">
        <v>1234</v>
      </c>
      <c r="AB2455" s="105">
        <v>46101.090277777781</v>
      </c>
      <c r="AC2455" s="105">
        <v>46102.3</v>
      </c>
    </row>
    <row r="2456" s="70" customFormat="1" ht="11.25" customHeight="1">
      <c r="A2456" s="87"/>
      <c r="C2456" s="43" t="s">
        <v>4217</v>
      </c>
      <c r="D2456" s="71" t="s">
        <v>382</v>
      </c>
      <c r="E2456" s="71" t="str">
        <f>MID(D2456,1,2)</f>
        <v>IL</v>
      </c>
      <c r="F2456" s="71" t="s">
        <v>2393</v>
      </c>
      <c r="G2456" s="71" t="str">
        <f>MID(F2456,1,2)</f>
        <v>ES</v>
      </c>
      <c r="H2456" s="43" t="s">
        <v>4218</v>
      </c>
      <c r="I2456" s="71" t="s">
        <v>4219</v>
      </c>
      <c r="J2456" s="71" t="s">
        <v>811</v>
      </c>
      <c r="K2456" s="43"/>
      <c r="L2456" s="71" t="s">
        <v>105</v>
      </c>
      <c r="M2456" s="73">
        <v>77</v>
      </c>
      <c r="N2456" s="71" t="s">
        <v>388</v>
      </c>
      <c r="O2456" s="73">
        <v>0.374</v>
      </c>
      <c r="P2456" s="71" t="s">
        <v>389</v>
      </c>
      <c r="Q2456" s="73">
        <v>100</v>
      </c>
      <c r="R2456" s="71" t="s">
        <v>388</v>
      </c>
      <c r="S2456" s="73">
        <v>0</v>
      </c>
      <c r="T2456" s="71" t="s">
        <v>390</v>
      </c>
      <c r="U2456" s="74">
        <v>1</v>
      </c>
      <c r="V2456" s="71" t="s">
        <v>391</v>
      </c>
      <c r="W2456" s="130">
        <v>46079.785405092596</v>
      </c>
      <c r="X2456" s="72">
        <v>46080.270833333336</v>
      </c>
      <c r="Y2456" s="72">
        <v>46080.427777777775</v>
      </c>
      <c r="Z2456" s="104" t="s">
        <v>382</v>
      </c>
      <c r="AA2456" s="104" t="s">
        <v>2393</v>
      </c>
      <c r="AB2456" s="105">
        <v>46080.268055555556</v>
      </c>
      <c r="AC2456" s="105">
        <v>46080.42291666667</v>
      </c>
    </row>
    <row r="2457" s="70" customFormat="1" ht="11.25" customHeight="1">
      <c r="A2457" s="87"/>
      <c r="C2457" s="43" t="s">
        <v>4220</v>
      </c>
      <c r="D2457" s="71" t="s">
        <v>382</v>
      </c>
      <c r="E2457" s="71" t="str">
        <f>MID(D2457,1,2)</f>
        <v>IL</v>
      </c>
      <c r="F2457" s="71" t="s">
        <v>1169</v>
      </c>
      <c r="G2457" s="71" t="str">
        <f>MID(F2457,1,2)</f>
        <v>HU</v>
      </c>
      <c r="H2457" s="43" t="s">
        <v>4221</v>
      </c>
      <c r="I2457" s="71" t="s">
        <v>4222</v>
      </c>
      <c r="J2457" s="71" t="s">
        <v>435</v>
      </c>
      <c r="K2457" s="43"/>
      <c r="L2457" s="71" t="s">
        <v>105</v>
      </c>
      <c r="M2457" s="73">
        <v>144</v>
      </c>
      <c r="N2457" s="71" t="s">
        <v>388</v>
      </c>
      <c r="O2457" s="73">
        <v>1.06</v>
      </c>
      <c r="P2457" s="71" t="s">
        <v>389</v>
      </c>
      <c r="Q2457" s="73">
        <v>144</v>
      </c>
      <c r="R2457" s="71" t="s">
        <v>388</v>
      </c>
      <c r="S2457" s="73">
        <v>0</v>
      </c>
      <c r="T2457" s="71" t="s">
        <v>390</v>
      </c>
      <c r="U2457" s="74">
        <v>4</v>
      </c>
      <c r="V2457" s="71" t="s">
        <v>391</v>
      </c>
      <c r="W2457" s="130">
        <v>46079.805856481478</v>
      </c>
      <c r="X2457" s="72">
        <v>46088.458333333336</v>
      </c>
      <c r="Y2457" s="72">
        <v>46093.583333333336</v>
      </c>
      <c r="Z2457" s="104" t="s">
        <v>382</v>
      </c>
      <c r="AA2457" s="104" t="s">
        <v>408</v>
      </c>
      <c r="AB2457" s="105">
        <v>46089.215277777781</v>
      </c>
      <c r="AC2457" s="105">
        <v>46089.309027777781</v>
      </c>
    </row>
    <row r="2458" s="70" customFormat="1" ht="11.25" customHeight="1">
      <c r="A2458" s="87"/>
      <c r="C2458" s="43" t="s">
        <v>4220</v>
      </c>
      <c r="D2458" s="71" t="s">
        <v>382</v>
      </c>
      <c r="E2458" s="71" t="str">
        <f>MID(D2458,1,2)</f>
        <v>IL</v>
      </c>
      <c r="F2458" s="71" t="s">
        <v>1169</v>
      </c>
      <c r="G2458" s="71" t="str">
        <f>MID(F2458,1,2)</f>
        <v>HU</v>
      </c>
      <c r="H2458" s="43" t="s">
        <v>4221</v>
      </c>
      <c r="I2458" s="71" t="s">
        <v>4222</v>
      </c>
      <c r="J2458" s="71" t="s">
        <v>435</v>
      </c>
      <c r="K2458" s="43"/>
      <c r="L2458" s="71" t="s">
        <v>105</v>
      </c>
      <c r="M2458" s="73">
        <v>144</v>
      </c>
      <c r="N2458" s="71" t="s">
        <v>388</v>
      </c>
      <c r="O2458" s="73">
        <v>1.06</v>
      </c>
      <c r="P2458" s="71" t="s">
        <v>389</v>
      </c>
      <c r="Q2458" s="73">
        <v>144</v>
      </c>
      <c r="R2458" s="71" t="s">
        <v>388</v>
      </c>
      <c r="S2458" s="73">
        <v>0</v>
      </c>
      <c r="T2458" s="71" t="s">
        <v>390</v>
      </c>
      <c r="U2458" s="74">
        <v>4</v>
      </c>
      <c r="V2458" s="71" t="s">
        <v>391</v>
      </c>
      <c r="W2458" s="130">
        <v>46079.805856481478</v>
      </c>
      <c r="X2458" s="72">
        <v>46088.458333333336</v>
      </c>
      <c r="Y2458" s="72">
        <v>46093.583333333336</v>
      </c>
      <c r="Z2458" s="104" t="s">
        <v>408</v>
      </c>
      <c r="AA2458" s="104" t="s">
        <v>3173</v>
      </c>
      <c r="AB2458" s="105">
        <v>46091.697916666664</v>
      </c>
      <c r="AC2458" s="105"/>
    </row>
    <row r="2459" s="70" customFormat="1" ht="11.25" customHeight="1">
      <c r="A2459" s="87"/>
      <c r="C2459" s="43" t="s">
        <v>4220</v>
      </c>
      <c r="D2459" s="71" t="s">
        <v>382</v>
      </c>
      <c r="E2459" s="71" t="str">
        <f>MID(D2459,1,2)</f>
        <v>IL</v>
      </c>
      <c r="F2459" s="71" t="s">
        <v>1169</v>
      </c>
      <c r="G2459" s="71" t="str">
        <f>MID(F2459,1,2)</f>
        <v>HU</v>
      </c>
      <c r="H2459" s="43" t="s">
        <v>4221</v>
      </c>
      <c r="I2459" s="71" t="s">
        <v>4222</v>
      </c>
      <c r="J2459" s="71" t="s">
        <v>435</v>
      </c>
      <c r="K2459" s="43"/>
      <c r="L2459" s="71" t="s">
        <v>105</v>
      </c>
      <c r="M2459" s="73">
        <v>144</v>
      </c>
      <c r="N2459" s="71" t="s">
        <v>388</v>
      </c>
      <c r="O2459" s="73">
        <v>1.06</v>
      </c>
      <c r="P2459" s="71" t="s">
        <v>389</v>
      </c>
      <c r="Q2459" s="73">
        <v>144</v>
      </c>
      <c r="R2459" s="71" t="s">
        <v>388</v>
      </c>
      <c r="S2459" s="73">
        <v>0</v>
      </c>
      <c r="T2459" s="71" t="s">
        <v>390</v>
      </c>
      <c r="U2459" s="74">
        <v>4</v>
      </c>
      <c r="V2459" s="71" t="s">
        <v>391</v>
      </c>
      <c r="W2459" s="130">
        <v>46079.805856481478</v>
      </c>
      <c r="X2459" s="72">
        <v>46088.458333333336</v>
      </c>
      <c r="Y2459" s="72">
        <v>46093.583333333336</v>
      </c>
      <c r="Z2459" s="104" t="s">
        <v>3173</v>
      </c>
      <c r="AA2459" s="104" t="s">
        <v>1169</v>
      </c>
      <c r="AB2459" s="105">
        <v>46093.541666666664</v>
      </c>
      <c r="AC2459" s="105">
        <v>46093.636805555558</v>
      </c>
    </row>
    <row r="2460" s="70" customFormat="1" ht="11.25" customHeight="1">
      <c r="A2460" s="87"/>
      <c r="C2460" s="43" t="s">
        <v>4223</v>
      </c>
      <c r="D2460" s="71" t="s">
        <v>382</v>
      </c>
      <c r="E2460" s="71" t="str">
        <f>MID(D2460,1,2)</f>
        <v>IL</v>
      </c>
      <c r="F2460" s="71" t="s">
        <v>496</v>
      </c>
      <c r="G2460" s="71" t="str">
        <f>MID(F2460,1,2)</f>
        <v>RO</v>
      </c>
      <c r="H2460" s="43" t="s">
        <v>3990</v>
      </c>
      <c r="I2460" s="71" t="s">
        <v>4224</v>
      </c>
      <c r="J2460" s="71" t="s">
        <v>400</v>
      </c>
      <c r="K2460" s="43"/>
      <c r="L2460" s="71" t="s">
        <v>105</v>
      </c>
      <c r="M2460" s="73">
        <v>6</v>
      </c>
      <c r="N2460" s="71" t="s">
        <v>388</v>
      </c>
      <c r="O2460" s="73">
        <v>0.045</v>
      </c>
      <c r="P2460" s="71" t="s">
        <v>389</v>
      </c>
      <c r="Q2460" s="73">
        <v>7.5</v>
      </c>
      <c r="R2460" s="71" t="s">
        <v>388</v>
      </c>
      <c r="S2460" s="73">
        <v>0</v>
      </c>
      <c r="T2460" s="71" t="s">
        <v>390</v>
      </c>
      <c r="U2460" s="74">
        <v>1</v>
      </c>
      <c r="V2460" s="71" t="s">
        <v>391</v>
      </c>
      <c r="W2460" s="130">
        <v>46079.757615740738</v>
      </c>
      <c r="X2460" s="72">
        <v>46082.25</v>
      </c>
      <c r="Y2460" s="72">
        <v>46085.416666666664</v>
      </c>
      <c r="Z2460" s="104" t="s">
        <v>408</v>
      </c>
      <c r="AA2460" s="104" t="s">
        <v>496</v>
      </c>
      <c r="AB2460" s="105"/>
      <c r="AC2460" s="105"/>
    </row>
    <row r="2461" s="70" customFormat="1" ht="11.25" customHeight="1">
      <c r="A2461" s="87"/>
      <c r="C2461" s="43" t="s">
        <v>4223</v>
      </c>
      <c r="D2461" s="71" t="s">
        <v>382</v>
      </c>
      <c r="E2461" s="71" t="str">
        <f>MID(D2461,1,2)</f>
        <v>IL</v>
      </c>
      <c r="F2461" s="71" t="s">
        <v>496</v>
      </c>
      <c r="G2461" s="71" t="str">
        <f>MID(F2461,1,2)</f>
        <v>RO</v>
      </c>
      <c r="H2461" s="43" t="s">
        <v>3990</v>
      </c>
      <c r="I2461" s="71" t="s">
        <v>4224</v>
      </c>
      <c r="J2461" s="71" t="s">
        <v>400</v>
      </c>
      <c r="K2461" s="43"/>
      <c r="L2461" s="71" t="s">
        <v>105</v>
      </c>
      <c r="M2461" s="73">
        <v>6</v>
      </c>
      <c r="N2461" s="71" t="s">
        <v>388</v>
      </c>
      <c r="O2461" s="73">
        <v>0.045</v>
      </c>
      <c r="P2461" s="71" t="s">
        <v>389</v>
      </c>
      <c r="Q2461" s="73">
        <v>7.5</v>
      </c>
      <c r="R2461" s="71" t="s">
        <v>388</v>
      </c>
      <c r="S2461" s="73">
        <v>0</v>
      </c>
      <c r="T2461" s="71" t="s">
        <v>390</v>
      </c>
      <c r="U2461" s="74">
        <v>1</v>
      </c>
      <c r="V2461" s="71" t="s">
        <v>391</v>
      </c>
      <c r="W2461" s="130">
        <v>46079.757615740738</v>
      </c>
      <c r="X2461" s="72">
        <v>46082.25</v>
      </c>
      <c r="Y2461" s="72">
        <v>46085.416666666664</v>
      </c>
      <c r="Z2461" s="104" t="s">
        <v>382</v>
      </c>
      <c r="AA2461" s="104" t="s">
        <v>408</v>
      </c>
      <c r="AB2461" s="105">
        <v>46082.999305555553</v>
      </c>
      <c r="AC2461" s="105">
        <v>46083.086805555555</v>
      </c>
    </row>
    <row r="2462" s="70" customFormat="1" ht="11.25" customHeight="1">
      <c r="A2462" s="87"/>
      <c r="C2462" s="43" t="s">
        <v>4225</v>
      </c>
      <c r="D2462" s="71" t="s">
        <v>382</v>
      </c>
      <c r="E2462" s="71" t="str">
        <f>MID(D2462,1,2)</f>
        <v>IL</v>
      </c>
      <c r="F2462" s="71" t="s">
        <v>651</v>
      </c>
      <c r="G2462" s="71" t="str">
        <f>MID(F2462,1,2)</f>
        <v>BR</v>
      </c>
      <c r="H2462" s="43" t="s">
        <v>4226</v>
      </c>
      <c r="I2462" s="71" t="s">
        <v>4227</v>
      </c>
      <c r="J2462" s="71" t="s">
        <v>386</v>
      </c>
      <c r="K2462" s="43"/>
      <c r="L2462" s="71" t="s">
        <v>107</v>
      </c>
      <c r="M2462" s="73">
        <v>22</v>
      </c>
      <c r="N2462" s="71" t="s">
        <v>388</v>
      </c>
      <c r="O2462" s="73">
        <v>0.142</v>
      </c>
      <c r="P2462" s="71" t="s">
        <v>389</v>
      </c>
      <c r="Q2462" s="73">
        <v>24</v>
      </c>
      <c r="R2462" s="71" t="s">
        <v>388</v>
      </c>
      <c r="S2462" s="73">
        <v>0</v>
      </c>
      <c r="T2462" s="71" t="s">
        <v>390</v>
      </c>
      <c r="U2462" s="74">
        <v>1</v>
      </c>
      <c r="V2462" s="71" t="s">
        <v>391</v>
      </c>
      <c r="W2462" s="130">
        <v>46079.430555555555</v>
      </c>
      <c r="X2462" s="72">
        <v>46093.979166666664</v>
      </c>
      <c r="Y2462" s="72">
        <v>46101.375</v>
      </c>
      <c r="Z2462" s="104" t="s">
        <v>382</v>
      </c>
      <c r="AA2462" s="104" t="s">
        <v>408</v>
      </c>
      <c r="AB2462" s="105">
        <v>46096.902083333334</v>
      </c>
      <c r="AC2462" s="105"/>
    </row>
    <row r="2463" s="70" customFormat="1" ht="11.25" customHeight="1">
      <c r="A2463" s="87"/>
      <c r="C2463" s="43" t="s">
        <v>4225</v>
      </c>
      <c r="D2463" s="71" t="s">
        <v>382</v>
      </c>
      <c r="E2463" s="71" t="str">
        <f>MID(D2463,1,2)</f>
        <v>IL</v>
      </c>
      <c r="F2463" s="71" t="s">
        <v>651</v>
      </c>
      <c r="G2463" s="71" t="str">
        <f>MID(F2463,1,2)</f>
        <v>BR</v>
      </c>
      <c r="H2463" s="43" t="s">
        <v>4226</v>
      </c>
      <c r="I2463" s="71" t="s">
        <v>4227</v>
      </c>
      <c r="J2463" s="71" t="s">
        <v>386</v>
      </c>
      <c r="K2463" s="43"/>
      <c r="L2463" s="71" t="s">
        <v>107</v>
      </c>
      <c r="M2463" s="73">
        <v>22</v>
      </c>
      <c r="N2463" s="71" t="s">
        <v>388</v>
      </c>
      <c r="O2463" s="73">
        <v>0.142</v>
      </c>
      <c r="P2463" s="71" t="s">
        <v>389</v>
      </c>
      <c r="Q2463" s="73">
        <v>24</v>
      </c>
      <c r="R2463" s="71" t="s">
        <v>388</v>
      </c>
      <c r="S2463" s="73">
        <v>0</v>
      </c>
      <c r="T2463" s="71" t="s">
        <v>390</v>
      </c>
      <c r="U2463" s="74">
        <v>1</v>
      </c>
      <c r="V2463" s="71" t="s">
        <v>391</v>
      </c>
      <c r="W2463" s="130">
        <v>46079.430555555555</v>
      </c>
      <c r="X2463" s="72">
        <v>46093.979166666664</v>
      </c>
      <c r="Y2463" s="72">
        <v>46101.375</v>
      </c>
      <c r="Z2463" s="104" t="s">
        <v>408</v>
      </c>
      <c r="AA2463" s="104" t="s">
        <v>480</v>
      </c>
      <c r="AB2463" s="105">
        <v>46099.482638888891</v>
      </c>
      <c r="AC2463" s="105">
        <v>46099.616666666669</v>
      </c>
    </row>
    <row r="2464" s="70" customFormat="1" ht="11.25" customHeight="1">
      <c r="A2464" s="87"/>
      <c r="C2464" s="43" t="s">
        <v>4225</v>
      </c>
      <c r="D2464" s="71" t="s">
        <v>382</v>
      </c>
      <c r="E2464" s="71" t="str">
        <f>MID(D2464,1,2)</f>
        <v>IL</v>
      </c>
      <c r="F2464" s="71" t="s">
        <v>651</v>
      </c>
      <c r="G2464" s="71" t="str">
        <f>MID(F2464,1,2)</f>
        <v>BR</v>
      </c>
      <c r="H2464" s="43" t="s">
        <v>4226</v>
      </c>
      <c r="I2464" s="71" t="s">
        <v>4227</v>
      </c>
      <c r="J2464" s="71" t="s">
        <v>386</v>
      </c>
      <c r="K2464" s="43"/>
      <c r="L2464" s="71" t="s">
        <v>107</v>
      </c>
      <c r="M2464" s="73">
        <v>22</v>
      </c>
      <c r="N2464" s="71" t="s">
        <v>388</v>
      </c>
      <c r="O2464" s="73">
        <v>0.142</v>
      </c>
      <c r="P2464" s="71" t="s">
        <v>389</v>
      </c>
      <c r="Q2464" s="73">
        <v>24</v>
      </c>
      <c r="R2464" s="71" t="s">
        <v>388</v>
      </c>
      <c r="S2464" s="73">
        <v>0</v>
      </c>
      <c r="T2464" s="71" t="s">
        <v>390</v>
      </c>
      <c r="U2464" s="74">
        <v>1</v>
      </c>
      <c r="V2464" s="71" t="s">
        <v>391</v>
      </c>
      <c r="W2464" s="130">
        <v>46079.430555555555</v>
      </c>
      <c r="X2464" s="72">
        <v>46093.979166666664</v>
      </c>
      <c r="Y2464" s="72">
        <v>46101.375</v>
      </c>
      <c r="Z2464" s="104" t="s">
        <v>405</v>
      </c>
      <c r="AA2464" s="104" t="s">
        <v>651</v>
      </c>
      <c r="AB2464" s="105">
        <v>46100.909722222219</v>
      </c>
      <c r="AC2464" s="105">
        <v>46101.381944444445</v>
      </c>
    </row>
    <row r="2465" s="70" customFormat="1" ht="11.25" customHeight="1">
      <c r="A2465" s="87"/>
      <c r="C2465" s="43" t="s">
        <v>4228</v>
      </c>
      <c r="D2465" s="71" t="s">
        <v>382</v>
      </c>
      <c r="E2465" s="71" t="str">
        <f>MID(D2465,1,2)</f>
        <v>IL</v>
      </c>
      <c r="F2465" s="71" t="s">
        <v>414</v>
      </c>
      <c r="G2465" s="71" t="str">
        <f>MID(F2465,1,2)</f>
        <v>US</v>
      </c>
      <c r="H2465" s="43" t="s">
        <v>4163</v>
      </c>
      <c r="I2465" s="71" t="s">
        <v>4229</v>
      </c>
      <c r="J2465" s="71" t="s">
        <v>386</v>
      </c>
      <c r="K2465" s="43" t="s">
        <v>431</v>
      </c>
      <c r="L2465" s="71" t="s">
        <v>107</v>
      </c>
      <c r="M2465" s="73">
        <v>3</v>
      </c>
      <c r="N2465" s="71" t="s">
        <v>388</v>
      </c>
      <c r="O2465" s="73">
        <v>0.022</v>
      </c>
      <c r="P2465" s="71" t="s">
        <v>389</v>
      </c>
      <c r="Q2465" s="73">
        <v>4</v>
      </c>
      <c r="R2465" s="71" t="s">
        <v>388</v>
      </c>
      <c r="S2465" s="73">
        <v>0</v>
      </c>
      <c r="T2465" s="71" t="s">
        <v>390</v>
      </c>
      <c r="U2465" s="74">
        <v>1</v>
      </c>
      <c r="V2465" s="71" t="s">
        <v>427</v>
      </c>
      <c r="W2465" s="130">
        <v>46079.409722222219</v>
      </c>
      <c r="X2465" s="72">
        <v>46084.916666666664</v>
      </c>
      <c r="Y2465" s="72">
        <v>46085.114583333336</v>
      </c>
      <c r="Z2465" s="104" t="s">
        <v>382</v>
      </c>
      <c r="AA2465" s="104" t="s">
        <v>414</v>
      </c>
      <c r="AB2465" s="105">
        <v>46085.021527777775</v>
      </c>
      <c r="AC2465" s="105">
        <v>46085.20416666667</v>
      </c>
    </row>
    <row r="2466" s="70" customFormat="1" ht="11.25" customHeight="1">
      <c r="A2466" s="87"/>
      <c r="C2466" s="43" t="s">
        <v>4230</v>
      </c>
      <c r="D2466" s="71" t="s">
        <v>382</v>
      </c>
      <c r="E2466" s="71" t="str">
        <f>MID(D2466,1,2)</f>
        <v>IL</v>
      </c>
      <c r="F2466" s="71" t="s">
        <v>465</v>
      </c>
      <c r="G2466" s="71" t="str">
        <f>MID(F2466,1,2)</f>
        <v>AZ</v>
      </c>
      <c r="H2466" s="43" t="s">
        <v>4231</v>
      </c>
      <c r="I2466" s="71"/>
      <c r="J2466" s="71" t="s">
        <v>426</v>
      </c>
      <c r="K2466" s="43"/>
      <c r="L2466" s="71" t="s">
        <v>105</v>
      </c>
      <c r="M2466" s="73">
        <v>3</v>
      </c>
      <c r="N2466" s="71" t="s">
        <v>388</v>
      </c>
      <c r="O2466" s="73">
        <v>0.092</v>
      </c>
      <c r="P2466" s="71" t="s">
        <v>389</v>
      </c>
      <c r="Q2466" s="73">
        <v>15.5</v>
      </c>
      <c r="R2466" s="71" t="s">
        <v>388</v>
      </c>
      <c r="S2466" s="73">
        <v>0</v>
      </c>
      <c r="T2466" s="71" t="s">
        <v>390</v>
      </c>
      <c r="U2466" s="74">
        <v>1</v>
      </c>
      <c r="V2466" s="71" t="s">
        <v>391</v>
      </c>
      <c r="W2466" s="130">
        <v>46079.841666666667</v>
      </c>
      <c r="X2466" s="72">
        <v>46080.256944444445</v>
      </c>
      <c r="Y2466" s="72">
        <v>46080.406944444447</v>
      </c>
      <c r="Z2466" s="104" t="s">
        <v>382</v>
      </c>
      <c r="AA2466" s="104" t="s">
        <v>465</v>
      </c>
      <c r="AB2466" s="105">
        <v>46080.472916666666</v>
      </c>
      <c r="AC2466" s="105">
        <v>46080.598611111112</v>
      </c>
    </row>
    <row r="2467" s="70" customFormat="1" ht="11.25" customHeight="1">
      <c r="A2467" s="87"/>
      <c r="C2467" s="43" t="s">
        <v>4232</v>
      </c>
      <c r="D2467" s="71" t="s">
        <v>382</v>
      </c>
      <c r="E2467" s="71" t="str">
        <f>MID(D2467,1,2)</f>
        <v>IL</v>
      </c>
      <c r="F2467" s="71" t="s">
        <v>651</v>
      </c>
      <c r="G2467" s="71" t="str">
        <f>MID(F2467,1,2)</f>
        <v>BR</v>
      </c>
      <c r="H2467" s="43" t="s">
        <v>4226</v>
      </c>
      <c r="I2467" s="71" t="s">
        <v>4233</v>
      </c>
      <c r="J2467" s="71" t="s">
        <v>386</v>
      </c>
      <c r="K2467" s="43"/>
      <c r="L2467" s="71" t="s">
        <v>107</v>
      </c>
      <c r="M2467" s="73">
        <v>22</v>
      </c>
      <c r="N2467" s="71" t="s">
        <v>388</v>
      </c>
      <c r="O2467" s="73">
        <v>0.142</v>
      </c>
      <c r="P2467" s="71" t="s">
        <v>389</v>
      </c>
      <c r="Q2467" s="73">
        <v>24</v>
      </c>
      <c r="R2467" s="71" t="s">
        <v>388</v>
      </c>
      <c r="S2467" s="73">
        <v>0</v>
      </c>
      <c r="T2467" s="71" t="s">
        <v>390</v>
      </c>
      <c r="U2467" s="74">
        <v>1</v>
      </c>
      <c r="V2467" s="71" t="s">
        <v>391</v>
      </c>
      <c r="W2467" s="130">
        <v>46080.0215625</v>
      </c>
      <c r="X2467" s="72">
        <v>46093.979166666664</v>
      </c>
      <c r="Y2467" s="72">
        <v>46101.375</v>
      </c>
      <c r="Z2467" s="104" t="s">
        <v>382</v>
      </c>
      <c r="AA2467" s="104" t="s">
        <v>408</v>
      </c>
      <c r="AB2467" s="105">
        <v>46096.902083333334</v>
      </c>
      <c r="AC2467" s="105"/>
    </row>
    <row r="2468" s="70" customFormat="1" ht="11.25" customHeight="1">
      <c r="A2468" s="87"/>
      <c r="C2468" s="43" t="s">
        <v>4232</v>
      </c>
      <c r="D2468" s="71" t="s">
        <v>382</v>
      </c>
      <c r="E2468" s="71" t="str">
        <f>MID(D2468,1,2)</f>
        <v>IL</v>
      </c>
      <c r="F2468" s="71" t="s">
        <v>651</v>
      </c>
      <c r="G2468" s="71" t="str">
        <f>MID(F2468,1,2)</f>
        <v>BR</v>
      </c>
      <c r="H2468" s="43" t="s">
        <v>4226</v>
      </c>
      <c r="I2468" s="71" t="s">
        <v>4233</v>
      </c>
      <c r="J2468" s="71" t="s">
        <v>386</v>
      </c>
      <c r="K2468" s="43"/>
      <c r="L2468" s="71" t="s">
        <v>107</v>
      </c>
      <c r="M2468" s="73">
        <v>22</v>
      </c>
      <c r="N2468" s="71" t="s">
        <v>388</v>
      </c>
      <c r="O2468" s="73">
        <v>0.142</v>
      </c>
      <c r="P2468" s="71" t="s">
        <v>389</v>
      </c>
      <c r="Q2468" s="73">
        <v>24</v>
      </c>
      <c r="R2468" s="71" t="s">
        <v>388</v>
      </c>
      <c r="S2468" s="73">
        <v>0</v>
      </c>
      <c r="T2468" s="71" t="s">
        <v>390</v>
      </c>
      <c r="U2468" s="74">
        <v>1</v>
      </c>
      <c r="V2468" s="71" t="s">
        <v>391</v>
      </c>
      <c r="W2468" s="130">
        <v>46080.0215625</v>
      </c>
      <c r="X2468" s="72">
        <v>46093.979166666664</v>
      </c>
      <c r="Y2468" s="72">
        <v>46101.375</v>
      </c>
      <c r="Z2468" s="104" t="s">
        <v>408</v>
      </c>
      <c r="AA2468" s="104" t="s">
        <v>480</v>
      </c>
      <c r="AB2468" s="105">
        <v>46099.482638888891</v>
      </c>
      <c r="AC2468" s="105">
        <v>46099.616666666669</v>
      </c>
    </row>
    <row r="2469" s="70" customFormat="1" ht="11.25" customHeight="1">
      <c r="A2469" s="87"/>
      <c r="C2469" s="43" t="s">
        <v>4232</v>
      </c>
      <c r="D2469" s="71" t="s">
        <v>382</v>
      </c>
      <c r="E2469" s="71" t="str">
        <f>MID(D2469,1,2)</f>
        <v>IL</v>
      </c>
      <c r="F2469" s="71" t="s">
        <v>651</v>
      </c>
      <c r="G2469" s="71" t="str">
        <f>MID(F2469,1,2)</f>
        <v>BR</v>
      </c>
      <c r="H2469" s="43" t="s">
        <v>4226</v>
      </c>
      <c r="I2469" s="71" t="s">
        <v>4233</v>
      </c>
      <c r="J2469" s="71" t="s">
        <v>386</v>
      </c>
      <c r="K2469" s="43"/>
      <c r="L2469" s="71" t="s">
        <v>107</v>
      </c>
      <c r="M2469" s="73">
        <v>22</v>
      </c>
      <c r="N2469" s="71" t="s">
        <v>388</v>
      </c>
      <c r="O2469" s="73">
        <v>0.142</v>
      </c>
      <c r="P2469" s="71" t="s">
        <v>389</v>
      </c>
      <c r="Q2469" s="73">
        <v>24</v>
      </c>
      <c r="R2469" s="71" t="s">
        <v>388</v>
      </c>
      <c r="S2469" s="73">
        <v>0</v>
      </c>
      <c r="T2469" s="71" t="s">
        <v>390</v>
      </c>
      <c r="U2469" s="74">
        <v>1</v>
      </c>
      <c r="V2469" s="71" t="s">
        <v>391</v>
      </c>
      <c r="W2469" s="130">
        <v>46080.0215625</v>
      </c>
      <c r="X2469" s="72">
        <v>46093.979166666664</v>
      </c>
      <c r="Y2469" s="72">
        <v>46101.375</v>
      </c>
      <c r="Z2469" s="104" t="s">
        <v>405</v>
      </c>
      <c r="AA2469" s="104" t="s">
        <v>651</v>
      </c>
      <c r="AB2469" s="105">
        <v>46100.909722222219</v>
      </c>
      <c r="AC2469" s="105">
        <v>46101.381944444445</v>
      </c>
    </row>
    <row r="2470" s="70" customFormat="1" ht="11.25" customHeight="1">
      <c r="A2470" s="87"/>
      <c r="C2470" s="43" t="s">
        <v>4234</v>
      </c>
      <c r="D2470" s="71" t="s">
        <v>382</v>
      </c>
      <c r="E2470" s="71" t="str">
        <f>MID(D2470,1,2)</f>
        <v>IL</v>
      </c>
      <c r="F2470" s="71" t="s">
        <v>651</v>
      </c>
      <c r="G2470" s="71" t="str">
        <f>MID(F2470,1,2)</f>
        <v>BR</v>
      </c>
      <c r="H2470" s="43" t="s">
        <v>4235</v>
      </c>
      <c r="I2470" s="71" t="s">
        <v>4236</v>
      </c>
      <c r="J2470" s="71" t="s">
        <v>386</v>
      </c>
      <c r="K2470" s="43"/>
      <c r="L2470" s="71" t="s">
        <v>107</v>
      </c>
      <c r="M2470" s="73">
        <v>18.4</v>
      </c>
      <c r="N2470" s="71" t="s">
        <v>388</v>
      </c>
      <c r="O2470" s="73">
        <v>0.203</v>
      </c>
      <c r="P2470" s="71" t="s">
        <v>389</v>
      </c>
      <c r="Q2470" s="73">
        <v>34</v>
      </c>
      <c r="R2470" s="71" t="s">
        <v>388</v>
      </c>
      <c r="S2470" s="73">
        <v>0</v>
      </c>
      <c r="T2470" s="71" t="s">
        <v>390</v>
      </c>
      <c r="U2470" s="74">
        <v>2</v>
      </c>
      <c r="V2470" s="71" t="s">
        <v>391</v>
      </c>
      <c r="W2470" s="130">
        <v>46079.424305555556</v>
      </c>
      <c r="X2470" s="72">
        <v>46080.586805555555</v>
      </c>
      <c r="Y2470" s="72">
        <v>46082.415277777778</v>
      </c>
      <c r="Z2470" s="104" t="s">
        <v>382</v>
      </c>
      <c r="AA2470" s="104" t="s">
        <v>590</v>
      </c>
      <c r="AB2470" s="105">
        <v>46080.603472222225</v>
      </c>
      <c r="AC2470" s="105">
        <v>46081.0875</v>
      </c>
    </row>
    <row r="2471" s="70" customFormat="1" ht="11.25" customHeight="1">
      <c r="A2471" s="87"/>
      <c r="C2471" s="43" t="s">
        <v>4234</v>
      </c>
      <c r="D2471" s="71" t="s">
        <v>382</v>
      </c>
      <c r="E2471" s="71" t="str">
        <f>MID(D2471,1,2)</f>
        <v>IL</v>
      </c>
      <c r="F2471" s="71" t="s">
        <v>651</v>
      </c>
      <c r="G2471" s="71" t="str">
        <f>MID(F2471,1,2)</f>
        <v>BR</v>
      </c>
      <c r="H2471" s="43" t="s">
        <v>4235</v>
      </c>
      <c r="I2471" s="71" t="s">
        <v>4236</v>
      </c>
      <c r="J2471" s="71" t="s">
        <v>386</v>
      </c>
      <c r="K2471" s="43"/>
      <c r="L2471" s="71" t="s">
        <v>107</v>
      </c>
      <c r="M2471" s="73">
        <v>18.4</v>
      </c>
      <c r="N2471" s="71" t="s">
        <v>388</v>
      </c>
      <c r="O2471" s="73">
        <v>0.203</v>
      </c>
      <c r="P2471" s="71" t="s">
        <v>389</v>
      </c>
      <c r="Q2471" s="73">
        <v>34</v>
      </c>
      <c r="R2471" s="71" t="s">
        <v>388</v>
      </c>
      <c r="S2471" s="73">
        <v>0</v>
      </c>
      <c r="T2471" s="71" t="s">
        <v>390</v>
      </c>
      <c r="U2471" s="74">
        <v>2</v>
      </c>
      <c r="V2471" s="71" t="s">
        <v>391</v>
      </c>
      <c r="W2471" s="130">
        <v>46079.424305555556</v>
      </c>
      <c r="X2471" s="72">
        <v>46080.586805555555</v>
      </c>
      <c r="Y2471" s="72">
        <v>46082.415277777778</v>
      </c>
      <c r="Z2471" s="104" t="s">
        <v>590</v>
      </c>
      <c r="AA2471" s="104" t="s">
        <v>651</v>
      </c>
      <c r="AB2471" s="105">
        <v>46081.994444444441</v>
      </c>
      <c r="AC2471" s="105">
        <v>46082.2625</v>
      </c>
    </row>
    <row r="2472" s="70" customFormat="1" ht="11.25" customHeight="1">
      <c r="A2472" s="87"/>
      <c r="C2472" s="43" t="s">
        <v>4237</v>
      </c>
      <c r="D2472" s="71" t="s">
        <v>382</v>
      </c>
      <c r="E2472" s="71" t="str">
        <f>MID(D2472,1,2)</f>
        <v>IL</v>
      </c>
      <c r="F2472" s="71" t="s">
        <v>480</v>
      </c>
      <c r="G2472" s="71" t="str">
        <f>MID(F2472,1,2)</f>
        <v>CA</v>
      </c>
      <c r="H2472" s="43" t="s">
        <v>4238</v>
      </c>
      <c r="I2472" s="71" t="s">
        <v>4239</v>
      </c>
      <c r="J2472" s="71" t="s">
        <v>483</v>
      </c>
      <c r="K2472" s="43"/>
      <c r="L2472" s="71" t="s">
        <v>105</v>
      </c>
      <c r="M2472" s="73">
        <v>34</v>
      </c>
      <c r="N2472" s="71" t="s">
        <v>388</v>
      </c>
      <c r="O2472" s="73">
        <v>0.367</v>
      </c>
      <c r="P2472" s="71" t="s">
        <v>389</v>
      </c>
      <c r="Q2472" s="73">
        <v>61.5</v>
      </c>
      <c r="R2472" s="71" t="s">
        <v>388</v>
      </c>
      <c r="S2472" s="73">
        <v>0</v>
      </c>
      <c r="T2472" s="71" t="s">
        <v>390</v>
      </c>
      <c r="U2472" s="74">
        <v>1</v>
      </c>
      <c r="V2472" s="71" t="s">
        <v>391</v>
      </c>
      <c r="W2472" s="130">
        <v>46080.299317129633</v>
      </c>
      <c r="X2472" s="72">
        <v>46086.622916666667</v>
      </c>
      <c r="Y2472" s="72">
        <v>46099.625</v>
      </c>
      <c r="Z2472" s="104" t="s">
        <v>382</v>
      </c>
      <c r="AA2472" s="104" t="s">
        <v>408</v>
      </c>
      <c r="AB2472" s="105">
        <v>46096.897916666669</v>
      </c>
      <c r="AC2472" s="105"/>
    </row>
    <row r="2473" s="70" customFormat="1" ht="11.25" customHeight="1">
      <c r="A2473" s="87"/>
      <c r="C2473" s="43" t="s">
        <v>4237</v>
      </c>
      <c r="D2473" s="71" t="s">
        <v>382</v>
      </c>
      <c r="E2473" s="71" t="str">
        <f>MID(D2473,1,2)</f>
        <v>IL</v>
      </c>
      <c r="F2473" s="71" t="s">
        <v>480</v>
      </c>
      <c r="G2473" s="71" t="str">
        <f>MID(F2473,1,2)</f>
        <v>CA</v>
      </c>
      <c r="H2473" s="43" t="s">
        <v>4238</v>
      </c>
      <c r="I2473" s="71" t="s">
        <v>4239</v>
      </c>
      <c r="J2473" s="71" t="s">
        <v>483</v>
      </c>
      <c r="K2473" s="43"/>
      <c r="L2473" s="71" t="s">
        <v>105</v>
      </c>
      <c r="M2473" s="73">
        <v>34</v>
      </c>
      <c r="N2473" s="71" t="s">
        <v>388</v>
      </c>
      <c r="O2473" s="73">
        <v>0.367</v>
      </c>
      <c r="P2473" s="71" t="s">
        <v>389</v>
      </c>
      <c r="Q2473" s="73">
        <v>61.5</v>
      </c>
      <c r="R2473" s="71" t="s">
        <v>388</v>
      </c>
      <c r="S2473" s="73">
        <v>0</v>
      </c>
      <c r="T2473" s="71" t="s">
        <v>390</v>
      </c>
      <c r="U2473" s="74">
        <v>1</v>
      </c>
      <c r="V2473" s="71" t="s">
        <v>391</v>
      </c>
      <c r="W2473" s="130">
        <v>46080.299317129633</v>
      </c>
      <c r="X2473" s="72">
        <v>46086.622916666667</v>
      </c>
      <c r="Y2473" s="72">
        <v>46099.625</v>
      </c>
      <c r="Z2473" s="104" t="s">
        <v>408</v>
      </c>
      <c r="AA2473" s="104" t="s">
        <v>480</v>
      </c>
      <c r="AB2473" s="105">
        <v>46099.450694444444</v>
      </c>
      <c r="AC2473" s="105">
        <v>46099.616666666669</v>
      </c>
    </row>
    <row r="2474" s="70" customFormat="1" ht="11.25" customHeight="1">
      <c r="A2474" s="87"/>
      <c r="C2474" s="43" t="s">
        <v>4240</v>
      </c>
      <c r="D2474" s="71" t="s">
        <v>382</v>
      </c>
      <c r="E2474" s="71" t="str">
        <f>MID(D2474,1,2)</f>
        <v>IL</v>
      </c>
      <c r="F2474" s="71" t="s">
        <v>383</v>
      </c>
      <c r="G2474" s="71" t="str">
        <f>MID(F2474,1,2)</f>
        <v>DE</v>
      </c>
      <c r="H2474" s="43" t="s">
        <v>4130</v>
      </c>
      <c r="I2474" s="71" t="s">
        <v>4241</v>
      </c>
      <c r="J2474" s="71" t="s">
        <v>454</v>
      </c>
      <c r="K2474" s="43"/>
      <c r="L2474" s="71" t="s">
        <v>107</v>
      </c>
      <c r="M2474" s="73">
        <v>98</v>
      </c>
      <c r="N2474" s="71" t="s">
        <v>388</v>
      </c>
      <c r="O2474" s="73">
        <v>0.646</v>
      </c>
      <c r="P2474" s="71" t="s">
        <v>389</v>
      </c>
      <c r="Q2474" s="73">
        <v>108</v>
      </c>
      <c r="R2474" s="71" t="s">
        <v>388</v>
      </c>
      <c r="S2474" s="73">
        <v>0</v>
      </c>
      <c r="T2474" s="71" t="s">
        <v>390</v>
      </c>
      <c r="U2474" s="74">
        <v>1</v>
      </c>
      <c r="V2474" s="71" t="s">
        <v>391</v>
      </c>
      <c r="W2474" s="130">
        <v>46079.479166666664</v>
      </c>
      <c r="X2474" s="72">
        <v>46082.229166666664</v>
      </c>
      <c r="Y2474" s="72">
        <v>46085.615972222222</v>
      </c>
      <c r="Z2474" s="104" t="s">
        <v>383</v>
      </c>
      <c r="AA2474" s="104" t="s">
        <v>383</v>
      </c>
      <c r="AB2474" s="105">
        <v>46085.520833333336</v>
      </c>
      <c r="AC2474" s="105">
        <v>46085.572916666664</v>
      </c>
    </row>
    <row r="2475" s="70" customFormat="1" ht="11.25" customHeight="1">
      <c r="A2475" s="87"/>
      <c r="C2475" s="43" t="s">
        <v>4240</v>
      </c>
      <c r="D2475" s="71" t="s">
        <v>382</v>
      </c>
      <c r="E2475" s="71" t="str">
        <f>MID(D2475,1,2)</f>
        <v>IL</v>
      </c>
      <c r="F2475" s="71" t="s">
        <v>383</v>
      </c>
      <c r="G2475" s="71" t="str">
        <f>MID(F2475,1,2)</f>
        <v>DE</v>
      </c>
      <c r="H2475" s="43" t="s">
        <v>4130</v>
      </c>
      <c r="I2475" s="71" t="s">
        <v>4241</v>
      </c>
      <c r="J2475" s="71" t="s">
        <v>454</v>
      </c>
      <c r="K2475" s="43"/>
      <c r="L2475" s="71" t="s">
        <v>107</v>
      </c>
      <c r="M2475" s="73">
        <v>98</v>
      </c>
      <c r="N2475" s="71" t="s">
        <v>388</v>
      </c>
      <c r="O2475" s="73">
        <v>0.646</v>
      </c>
      <c r="P2475" s="71" t="s">
        <v>389</v>
      </c>
      <c r="Q2475" s="73">
        <v>108</v>
      </c>
      <c r="R2475" s="71" t="s">
        <v>388</v>
      </c>
      <c r="S2475" s="73">
        <v>0</v>
      </c>
      <c r="T2475" s="71" t="s">
        <v>390</v>
      </c>
      <c r="U2475" s="74">
        <v>1</v>
      </c>
      <c r="V2475" s="71" t="s">
        <v>391</v>
      </c>
      <c r="W2475" s="130">
        <v>46079.479166666664</v>
      </c>
      <c r="X2475" s="72">
        <v>46082.229166666664</v>
      </c>
      <c r="Y2475" s="72">
        <v>46085.615972222222</v>
      </c>
      <c r="Z2475" s="104" t="s">
        <v>382</v>
      </c>
      <c r="AA2475" s="104" t="s">
        <v>466</v>
      </c>
      <c r="AB2475" s="105">
        <v>46083.454861111109</v>
      </c>
      <c r="AC2475" s="105">
        <v>46083.595138888886</v>
      </c>
    </row>
    <row r="2476" s="70" customFormat="1" ht="11.25" customHeight="1">
      <c r="A2476" s="87"/>
      <c r="C2476" s="43" t="s">
        <v>4240</v>
      </c>
      <c r="D2476" s="71" t="s">
        <v>382</v>
      </c>
      <c r="E2476" s="71" t="str">
        <f>MID(D2476,1,2)</f>
        <v>IL</v>
      </c>
      <c r="F2476" s="71" t="s">
        <v>383</v>
      </c>
      <c r="G2476" s="71" t="str">
        <f>MID(F2476,1,2)</f>
        <v>DE</v>
      </c>
      <c r="H2476" s="43" t="s">
        <v>4130</v>
      </c>
      <c r="I2476" s="71" t="s">
        <v>4241</v>
      </c>
      <c r="J2476" s="71" t="s">
        <v>454</v>
      </c>
      <c r="K2476" s="43"/>
      <c r="L2476" s="71" t="s">
        <v>107</v>
      </c>
      <c r="M2476" s="73">
        <v>98</v>
      </c>
      <c r="N2476" s="71" t="s">
        <v>388</v>
      </c>
      <c r="O2476" s="73">
        <v>0.646</v>
      </c>
      <c r="P2476" s="71" t="s">
        <v>389</v>
      </c>
      <c r="Q2476" s="73">
        <v>108</v>
      </c>
      <c r="R2476" s="71" t="s">
        <v>388</v>
      </c>
      <c r="S2476" s="73">
        <v>0</v>
      </c>
      <c r="T2476" s="71" t="s">
        <v>390</v>
      </c>
      <c r="U2476" s="74">
        <v>1</v>
      </c>
      <c r="V2476" s="71" t="s">
        <v>391</v>
      </c>
      <c r="W2476" s="130">
        <v>46079.479166666664</v>
      </c>
      <c r="X2476" s="72">
        <v>46082.229166666664</v>
      </c>
      <c r="Y2476" s="72">
        <v>46085.615972222222</v>
      </c>
      <c r="Z2476" s="104" t="s">
        <v>466</v>
      </c>
      <c r="AA2476" s="104" t="s">
        <v>383</v>
      </c>
      <c r="AB2476" s="105">
        <v>46084.011805555558</v>
      </c>
      <c r="AC2476" s="105">
        <v>46084.371527777781</v>
      </c>
    </row>
    <row r="2477" s="70" customFormat="1" ht="11.25" customHeight="1">
      <c r="A2477" s="87"/>
      <c r="C2477" s="43" t="s">
        <v>4242</v>
      </c>
      <c r="D2477" s="71" t="s">
        <v>382</v>
      </c>
      <c r="E2477" s="71" t="str">
        <f>MID(D2477,1,2)</f>
        <v>IL</v>
      </c>
      <c r="F2477" s="71" t="s">
        <v>597</v>
      </c>
      <c r="G2477" s="71" t="str">
        <f>MID(F2477,1,2)</f>
        <v>NL</v>
      </c>
      <c r="H2477" s="43" t="s">
        <v>4243</v>
      </c>
      <c r="I2477" s="71" t="s">
        <v>4244</v>
      </c>
      <c r="J2477" s="71" t="s">
        <v>400</v>
      </c>
      <c r="K2477" s="43"/>
      <c r="L2477" s="71" t="s">
        <v>105</v>
      </c>
      <c r="M2477" s="73">
        <v>1</v>
      </c>
      <c r="N2477" s="71" t="s">
        <v>388</v>
      </c>
      <c r="O2477" s="73">
        <v>0.024</v>
      </c>
      <c r="P2477" s="71" t="s">
        <v>389</v>
      </c>
      <c r="Q2477" s="73">
        <v>4.5</v>
      </c>
      <c r="R2477" s="71" t="s">
        <v>388</v>
      </c>
      <c r="S2477" s="73">
        <v>0</v>
      </c>
      <c r="T2477" s="71" t="s">
        <v>390</v>
      </c>
      <c r="U2477" s="74">
        <v>1</v>
      </c>
      <c r="V2477" s="71" t="s">
        <v>446</v>
      </c>
      <c r="W2477" s="130">
        <v>46096.591331018521</v>
      </c>
      <c r="X2477" s="72">
        <v>46103.229166666664</v>
      </c>
      <c r="Y2477" s="72">
        <v>46106.75</v>
      </c>
      <c r="Z2477" s="104" t="s">
        <v>382</v>
      </c>
      <c r="AA2477" s="104" t="s">
        <v>408</v>
      </c>
      <c r="AB2477" s="105"/>
      <c r="AC2477" s="105"/>
    </row>
    <row r="2478" s="70" customFormat="1" ht="11.25" customHeight="1">
      <c r="A2478" s="87"/>
      <c r="C2478" s="43" t="s">
        <v>4242</v>
      </c>
      <c r="D2478" s="71" t="s">
        <v>382</v>
      </c>
      <c r="E2478" s="71" t="str">
        <f>MID(D2478,1,2)</f>
        <v>IL</v>
      </c>
      <c r="F2478" s="71" t="s">
        <v>597</v>
      </c>
      <c r="G2478" s="71" t="str">
        <f>MID(F2478,1,2)</f>
        <v>NL</v>
      </c>
      <c r="H2478" s="43" t="s">
        <v>4243</v>
      </c>
      <c r="I2478" s="71" t="s">
        <v>4244</v>
      </c>
      <c r="J2478" s="71" t="s">
        <v>400</v>
      </c>
      <c r="K2478" s="43"/>
      <c r="L2478" s="71" t="s">
        <v>105</v>
      </c>
      <c r="M2478" s="73">
        <v>1</v>
      </c>
      <c r="N2478" s="71" t="s">
        <v>388</v>
      </c>
      <c r="O2478" s="73">
        <v>0.024</v>
      </c>
      <c r="P2478" s="71" t="s">
        <v>389</v>
      </c>
      <c r="Q2478" s="73">
        <v>4.5</v>
      </c>
      <c r="R2478" s="71" t="s">
        <v>388</v>
      </c>
      <c r="S2478" s="73">
        <v>0</v>
      </c>
      <c r="T2478" s="71" t="s">
        <v>390</v>
      </c>
      <c r="U2478" s="74">
        <v>1</v>
      </c>
      <c r="V2478" s="71" t="s">
        <v>446</v>
      </c>
      <c r="W2478" s="130">
        <v>46096.591331018521</v>
      </c>
      <c r="X2478" s="72">
        <v>46103.229166666664</v>
      </c>
      <c r="Y2478" s="72">
        <v>46106.75</v>
      </c>
      <c r="Z2478" s="104" t="s">
        <v>408</v>
      </c>
      <c r="AA2478" s="104" t="s">
        <v>3173</v>
      </c>
      <c r="AB2478" s="105"/>
      <c r="AC2478" s="105"/>
    </row>
    <row r="2479" s="70" customFormat="1" ht="11.25" customHeight="1">
      <c r="A2479" s="87"/>
      <c r="C2479" s="43" t="s">
        <v>4242</v>
      </c>
      <c r="D2479" s="71" t="s">
        <v>382</v>
      </c>
      <c r="E2479" s="71" t="str">
        <f>MID(D2479,1,2)</f>
        <v>IL</v>
      </c>
      <c r="F2479" s="71" t="s">
        <v>597</v>
      </c>
      <c r="G2479" s="71" t="str">
        <f>MID(F2479,1,2)</f>
        <v>NL</v>
      </c>
      <c r="H2479" s="43" t="s">
        <v>4243</v>
      </c>
      <c r="I2479" s="71" t="s">
        <v>4244</v>
      </c>
      <c r="J2479" s="71" t="s">
        <v>400</v>
      </c>
      <c r="K2479" s="43"/>
      <c r="L2479" s="71" t="s">
        <v>105</v>
      </c>
      <c r="M2479" s="73">
        <v>1</v>
      </c>
      <c r="N2479" s="71" t="s">
        <v>388</v>
      </c>
      <c r="O2479" s="73">
        <v>0.024</v>
      </c>
      <c r="P2479" s="71" t="s">
        <v>389</v>
      </c>
      <c r="Q2479" s="73">
        <v>4.5</v>
      </c>
      <c r="R2479" s="71" t="s">
        <v>388</v>
      </c>
      <c r="S2479" s="73">
        <v>0</v>
      </c>
      <c r="T2479" s="71" t="s">
        <v>390</v>
      </c>
      <c r="U2479" s="74">
        <v>1</v>
      </c>
      <c r="V2479" s="71" t="s">
        <v>446</v>
      </c>
      <c r="W2479" s="130">
        <v>46096.591331018521</v>
      </c>
      <c r="X2479" s="72">
        <v>46103.229166666664</v>
      </c>
      <c r="Y2479" s="72">
        <v>46106.75</v>
      </c>
      <c r="Z2479" s="104" t="s">
        <v>3173</v>
      </c>
      <c r="AA2479" s="104" t="s">
        <v>597</v>
      </c>
      <c r="AB2479" s="105"/>
      <c r="AC2479" s="105"/>
    </row>
    <row r="2480" s="70" customFormat="1" ht="11.25" customHeight="1">
      <c r="A2480" s="87"/>
      <c r="C2480" s="43" t="s">
        <v>4245</v>
      </c>
      <c r="D2480" s="71" t="s">
        <v>382</v>
      </c>
      <c r="E2480" s="71" t="str">
        <f>MID(D2480,1,2)</f>
        <v>IL</v>
      </c>
      <c r="F2480" s="71" t="s">
        <v>651</v>
      </c>
      <c r="G2480" s="71" t="str">
        <f>MID(F2480,1,2)</f>
        <v>BR</v>
      </c>
      <c r="H2480" s="43" t="s">
        <v>4226</v>
      </c>
      <c r="I2480" s="71" t="s">
        <v>4246</v>
      </c>
      <c r="J2480" s="71" t="s">
        <v>386</v>
      </c>
      <c r="K2480" s="43"/>
      <c r="L2480" s="71" t="s">
        <v>107</v>
      </c>
      <c r="M2480" s="73">
        <v>44</v>
      </c>
      <c r="N2480" s="71" t="s">
        <v>388</v>
      </c>
      <c r="O2480" s="73">
        <v>0.284</v>
      </c>
      <c r="P2480" s="71" t="s">
        <v>389</v>
      </c>
      <c r="Q2480" s="73">
        <v>47.5</v>
      </c>
      <c r="R2480" s="71" t="s">
        <v>388</v>
      </c>
      <c r="S2480" s="73">
        <v>0</v>
      </c>
      <c r="T2480" s="71" t="s">
        <v>390</v>
      </c>
      <c r="U2480" s="74">
        <v>2</v>
      </c>
      <c r="V2480" s="71" t="s">
        <v>391</v>
      </c>
      <c r="W2480" s="130">
        <v>46079.979884259257</v>
      </c>
      <c r="X2480" s="72">
        <v>46093.979166666664</v>
      </c>
      <c r="Y2480" s="72">
        <v>46101.375</v>
      </c>
      <c r="Z2480" s="104" t="s">
        <v>382</v>
      </c>
      <c r="AA2480" s="104" t="s">
        <v>408</v>
      </c>
      <c r="AB2480" s="105">
        <v>46096.902083333334</v>
      </c>
      <c r="AC2480" s="105"/>
    </row>
    <row r="2481" s="70" customFormat="1" ht="11.25" customHeight="1">
      <c r="A2481" s="87"/>
      <c r="C2481" s="43" t="s">
        <v>4245</v>
      </c>
      <c r="D2481" s="71" t="s">
        <v>382</v>
      </c>
      <c r="E2481" s="71" t="str">
        <f>MID(D2481,1,2)</f>
        <v>IL</v>
      </c>
      <c r="F2481" s="71" t="s">
        <v>651</v>
      </c>
      <c r="G2481" s="71" t="str">
        <f>MID(F2481,1,2)</f>
        <v>BR</v>
      </c>
      <c r="H2481" s="43" t="s">
        <v>4226</v>
      </c>
      <c r="I2481" s="71" t="s">
        <v>4246</v>
      </c>
      <c r="J2481" s="71" t="s">
        <v>386</v>
      </c>
      <c r="K2481" s="43"/>
      <c r="L2481" s="71" t="s">
        <v>107</v>
      </c>
      <c r="M2481" s="73">
        <v>44</v>
      </c>
      <c r="N2481" s="71" t="s">
        <v>388</v>
      </c>
      <c r="O2481" s="73">
        <v>0.284</v>
      </c>
      <c r="P2481" s="71" t="s">
        <v>389</v>
      </c>
      <c r="Q2481" s="73">
        <v>47.5</v>
      </c>
      <c r="R2481" s="71" t="s">
        <v>388</v>
      </c>
      <c r="S2481" s="73">
        <v>0</v>
      </c>
      <c r="T2481" s="71" t="s">
        <v>390</v>
      </c>
      <c r="U2481" s="74">
        <v>2</v>
      </c>
      <c r="V2481" s="71" t="s">
        <v>391</v>
      </c>
      <c r="W2481" s="130">
        <v>46079.979884259257</v>
      </c>
      <c r="X2481" s="72">
        <v>46093.979166666664</v>
      </c>
      <c r="Y2481" s="72">
        <v>46101.375</v>
      </c>
      <c r="Z2481" s="104" t="s">
        <v>408</v>
      </c>
      <c r="AA2481" s="104" t="s">
        <v>480</v>
      </c>
      <c r="AB2481" s="105">
        <v>46099.482638888891</v>
      </c>
      <c r="AC2481" s="105">
        <v>46099.616666666669</v>
      </c>
    </row>
    <row r="2482" s="70" customFormat="1" ht="11.25" customHeight="1">
      <c r="A2482" s="87"/>
      <c r="C2482" s="43" t="s">
        <v>4245</v>
      </c>
      <c r="D2482" s="71" t="s">
        <v>382</v>
      </c>
      <c r="E2482" s="71" t="str">
        <f>MID(D2482,1,2)</f>
        <v>IL</v>
      </c>
      <c r="F2482" s="71" t="s">
        <v>651</v>
      </c>
      <c r="G2482" s="71" t="str">
        <f>MID(F2482,1,2)</f>
        <v>BR</v>
      </c>
      <c r="H2482" s="43" t="s">
        <v>4226</v>
      </c>
      <c r="I2482" s="71" t="s">
        <v>4246</v>
      </c>
      <c r="J2482" s="71" t="s">
        <v>386</v>
      </c>
      <c r="K2482" s="43"/>
      <c r="L2482" s="71" t="s">
        <v>107</v>
      </c>
      <c r="M2482" s="73">
        <v>44</v>
      </c>
      <c r="N2482" s="71" t="s">
        <v>388</v>
      </c>
      <c r="O2482" s="73">
        <v>0.284</v>
      </c>
      <c r="P2482" s="71" t="s">
        <v>389</v>
      </c>
      <c r="Q2482" s="73">
        <v>47.5</v>
      </c>
      <c r="R2482" s="71" t="s">
        <v>388</v>
      </c>
      <c r="S2482" s="73">
        <v>0</v>
      </c>
      <c r="T2482" s="71" t="s">
        <v>390</v>
      </c>
      <c r="U2482" s="74">
        <v>2</v>
      </c>
      <c r="V2482" s="71" t="s">
        <v>391</v>
      </c>
      <c r="W2482" s="130">
        <v>46079.979884259257</v>
      </c>
      <c r="X2482" s="72">
        <v>46093.979166666664</v>
      </c>
      <c r="Y2482" s="72">
        <v>46101.375</v>
      </c>
      <c r="Z2482" s="104" t="s">
        <v>405</v>
      </c>
      <c r="AA2482" s="104" t="s">
        <v>651</v>
      </c>
      <c r="AB2482" s="105">
        <v>46100.909722222219</v>
      </c>
      <c r="AC2482" s="105">
        <v>46101.381944444445</v>
      </c>
    </row>
    <row r="2483" s="70" customFormat="1" ht="11.25" customHeight="1">
      <c r="A2483" s="87"/>
      <c r="C2483" s="43" t="s">
        <v>4247</v>
      </c>
      <c r="D2483" s="71" t="s">
        <v>382</v>
      </c>
      <c r="E2483" s="71" t="str">
        <f>MID(D2483,1,2)</f>
        <v>IL</v>
      </c>
      <c r="F2483" s="71" t="s">
        <v>496</v>
      </c>
      <c r="G2483" s="71" t="str">
        <f>MID(F2483,1,2)</f>
        <v>RO</v>
      </c>
      <c r="H2483" s="43" t="s">
        <v>3990</v>
      </c>
      <c r="I2483" s="71" t="s">
        <v>4248</v>
      </c>
      <c r="J2483" s="71" t="s">
        <v>400</v>
      </c>
      <c r="K2483" s="43"/>
      <c r="L2483" s="71" t="s">
        <v>105</v>
      </c>
      <c r="M2483" s="73">
        <v>32</v>
      </c>
      <c r="N2483" s="71" t="s">
        <v>388</v>
      </c>
      <c r="O2483" s="73">
        <v>0.506</v>
      </c>
      <c r="P2483" s="71" t="s">
        <v>389</v>
      </c>
      <c r="Q2483" s="73">
        <v>84.5</v>
      </c>
      <c r="R2483" s="71" t="s">
        <v>388</v>
      </c>
      <c r="S2483" s="73">
        <v>0</v>
      </c>
      <c r="T2483" s="71" t="s">
        <v>390</v>
      </c>
      <c r="U2483" s="74">
        <v>1</v>
      </c>
      <c r="V2483" s="71" t="s">
        <v>391</v>
      </c>
      <c r="W2483" s="130">
        <v>46079.4375</v>
      </c>
      <c r="X2483" s="72">
        <v>46082.25</v>
      </c>
      <c r="Y2483" s="72">
        <v>46085.416666666664</v>
      </c>
      <c r="Z2483" s="104" t="s">
        <v>408</v>
      </c>
      <c r="AA2483" s="104" t="s">
        <v>496</v>
      </c>
      <c r="AB2483" s="105"/>
      <c r="AC2483" s="105"/>
    </row>
    <row r="2484" s="70" customFormat="1" ht="11.25" customHeight="1">
      <c r="A2484" s="87"/>
      <c r="C2484" s="43" t="s">
        <v>4247</v>
      </c>
      <c r="D2484" s="71" t="s">
        <v>382</v>
      </c>
      <c r="E2484" s="71" t="str">
        <f>MID(D2484,1,2)</f>
        <v>IL</v>
      </c>
      <c r="F2484" s="71" t="s">
        <v>496</v>
      </c>
      <c r="G2484" s="71" t="str">
        <f>MID(F2484,1,2)</f>
        <v>RO</v>
      </c>
      <c r="H2484" s="43" t="s">
        <v>3990</v>
      </c>
      <c r="I2484" s="71" t="s">
        <v>4248</v>
      </c>
      <c r="J2484" s="71" t="s">
        <v>400</v>
      </c>
      <c r="K2484" s="43"/>
      <c r="L2484" s="71" t="s">
        <v>105</v>
      </c>
      <c r="M2484" s="73">
        <v>32</v>
      </c>
      <c r="N2484" s="71" t="s">
        <v>388</v>
      </c>
      <c r="O2484" s="73">
        <v>0.506</v>
      </c>
      <c r="P2484" s="71" t="s">
        <v>389</v>
      </c>
      <c r="Q2484" s="73">
        <v>84.5</v>
      </c>
      <c r="R2484" s="71" t="s">
        <v>388</v>
      </c>
      <c r="S2484" s="73">
        <v>0</v>
      </c>
      <c r="T2484" s="71" t="s">
        <v>390</v>
      </c>
      <c r="U2484" s="74">
        <v>1</v>
      </c>
      <c r="V2484" s="71" t="s">
        <v>391</v>
      </c>
      <c r="W2484" s="130">
        <v>46079.4375</v>
      </c>
      <c r="X2484" s="72">
        <v>46082.25</v>
      </c>
      <c r="Y2484" s="72">
        <v>46085.416666666664</v>
      </c>
      <c r="Z2484" s="104" t="s">
        <v>382</v>
      </c>
      <c r="AA2484" s="104" t="s">
        <v>408</v>
      </c>
      <c r="AB2484" s="105">
        <v>46082.999305555553</v>
      </c>
      <c r="AC2484" s="105">
        <v>46083.086805555555</v>
      </c>
    </row>
    <row r="2485" s="70" customFormat="1" ht="11.25" customHeight="1">
      <c r="A2485" s="87"/>
      <c r="C2485" s="43" t="s">
        <v>4249</v>
      </c>
      <c r="D2485" s="71" t="s">
        <v>382</v>
      </c>
      <c r="E2485" s="71" t="str">
        <f>MID(D2485,1,2)</f>
        <v>IL</v>
      </c>
      <c r="F2485" s="71" t="s">
        <v>577</v>
      </c>
      <c r="G2485" s="71" t="str">
        <f>MID(F2485,1,2)</f>
        <v>FR</v>
      </c>
      <c r="H2485" s="43" t="s">
        <v>4250</v>
      </c>
      <c r="I2485" s="71" t="s">
        <v>4251</v>
      </c>
      <c r="J2485" s="71" t="s">
        <v>454</v>
      </c>
      <c r="K2485" s="43"/>
      <c r="L2485" s="71" t="s">
        <v>107</v>
      </c>
      <c r="M2485" s="73">
        <v>22</v>
      </c>
      <c r="N2485" s="71" t="s">
        <v>388</v>
      </c>
      <c r="O2485" s="73">
        <v>0.142</v>
      </c>
      <c r="P2485" s="71" t="s">
        <v>389</v>
      </c>
      <c r="Q2485" s="73">
        <v>24</v>
      </c>
      <c r="R2485" s="71" t="s">
        <v>388</v>
      </c>
      <c r="S2485" s="73">
        <v>0</v>
      </c>
      <c r="T2485" s="71" t="s">
        <v>390</v>
      </c>
      <c r="U2485" s="74">
        <v>1</v>
      </c>
      <c r="V2485" s="71" t="s">
        <v>391</v>
      </c>
      <c r="W2485" s="130">
        <v>46079.444444444445</v>
      </c>
      <c r="X2485" s="72">
        <v>46098.5625</v>
      </c>
      <c r="Y2485" s="72">
        <v>46108.381944444445</v>
      </c>
      <c r="Z2485" s="104" t="s">
        <v>382</v>
      </c>
      <c r="AA2485" s="104" t="s">
        <v>408</v>
      </c>
      <c r="AB2485" s="105"/>
      <c r="AC2485" s="105"/>
    </row>
    <row r="2486" s="70" customFormat="1" ht="11.25" customHeight="1">
      <c r="A2486" s="87"/>
      <c r="C2486" s="43" t="s">
        <v>4249</v>
      </c>
      <c r="D2486" s="71" t="s">
        <v>382</v>
      </c>
      <c r="E2486" s="71" t="str">
        <f>MID(D2486,1,2)</f>
        <v>IL</v>
      </c>
      <c r="F2486" s="71" t="s">
        <v>577</v>
      </c>
      <c r="G2486" s="71" t="str">
        <f>MID(F2486,1,2)</f>
        <v>FR</v>
      </c>
      <c r="H2486" s="43" t="s">
        <v>4250</v>
      </c>
      <c r="I2486" s="71" t="s">
        <v>4251</v>
      </c>
      <c r="J2486" s="71" t="s">
        <v>454</v>
      </c>
      <c r="K2486" s="43"/>
      <c r="L2486" s="71" t="s">
        <v>107</v>
      </c>
      <c r="M2486" s="73">
        <v>22</v>
      </c>
      <c r="N2486" s="71" t="s">
        <v>388</v>
      </c>
      <c r="O2486" s="73">
        <v>0.142</v>
      </c>
      <c r="P2486" s="71" t="s">
        <v>389</v>
      </c>
      <c r="Q2486" s="73">
        <v>24</v>
      </c>
      <c r="R2486" s="71" t="s">
        <v>388</v>
      </c>
      <c r="S2486" s="73">
        <v>0</v>
      </c>
      <c r="T2486" s="71" t="s">
        <v>390</v>
      </c>
      <c r="U2486" s="74">
        <v>1</v>
      </c>
      <c r="V2486" s="71" t="s">
        <v>391</v>
      </c>
      <c r="W2486" s="130">
        <v>46079.444444444445</v>
      </c>
      <c r="X2486" s="72">
        <v>46098.5625</v>
      </c>
      <c r="Y2486" s="72">
        <v>46108.381944444445</v>
      </c>
      <c r="Z2486" s="104" t="s">
        <v>408</v>
      </c>
      <c r="AA2486" s="104" t="s">
        <v>3173</v>
      </c>
      <c r="AB2486" s="105"/>
      <c r="AC2486" s="105"/>
    </row>
    <row r="2487" s="70" customFormat="1" ht="11.25" customHeight="1">
      <c r="A2487" s="87"/>
      <c r="C2487" s="43" t="s">
        <v>4249</v>
      </c>
      <c r="D2487" s="71" t="s">
        <v>382</v>
      </c>
      <c r="E2487" s="71" t="str">
        <f>MID(D2487,1,2)</f>
        <v>IL</v>
      </c>
      <c r="F2487" s="71" t="s">
        <v>577</v>
      </c>
      <c r="G2487" s="71" t="str">
        <f>MID(F2487,1,2)</f>
        <v>FR</v>
      </c>
      <c r="H2487" s="43" t="s">
        <v>4250</v>
      </c>
      <c r="I2487" s="71" t="s">
        <v>4251</v>
      </c>
      <c r="J2487" s="71" t="s">
        <v>454</v>
      </c>
      <c r="K2487" s="43"/>
      <c r="L2487" s="71" t="s">
        <v>107</v>
      </c>
      <c r="M2487" s="73">
        <v>22</v>
      </c>
      <c r="N2487" s="71" t="s">
        <v>388</v>
      </c>
      <c r="O2487" s="73">
        <v>0.142</v>
      </c>
      <c r="P2487" s="71" t="s">
        <v>389</v>
      </c>
      <c r="Q2487" s="73">
        <v>24</v>
      </c>
      <c r="R2487" s="71" t="s">
        <v>388</v>
      </c>
      <c r="S2487" s="73">
        <v>0</v>
      </c>
      <c r="T2487" s="71" t="s">
        <v>390</v>
      </c>
      <c r="U2487" s="74">
        <v>1</v>
      </c>
      <c r="V2487" s="71" t="s">
        <v>391</v>
      </c>
      <c r="W2487" s="130">
        <v>46079.444444444445</v>
      </c>
      <c r="X2487" s="72">
        <v>46098.5625</v>
      </c>
      <c r="Y2487" s="72">
        <v>46108.381944444445</v>
      </c>
      <c r="Z2487" s="104" t="s">
        <v>3173</v>
      </c>
      <c r="AA2487" s="104" t="s">
        <v>577</v>
      </c>
      <c r="AB2487" s="105"/>
      <c r="AC2487" s="105"/>
    </row>
    <row r="2488" s="70" customFormat="1" ht="11.25" customHeight="1">
      <c r="A2488" s="87"/>
      <c r="C2488" s="43" t="s">
        <v>4252</v>
      </c>
      <c r="D2488" s="71" t="s">
        <v>382</v>
      </c>
      <c r="E2488" s="71" t="str">
        <f>MID(D2488,1,2)</f>
        <v>IL</v>
      </c>
      <c r="F2488" s="71" t="s">
        <v>522</v>
      </c>
      <c r="G2488" s="71" t="str">
        <f>MID(F2488,1,2)</f>
        <v>CZ</v>
      </c>
      <c r="H2488" s="43"/>
      <c r="I2488" s="71" t="s">
        <v>4253</v>
      </c>
      <c r="J2488" s="71" t="s">
        <v>400</v>
      </c>
      <c r="K2488" s="43"/>
      <c r="L2488" s="71" t="s">
        <v>105</v>
      </c>
      <c r="M2488" s="73">
        <v>15</v>
      </c>
      <c r="N2488" s="71" t="s">
        <v>388</v>
      </c>
      <c r="O2488" s="73">
        <v>0.422</v>
      </c>
      <c r="P2488" s="71" t="s">
        <v>389</v>
      </c>
      <c r="Q2488" s="73">
        <v>70.5</v>
      </c>
      <c r="R2488" s="71" t="s">
        <v>388</v>
      </c>
      <c r="S2488" s="73">
        <v>0</v>
      </c>
      <c r="T2488" s="71" t="s">
        <v>390</v>
      </c>
      <c r="U2488" s="74">
        <v>3</v>
      </c>
      <c r="V2488" s="71" t="s">
        <v>391</v>
      </c>
      <c r="W2488" s="130">
        <v>46079.479166666664</v>
      </c>
      <c r="X2488" s="72">
        <v>46082.013888888891</v>
      </c>
      <c r="Y2488" s="72">
        <v>46092.496527777781</v>
      </c>
      <c r="Z2488" s="104"/>
      <c r="AA2488" s="104"/>
      <c r="AB2488" s="105"/>
      <c r="AC2488" s="105"/>
    </row>
    <row r="2489" s="70" customFormat="1" ht="11.25" customHeight="1">
      <c r="A2489" s="87"/>
      <c r="C2489" s="43" t="s">
        <v>4254</v>
      </c>
      <c r="D2489" s="71" t="s">
        <v>382</v>
      </c>
      <c r="E2489" s="71" t="str">
        <f>MID(D2489,1,2)</f>
        <v>IL</v>
      </c>
      <c r="F2489" s="71" t="s">
        <v>1234</v>
      </c>
      <c r="G2489" s="71" t="str">
        <f>MID(F2489,1,2)</f>
        <v>PH</v>
      </c>
      <c r="H2489" s="43" t="s">
        <v>4214</v>
      </c>
      <c r="I2489" s="71" t="s">
        <v>4255</v>
      </c>
      <c r="J2489" s="71" t="s">
        <v>483</v>
      </c>
      <c r="K2489" s="43"/>
      <c r="L2489" s="71" t="s">
        <v>105</v>
      </c>
      <c r="M2489" s="73">
        <v>10</v>
      </c>
      <c r="N2489" s="71" t="s">
        <v>388</v>
      </c>
      <c r="O2489" s="73">
        <v>0.148</v>
      </c>
      <c r="P2489" s="71" t="s">
        <v>389</v>
      </c>
      <c r="Q2489" s="73">
        <v>25</v>
      </c>
      <c r="R2489" s="71" t="s">
        <v>388</v>
      </c>
      <c r="S2489" s="73">
        <v>0</v>
      </c>
      <c r="T2489" s="71" t="s">
        <v>390</v>
      </c>
      <c r="U2489" s="74">
        <v>1</v>
      </c>
      <c r="V2489" s="71" t="s">
        <v>391</v>
      </c>
      <c r="W2489" s="130">
        <v>46080.079259259262</v>
      </c>
      <c r="X2489" s="72">
        <v>46081.430555555555</v>
      </c>
      <c r="Y2489" s="72">
        <v>46104.753472222219</v>
      </c>
      <c r="Z2489" s="104" t="s">
        <v>382</v>
      </c>
      <c r="AA2489" s="104" t="s">
        <v>408</v>
      </c>
      <c r="AB2489" s="105">
        <v>46096.882638888892</v>
      </c>
      <c r="AC2489" s="105"/>
    </row>
    <row r="2490" s="70" customFormat="1" ht="11.25" customHeight="1">
      <c r="A2490" s="87"/>
      <c r="C2490" s="43" t="s">
        <v>4254</v>
      </c>
      <c r="D2490" s="71" t="s">
        <v>382</v>
      </c>
      <c r="E2490" s="71" t="str">
        <f>MID(D2490,1,2)</f>
        <v>IL</v>
      </c>
      <c r="F2490" s="71" t="s">
        <v>1234</v>
      </c>
      <c r="G2490" s="71" t="str">
        <f>MID(F2490,1,2)</f>
        <v>PH</v>
      </c>
      <c r="H2490" s="43" t="s">
        <v>4214</v>
      </c>
      <c r="I2490" s="71" t="s">
        <v>4255</v>
      </c>
      <c r="J2490" s="71" t="s">
        <v>483</v>
      </c>
      <c r="K2490" s="43"/>
      <c r="L2490" s="71" t="s">
        <v>105</v>
      </c>
      <c r="M2490" s="73">
        <v>10</v>
      </c>
      <c r="N2490" s="71" t="s">
        <v>388</v>
      </c>
      <c r="O2490" s="73">
        <v>0.148</v>
      </c>
      <c r="P2490" s="71" t="s">
        <v>389</v>
      </c>
      <c r="Q2490" s="73">
        <v>25</v>
      </c>
      <c r="R2490" s="71" t="s">
        <v>388</v>
      </c>
      <c r="S2490" s="73">
        <v>0</v>
      </c>
      <c r="T2490" s="71" t="s">
        <v>390</v>
      </c>
      <c r="U2490" s="74">
        <v>1</v>
      </c>
      <c r="V2490" s="71" t="s">
        <v>391</v>
      </c>
      <c r="W2490" s="130">
        <v>46080.079259259262</v>
      </c>
      <c r="X2490" s="72">
        <v>46081.430555555555</v>
      </c>
      <c r="Y2490" s="72">
        <v>46104.753472222219</v>
      </c>
      <c r="Z2490" s="104" t="s">
        <v>408</v>
      </c>
      <c r="AA2490" s="104" t="s">
        <v>480</v>
      </c>
      <c r="AB2490" s="105">
        <v>46099.450694444444</v>
      </c>
      <c r="AC2490" s="105">
        <v>46099.616666666669</v>
      </c>
    </row>
    <row r="2491" s="70" customFormat="1" ht="11.25" customHeight="1">
      <c r="A2491" s="87"/>
      <c r="C2491" s="43" t="s">
        <v>4254</v>
      </c>
      <c r="D2491" s="71" t="s">
        <v>382</v>
      </c>
      <c r="E2491" s="71" t="str">
        <f>MID(D2491,1,2)</f>
        <v>IL</v>
      </c>
      <c r="F2491" s="71" t="s">
        <v>1234</v>
      </c>
      <c r="G2491" s="71" t="str">
        <f>MID(F2491,1,2)</f>
        <v>PH</v>
      </c>
      <c r="H2491" s="43" t="s">
        <v>4214</v>
      </c>
      <c r="I2491" s="71" t="s">
        <v>4255</v>
      </c>
      <c r="J2491" s="71" t="s">
        <v>483</v>
      </c>
      <c r="K2491" s="43"/>
      <c r="L2491" s="71" t="s">
        <v>105</v>
      </c>
      <c r="M2491" s="73">
        <v>10</v>
      </c>
      <c r="N2491" s="71" t="s">
        <v>388</v>
      </c>
      <c r="O2491" s="73">
        <v>0.148</v>
      </c>
      <c r="P2491" s="71" t="s">
        <v>389</v>
      </c>
      <c r="Q2491" s="73">
        <v>25</v>
      </c>
      <c r="R2491" s="71" t="s">
        <v>388</v>
      </c>
      <c r="S2491" s="73">
        <v>0</v>
      </c>
      <c r="T2491" s="71" t="s">
        <v>390</v>
      </c>
      <c r="U2491" s="74">
        <v>1</v>
      </c>
      <c r="V2491" s="71" t="s">
        <v>391</v>
      </c>
      <c r="W2491" s="130">
        <v>46080.079259259262</v>
      </c>
      <c r="X2491" s="72">
        <v>46081.430555555555</v>
      </c>
      <c r="Y2491" s="72">
        <v>46104.753472222219</v>
      </c>
      <c r="Z2491" s="104" t="s">
        <v>480</v>
      </c>
      <c r="AA2491" s="104" t="s">
        <v>4216</v>
      </c>
      <c r="AB2491" s="105">
        <v>46100.702777777777</v>
      </c>
      <c r="AC2491" s="105"/>
    </row>
    <row r="2492" s="70" customFormat="1" ht="11.25" customHeight="1">
      <c r="A2492" s="87"/>
      <c r="C2492" s="43" t="s">
        <v>4254</v>
      </c>
      <c r="D2492" s="71" t="s">
        <v>382</v>
      </c>
      <c r="E2492" s="71" t="str">
        <f>MID(D2492,1,2)</f>
        <v>IL</v>
      </c>
      <c r="F2492" s="71" t="s">
        <v>1234</v>
      </c>
      <c r="G2492" s="71" t="str">
        <f>MID(F2492,1,2)</f>
        <v>PH</v>
      </c>
      <c r="H2492" s="43" t="s">
        <v>4214</v>
      </c>
      <c r="I2492" s="71" t="s">
        <v>4255</v>
      </c>
      <c r="J2492" s="71" t="s">
        <v>483</v>
      </c>
      <c r="K2492" s="43"/>
      <c r="L2492" s="71" t="s">
        <v>105</v>
      </c>
      <c r="M2492" s="73">
        <v>10</v>
      </c>
      <c r="N2492" s="71" t="s">
        <v>388</v>
      </c>
      <c r="O2492" s="73">
        <v>0.148</v>
      </c>
      <c r="P2492" s="71" t="s">
        <v>389</v>
      </c>
      <c r="Q2492" s="73">
        <v>25</v>
      </c>
      <c r="R2492" s="71" t="s">
        <v>388</v>
      </c>
      <c r="S2492" s="73">
        <v>0</v>
      </c>
      <c r="T2492" s="71" t="s">
        <v>390</v>
      </c>
      <c r="U2492" s="74">
        <v>1</v>
      </c>
      <c r="V2492" s="71" t="s">
        <v>391</v>
      </c>
      <c r="W2492" s="130">
        <v>46080.079259259262</v>
      </c>
      <c r="X2492" s="72">
        <v>46081.430555555555</v>
      </c>
      <c r="Y2492" s="72">
        <v>46104.753472222219</v>
      </c>
      <c r="Z2492" s="104" t="s">
        <v>4216</v>
      </c>
      <c r="AA2492" s="104" t="s">
        <v>1234</v>
      </c>
      <c r="AB2492" s="105">
        <v>46101.090277777781</v>
      </c>
      <c r="AC2492" s="105">
        <v>46102.3</v>
      </c>
    </row>
    <row r="2493" s="70" customFormat="1" ht="11.25" customHeight="1">
      <c r="A2493" s="87"/>
      <c r="C2493" s="43" t="s">
        <v>4256</v>
      </c>
      <c r="D2493" s="71" t="s">
        <v>382</v>
      </c>
      <c r="E2493" s="71" t="str">
        <f>MID(D2493,1,2)</f>
        <v>IL</v>
      </c>
      <c r="F2493" s="71" t="s">
        <v>651</v>
      </c>
      <c r="G2493" s="71" t="str">
        <f>MID(F2493,1,2)</f>
        <v>BR</v>
      </c>
      <c r="H2493" s="43" t="s">
        <v>4226</v>
      </c>
      <c r="I2493" s="71" t="s">
        <v>4257</v>
      </c>
      <c r="J2493" s="71" t="s">
        <v>386</v>
      </c>
      <c r="K2493" s="43"/>
      <c r="L2493" s="71" t="s">
        <v>107</v>
      </c>
      <c r="M2493" s="73">
        <v>44</v>
      </c>
      <c r="N2493" s="71" t="s">
        <v>388</v>
      </c>
      <c r="O2493" s="73">
        <v>0.284</v>
      </c>
      <c r="P2493" s="71" t="s">
        <v>389</v>
      </c>
      <c r="Q2493" s="73">
        <v>47.5</v>
      </c>
      <c r="R2493" s="71" t="s">
        <v>388</v>
      </c>
      <c r="S2493" s="73">
        <v>0</v>
      </c>
      <c r="T2493" s="71" t="s">
        <v>390</v>
      </c>
      <c r="U2493" s="74">
        <v>2</v>
      </c>
      <c r="V2493" s="71" t="s">
        <v>391</v>
      </c>
      <c r="W2493" s="130">
        <v>46079.879212962966</v>
      </c>
      <c r="X2493" s="72">
        <v>46093.419444444444</v>
      </c>
      <c r="Y2493" s="72">
        <v>46101.375</v>
      </c>
      <c r="Z2493" s="104" t="s">
        <v>382</v>
      </c>
      <c r="AA2493" s="104" t="s">
        <v>408</v>
      </c>
      <c r="AB2493" s="105">
        <v>46096.902083333334</v>
      </c>
      <c r="AC2493" s="105"/>
    </row>
    <row r="2494" s="70" customFormat="1" ht="11.25" customHeight="1">
      <c r="A2494" s="87"/>
      <c r="C2494" s="43" t="s">
        <v>4256</v>
      </c>
      <c r="D2494" s="71" t="s">
        <v>382</v>
      </c>
      <c r="E2494" s="71" t="str">
        <f>MID(D2494,1,2)</f>
        <v>IL</v>
      </c>
      <c r="F2494" s="71" t="s">
        <v>651</v>
      </c>
      <c r="G2494" s="71" t="str">
        <f>MID(F2494,1,2)</f>
        <v>BR</v>
      </c>
      <c r="H2494" s="43" t="s">
        <v>4226</v>
      </c>
      <c r="I2494" s="71" t="s">
        <v>4257</v>
      </c>
      <c r="J2494" s="71" t="s">
        <v>386</v>
      </c>
      <c r="K2494" s="43"/>
      <c r="L2494" s="71" t="s">
        <v>107</v>
      </c>
      <c r="M2494" s="73">
        <v>44</v>
      </c>
      <c r="N2494" s="71" t="s">
        <v>388</v>
      </c>
      <c r="O2494" s="73">
        <v>0.284</v>
      </c>
      <c r="P2494" s="71" t="s">
        <v>389</v>
      </c>
      <c r="Q2494" s="73">
        <v>47.5</v>
      </c>
      <c r="R2494" s="71" t="s">
        <v>388</v>
      </c>
      <c r="S2494" s="73">
        <v>0</v>
      </c>
      <c r="T2494" s="71" t="s">
        <v>390</v>
      </c>
      <c r="U2494" s="74">
        <v>2</v>
      </c>
      <c r="V2494" s="71" t="s">
        <v>391</v>
      </c>
      <c r="W2494" s="130">
        <v>46079.879212962966</v>
      </c>
      <c r="X2494" s="72">
        <v>46093.419444444444</v>
      </c>
      <c r="Y2494" s="72">
        <v>46101.375</v>
      </c>
      <c r="Z2494" s="104" t="s">
        <v>408</v>
      </c>
      <c r="AA2494" s="104" t="s">
        <v>480</v>
      </c>
      <c r="AB2494" s="105">
        <v>46099.482638888891</v>
      </c>
      <c r="AC2494" s="105">
        <v>46099.616666666669</v>
      </c>
    </row>
    <row r="2495" s="70" customFormat="1" ht="11.25" customHeight="1">
      <c r="A2495" s="87"/>
      <c r="C2495" s="43" t="s">
        <v>4256</v>
      </c>
      <c r="D2495" s="71" t="s">
        <v>382</v>
      </c>
      <c r="E2495" s="71" t="str">
        <f>MID(D2495,1,2)</f>
        <v>IL</v>
      </c>
      <c r="F2495" s="71" t="s">
        <v>651</v>
      </c>
      <c r="G2495" s="71" t="str">
        <f>MID(F2495,1,2)</f>
        <v>BR</v>
      </c>
      <c r="H2495" s="43" t="s">
        <v>4226</v>
      </c>
      <c r="I2495" s="71" t="s">
        <v>4257</v>
      </c>
      <c r="J2495" s="71" t="s">
        <v>386</v>
      </c>
      <c r="K2495" s="43"/>
      <c r="L2495" s="71" t="s">
        <v>107</v>
      </c>
      <c r="M2495" s="73">
        <v>44</v>
      </c>
      <c r="N2495" s="71" t="s">
        <v>388</v>
      </c>
      <c r="O2495" s="73">
        <v>0.284</v>
      </c>
      <c r="P2495" s="71" t="s">
        <v>389</v>
      </c>
      <c r="Q2495" s="73">
        <v>47.5</v>
      </c>
      <c r="R2495" s="71" t="s">
        <v>388</v>
      </c>
      <c r="S2495" s="73">
        <v>0</v>
      </c>
      <c r="T2495" s="71" t="s">
        <v>390</v>
      </c>
      <c r="U2495" s="74">
        <v>2</v>
      </c>
      <c r="V2495" s="71" t="s">
        <v>391</v>
      </c>
      <c r="W2495" s="130">
        <v>46079.879212962966</v>
      </c>
      <c r="X2495" s="72">
        <v>46093.419444444444</v>
      </c>
      <c r="Y2495" s="72">
        <v>46101.375</v>
      </c>
      <c r="Z2495" s="104" t="s">
        <v>405</v>
      </c>
      <c r="AA2495" s="104" t="s">
        <v>651</v>
      </c>
      <c r="AB2495" s="105">
        <v>46100.909722222219</v>
      </c>
      <c r="AC2495" s="105">
        <v>46101.381944444445</v>
      </c>
    </row>
    <row r="2496" s="70" customFormat="1" ht="11.25" customHeight="1">
      <c r="A2496" s="87"/>
      <c r="C2496" s="43" t="s">
        <v>4258</v>
      </c>
      <c r="D2496" s="71" t="s">
        <v>382</v>
      </c>
      <c r="E2496" s="71" t="str">
        <f>MID(D2496,1,2)</f>
        <v>IL</v>
      </c>
      <c r="F2496" s="71" t="s">
        <v>496</v>
      </c>
      <c r="G2496" s="71" t="str">
        <f>MID(F2496,1,2)</f>
        <v>RO</v>
      </c>
      <c r="H2496" s="43" t="s">
        <v>3990</v>
      </c>
      <c r="I2496" s="71" t="s">
        <v>4259</v>
      </c>
      <c r="J2496" s="71" t="s">
        <v>400</v>
      </c>
      <c r="K2496" s="43"/>
      <c r="L2496" s="71" t="s">
        <v>105</v>
      </c>
      <c r="M2496" s="73">
        <v>27</v>
      </c>
      <c r="N2496" s="71" t="s">
        <v>388</v>
      </c>
      <c r="O2496" s="73">
        <v>0.506</v>
      </c>
      <c r="P2496" s="71" t="s">
        <v>389</v>
      </c>
      <c r="Q2496" s="73">
        <v>84.5</v>
      </c>
      <c r="R2496" s="71" t="s">
        <v>388</v>
      </c>
      <c r="S2496" s="73">
        <v>0</v>
      </c>
      <c r="T2496" s="71" t="s">
        <v>390</v>
      </c>
      <c r="U2496" s="74">
        <v>1</v>
      </c>
      <c r="V2496" s="71" t="s">
        <v>391</v>
      </c>
      <c r="W2496" s="130">
        <v>46079.4375</v>
      </c>
      <c r="X2496" s="72">
        <v>46082.25</v>
      </c>
      <c r="Y2496" s="72">
        <v>46085.416666666664</v>
      </c>
      <c r="Z2496" s="104" t="s">
        <v>408</v>
      </c>
      <c r="AA2496" s="104" t="s">
        <v>496</v>
      </c>
      <c r="AB2496" s="105"/>
      <c r="AC2496" s="105"/>
    </row>
    <row r="2497" s="70" customFormat="1" ht="11.25" customHeight="1">
      <c r="A2497" s="87"/>
      <c r="C2497" s="43" t="s">
        <v>4258</v>
      </c>
      <c r="D2497" s="71" t="s">
        <v>382</v>
      </c>
      <c r="E2497" s="71" t="str">
        <f>MID(D2497,1,2)</f>
        <v>IL</v>
      </c>
      <c r="F2497" s="71" t="s">
        <v>496</v>
      </c>
      <c r="G2497" s="71" t="str">
        <f>MID(F2497,1,2)</f>
        <v>RO</v>
      </c>
      <c r="H2497" s="43" t="s">
        <v>3990</v>
      </c>
      <c r="I2497" s="71" t="s">
        <v>4259</v>
      </c>
      <c r="J2497" s="71" t="s">
        <v>400</v>
      </c>
      <c r="K2497" s="43"/>
      <c r="L2497" s="71" t="s">
        <v>105</v>
      </c>
      <c r="M2497" s="73">
        <v>27</v>
      </c>
      <c r="N2497" s="71" t="s">
        <v>388</v>
      </c>
      <c r="O2497" s="73">
        <v>0.506</v>
      </c>
      <c r="P2497" s="71" t="s">
        <v>389</v>
      </c>
      <c r="Q2497" s="73">
        <v>84.5</v>
      </c>
      <c r="R2497" s="71" t="s">
        <v>388</v>
      </c>
      <c r="S2497" s="73">
        <v>0</v>
      </c>
      <c r="T2497" s="71" t="s">
        <v>390</v>
      </c>
      <c r="U2497" s="74">
        <v>1</v>
      </c>
      <c r="V2497" s="71" t="s">
        <v>391</v>
      </c>
      <c r="W2497" s="130">
        <v>46079.4375</v>
      </c>
      <c r="X2497" s="72">
        <v>46082.25</v>
      </c>
      <c r="Y2497" s="72">
        <v>46085.416666666664</v>
      </c>
      <c r="Z2497" s="104" t="s">
        <v>382</v>
      </c>
      <c r="AA2497" s="104" t="s">
        <v>408</v>
      </c>
      <c r="AB2497" s="105">
        <v>46082.999305555553</v>
      </c>
      <c r="AC2497" s="105">
        <v>46083.086805555555</v>
      </c>
    </row>
    <row r="2498" s="70" customFormat="1" ht="11.25" customHeight="1">
      <c r="A2498" s="87"/>
      <c r="C2498" s="43" t="s">
        <v>4260</v>
      </c>
      <c r="D2498" s="71" t="s">
        <v>382</v>
      </c>
      <c r="E2498" s="71" t="str">
        <f>MID(D2498,1,2)</f>
        <v>IL</v>
      </c>
      <c r="F2498" s="71" t="s">
        <v>414</v>
      </c>
      <c r="G2498" s="71" t="str">
        <f>MID(F2498,1,2)</f>
        <v>US</v>
      </c>
      <c r="H2498" s="43" t="s">
        <v>2791</v>
      </c>
      <c r="I2498" s="71" t="s">
        <v>4261</v>
      </c>
      <c r="J2498" s="71" t="s">
        <v>386</v>
      </c>
      <c r="K2498" s="43"/>
      <c r="L2498" s="71" t="s">
        <v>107</v>
      </c>
      <c r="M2498" s="73">
        <v>1</v>
      </c>
      <c r="N2498" s="71" t="s">
        <v>388</v>
      </c>
      <c r="O2498" s="73">
        <v>0.009</v>
      </c>
      <c r="P2498" s="71" t="s">
        <v>389</v>
      </c>
      <c r="Q2498" s="73">
        <v>1.5</v>
      </c>
      <c r="R2498" s="71" t="s">
        <v>388</v>
      </c>
      <c r="S2498" s="73">
        <v>0</v>
      </c>
      <c r="T2498" s="71" t="s">
        <v>390</v>
      </c>
      <c r="U2498" s="74">
        <v>1</v>
      </c>
      <c r="V2498" s="71" t="s">
        <v>446</v>
      </c>
      <c r="W2498" s="130">
        <v>46086.513888888891</v>
      </c>
      <c r="X2498" s="72">
        <v>46091.229166666664</v>
      </c>
      <c r="Y2498" s="72">
        <v>46096.291666666664</v>
      </c>
      <c r="Z2498" s="104" t="s">
        <v>382</v>
      </c>
      <c r="AA2498" s="104" t="s">
        <v>414</v>
      </c>
      <c r="AB2498" s="105">
        <v>46091.945833333331</v>
      </c>
      <c r="AC2498" s="105">
        <v>46092.136111111111</v>
      </c>
    </row>
    <row r="2499" s="70" customFormat="1" ht="11.25" customHeight="1">
      <c r="A2499" s="87"/>
      <c r="C2499" s="43" t="s">
        <v>4262</v>
      </c>
      <c r="D2499" s="71" t="s">
        <v>382</v>
      </c>
      <c r="E2499" s="71" t="str">
        <f>MID(D2499,1,2)</f>
        <v>IL</v>
      </c>
      <c r="F2499" s="71" t="s">
        <v>651</v>
      </c>
      <c r="G2499" s="71" t="str">
        <f>MID(F2499,1,2)</f>
        <v>BR</v>
      </c>
      <c r="H2499" s="43" t="s">
        <v>4226</v>
      </c>
      <c r="I2499" s="71" t="s">
        <v>4263</v>
      </c>
      <c r="J2499" s="71" t="s">
        <v>386</v>
      </c>
      <c r="K2499" s="43"/>
      <c r="L2499" s="71" t="s">
        <v>107</v>
      </c>
      <c r="M2499" s="73">
        <v>90</v>
      </c>
      <c r="N2499" s="71" t="s">
        <v>388</v>
      </c>
      <c r="O2499" s="73">
        <v>0.986</v>
      </c>
      <c r="P2499" s="71" t="s">
        <v>389</v>
      </c>
      <c r="Q2499" s="73">
        <v>164.5</v>
      </c>
      <c r="R2499" s="71" t="s">
        <v>388</v>
      </c>
      <c r="S2499" s="73">
        <v>0</v>
      </c>
      <c r="T2499" s="71" t="s">
        <v>390</v>
      </c>
      <c r="U2499" s="74">
        <v>6</v>
      </c>
      <c r="V2499" s="71" t="s">
        <v>391</v>
      </c>
      <c r="W2499" s="130">
        <v>46079.90347222222</v>
      </c>
      <c r="X2499" s="72">
        <v>46093.979166666664</v>
      </c>
      <c r="Y2499" s="72">
        <v>46101.375</v>
      </c>
      <c r="Z2499" s="104" t="s">
        <v>382</v>
      </c>
      <c r="AA2499" s="104" t="s">
        <v>408</v>
      </c>
      <c r="AB2499" s="105">
        <v>46096.902083333334</v>
      </c>
      <c r="AC2499" s="105"/>
    </row>
    <row r="2500" s="70" customFormat="1" ht="11.25" customHeight="1">
      <c r="A2500" s="87"/>
      <c r="C2500" s="43" t="s">
        <v>4262</v>
      </c>
      <c r="D2500" s="71" t="s">
        <v>382</v>
      </c>
      <c r="E2500" s="71" t="str">
        <f>MID(D2500,1,2)</f>
        <v>IL</v>
      </c>
      <c r="F2500" s="71" t="s">
        <v>651</v>
      </c>
      <c r="G2500" s="71" t="str">
        <f>MID(F2500,1,2)</f>
        <v>BR</v>
      </c>
      <c r="H2500" s="43" t="s">
        <v>4226</v>
      </c>
      <c r="I2500" s="71" t="s">
        <v>4263</v>
      </c>
      <c r="J2500" s="71" t="s">
        <v>386</v>
      </c>
      <c r="K2500" s="43"/>
      <c r="L2500" s="71" t="s">
        <v>107</v>
      </c>
      <c r="M2500" s="73">
        <v>90</v>
      </c>
      <c r="N2500" s="71" t="s">
        <v>388</v>
      </c>
      <c r="O2500" s="73">
        <v>0.986</v>
      </c>
      <c r="P2500" s="71" t="s">
        <v>389</v>
      </c>
      <c r="Q2500" s="73">
        <v>164.5</v>
      </c>
      <c r="R2500" s="71" t="s">
        <v>388</v>
      </c>
      <c r="S2500" s="73">
        <v>0</v>
      </c>
      <c r="T2500" s="71" t="s">
        <v>390</v>
      </c>
      <c r="U2500" s="74">
        <v>6</v>
      </c>
      <c r="V2500" s="71" t="s">
        <v>391</v>
      </c>
      <c r="W2500" s="130">
        <v>46079.90347222222</v>
      </c>
      <c r="X2500" s="72">
        <v>46093.979166666664</v>
      </c>
      <c r="Y2500" s="72">
        <v>46101.375</v>
      </c>
      <c r="Z2500" s="104" t="s">
        <v>408</v>
      </c>
      <c r="AA2500" s="104" t="s">
        <v>480</v>
      </c>
      <c r="AB2500" s="105">
        <v>46099.482638888891</v>
      </c>
      <c r="AC2500" s="105">
        <v>46099.616666666669</v>
      </c>
    </row>
    <row r="2501" s="70" customFormat="1" ht="11.25" customHeight="1">
      <c r="A2501" s="87"/>
      <c r="C2501" s="43" t="s">
        <v>4262</v>
      </c>
      <c r="D2501" s="71" t="s">
        <v>382</v>
      </c>
      <c r="E2501" s="71" t="str">
        <f>MID(D2501,1,2)</f>
        <v>IL</v>
      </c>
      <c r="F2501" s="71" t="s">
        <v>651</v>
      </c>
      <c r="G2501" s="71" t="str">
        <f>MID(F2501,1,2)</f>
        <v>BR</v>
      </c>
      <c r="H2501" s="43" t="s">
        <v>4226</v>
      </c>
      <c r="I2501" s="71" t="s">
        <v>4263</v>
      </c>
      <c r="J2501" s="71" t="s">
        <v>386</v>
      </c>
      <c r="K2501" s="43"/>
      <c r="L2501" s="71" t="s">
        <v>107</v>
      </c>
      <c r="M2501" s="73">
        <v>90</v>
      </c>
      <c r="N2501" s="71" t="s">
        <v>388</v>
      </c>
      <c r="O2501" s="73">
        <v>0.986</v>
      </c>
      <c r="P2501" s="71" t="s">
        <v>389</v>
      </c>
      <c r="Q2501" s="73">
        <v>164.5</v>
      </c>
      <c r="R2501" s="71" t="s">
        <v>388</v>
      </c>
      <c r="S2501" s="73">
        <v>0</v>
      </c>
      <c r="T2501" s="71" t="s">
        <v>390</v>
      </c>
      <c r="U2501" s="74">
        <v>6</v>
      </c>
      <c r="V2501" s="71" t="s">
        <v>391</v>
      </c>
      <c r="W2501" s="130">
        <v>46079.90347222222</v>
      </c>
      <c r="X2501" s="72">
        <v>46093.979166666664</v>
      </c>
      <c r="Y2501" s="72">
        <v>46101.375</v>
      </c>
      <c r="Z2501" s="104" t="s">
        <v>405</v>
      </c>
      <c r="AA2501" s="104" t="s">
        <v>651</v>
      </c>
      <c r="AB2501" s="105">
        <v>46100.909722222219</v>
      </c>
      <c r="AC2501" s="105">
        <v>46101.381944444445</v>
      </c>
    </row>
    <row r="2502" s="70" customFormat="1" ht="11.25" customHeight="1">
      <c r="A2502" s="87"/>
      <c r="C2502" s="43" t="s">
        <v>4264</v>
      </c>
      <c r="D2502" s="71" t="s">
        <v>382</v>
      </c>
      <c r="E2502" s="71" t="str">
        <f>MID(D2502,1,2)</f>
        <v>IL</v>
      </c>
      <c r="F2502" s="71" t="s">
        <v>522</v>
      </c>
      <c r="G2502" s="71" t="str">
        <f>MID(F2502,1,2)</f>
        <v>CZ</v>
      </c>
      <c r="H2502" s="43"/>
      <c r="I2502" s="71" t="s">
        <v>4265</v>
      </c>
      <c r="J2502" s="71" t="s">
        <v>400</v>
      </c>
      <c r="K2502" s="43"/>
      <c r="L2502" s="71" t="s">
        <v>105</v>
      </c>
      <c r="M2502" s="73">
        <v>10</v>
      </c>
      <c r="N2502" s="71" t="s">
        <v>388</v>
      </c>
      <c r="O2502" s="73">
        <v>0.142</v>
      </c>
      <c r="P2502" s="71" t="s">
        <v>389</v>
      </c>
      <c r="Q2502" s="73">
        <v>24</v>
      </c>
      <c r="R2502" s="71" t="s">
        <v>388</v>
      </c>
      <c r="S2502" s="73">
        <v>0</v>
      </c>
      <c r="T2502" s="71" t="s">
        <v>390</v>
      </c>
      <c r="U2502" s="74">
        <v>2</v>
      </c>
      <c r="V2502" s="71" t="s">
        <v>391</v>
      </c>
      <c r="W2502" s="130">
        <v>46079.486805555556</v>
      </c>
      <c r="X2502" s="72">
        <v>46082.013888888891</v>
      </c>
      <c r="Y2502" s="72">
        <v>46092.496527777781</v>
      </c>
      <c r="Z2502" s="104"/>
      <c r="AA2502" s="104"/>
      <c r="AB2502" s="105"/>
      <c r="AC2502" s="105"/>
    </row>
    <row r="2503" s="70" customFormat="1" ht="11.25" customHeight="1">
      <c r="A2503" s="87"/>
      <c r="C2503" s="43" t="s">
        <v>4266</v>
      </c>
      <c r="D2503" s="71" t="s">
        <v>382</v>
      </c>
      <c r="E2503" s="71" t="str">
        <f>MID(D2503,1,2)</f>
        <v>IL</v>
      </c>
      <c r="F2503" s="71" t="s">
        <v>651</v>
      </c>
      <c r="G2503" s="71" t="str">
        <f>MID(F2503,1,2)</f>
        <v>BR</v>
      </c>
      <c r="H2503" s="43" t="s">
        <v>4226</v>
      </c>
      <c r="I2503" s="71" t="s">
        <v>4267</v>
      </c>
      <c r="J2503" s="71" t="s">
        <v>386</v>
      </c>
      <c r="K2503" s="43"/>
      <c r="L2503" s="71" t="s">
        <v>107</v>
      </c>
      <c r="M2503" s="73">
        <v>88</v>
      </c>
      <c r="N2503" s="71" t="s">
        <v>388</v>
      </c>
      <c r="O2503" s="73">
        <v>0.567</v>
      </c>
      <c r="P2503" s="71" t="s">
        <v>389</v>
      </c>
      <c r="Q2503" s="73">
        <v>94.5</v>
      </c>
      <c r="R2503" s="71" t="s">
        <v>388</v>
      </c>
      <c r="S2503" s="73">
        <v>0</v>
      </c>
      <c r="T2503" s="71" t="s">
        <v>390</v>
      </c>
      <c r="U2503" s="74">
        <v>4</v>
      </c>
      <c r="V2503" s="71" t="s">
        <v>391</v>
      </c>
      <c r="W2503" s="130">
        <v>46079.444444444445</v>
      </c>
      <c r="X2503" s="72">
        <v>46093.419444444444</v>
      </c>
      <c r="Y2503" s="72">
        <v>46101.375</v>
      </c>
      <c r="Z2503" s="104" t="s">
        <v>382</v>
      </c>
      <c r="AA2503" s="104" t="s">
        <v>408</v>
      </c>
      <c r="AB2503" s="105">
        <v>46096.902083333334</v>
      </c>
      <c r="AC2503" s="105"/>
    </row>
    <row r="2504" s="70" customFormat="1" ht="11.25" customHeight="1">
      <c r="A2504" s="87"/>
      <c r="C2504" s="43" t="s">
        <v>4266</v>
      </c>
      <c r="D2504" s="71" t="s">
        <v>382</v>
      </c>
      <c r="E2504" s="71" t="str">
        <f>MID(D2504,1,2)</f>
        <v>IL</v>
      </c>
      <c r="F2504" s="71" t="s">
        <v>651</v>
      </c>
      <c r="G2504" s="71" t="str">
        <f>MID(F2504,1,2)</f>
        <v>BR</v>
      </c>
      <c r="H2504" s="43" t="s">
        <v>4226</v>
      </c>
      <c r="I2504" s="71" t="s">
        <v>4267</v>
      </c>
      <c r="J2504" s="71" t="s">
        <v>386</v>
      </c>
      <c r="K2504" s="43"/>
      <c r="L2504" s="71" t="s">
        <v>107</v>
      </c>
      <c r="M2504" s="73">
        <v>88</v>
      </c>
      <c r="N2504" s="71" t="s">
        <v>388</v>
      </c>
      <c r="O2504" s="73">
        <v>0.567</v>
      </c>
      <c r="P2504" s="71" t="s">
        <v>389</v>
      </c>
      <c r="Q2504" s="73">
        <v>94.5</v>
      </c>
      <c r="R2504" s="71" t="s">
        <v>388</v>
      </c>
      <c r="S2504" s="73">
        <v>0</v>
      </c>
      <c r="T2504" s="71" t="s">
        <v>390</v>
      </c>
      <c r="U2504" s="74">
        <v>4</v>
      </c>
      <c r="V2504" s="71" t="s">
        <v>391</v>
      </c>
      <c r="W2504" s="130">
        <v>46079.444444444445</v>
      </c>
      <c r="X2504" s="72">
        <v>46093.419444444444</v>
      </c>
      <c r="Y2504" s="72">
        <v>46101.375</v>
      </c>
      <c r="Z2504" s="104" t="s">
        <v>408</v>
      </c>
      <c r="AA2504" s="104" t="s">
        <v>480</v>
      </c>
      <c r="AB2504" s="105">
        <v>46099.482638888891</v>
      </c>
      <c r="AC2504" s="105">
        <v>46099.616666666669</v>
      </c>
    </row>
    <row r="2505" s="70" customFormat="1" ht="11.25" customHeight="1">
      <c r="A2505" s="87"/>
      <c r="C2505" s="43" t="s">
        <v>4266</v>
      </c>
      <c r="D2505" s="71" t="s">
        <v>382</v>
      </c>
      <c r="E2505" s="71" t="str">
        <f>MID(D2505,1,2)</f>
        <v>IL</v>
      </c>
      <c r="F2505" s="71" t="s">
        <v>651</v>
      </c>
      <c r="G2505" s="71" t="str">
        <f>MID(F2505,1,2)</f>
        <v>BR</v>
      </c>
      <c r="H2505" s="43" t="s">
        <v>4226</v>
      </c>
      <c r="I2505" s="71" t="s">
        <v>4267</v>
      </c>
      <c r="J2505" s="71" t="s">
        <v>386</v>
      </c>
      <c r="K2505" s="43"/>
      <c r="L2505" s="71" t="s">
        <v>107</v>
      </c>
      <c r="M2505" s="73">
        <v>88</v>
      </c>
      <c r="N2505" s="71" t="s">
        <v>388</v>
      </c>
      <c r="O2505" s="73">
        <v>0.567</v>
      </c>
      <c r="P2505" s="71" t="s">
        <v>389</v>
      </c>
      <c r="Q2505" s="73">
        <v>94.5</v>
      </c>
      <c r="R2505" s="71" t="s">
        <v>388</v>
      </c>
      <c r="S2505" s="73">
        <v>0</v>
      </c>
      <c r="T2505" s="71" t="s">
        <v>390</v>
      </c>
      <c r="U2505" s="74">
        <v>4</v>
      </c>
      <c r="V2505" s="71" t="s">
        <v>391</v>
      </c>
      <c r="W2505" s="130">
        <v>46079.444444444445</v>
      </c>
      <c r="X2505" s="72">
        <v>46093.419444444444</v>
      </c>
      <c r="Y2505" s="72">
        <v>46101.375</v>
      </c>
      <c r="Z2505" s="104" t="s">
        <v>405</v>
      </c>
      <c r="AA2505" s="104" t="s">
        <v>651</v>
      </c>
      <c r="AB2505" s="105">
        <v>46100.909722222219</v>
      </c>
      <c r="AC2505" s="105">
        <v>46101.381944444445</v>
      </c>
    </row>
    <row r="2506" s="70" customFormat="1" ht="11.25" customHeight="1">
      <c r="A2506" s="87"/>
      <c r="C2506" s="43" t="s">
        <v>4268</v>
      </c>
      <c r="D2506" s="71" t="s">
        <v>382</v>
      </c>
      <c r="E2506" s="71" t="str">
        <f>MID(D2506,1,2)</f>
        <v>IL</v>
      </c>
      <c r="F2506" s="71" t="s">
        <v>1108</v>
      </c>
      <c r="G2506" s="71" t="str">
        <f>MID(F2506,1,2)</f>
        <v>TW</v>
      </c>
      <c r="H2506" s="43" t="s">
        <v>4269</v>
      </c>
      <c r="I2506" s="71" t="s">
        <v>4270</v>
      </c>
      <c r="J2506" s="71" t="s">
        <v>755</v>
      </c>
      <c r="K2506" s="43"/>
      <c r="L2506" s="71" t="s">
        <v>105</v>
      </c>
      <c r="M2506" s="73">
        <v>115</v>
      </c>
      <c r="N2506" s="71" t="s">
        <v>388</v>
      </c>
      <c r="O2506" s="73">
        <v>0.517</v>
      </c>
      <c r="P2506" s="71" t="s">
        <v>389</v>
      </c>
      <c r="Q2506" s="73">
        <v>115</v>
      </c>
      <c r="R2506" s="71" t="s">
        <v>388</v>
      </c>
      <c r="S2506" s="73">
        <v>0</v>
      </c>
      <c r="T2506" s="71" t="s">
        <v>390</v>
      </c>
      <c r="U2506" s="74">
        <v>1</v>
      </c>
      <c r="V2506" s="71" t="s">
        <v>391</v>
      </c>
      <c r="W2506" s="130">
        <v>46080.136111111111</v>
      </c>
      <c r="X2506" s="72">
        <v>46089.9375</v>
      </c>
      <c r="Y2506" s="72">
        <v>46094.84375</v>
      </c>
      <c r="Z2506" s="104" t="s">
        <v>382</v>
      </c>
      <c r="AA2506" s="104" t="s">
        <v>383</v>
      </c>
      <c r="AB2506" s="105">
        <v>46091.299305555556</v>
      </c>
      <c r="AC2506" s="105"/>
    </row>
    <row r="2507" s="70" customFormat="1" ht="11.25" customHeight="1">
      <c r="A2507" s="87"/>
      <c r="C2507" s="43" t="s">
        <v>4268</v>
      </c>
      <c r="D2507" s="71" t="s">
        <v>382</v>
      </c>
      <c r="E2507" s="71" t="str">
        <f>MID(D2507,1,2)</f>
        <v>IL</v>
      </c>
      <c r="F2507" s="71" t="s">
        <v>1108</v>
      </c>
      <c r="G2507" s="71" t="str">
        <f>MID(F2507,1,2)</f>
        <v>TW</v>
      </c>
      <c r="H2507" s="43" t="s">
        <v>4269</v>
      </c>
      <c r="I2507" s="71" t="s">
        <v>4270</v>
      </c>
      <c r="J2507" s="71" t="s">
        <v>755</v>
      </c>
      <c r="K2507" s="43"/>
      <c r="L2507" s="71" t="s">
        <v>105</v>
      </c>
      <c r="M2507" s="73">
        <v>115</v>
      </c>
      <c r="N2507" s="71" t="s">
        <v>388</v>
      </c>
      <c r="O2507" s="73">
        <v>0.517</v>
      </c>
      <c r="P2507" s="71" t="s">
        <v>389</v>
      </c>
      <c r="Q2507" s="73">
        <v>115</v>
      </c>
      <c r="R2507" s="71" t="s">
        <v>388</v>
      </c>
      <c r="S2507" s="73">
        <v>0</v>
      </c>
      <c r="T2507" s="71" t="s">
        <v>390</v>
      </c>
      <c r="U2507" s="74">
        <v>1</v>
      </c>
      <c r="V2507" s="71" t="s">
        <v>391</v>
      </c>
      <c r="W2507" s="130">
        <v>46080.136111111111</v>
      </c>
      <c r="X2507" s="72">
        <v>46089.9375</v>
      </c>
      <c r="Y2507" s="72">
        <v>46094.84375</v>
      </c>
      <c r="Z2507" s="104" t="s">
        <v>383</v>
      </c>
      <c r="AA2507" s="104" t="s">
        <v>403</v>
      </c>
      <c r="AB2507" s="105">
        <v>46093.503472222219</v>
      </c>
      <c r="AC2507" s="105">
        <v>46094.292361111111</v>
      </c>
    </row>
    <row r="2508" s="70" customFormat="1" ht="11.25" customHeight="1">
      <c r="A2508" s="87"/>
      <c r="C2508" s="43" t="s">
        <v>4268</v>
      </c>
      <c r="D2508" s="71" t="s">
        <v>382</v>
      </c>
      <c r="E2508" s="71" t="str">
        <f>MID(D2508,1,2)</f>
        <v>IL</v>
      </c>
      <c r="F2508" s="71" t="s">
        <v>1108</v>
      </c>
      <c r="G2508" s="71" t="str">
        <f>MID(F2508,1,2)</f>
        <v>TW</v>
      </c>
      <c r="H2508" s="43" t="s">
        <v>4269</v>
      </c>
      <c r="I2508" s="71" t="s">
        <v>4270</v>
      </c>
      <c r="J2508" s="71" t="s">
        <v>755</v>
      </c>
      <c r="K2508" s="43"/>
      <c r="L2508" s="71" t="s">
        <v>105</v>
      </c>
      <c r="M2508" s="73">
        <v>115</v>
      </c>
      <c r="N2508" s="71" t="s">
        <v>388</v>
      </c>
      <c r="O2508" s="73">
        <v>0.517</v>
      </c>
      <c r="P2508" s="71" t="s">
        <v>389</v>
      </c>
      <c r="Q2508" s="73">
        <v>115</v>
      </c>
      <c r="R2508" s="71" t="s">
        <v>388</v>
      </c>
      <c r="S2508" s="73">
        <v>0</v>
      </c>
      <c r="T2508" s="71" t="s">
        <v>390</v>
      </c>
      <c r="U2508" s="74">
        <v>1</v>
      </c>
      <c r="V2508" s="71" t="s">
        <v>391</v>
      </c>
      <c r="W2508" s="130">
        <v>46080.136111111111</v>
      </c>
      <c r="X2508" s="72">
        <v>46089.9375</v>
      </c>
      <c r="Y2508" s="72">
        <v>46094.84375</v>
      </c>
      <c r="Z2508" s="104" t="s">
        <v>403</v>
      </c>
      <c r="AA2508" s="104" t="s">
        <v>1108</v>
      </c>
      <c r="AB2508" s="105">
        <v>46094.836111111108</v>
      </c>
      <c r="AC2508" s="105">
        <v>46094.911805555559</v>
      </c>
    </row>
    <row r="2509" s="70" customFormat="1" ht="11.25" customHeight="1">
      <c r="A2509" s="87"/>
      <c r="C2509" s="43" t="s">
        <v>4271</v>
      </c>
      <c r="D2509" s="71" t="s">
        <v>382</v>
      </c>
      <c r="E2509" s="71" t="str">
        <f>MID(D2509,1,2)</f>
        <v>IL</v>
      </c>
      <c r="F2509" s="71" t="s">
        <v>651</v>
      </c>
      <c r="G2509" s="71" t="str">
        <f>MID(F2509,1,2)</f>
        <v>BR</v>
      </c>
      <c r="H2509" s="43" t="s">
        <v>4226</v>
      </c>
      <c r="I2509" s="71" t="s">
        <v>4272</v>
      </c>
      <c r="J2509" s="71" t="s">
        <v>386</v>
      </c>
      <c r="K2509" s="43"/>
      <c r="L2509" s="71" t="s">
        <v>107</v>
      </c>
      <c r="M2509" s="73">
        <v>44</v>
      </c>
      <c r="N2509" s="71" t="s">
        <v>388</v>
      </c>
      <c r="O2509" s="73">
        <v>0.284</v>
      </c>
      <c r="P2509" s="71" t="s">
        <v>389</v>
      </c>
      <c r="Q2509" s="73">
        <v>47.5</v>
      </c>
      <c r="R2509" s="71" t="s">
        <v>388</v>
      </c>
      <c r="S2509" s="73">
        <v>0</v>
      </c>
      <c r="T2509" s="71" t="s">
        <v>390</v>
      </c>
      <c r="U2509" s="74">
        <v>2</v>
      </c>
      <c r="V2509" s="71" t="s">
        <v>391</v>
      </c>
      <c r="W2509" s="130">
        <v>46079.858495370368</v>
      </c>
      <c r="X2509" s="72">
        <v>46093.979166666664</v>
      </c>
      <c r="Y2509" s="72">
        <v>46101.375</v>
      </c>
      <c r="Z2509" s="104" t="s">
        <v>382</v>
      </c>
      <c r="AA2509" s="104" t="s">
        <v>408</v>
      </c>
      <c r="AB2509" s="105">
        <v>46096.902083333334</v>
      </c>
      <c r="AC2509" s="105"/>
    </row>
    <row r="2510" s="70" customFormat="1" ht="11.25" customHeight="1">
      <c r="A2510" s="87"/>
      <c r="C2510" s="43" t="s">
        <v>4271</v>
      </c>
      <c r="D2510" s="71" t="s">
        <v>382</v>
      </c>
      <c r="E2510" s="71" t="str">
        <f>MID(D2510,1,2)</f>
        <v>IL</v>
      </c>
      <c r="F2510" s="71" t="s">
        <v>651</v>
      </c>
      <c r="G2510" s="71" t="str">
        <f>MID(F2510,1,2)</f>
        <v>BR</v>
      </c>
      <c r="H2510" s="43" t="s">
        <v>4226</v>
      </c>
      <c r="I2510" s="71" t="s">
        <v>4272</v>
      </c>
      <c r="J2510" s="71" t="s">
        <v>386</v>
      </c>
      <c r="K2510" s="43"/>
      <c r="L2510" s="71" t="s">
        <v>107</v>
      </c>
      <c r="M2510" s="73">
        <v>44</v>
      </c>
      <c r="N2510" s="71" t="s">
        <v>388</v>
      </c>
      <c r="O2510" s="73">
        <v>0.284</v>
      </c>
      <c r="P2510" s="71" t="s">
        <v>389</v>
      </c>
      <c r="Q2510" s="73">
        <v>47.5</v>
      </c>
      <c r="R2510" s="71" t="s">
        <v>388</v>
      </c>
      <c r="S2510" s="73">
        <v>0</v>
      </c>
      <c r="T2510" s="71" t="s">
        <v>390</v>
      </c>
      <c r="U2510" s="74">
        <v>2</v>
      </c>
      <c r="V2510" s="71" t="s">
        <v>391</v>
      </c>
      <c r="W2510" s="130">
        <v>46079.858495370368</v>
      </c>
      <c r="X2510" s="72">
        <v>46093.979166666664</v>
      </c>
      <c r="Y2510" s="72">
        <v>46101.375</v>
      </c>
      <c r="Z2510" s="104" t="s">
        <v>408</v>
      </c>
      <c r="AA2510" s="104" t="s">
        <v>480</v>
      </c>
      <c r="AB2510" s="105">
        <v>46099.482638888891</v>
      </c>
      <c r="AC2510" s="105">
        <v>46099.616666666669</v>
      </c>
    </row>
    <row r="2511" s="70" customFormat="1" ht="11.25" customHeight="1">
      <c r="A2511" s="87"/>
      <c r="C2511" s="43" t="s">
        <v>4271</v>
      </c>
      <c r="D2511" s="71" t="s">
        <v>382</v>
      </c>
      <c r="E2511" s="71" t="str">
        <f>MID(D2511,1,2)</f>
        <v>IL</v>
      </c>
      <c r="F2511" s="71" t="s">
        <v>651</v>
      </c>
      <c r="G2511" s="71" t="str">
        <f>MID(F2511,1,2)</f>
        <v>BR</v>
      </c>
      <c r="H2511" s="43" t="s">
        <v>4226</v>
      </c>
      <c r="I2511" s="71" t="s">
        <v>4272</v>
      </c>
      <c r="J2511" s="71" t="s">
        <v>386</v>
      </c>
      <c r="K2511" s="43"/>
      <c r="L2511" s="71" t="s">
        <v>107</v>
      </c>
      <c r="M2511" s="73">
        <v>44</v>
      </c>
      <c r="N2511" s="71" t="s">
        <v>388</v>
      </c>
      <c r="O2511" s="73">
        <v>0.284</v>
      </c>
      <c r="P2511" s="71" t="s">
        <v>389</v>
      </c>
      <c r="Q2511" s="73">
        <v>47.5</v>
      </c>
      <c r="R2511" s="71" t="s">
        <v>388</v>
      </c>
      <c r="S2511" s="73">
        <v>0</v>
      </c>
      <c r="T2511" s="71" t="s">
        <v>390</v>
      </c>
      <c r="U2511" s="74">
        <v>2</v>
      </c>
      <c r="V2511" s="71" t="s">
        <v>391</v>
      </c>
      <c r="W2511" s="130">
        <v>46079.858495370368</v>
      </c>
      <c r="X2511" s="72">
        <v>46093.979166666664</v>
      </c>
      <c r="Y2511" s="72">
        <v>46101.375</v>
      </c>
      <c r="Z2511" s="104" t="s">
        <v>405</v>
      </c>
      <c r="AA2511" s="104" t="s">
        <v>651</v>
      </c>
      <c r="AB2511" s="105">
        <v>46100.909722222219</v>
      </c>
      <c r="AC2511" s="105">
        <v>46101.381944444445</v>
      </c>
    </row>
    <row r="2512" s="70" customFormat="1" ht="11.25" customHeight="1">
      <c r="A2512" s="87"/>
      <c r="C2512" s="43" t="s">
        <v>4273</v>
      </c>
      <c r="D2512" s="71" t="s">
        <v>382</v>
      </c>
      <c r="E2512" s="71" t="str">
        <f>MID(D2512,1,2)</f>
        <v>IL</v>
      </c>
      <c r="F2512" s="71" t="s">
        <v>651</v>
      </c>
      <c r="G2512" s="71" t="str">
        <f>MID(F2512,1,2)</f>
        <v>BR</v>
      </c>
      <c r="H2512" s="43" t="s">
        <v>4226</v>
      </c>
      <c r="I2512" s="71" t="s">
        <v>4274</v>
      </c>
      <c r="J2512" s="71" t="s">
        <v>386</v>
      </c>
      <c r="K2512" s="43"/>
      <c r="L2512" s="71" t="s">
        <v>107</v>
      </c>
      <c r="M2512" s="73">
        <v>88</v>
      </c>
      <c r="N2512" s="71" t="s">
        <v>388</v>
      </c>
      <c r="O2512" s="73">
        <v>0.567</v>
      </c>
      <c r="P2512" s="71" t="s">
        <v>389</v>
      </c>
      <c r="Q2512" s="73">
        <v>94.5</v>
      </c>
      <c r="R2512" s="71" t="s">
        <v>388</v>
      </c>
      <c r="S2512" s="73">
        <v>0</v>
      </c>
      <c r="T2512" s="71" t="s">
        <v>390</v>
      </c>
      <c r="U2512" s="74">
        <v>4</v>
      </c>
      <c r="V2512" s="71" t="s">
        <v>391</v>
      </c>
      <c r="W2512" s="130">
        <v>46079.459027777775</v>
      </c>
      <c r="X2512" s="72">
        <v>46093.979166666664</v>
      </c>
      <c r="Y2512" s="72">
        <v>46101.375</v>
      </c>
      <c r="Z2512" s="104" t="s">
        <v>382</v>
      </c>
      <c r="AA2512" s="104" t="s">
        <v>408</v>
      </c>
      <c r="AB2512" s="105">
        <v>46096.902083333334</v>
      </c>
      <c r="AC2512" s="105"/>
    </row>
    <row r="2513" s="70" customFormat="1" ht="11.25" customHeight="1">
      <c r="A2513" s="87"/>
      <c r="C2513" s="43" t="s">
        <v>4273</v>
      </c>
      <c r="D2513" s="71" t="s">
        <v>382</v>
      </c>
      <c r="E2513" s="71" t="str">
        <f>MID(D2513,1,2)</f>
        <v>IL</v>
      </c>
      <c r="F2513" s="71" t="s">
        <v>651</v>
      </c>
      <c r="G2513" s="71" t="str">
        <f>MID(F2513,1,2)</f>
        <v>BR</v>
      </c>
      <c r="H2513" s="43" t="s">
        <v>4226</v>
      </c>
      <c r="I2513" s="71" t="s">
        <v>4274</v>
      </c>
      <c r="J2513" s="71" t="s">
        <v>386</v>
      </c>
      <c r="K2513" s="43"/>
      <c r="L2513" s="71" t="s">
        <v>107</v>
      </c>
      <c r="M2513" s="73">
        <v>88</v>
      </c>
      <c r="N2513" s="71" t="s">
        <v>388</v>
      </c>
      <c r="O2513" s="73">
        <v>0.567</v>
      </c>
      <c r="P2513" s="71" t="s">
        <v>389</v>
      </c>
      <c r="Q2513" s="73">
        <v>94.5</v>
      </c>
      <c r="R2513" s="71" t="s">
        <v>388</v>
      </c>
      <c r="S2513" s="73">
        <v>0</v>
      </c>
      <c r="T2513" s="71" t="s">
        <v>390</v>
      </c>
      <c r="U2513" s="74">
        <v>4</v>
      </c>
      <c r="V2513" s="71" t="s">
        <v>391</v>
      </c>
      <c r="W2513" s="130">
        <v>46079.459027777775</v>
      </c>
      <c r="X2513" s="72">
        <v>46093.979166666664</v>
      </c>
      <c r="Y2513" s="72">
        <v>46101.375</v>
      </c>
      <c r="Z2513" s="104" t="s">
        <v>408</v>
      </c>
      <c r="AA2513" s="104" t="s">
        <v>480</v>
      </c>
      <c r="AB2513" s="105">
        <v>46099.482638888891</v>
      </c>
      <c r="AC2513" s="105">
        <v>46099.616666666669</v>
      </c>
    </row>
    <row r="2514" s="70" customFormat="1" ht="11.25" customHeight="1">
      <c r="A2514" s="87"/>
      <c r="C2514" s="43" t="s">
        <v>4273</v>
      </c>
      <c r="D2514" s="71" t="s">
        <v>382</v>
      </c>
      <c r="E2514" s="71" t="str">
        <f>MID(D2514,1,2)</f>
        <v>IL</v>
      </c>
      <c r="F2514" s="71" t="s">
        <v>651</v>
      </c>
      <c r="G2514" s="71" t="str">
        <f>MID(F2514,1,2)</f>
        <v>BR</v>
      </c>
      <c r="H2514" s="43" t="s">
        <v>4226</v>
      </c>
      <c r="I2514" s="71" t="s">
        <v>4274</v>
      </c>
      <c r="J2514" s="71" t="s">
        <v>386</v>
      </c>
      <c r="K2514" s="43"/>
      <c r="L2514" s="71" t="s">
        <v>107</v>
      </c>
      <c r="M2514" s="73">
        <v>88</v>
      </c>
      <c r="N2514" s="71" t="s">
        <v>388</v>
      </c>
      <c r="O2514" s="73">
        <v>0.567</v>
      </c>
      <c r="P2514" s="71" t="s">
        <v>389</v>
      </c>
      <c r="Q2514" s="73">
        <v>94.5</v>
      </c>
      <c r="R2514" s="71" t="s">
        <v>388</v>
      </c>
      <c r="S2514" s="73">
        <v>0</v>
      </c>
      <c r="T2514" s="71" t="s">
        <v>390</v>
      </c>
      <c r="U2514" s="74">
        <v>4</v>
      </c>
      <c r="V2514" s="71" t="s">
        <v>391</v>
      </c>
      <c r="W2514" s="130">
        <v>46079.459027777775</v>
      </c>
      <c r="X2514" s="72">
        <v>46093.979166666664</v>
      </c>
      <c r="Y2514" s="72">
        <v>46101.375</v>
      </c>
      <c r="Z2514" s="104" t="s">
        <v>405</v>
      </c>
      <c r="AA2514" s="104" t="s">
        <v>651</v>
      </c>
      <c r="AB2514" s="105">
        <v>46100.909722222219</v>
      </c>
      <c r="AC2514" s="105">
        <v>46101.381944444445</v>
      </c>
    </row>
    <row r="2515" s="70" customFormat="1" ht="11.25" customHeight="1">
      <c r="A2515" s="87"/>
      <c r="C2515" s="43" t="s">
        <v>4275</v>
      </c>
      <c r="D2515" s="71" t="s">
        <v>382</v>
      </c>
      <c r="E2515" s="71" t="str">
        <f>MID(D2515,1,2)</f>
        <v>IL</v>
      </c>
      <c r="F2515" s="71" t="s">
        <v>476</v>
      </c>
      <c r="G2515" s="71" t="str">
        <f>MID(F2515,1,2)</f>
        <v>SG</v>
      </c>
      <c r="H2515" s="43" t="s">
        <v>4276</v>
      </c>
      <c r="I2515" s="71" t="s">
        <v>4277</v>
      </c>
      <c r="J2515" s="71" t="s">
        <v>454</v>
      </c>
      <c r="K2515" s="43"/>
      <c r="L2515" s="71" t="s">
        <v>107</v>
      </c>
      <c r="M2515" s="73">
        <v>218</v>
      </c>
      <c r="N2515" s="71" t="s">
        <v>388</v>
      </c>
      <c r="O2515" s="73">
        <v>2.405</v>
      </c>
      <c r="P2515" s="71" t="s">
        <v>389</v>
      </c>
      <c r="Q2515" s="73">
        <v>401</v>
      </c>
      <c r="R2515" s="71" t="s">
        <v>388</v>
      </c>
      <c r="S2515" s="73">
        <v>0</v>
      </c>
      <c r="T2515" s="71" t="s">
        <v>390</v>
      </c>
      <c r="U2515" s="74">
        <v>2</v>
      </c>
      <c r="V2515" s="71" t="s">
        <v>391</v>
      </c>
      <c r="W2515" s="130">
        <v>46079.739814814813</v>
      </c>
      <c r="X2515" s="72">
        <v>46088.68125</v>
      </c>
      <c r="Y2515" s="72">
        <v>46096.617361111108</v>
      </c>
      <c r="Z2515" s="104" t="s">
        <v>382</v>
      </c>
      <c r="AA2515" s="104" t="s">
        <v>403</v>
      </c>
      <c r="AB2515" s="105">
        <v>46093.134722222225</v>
      </c>
      <c r="AC2515" s="105">
        <v>46093.914583333331</v>
      </c>
    </row>
    <row r="2516" s="70" customFormat="1" ht="11.25" customHeight="1">
      <c r="A2516" s="87"/>
      <c r="C2516" s="43" t="s">
        <v>4275</v>
      </c>
      <c r="D2516" s="71" t="s">
        <v>382</v>
      </c>
      <c r="E2516" s="71" t="str">
        <f>MID(D2516,1,2)</f>
        <v>IL</v>
      </c>
      <c r="F2516" s="71" t="s">
        <v>476</v>
      </c>
      <c r="G2516" s="71" t="str">
        <f>MID(F2516,1,2)</f>
        <v>SG</v>
      </c>
      <c r="H2516" s="43" t="s">
        <v>4276</v>
      </c>
      <c r="I2516" s="71" t="s">
        <v>4277</v>
      </c>
      <c r="J2516" s="71" t="s">
        <v>454</v>
      </c>
      <c r="K2516" s="43"/>
      <c r="L2516" s="71" t="s">
        <v>107</v>
      </c>
      <c r="M2516" s="73">
        <v>218</v>
      </c>
      <c r="N2516" s="71" t="s">
        <v>388</v>
      </c>
      <c r="O2516" s="73">
        <v>2.405</v>
      </c>
      <c r="P2516" s="71" t="s">
        <v>389</v>
      </c>
      <c r="Q2516" s="73">
        <v>401</v>
      </c>
      <c r="R2516" s="71" t="s">
        <v>388</v>
      </c>
      <c r="S2516" s="73">
        <v>0</v>
      </c>
      <c r="T2516" s="71" t="s">
        <v>390</v>
      </c>
      <c r="U2516" s="74">
        <v>2</v>
      </c>
      <c r="V2516" s="71" t="s">
        <v>391</v>
      </c>
      <c r="W2516" s="130">
        <v>46079.739814814813</v>
      </c>
      <c r="X2516" s="72">
        <v>46088.68125</v>
      </c>
      <c r="Y2516" s="72">
        <v>46096.617361111108</v>
      </c>
      <c r="Z2516" s="104" t="s">
        <v>403</v>
      </c>
      <c r="AA2516" s="104" t="s">
        <v>476</v>
      </c>
      <c r="AB2516" s="105">
        <v>46096.37777777778</v>
      </c>
      <c r="AC2516" s="105">
        <v>46096.533333333333</v>
      </c>
    </row>
    <row r="2517" s="70" customFormat="1" ht="11.25" customHeight="1">
      <c r="A2517" s="87"/>
      <c r="C2517" s="43" t="s">
        <v>4278</v>
      </c>
      <c r="D2517" s="71" t="s">
        <v>382</v>
      </c>
      <c r="E2517" s="71" t="str">
        <f>MID(D2517,1,2)</f>
        <v>IL</v>
      </c>
      <c r="F2517" s="71" t="s">
        <v>465</v>
      </c>
      <c r="G2517" s="71" t="str">
        <f>MID(F2517,1,2)</f>
        <v>AZ</v>
      </c>
      <c r="H2517" s="43" t="s">
        <v>4279</v>
      </c>
      <c r="I2517" s="71" t="s">
        <v>4280</v>
      </c>
      <c r="J2517" s="71" t="s">
        <v>426</v>
      </c>
      <c r="K2517" s="43"/>
      <c r="L2517" s="71" t="s">
        <v>105</v>
      </c>
      <c r="M2517" s="73">
        <v>55</v>
      </c>
      <c r="N2517" s="71" t="s">
        <v>388</v>
      </c>
      <c r="O2517" s="73">
        <v>0.357</v>
      </c>
      <c r="P2517" s="71" t="s">
        <v>389</v>
      </c>
      <c r="Q2517" s="73">
        <v>59.5</v>
      </c>
      <c r="R2517" s="71" t="s">
        <v>388</v>
      </c>
      <c r="S2517" s="73">
        <v>0</v>
      </c>
      <c r="T2517" s="71" t="s">
        <v>390</v>
      </c>
      <c r="U2517" s="74">
        <v>1</v>
      </c>
      <c r="V2517" s="71" t="s">
        <v>391</v>
      </c>
      <c r="W2517" s="130">
        <v>46079.46597222222</v>
      </c>
      <c r="X2517" s="72">
        <v>46102.256944444445</v>
      </c>
      <c r="Y2517" s="72">
        <v>46130.385416666664</v>
      </c>
      <c r="Z2517" s="104" t="s">
        <v>382</v>
      </c>
      <c r="AA2517" s="104" t="s">
        <v>465</v>
      </c>
      <c r="AB2517" s="105">
        <v>46080.472916666666</v>
      </c>
      <c r="AC2517" s="105">
        <v>46080.598611111112</v>
      </c>
    </row>
    <row r="2518" s="70" customFormat="1" ht="11.25" customHeight="1">
      <c r="A2518" s="87"/>
      <c r="C2518" s="43" t="s">
        <v>4281</v>
      </c>
      <c r="D2518" s="71" t="s">
        <v>382</v>
      </c>
      <c r="E2518" s="71" t="str">
        <f>MID(D2518,1,2)</f>
        <v>IL</v>
      </c>
      <c r="F2518" s="71" t="s">
        <v>651</v>
      </c>
      <c r="G2518" s="71" t="str">
        <f>MID(F2518,1,2)</f>
        <v>BR</v>
      </c>
      <c r="H2518" s="43" t="s">
        <v>4226</v>
      </c>
      <c r="I2518" s="71" t="s">
        <v>4282</v>
      </c>
      <c r="J2518" s="71" t="s">
        <v>386</v>
      </c>
      <c r="K2518" s="43"/>
      <c r="L2518" s="71" t="s">
        <v>107</v>
      </c>
      <c r="M2518" s="73">
        <v>37</v>
      </c>
      <c r="N2518" s="71" t="s">
        <v>388</v>
      </c>
      <c r="O2518" s="73">
        <v>0.164</v>
      </c>
      <c r="P2518" s="71" t="s">
        <v>389</v>
      </c>
      <c r="Q2518" s="73">
        <v>37</v>
      </c>
      <c r="R2518" s="71" t="s">
        <v>388</v>
      </c>
      <c r="S2518" s="73">
        <v>0</v>
      </c>
      <c r="T2518" s="71" t="s">
        <v>390</v>
      </c>
      <c r="U2518" s="74">
        <v>1</v>
      </c>
      <c r="V2518" s="71" t="s">
        <v>391</v>
      </c>
      <c r="W2518" s="130">
        <v>46079.459027777775</v>
      </c>
      <c r="X2518" s="72">
        <v>46093.979166666664</v>
      </c>
      <c r="Y2518" s="72">
        <v>46101.375</v>
      </c>
      <c r="Z2518" s="104" t="s">
        <v>382</v>
      </c>
      <c r="AA2518" s="104" t="s">
        <v>408</v>
      </c>
      <c r="AB2518" s="105">
        <v>46096.902083333334</v>
      </c>
      <c r="AC2518" s="105"/>
    </row>
    <row r="2519" s="70" customFormat="1" ht="11.25" customHeight="1">
      <c r="A2519" s="87"/>
      <c r="C2519" s="43" t="s">
        <v>4281</v>
      </c>
      <c r="D2519" s="71" t="s">
        <v>382</v>
      </c>
      <c r="E2519" s="71" t="str">
        <f>MID(D2519,1,2)</f>
        <v>IL</v>
      </c>
      <c r="F2519" s="71" t="s">
        <v>651</v>
      </c>
      <c r="G2519" s="71" t="str">
        <f>MID(F2519,1,2)</f>
        <v>BR</v>
      </c>
      <c r="H2519" s="43" t="s">
        <v>4226</v>
      </c>
      <c r="I2519" s="71" t="s">
        <v>4282</v>
      </c>
      <c r="J2519" s="71" t="s">
        <v>386</v>
      </c>
      <c r="K2519" s="43"/>
      <c r="L2519" s="71" t="s">
        <v>107</v>
      </c>
      <c r="M2519" s="73">
        <v>37</v>
      </c>
      <c r="N2519" s="71" t="s">
        <v>388</v>
      </c>
      <c r="O2519" s="73">
        <v>0.164</v>
      </c>
      <c r="P2519" s="71" t="s">
        <v>389</v>
      </c>
      <c r="Q2519" s="73">
        <v>37</v>
      </c>
      <c r="R2519" s="71" t="s">
        <v>388</v>
      </c>
      <c r="S2519" s="73">
        <v>0</v>
      </c>
      <c r="T2519" s="71" t="s">
        <v>390</v>
      </c>
      <c r="U2519" s="74">
        <v>1</v>
      </c>
      <c r="V2519" s="71" t="s">
        <v>391</v>
      </c>
      <c r="W2519" s="130">
        <v>46079.459027777775</v>
      </c>
      <c r="X2519" s="72">
        <v>46093.979166666664</v>
      </c>
      <c r="Y2519" s="72">
        <v>46101.375</v>
      </c>
      <c r="Z2519" s="104" t="s">
        <v>408</v>
      </c>
      <c r="AA2519" s="104" t="s">
        <v>480</v>
      </c>
      <c r="AB2519" s="105">
        <v>46099.482638888891</v>
      </c>
      <c r="AC2519" s="105">
        <v>46099.616666666669</v>
      </c>
    </row>
    <row r="2520" s="70" customFormat="1" ht="11.25" customHeight="1">
      <c r="A2520" s="87"/>
      <c r="C2520" s="43" t="s">
        <v>4281</v>
      </c>
      <c r="D2520" s="71" t="s">
        <v>382</v>
      </c>
      <c r="E2520" s="71" t="str">
        <f>MID(D2520,1,2)</f>
        <v>IL</v>
      </c>
      <c r="F2520" s="71" t="s">
        <v>651</v>
      </c>
      <c r="G2520" s="71" t="str">
        <f>MID(F2520,1,2)</f>
        <v>BR</v>
      </c>
      <c r="H2520" s="43" t="s">
        <v>4226</v>
      </c>
      <c r="I2520" s="71" t="s">
        <v>4282</v>
      </c>
      <c r="J2520" s="71" t="s">
        <v>386</v>
      </c>
      <c r="K2520" s="43"/>
      <c r="L2520" s="71" t="s">
        <v>107</v>
      </c>
      <c r="M2520" s="73">
        <v>37</v>
      </c>
      <c r="N2520" s="71" t="s">
        <v>388</v>
      </c>
      <c r="O2520" s="73">
        <v>0.164</v>
      </c>
      <c r="P2520" s="71" t="s">
        <v>389</v>
      </c>
      <c r="Q2520" s="73">
        <v>37</v>
      </c>
      <c r="R2520" s="71" t="s">
        <v>388</v>
      </c>
      <c r="S2520" s="73">
        <v>0</v>
      </c>
      <c r="T2520" s="71" t="s">
        <v>390</v>
      </c>
      <c r="U2520" s="74">
        <v>1</v>
      </c>
      <c r="V2520" s="71" t="s">
        <v>391</v>
      </c>
      <c r="W2520" s="130">
        <v>46079.459027777775</v>
      </c>
      <c r="X2520" s="72">
        <v>46093.979166666664</v>
      </c>
      <c r="Y2520" s="72">
        <v>46101.375</v>
      </c>
      <c r="Z2520" s="104" t="s">
        <v>405</v>
      </c>
      <c r="AA2520" s="104" t="s">
        <v>651</v>
      </c>
      <c r="AB2520" s="105">
        <v>46100.909722222219</v>
      </c>
      <c r="AC2520" s="105">
        <v>46101.381944444445</v>
      </c>
    </row>
    <row r="2521" s="70" customFormat="1" ht="11.25" customHeight="1">
      <c r="A2521" s="87"/>
      <c r="C2521" s="43" t="s">
        <v>4283</v>
      </c>
      <c r="D2521" s="71" t="s">
        <v>382</v>
      </c>
      <c r="E2521" s="71" t="str">
        <f>MID(D2521,1,2)</f>
        <v>IL</v>
      </c>
      <c r="F2521" s="71" t="s">
        <v>496</v>
      </c>
      <c r="G2521" s="71" t="str">
        <f>MID(F2521,1,2)</f>
        <v>RO</v>
      </c>
      <c r="H2521" s="43" t="s">
        <v>3990</v>
      </c>
      <c r="I2521" s="71" t="s">
        <v>4284</v>
      </c>
      <c r="J2521" s="71" t="s">
        <v>400</v>
      </c>
      <c r="K2521" s="43"/>
      <c r="L2521" s="71" t="s">
        <v>105</v>
      </c>
      <c r="M2521" s="73">
        <v>253</v>
      </c>
      <c r="N2521" s="71" t="s">
        <v>388</v>
      </c>
      <c r="O2521" s="73">
        <v>3.367</v>
      </c>
      <c r="P2521" s="71" t="s">
        <v>389</v>
      </c>
      <c r="Q2521" s="73">
        <v>561.5</v>
      </c>
      <c r="R2521" s="71" t="s">
        <v>388</v>
      </c>
      <c r="S2521" s="73">
        <v>0</v>
      </c>
      <c r="T2521" s="71" t="s">
        <v>390</v>
      </c>
      <c r="U2521" s="74">
        <v>4</v>
      </c>
      <c r="V2521" s="71" t="s">
        <v>391</v>
      </c>
      <c r="W2521" s="130">
        <v>46079.46597222222</v>
      </c>
      <c r="X2521" s="72">
        <v>46082.25</v>
      </c>
      <c r="Y2521" s="72">
        <v>46085.416666666664</v>
      </c>
      <c r="Z2521" s="104" t="s">
        <v>408</v>
      </c>
      <c r="AA2521" s="104" t="s">
        <v>496</v>
      </c>
      <c r="AB2521" s="105"/>
      <c r="AC2521" s="105"/>
    </row>
    <row r="2522" s="70" customFormat="1" ht="11.25" customHeight="1">
      <c r="A2522" s="87"/>
      <c r="C2522" s="43" t="s">
        <v>4283</v>
      </c>
      <c r="D2522" s="71" t="s">
        <v>382</v>
      </c>
      <c r="E2522" s="71" t="str">
        <f>MID(D2522,1,2)</f>
        <v>IL</v>
      </c>
      <c r="F2522" s="71" t="s">
        <v>496</v>
      </c>
      <c r="G2522" s="71" t="str">
        <f>MID(F2522,1,2)</f>
        <v>RO</v>
      </c>
      <c r="H2522" s="43" t="s">
        <v>3990</v>
      </c>
      <c r="I2522" s="71" t="s">
        <v>4284</v>
      </c>
      <c r="J2522" s="71" t="s">
        <v>400</v>
      </c>
      <c r="K2522" s="43"/>
      <c r="L2522" s="71" t="s">
        <v>105</v>
      </c>
      <c r="M2522" s="73">
        <v>253</v>
      </c>
      <c r="N2522" s="71" t="s">
        <v>388</v>
      </c>
      <c r="O2522" s="73">
        <v>3.367</v>
      </c>
      <c r="P2522" s="71" t="s">
        <v>389</v>
      </c>
      <c r="Q2522" s="73">
        <v>561.5</v>
      </c>
      <c r="R2522" s="71" t="s">
        <v>388</v>
      </c>
      <c r="S2522" s="73">
        <v>0</v>
      </c>
      <c r="T2522" s="71" t="s">
        <v>390</v>
      </c>
      <c r="U2522" s="74">
        <v>4</v>
      </c>
      <c r="V2522" s="71" t="s">
        <v>391</v>
      </c>
      <c r="W2522" s="130">
        <v>46079.46597222222</v>
      </c>
      <c r="X2522" s="72">
        <v>46082.25</v>
      </c>
      <c r="Y2522" s="72">
        <v>46085.416666666664</v>
      </c>
      <c r="Z2522" s="104" t="s">
        <v>382</v>
      </c>
      <c r="AA2522" s="104" t="s">
        <v>408</v>
      </c>
      <c r="AB2522" s="105">
        <v>46082.999305555553</v>
      </c>
      <c r="AC2522" s="105">
        <v>46083.086805555555</v>
      </c>
    </row>
    <row r="2523" s="70" customFormat="1" ht="11.25" customHeight="1">
      <c r="A2523" s="87"/>
      <c r="C2523" s="43" t="s">
        <v>4285</v>
      </c>
      <c r="D2523" s="71" t="s">
        <v>382</v>
      </c>
      <c r="E2523" s="71" t="str">
        <f>MID(D2523,1,2)</f>
        <v>IL</v>
      </c>
      <c r="F2523" s="71" t="s">
        <v>422</v>
      </c>
      <c r="G2523" s="71" t="str">
        <f>MID(F2523,1,2)</f>
        <v>US</v>
      </c>
      <c r="H2523" s="43" t="s">
        <v>4286</v>
      </c>
      <c r="I2523" s="71"/>
      <c r="J2523" s="71" t="s">
        <v>426</v>
      </c>
      <c r="K2523" s="43"/>
      <c r="L2523" s="71" t="s">
        <v>105</v>
      </c>
      <c r="M2523" s="73">
        <v>4502</v>
      </c>
      <c r="N2523" s="71" t="s">
        <v>388</v>
      </c>
      <c r="O2523" s="73">
        <v>19.296</v>
      </c>
      <c r="P2523" s="71" t="s">
        <v>389</v>
      </c>
      <c r="Q2523" s="73">
        <v>4502</v>
      </c>
      <c r="R2523" s="71" t="s">
        <v>388</v>
      </c>
      <c r="S2523" s="73">
        <v>0</v>
      </c>
      <c r="T2523" s="71" t="s">
        <v>390</v>
      </c>
      <c r="U2523" s="74">
        <v>15</v>
      </c>
      <c r="V2523" s="71" t="s">
        <v>391</v>
      </c>
      <c r="W2523" s="130">
        <v>46079.49375</v>
      </c>
      <c r="X2523" s="72">
        <v>46090.003472222219</v>
      </c>
      <c r="Y2523" s="72">
        <v>46110.211805555555</v>
      </c>
      <c r="Z2523" s="104" t="s">
        <v>382</v>
      </c>
      <c r="AA2523" s="104" t="s">
        <v>422</v>
      </c>
      <c r="AB2523" s="105"/>
      <c r="AC2523" s="105"/>
    </row>
    <row r="2524" s="70" customFormat="1" ht="11.25" customHeight="1">
      <c r="A2524" s="87"/>
      <c r="C2524" s="43" t="s">
        <v>4287</v>
      </c>
      <c r="D2524" s="71" t="s">
        <v>382</v>
      </c>
      <c r="E2524" s="71" t="str">
        <f>MID(D2524,1,2)</f>
        <v>IL</v>
      </c>
      <c r="F2524" s="71" t="s">
        <v>651</v>
      </c>
      <c r="G2524" s="71" t="str">
        <f>MID(F2524,1,2)</f>
        <v>BR</v>
      </c>
      <c r="H2524" s="43" t="s">
        <v>4226</v>
      </c>
      <c r="I2524" s="71" t="s">
        <v>4288</v>
      </c>
      <c r="J2524" s="71" t="s">
        <v>386</v>
      </c>
      <c r="K2524" s="43"/>
      <c r="L2524" s="71" t="s">
        <v>107</v>
      </c>
      <c r="M2524" s="73">
        <v>22</v>
      </c>
      <c r="N2524" s="71" t="s">
        <v>388</v>
      </c>
      <c r="O2524" s="73">
        <v>0.142</v>
      </c>
      <c r="P2524" s="71" t="s">
        <v>389</v>
      </c>
      <c r="Q2524" s="73">
        <v>24</v>
      </c>
      <c r="R2524" s="71" t="s">
        <v>388</v>
      </c>
      <c r="S2524" s="73">
        <v>0</v>
      </c>
      <c r="T2524" s="71" t="s">
        <v>390</v>
      </c>
      <c r="U2524" s="74">
        <v>1</v>
      </c>
      <c r="V2524" s="71" t="s">
        <v>391</v>
      </c>
      <c r="W2524" s="130">
        <v>46080.02847222222</v>
      </c>
      <c r="X2524" s="72">
        <v>46093.419444444444</v>
      </c>
      <c r="Y2524" s="72">
        <v>46101.375</v>
      </c>
      <c r="Z2524" s="104" t="s">
        <v>382</v>
      </c>
      <c r="AA2524" s="104" t="s">
        <v>408</v>
      </c>
      <c r="AB2524" s="105">
        <v>46096.902083333334</v>
      </c>
      <c r="AC2524" s="105"/>
    </row>
    <row r="2525" s="70" customFormat="1" ht="11.25" customHeight="1">
      <c r="A2525" s="87"/>
      <c r="C2525" s="43" t="s">
        <v>4287</v>
      </c>
      <c r="D2525" s="71" t="s">
        <v>382</v>
      </c>
      <c r="E2525" s="71" t="str">
        <f>MID(D2525,1,2)</f>
        <v>IL</v>
      </c>
      <c r="F2525" s="71" t="s">
        <v>651</v>
      </c>
      <c r="G2525" s="71" t="str">
        <f>MID(F2525,1,2)</f>
        <v>BR</v>
      </c>
      <c r="H2525" s="43" t="s">
        <v>4226</v>
      </c>
      <c r="I2525" s="71" t="s">
        <v>4288</v>
      </c>
      <c r="J2525" s="71" t="s">
        <v>386</v>
      </c>
      <c r="K2525" s="43"/>
      <c r="L2525" s="71" t="s">
        <v>107</v>
      </c>
      <c r="M2525" s="73">
        <v>22</v>
      </c>
      <c r="N2525" s="71" t="s">
        <v>388</v>
      </c>
      <c r="O2525" s="73">
        <v>0.142</v>
      </c>
      <c r="P2525" s="71" t="s">
        <v>389</v>
      </c>
      <c r="Q2525" s="73">
        <v>24</v>
      </c>
      <c r="R2525" s="71" t="s">
        <v>388</v>
      </c>
      <c r="S2525" s="73">
        <v>0</v>
      </c>
      <c r="T2525" s="71" t="s">
        <v>390</v>
      </c>
      <c r="U2525" s="74">
        <v>1</v>
      </c>
      <c r="V2525" s="71" t="s">
        <v>391</v>
      </c>
      <c r="W2525" s="130">
        <v>46080.02847222222</v>
      </c>
      <c r="X2525" s="72">
        <v>46093.419444444444</v>
      </c>
      <c r="Y2525" s="72">
        <v>46101.375</v>
      </c>
      <c r="Z2525" s="104" t="s">
        <v>408</v>
      </c>
      <c r="AA2525" s="104" t="s">
        <v>480</v>
      </c>
      <c r="AB2525" s="105">
        <v>46099.482638888891</v>
      </c>
      <c r="AC2525" s="105">
        <v>46099.616666666669</v>
      </c>
    </row>
    <row r="2526" s="70" customFormat="1" ht="11.25" customHeight="1">
      <c r="A2526" s="87"/>
      <c r="C2526" s="43" t="s">
        <v>4287</v>
      </c>
      <c r="D2526" s="71" t="s">
        <v>382</v>
      </c>
      <c r="E2526" s="71" t="str">
        <f>MID(D2526,1,2)</f>
        <v>IL</v>
      </c>
      <c r="F2526" s="71" t="s">
        <v>651</v>
      </c>
      <c r="G2526" s="71" t="str">
        <f>MID(F2526,1,2)</f>
        <v>BR</v>
      </c>
      <c r="H2526" s="43" t="s">
        <v>4226</v>
      </c>
      <c r="I2526" s="71" t="s">
        <v>4288</v>
      </c>
      <c r="J2526" s="71" t="s">
        <v>386</v>
      </c>
      <c r="K2526" s="43"/>
      <c r="L2526" s="71" t="s">
        <v>107</v>
      </c>
      <c r="M2526" s="73">
        <v>22</v>
      </c>
      <c r="N2526" s="71" t="s">
        <v>388</v>
      </c>
      <c r="O2526" s="73">
        <v>0.142</v>
      </c>
      <c r="P2526" s="71" t="s">
        <v>389</v>
      </c>
      <c r="Q2526" s="73">
        <v>24</v>
      </c>
      <c r="R2526" s="71" t="s">
        <v>388</v>
      </c>
      <c r="S2526" s="73">
        <v>0</v>
      </c>
      <c r="T2526" s="71" t="s">
        <v>390</v>
      </c>
      <c r="U2526" s="74">
        <v>1</v>
      </c>
      <c r="V2526" s="71" t="s">
        <v>391</v>
      </c>
      <c r="W2526" s="130">
        <v>46080.02847222222</v>
      </c>
      <c r="X2526" s="72">
        <v>46093.419444444444</v>
      </c>
      <c r="Y2526" s="72">
        <v>46101.375</v>
      </c>
      <c r="Z2526" s="104" t="s">
        <v>405</v>
      </c>
      <c r="AA2526" s="104" t="s">
        <v>651</v>
      </c>
      <c r="AB2526" s="105">
        <v>46100.909722222219</v>
      </c>
      <c r="AC2526" s="105">
        <v>46101.381944444445</v>
      </c>
    </row>
    <row r="2527" s="70" customFormat="1" ht="11.25" customHeight="1">
      <c r="A2527" s="87"/>
      <c r="C2527" s="43" t="s">
        <v>4289</v>
      </c>
      <c r="D2527" s="71" t="s">
        <v>382</v>
      </c>
      <c r="E2527" s="71" t="str">
        <f>MID(D2527,1,2)</f>
        <v>IL</v>
      </c>
      <c r="F2527" s="71" t="s">
        <v>414</v>
      </c>
      <c r="G2527" s="71" t="str">
        <f>MID(F2527,1,2)</f>
        <v>US</v>
      </c>
      <c r="H2527" s="43" t="s">
        <v>2791</v>
      </c>
      <c r="I2527" s="71" t="s">
        <v>4290</v>
      </c>
      <c r="J2527" s="71" t="s">
        <v>386</v>
      </c>
      <c r="K2527" s="43"/>
      <c r="L2527" s="71" t="s">
        <v>107</v>
      </c>
      <c r="M2527" s="73">
        <v>1</v>
      </c>
      <c r="N2527" s="71" t="s">
        <v>388</v>
      </c>
      <c r="O2527" s="73">
        <v>0.009</v>
      </c>
      <c r="P2527" s="71" t="s">
        <v>389</v>
      </c>
      <c r="Q2527" s="73">
        <v>1.5</v>
      </c>
      <c r="R2527" s="71" t="s">
        <v>388</v>
      </c>
      <c r="S2527" s="73">
        <v>0</v>
      </c>
      <c r="T2527" s="71" t="s">
        <v>390</v>
      </c>
      <c r="U2527" s="74">
        <v>1</v>
      </c>
      <c r="V2527" s="71" t="s">
        <v>446</v>
      </c>
      <c r="W2527" s="130">
        <v>46086.5625</v>
      </c>
      <c r="X2527" s="72">
        <v>46091.229166666664</v>
      </c>
      <c r="Y2527" s="72">
        <v>46096.291666666664</v>
      </c>
      <c r="Z2527" s="104" t="s">
        <v>382</v>
      </c>
      <c r="AA2527" s="104" t="s">
        <v>414</v>
      </c>
      <c r="AB2527" s="105">
        <v>46091.945833333331</v>
      </c>
      <c r="AC2527" s="105">
        <v>46092.136111111111</v>
      </c>
    </row>
    <row r="2528" s="70" customFormat="1" ht="11.25" customHeight="1">
      <c r="A2528" s="87"/>
      <c r="C2528" s="43" t="s">
        <v>4291</v>
      </c>
      <c r="D2528" s="71" t="s">
        <v>382</v>
      </c>
      <c r="E2528" s="71" t="str">
        <f>MID(D2528,1,2)</f>
        <v>IL</v>
      </c>
      <c r="F2528" s="71" t="s">
        <v>496</v>
      </c>
      <c r="G2528" s="71" t="str">
        <f>MID(F2528,1,2)</f>
        <v>RO</v>
      </c>
      <c r="H2528" s="43" t="s">
        <v>3990</v>
      </c>
      <c r="I2528" s="71" t="s">
        <v>4292</v>
      </c>
      <c r="J2528" s="71" t="s">
        <v>400</v>
      </c>
      <c r="K2528" s="43"/>
      <c r="L2528" s="71" t="s">
        <v>105</v>
      </c>
      <c r="M2528" s="73">
        <v>2</v>
      </c>
      <c r="N2528" s="71" t="s">
        <v>388</v>
      </c>
      <c r="O2528" s="73">
        <v>0.046</v>
      </c>
      <c r="P2528" s="71" t="s">
        <v>389</v>
      </c>
      <c r="Q2528" s="73">
        <v>8</v>
      </c>
      <c r="R2528" s="71" t="s">
        <v>388</v>
      </c>
      <c r="S2528" s="73">
        <v>0</v>
      </c>
      <c r="T2528" s="71" t="s">
        <v>390</v>
      </c>
      <c r="U2528" s="74">
        <v>1</v>
      </c>
      <c r="V2528" s="71" t="s">
        <v>391</v>
      </c>
      <c r="W2528" s="130">
        <v>46080.079201388886</v>
      </c>
      <c r="X2528" s="72">
        <v>46082.25</v>
      </c>
      <c r="Y2528" s="72">
        <v>46085.416666666664</v>
      </c>
      <c r="Z2528" s="104" t="s">
        <v>408</v>
      </c>
      <c r="AA2528" s="104" t="s">
        <v>496</v>
      </c>
      <c r="AB2528" s="105"/>
      <c r="AC2528" s="105"/>
    </row>
    <row r="2529" s="70" customFormat="1" ht="11.25" customHeight="1">
      <c r="A2529" s="87"/>
      <c r="C2529" s="43" t="s">
        <v>4291</v>
      </c>
      <c r="D2529" s="71" t="s">
        <v>382</v>
      </c>
      <c r="E2529" s="71" t="str">
        <f>MID(D2529,1,2)</f>
        <v>IL</v>
      </c>
      <c r="F2529" s="71" t="s">
        <v>496</v>
      </c>
      <c r="G2529" s="71" t="str">
        <f>MID(F2529,1,2)</f>
        <v>RO</v>
      </c>
      <c r="H2529" s="43" t="s">
        <v>3990</v>
      </c>
      <c r="I2529" s="71" t="s">
        <v>4292</v>
      </c>
      <c r="J2529" s="71" t="s">
        <v>400</v>
      </c>
      <c r="K2529" s="43"/>
      <c r="L2529" s="71" t="s">
        <v>105</v>
      </c>
      <c r="M2529" s="73">
        <v>2</v>
      </c>
      <c r="N2529" s="71" t="s">
        <v>388</v>
      </c>
      <c r="O2529" s="73">
        <v>0.046</v>
      </c>
      <c r="P2529" s="71" t="s">
        <v>389</v>
      </c>
      <c r="Q2529" s="73">
        <v>8</v>
      </c>
      <c r="R2529" s="71" t="s">
        <v>388</v>
      </c>
      <c r="S2529" s="73">
        <v>0</v>
      </c>
      <c r="T2529" s="71" t="s">
        <v>390</v>
      </c>
      <c r="U2529" s="74">
        <v>1</v>
      </c>
      <c r="V2529" s="71" t="s">
        <v>391</v>
      </c>
      <c r="W2529" s="130">
        <v>46080.079201388886</v>
      </c>
      <c r="X2529" s="72">
        <v>46082.25</v>
      </c>
      <c r="Y2529" s="72">
        <v>46085.416666666664</v>
      </c>
      <c r="Z2529" s="104" t="s">
        <v>382</v>
      </c>
      <c r="AA2529" s="104" t="s">
        <v>408</v>
      </c>
      <c r="AB2529" s="105">
        <v>46082.999305555553</v>
      </c>
      <c r="AC2529" s="105">
        <v>46083.086805555555</v>
      </c>
    </row>
    <row r="2530" s="70" customFormat="1" ht="11.25" customHeight="1">
      <c r="A2530" s="87"/>
      <c r="C2530" s="43" t="s">
        <v>4293</v>
      </c>
      <c r="D2530" s="71" t="s">
        <v>382</v>
      </c>
      <c r="E2530" s="71" t="str">
        <f>MID(D2530,1,2)</f>
        <v>IL</v>
      </c>
      <c r="F2530" s="71" t="s">
        <v>774</v>
      </c>
      <c r="G2530" s="71" t="str">
        <f>MID(F2530,1,2)</f>
        <v>CN</v>
      </c>
      <c r="H2530" s="43" t="s">
        <v>4002</v>
      </c>
      <c r="I2530" s="71" t="s">
        <v>4294</v>
      </c>
      <c r="J2530" s="71" t="s">
        <v>454</v>
      </c>
      <c r="K2530" s="43"/>
      <c r="L2530" s="71" t="s">
        <v>107</v>
      </c>
      <c r="M2530" s="73">
        <v>190</v>
      </c>
      <c r="N2530" s="71" t="s">
        <v>388</v>
      </c>
      <c r="O2530" s="73">
        <v>2.141</v>
      </c>
      <c r="P2530" s="71" t="s">
        <v>389</v>
      </c>
      <c r="Q2530" s="73">
        <v>357</v>
      </c>
      <c r="R2530" s="71" t="s">
        <v>388</v>
      </c>
      <c r="S2530" s="73">
        <v>0</v>
      </c>
      <c r="T2530" s="71" t="s">
        <v>390</v>
      </c>
      <c r="U2530" s="74">
        <v>2</v>
      </c>
      <c r="V2530" s="71" t="s">
        <v>391</v>
      </c>
      <c r="W2530" s="130">
        <v>46079.73978009259</v>
      </c>
      <c r="X2530" s="72">
        <v>46085.996527777781</v>
      </c>
      <c r="Y2530" s="72">
        <v>46104.305555555555</v>
      </c>
      <c r="Z2530" s="104" t="s">
        <v>383</v>
      </c>
      <c r="AA2530" s="104" t="s">
        <v>774</v>
      </c>
      <c r="AB2530" s="105"/>
      <c r="AC2530" s="105"/>
    </row>
    <row r="2531" s="70" customFormat="1" ht="11.25" customHeight="1">
      <c r="A2531" s="87"/>
      <c r="C2531" s="43" t="s">
        <v>4293</v>
      </c>
      <c r="D2531" s="71" t="s">
        <v>382</v>
      </c>
      <c r="E2531" s="71" t="str">
        <f>MID(D2531,1,2)</f>
        <v>IL</v>
      </c>
      <c r="F2531" s="71" t="s">
        <v>774</v>
      </c>
      <c r="G2531" s="71" t="str">
        <f>MID(F2531,1,2)</f>
        <v>CN</v>
      </c>
      <c r="H2531" s="43" t="s">
        <v>4002</v>
      </c>
      <c r="I2531" s="71" t="s">
        <v>4294</v>
      </c>
      <c r="J2531" s="71" t="s">
        <v>454</v>
      </c>
      <c r="K2531" s="43"/>
      <c r="L2531" s="71" t="s">
        <v>107</v>
      </c>
      <c r="M2531" s="73">
        <v>190</v>
      </c>
      <c r="N2531" s="71" t="s">
        <v>388</v>
      </c>
      <c r="O2531" s="73">
        <v>2.141</v>
      </c>
      <c r="P2531" s="71" t="s">
        <v>389</v>
      </c>
      <c r="Q2531" s="73">
        <v>357</v>
      </c>
      <c r="R2531" s="71" t="s">
        <v>388</v>
      </c>
      <c r="S2531" s="73">
        <v>0</v>
      </c>
      <c r="T2531" s="71" t="s">
        <v>390</v>
      </c>
      <c r="U2531" s="74">
        <v>2</v>
      </c>
      <c r="V2531" s="71" t="s">
        <v>391</v>
      </c>
      <c r="W2531" s="130">
        <v>46079.73978009259</v>
      </c>
      <c r="X2531" s="72">
        <v>46085.996527777781</v>
      </c>
      <c r="Y2531" s="72">
        <v>46104.305555555555</v>
      </c>
      <c r="Z2531" s="104" t="s">
        <v>382</v>
      </c>
      <c r="AA2531" s="104" t="s">
        <v>466</v>
      </c>
      <c r="AB2531" s="105">
        <v>46088.06875</v>
      </c>
      <c r="AC2531" s="105">
        <v>46088.195833333331</v>
      </c>
    </row>
    <row r="2532" s="70" customFormat="1" ht="11.25" customHeight="1">
      <c r="A2532" s="87"/>
      <c r="C2532" s="43" t="s">
        <v>4293</v>
      </c>
      <c r="D2532" s="71" t="s">
        <v>382</v>
      </c>
      <c r="E2532" s="71" t="str">
        <f>MID(D2532,1,2)</f>
        <v>IL</v>
      </c>
      <c r="F2532" s="71" t="s">
        <v>774</v>
      </c>
      <c r="G2532" s="71" t="str">
        <f>MID(F2532,1,2)</f>
        <v>CN</v>
      </c>
      <c r="H2532" s="43" t="s">
        <v>4002</v>
      </c>
      <c r="I2532" s="71" t="s">
        <v>4294</v>
      </c>
      <c r="J2532" s="71" t="s">
        <v>454</v>
      </c>
      <c r="K2532" s="43"/>
      <c r="L2532" s="71" t="s">
        <v>107</v>
      </c>
      <c r="M2532" s="73">
        <v>190</v>
      </c>
      <c r="N2532" s="71" t="s">
        <v>388</v>
      </c>
      <c r="O2532" s="73">
        <v>2.141</v>
      </c>
      <c r="P2532" s="71" t="s">
        <v>389</v>
      </c>
      <c r="Q2532" s="73">
        <v>357</v>
      </c>
      <c r="R2532" s="71" t="s">
        <v>388</v>
      </c>
      <c r="S2532" s="73">
        <v>0</v>
      </c>
      <c r="T2532" s="71" t="s">
        <v>390</v>
      </c>
      <c r="U2532" s="74">
        <v>2</v>
      </c>
      <c r="V2532" s="71" t="s">
        <v>391</v>
      </c>
      <c r="W2532" s="130">
        <v>46079.73978009259</v>
      </c>
      <c r="X2532" s="72">
        <v>46085.996527777781</v>
      </c>
      <c r="Y2532" s="72">
        <v>46104.305555555555</v>
      </c>
      <c r="Z2532" s="104" t="s">
        <v>466</v>
      </c>
      <c r="AA2532" s="104" t="s">
        <v>383</v>
      </c>
      <c r="AB2532" s="105">
        <v>46089.086805555555</v>
      </c>
      <c r="AC2532" s="105">
        <v>46093.676388888889</v>
      </c>
    </row>
    <row r="2533" s="70" customFormat="1" ht="11.25" customHeight="1">
      <c r="A2533" s="87"/>
      <c r="C2533" s="43" t="s">
        <v>4295</v>
      </c>
      <c r="D2533" s="71" t="s">
        <v>382</v>
      </c>
      <c r="E2533" s="71" t="str">
        <f>MID(D2533,1,2)</f>
        <v>IL</v>
      </c>
      <c r="F2533" s="71" t="s">
        <v>597</v>
      </c>
      <c r="G2533" s="71" t="str">
        <f>MID(F2533,1,2)</f>
        <v>NL</v>
      </c>
      <c r="H2533" s="43" t="s">
        <v>4296</v>
      </c>
      <c r="I2533" s="71" t="s">
        <v>4297</v>
      </c>
      <c r="J2533" s="71" t="s">
        <v>426</v>
      </c>
      <c r="K2533" s="43"/>
      <c r="L2533" s="71" t="s">
        <v>105</v>
      </c>
      <c r="M2533" s="73">
        <v>110</v>
      </c>
      <c r="N2533" s="71" t="s">
        <v>388</v>
      </c>
      <c r="O2533" s="73">
        <v>0.938</v>
      </c>
      <c r="P2533" s="71" t="s">
        <v>389</v>
      </c>
      <c r="Q2533" s="73">
        <v>156.5</v>
      </c>
      <c r="R2533" s="71" t="s">
        <v>388</v>
      </c>
      <c r="S2533" s="73">
        <v>0</v>
      </c>
      <c r="T2533" s="71" t="s">
        <v>390</v>
      </c>
      <c r="U2533" s="74">
        <v>1</v>
      </c>
      <c r="V2533" s="71" t="s">
        <v>391</v>
      </c>
      <c r="W2533" s="130"/>
      <c r="X2533" s="72">
        <v>46080.465277777781</v>
      </c>
      <c r="Y2533" s="72">
        <v>46082.397916666669</v>
      </c>
      <c r="Z2533" s="104" t="s">
        <v>382</v>
      </c>
      <c r="AA2533" s="104" t="s">
        <v>383</v>
      </c>
      <c r="AB2533" s="105">
        <v>46080.56527777778</v>
      </c>
      <c r="AC2533" s="105">
        <v>46080.703472222223</v>
      </c>
    </row>
    <row r="2534" s="70" customFormat="1" ht="11.25" customHeight="1">
      <c r="A2534" s="87"/>
      <c r="C2534" s="43" t="s">
        <v>4295</v>
      </c>
      <c r="D2534" s="71" t="s">
        <v>382</v>
      </c>
      <c r="E2534" s="71" t="str">
        <f>MID(D2534,1,2)</f>
        <v>IL</v>
      </c>
      <c r="F2534" s="71" t="s">
        <v>597</v>
      </c>
      <c r="G2534" s="71" t="str">
        <f>MID(F2534,1,2)</f>
        <v>NL</v>
      </c>
      <c r="H2534" s="43" t="s">
        <v>4296</v>
      </c>
      <c r="I2534" s="71" t="s">
        <v>4297</v>
      </c>
      <c r="J2534" s="71" t="s">
        <v>426</v>
      </c>
      <c r="K2534" s="43"/>
      <c r="L2534" s="71" t="s">
        <v>105</v>
      </c>
      <c r="M2534" s="73">
        <v>110</v>
      </c>
      <c r="N2534" s="71" t="s">
        <v>388</v>
      </c>
      <c r="O2534" s="73">
        <v>0.938</v>
      </c>
      <c r="P2534" s="71" t="s">
        <v>389</v>
      </c>
      <c r="Q2534" s="73">
        <v>156.5</v>
      </c>
      <c r="R2534" s="71" t="s">
        <v>388</v>
      </c>
      <c r="S2534" s="73">
        <v>0</v>
      </c>
      <c r="T2534" s="71" t="s">
        <v>390</v>
      </c>
      <c r="U2534" s="74">
        <v>1</v>
      </c>
      <c r="V2534" s="71" t="s">
        <v>391</v>
      </c>
      <c r="W2534" s="130"/>
      <c r="X2534" s="72">
        <v>46080.465277777781</v>
      </c>
      <c r="Y2534" s="72">
        <v>46082.397916666669</v>
      </c>
      <c r="Z2534" s="104" t="s">
        <v>383</v>
      </c>
      <c r="AA2534" s="104" t="s">
        <v>597</v>
      </c>
      <c r="AB2534" s="105">
        <v>46082.078472222223</v>
      </c>
      <c r="AC2534" s="105">
        <v>46082.36875</v>
      </c>
    </row>
    <row r="2535" s="70" customFormat="1" ht="11.25" customHeight="1">
      <c r="A2535" s="87"/>
      <c r="C2535" s="43" t="s">
        <v>4298</v>
      </c>
      <c r="D2535" s="71" t="s">
        <v>382</v>
      </c>
      <c r="E2535" s="71" t="str">
        <f>MID(D2535,1,2)</f>
        <v>IL</v>
      </c>
      <c r="F2535" s="71" t="s">
        <v>546</v>
      </c>
      <c r="G2535" s="71" t="str">
        <f>MID(F2535,1,2)</f>
        <v>GB</v>
      </c>
      <c r="H2535" s="43" t="s">
        <v>4299</v>
      </c>
      <c r="I2535" s="71" t="s">
        <v>4300</v>
      </c>
      <c r="J2535" s="71" t="s">
        <v>400</v>
      </c>
      <c r="K2535" s="43"/>
      <c r="L2535" s="71" t="s">
        <v>105</v>
      </c>
      <c r="M2535" s="73">
        <v>37</v>
      </c>
      <c r="N2535" s="71" t="s">
        <v>388</v>
      </c>
      <c r="O2535" s="73">
        <v>0.811</v>
      </c>
      <c r="P2535" s="71" t="s">
        <v>389</v>
      </c>
      <c r="Q2535" s="73">
        <v>135.5</v>
      </c>
      <c r="R2535" s="71" t="s">
        <v>388</v>
      </c>
      <c r="S2535" s="73">
        <v>0</v>
      </c>
      <c r="T2535" s="71" t="s">
        <v>390</v>
      </c>
      <c r="U2535" s="74">
        <v>1</v>
      </c>
      <c r="V2535" s="71" t="s">
        <v>391</v>
      </c>
      <c r="W2535" s="130">
        <v>46093.05972222222</v>
      </c>
      <c r="X2535" s="72">
        <v>46095.708333333336</v>
      </c>
      <c r="Y2535" s="72">
        <v>46102.449305555558</v>
      </c>
      <c r="Z2535" s="104" t="s">
        <v>382</v>
      </c>
      <c r="AA2535" s="104" t="s">
        <v>471</v>
      </c>
      <c r="AB2535" s="105">
        <v>46098.511805555558</v>
      </c>
      <c r="AC2535" s="105"/>
    </row>
    <row r="2536" s="70" customFormat="1" ht="11.25" customHeight="1">
      <c r="A2536" s="87"/>
      <c r="C2536" s="43" t="s">
        <v>4298</v>
      </c>
      <c r="D2536" s="71" t="s">
        <v>382</v>
      </c>
      <c r="E2536" s="71" t="str">
        <f>MID(D2536,1,2)</f>
        <v>IL</v>
      </c>
      <c r="F2536" s="71" t="s">
        <v>546</v>
      </c>
      <c r="G2536" s="71" t="str">
        <f>MID(F2536,1,2)</f>
        <v>GB</v>
      </c>
      <c r="H2536" s="43" t="s">
        <v>4299</v>
      </c>
      <c r="I2536" s="71" t="s">
        <v>4300</v>
      </c>
      <c r="J2536" s="71" t="s">
        <v>400</v>
      </c>
      <c r="K2536" s="43"/>
      <c r="L2536" s="71" t="s">
        <v>105</v>
      </c>
      <c r="M2536" s="73">
        <v>37</v>
      </c>
      <c r="N2536" s="71" t="s">
        <v>388</v>
      </c>
      <c r="O2536" s="73">
        <v>0.811</v>
      </c>
      <c r="P2536" s="71" t="s">
        <v>389</v>
      </c>
      <c r="Q2536" s="73">
        <v>135.5</v>
      </c>
      <c r="R2536" s="71" t="s">
        <v>388</v>
      </c>
      <c r="S2536" s="73">
        <v>0</v>
      </c>
      <c r="T2536" s="71" t="s">
        <v>390</v>
      </c>
      <c r="U2536" s="74">
        <v>1</v>
      </c>
      <c r="V2536" s="71" t="s">
        <v>391</v>
      </c>
      <c r="W2536" s="130">
        <v>46093.05972222222</v>
      </c>
      <c r="X2536" s="72">
        <v>46095.708333333336</v>
      </c>
      <c r="Y2536" s="72">
        <v>46102.449305555558</v>
      </c>
      <c r="Z2536" s="104" t="s">
        <v>471</v>
      </c>
      <c r="AA2536" s="104" t="s">
        <v>546</v>
      </c>
      <c r="AB2536" s="105">
        <v>46101.915277777778</v>
      </c>
      <c r="AC2536" s="105">
        <v>46102.439583333333</v>
      </c>
    </row>
    <row r="2537" s="70" customFormat="1" ht="11.25" customHeight="1">
      <c r="A2537" s="87"/>
      <c r="C2537" s="43" t="s">
        <v>4301</v>
      </c>
      <c r="D2537" s="71" t="s">
        <v>382</v>
      </c>
      <c r="E2537" s="71" t="str">
        <f>MID(D2537,1,2)</f>
        <v>IL</v>
      </c>
      <c r="F2537" s="71" t="s">
        <v>443</v>
      </c>
      <c r="G2537" s="71" t="str">
        <f>MID(F2537,1,2)</f>
        <v>US</v>
      </c>
      <c r="H2537" s="43" t="s">
        <v>3806</v>
      </c>
      <c r="I2537" s="71" t="s">
        <v>4302</v>
      </c>
      <c r="J2537" s="71" t="s">
        <v>400</v>
      </c>
      <c r="K2537" s="43"/>
      <c r="L2537" s="71" t="s">
        <v>105</v>
      </c>
      <c r="M2537" s="73">
        <v>244</v>
      </c>
      <c r="N2537" s="71" t="s">
        <v>388</v>
      </c>
      <c r="O2537" s="73">
        <v>1.529</v>
      </c>
      <c r="P2537" s="71" t="s">
        <v>389</v>
      </c>
      <c r="Q2537" s="73">
        <v>255</v>
      </c>
      <c r="R2537" s="71" t="s">
        <v>388</v>
      </c>
      <c r="S2537" s="73">
        <v>0</v>
      </c>
      <c r="T2537" s="71" t="s">
        <v>390</v>
      </c>
      <c r="U2537" s="74">
        <v>1</v>
      </c>
      <c r="V2537" s="71" t="s">
        <v>391</v>
      </c>
      <c r="W2537" s="130">
        <v>46079.879363425927</v>
      </c>
      <c r="X2537" s="72">
        <v>46084.916666666664</v>
      </c>
      <c r="Y2537" s="72">
        <v>46090.291666666664</v>
      </c>
      <c r="Z2537" s="104" t="s">
        <v>382</v>
      </c>
      <c r="AA2537" s="104" t="s">
        <v>414</v>
      </c>
      <c r="AB2537" s="105">
        <v>46085.021527777775</v>
      </c>
      <c r="AC2537" s="105">
        <v>46085.20416666667</v>
      </c>
    </row>
    <row r="2538" s="70" customFormat="1" ht="11.25" customHeight="1">
      <c r="A2538" s="87"/>
      <c r="C2538" s="43" t="s">
        <v>4301</v>
      </c>
      <c r="D2538" s="71" t="s">
        <v>382</v>
      </c>
      <c r="E2538" s="71" t="str">
        <f>MID(D2538,1,2)</f>
        <v>IL</v>
      </c>
      <c r="F2538" s="71" t="s">
        <v>443</v>
      </c>
      <c r="G2538" s="71" t="str">
        <f>MID(F2538,1,2)</f>
        <v>US</v>
      </c>
      <c r="H2538" s="43" t="s">
        <v>3806</v>
      </c>
      <c r="I2538" s="71" t="s">
        <v>4302</v>
      </c>
      <c r="J2538" s="71" t="s">
        <v>400</v>
      </c>
      <c r="K2538" s="43"/>
      <c r="L2538" s="71" t="s">
        <v>105</v>
      </c>
      <c r="M2538" s="73">
        <v>244</v>
      </c>
      <c r="N2538" s="71" t="s">
        <v>388</v>
      </c>
      <c r="O2538" s="73">
        <v>1.529</v>
      </c>
      <c r="P2538" s="71" t="s">
        <v>389</v>
      </c>
      <c r="Q2538" s="73">
        <v>255</v>
      </c>
      <c r="R2538" s="71" t="s">
        <v>388</v>
      </c>
      <c r="S2538" s="73">
        <v>0</v>
      </c>
      <c r="T2538" s="71" t="s">
        <v>390</v>
      </c>
      <c r="U2538" s="74">
        <v>1</v>
      </c>
      <c r="V2538" s="71" t="s">
        <v>391</v>
      </c>
      <c r="W2538" s="130">
        <v>46079.879363425927</v>
      </c>
      <c r="X2538" s="72">
        <v>46084.916666666664</v>
      </c>
      <c r="Y2538" s="72">
        <v>46090.291666666664</v>
      </c>
      <c r="Z2538" s="104" t="s">
        <v>414</v>
      </c>
      <c r="AA2538" s="104" t="s">
        <v>443</v>
      </c>
      <c r="AB2538" s="105">
        <v>46085.797222222223</v>
      </c>
      <c r="AC2538" s="105">
        <v>46090.458333333336</v>
      </c>
    </row>
    <row r="2539" s="70" customFormat="1" ht="11.25" customHeight="1">
      <c r="A2539" s="87"/>
      <c r="C2539" s="43" t="s">
        <v>4303</v>
      </c>
      <c r="D2539" s="71" t="s">
        <v>382</v>
      </c>
      <c r="E2539" s="71" t="str">
        <f>MID(D2539,1,2)</f>
        <v>IL</v>
      </c>
      <c r="F2539" s="71" t="s">
        <v>414</v>
      </c>
      <c r="G2539" s="71" t="str">
        <f>MID(F2539,1,2)</f>
        <v>US</v>
      </c>
      <c r="H2539" s="43" t="s">
        <v>4163</v>
      </c>
      <c r="I2539" s="71" t="s">
        <v>4304</v>
      </c>
      <c r="J2539" s="71" t="s">
        <v>426</v>
      </c>
      <c r="K2539" s="43"/>
      <c r="L2539" s="71" t="s">
        <v>105</v>
      </c>
      <c r="M2539" s="73">
        <v>232</v>
      </c>
      <c r="N2539" s="71" t="s">
        <v>388</v>
      </c>
      <c r="O2539" s="73">
        <v>0.992</v>
      </c>
      <c r="P2539" s="71" t="s">
        <v>389</v>
      </c>
      <c r="Q2539" s="73">
        <v>232</v>
      </c>
      <c r="R2539" s="71" t="s">
        <v>388</v>
      </c>
      <c r="S2539" s="73">
        <v>0</v>
      </c>
      <c r="T2539" s="71" t="s">
        <v>390</v>
      </c>
      <c r="U2539" s="74">
        <v>1</v>
      </c>
      <c r="V2539" s="71" t="s">
        <v>391</v>
      </c>
      <c r="W2539" s="130">
        <v>46080.4522337963</v>
      </c>
      <c r="X2539" s="72">
        <v>46082.03125</v>
      </c>
      <c r="Y2539" s="72">
        <v>46085.177083333336</v>
      </c>
      <c r="Z2539" s="104" t="s">
        <v>382</v>
      </c>
      <c r="AA2539" s="104" t="s">
        <v>414</v>
      </c>
      <c r="AB2539" s="105">
        <v>46085.021527777775</v>
      </c>
      <c r="AC2539" s="105">
        <v>46085.20416666667</v>
      </c>
    </row>
    <row r="2540" s="70" customFormat="1" ht="11.25" customHeight="1">
      <c r="A2540" s="87"/>
      <c r="C2540" s="43" t="s">
        <v>4305</v>
      </c>
      <c r="D2540" s="71" t="s">
        <v>382</v>
      </c>
      <c r="E2540" s="71" t="str">
        <f>MID(D2540,1,2)</f>
        <v>IL</v>
      </c>
      <c r="F2540" s="71" t="s">
        <v>817</v>
      </c>
      <c r="G2540" s="71" t="str">
        <f>MID(F2540,1,2)</f>
        <v>IN</v>
      </c>
      <c r="H2540" s="43" t="s">
        <v>4306</v>
      </c>
      <c r="I2540" s="71"/>
      <c r="J2540" s="71" t="s">
        <v>426</v>
      </c>
      <c r="K2540" s="43"/>
      <c r="L2540" s="71" t="s">
        <v>105</v>
      </c>
      <c r="M2540" s="73">
        <v>45</v>
      </c>
      <c r="N2540" s="71" t="s">
        <v>388</v>
      </c>
      <c r="O2540" s="73">
        <v>0.079</v>
      </c>
      <c r="P2540" s="71" t="s">
        <v>389</v>
      </c>
      <c r="Q2540" s="73">
        <v>45</v>
      </c>
      <c r="R2540" s="71" t="s">
        <v>388</v>
      </c>
      <c r="S2540" s="73">
        <v>0</v>
      </c>
      <c r="T2540" s="71" t="s">
        <v>390</v>
      </c>
      <c r="U2540" s="74">
        <v>1</v>
      </c>
      <c r="V2540" s="71" t="s">
        <v>391</v>
      </c>
      <c r="W2540" s="130"/>
      <c r="X2540" s="72">
        <v>46090.486111111109</v>
      </c>
      <c r="Y2540" s="72">
        <v>46090.840277777781</v>
      </c>
      <c r="Z2540" s="104" t="s">
        <v>382</v>
      </c>
      <c r="AA2540" s="104" t="s">
        <v>817</v>
      </c>
      <c r="AB2540" s="105"/>
      <c r="AC2540" s="105"/>
    </row>
    <row r="2541" s="70" customFormat="1" ht="11.25" customHeight="1">
      <c r="A2541" s="87"/>
      <c r="C2541" s="43" t="s">
        <v>4307</v>
      </c>
      <c r="D2541" s="71" t="s">
        <v>382</v>
      </c>
      <c r="E2541" s="71" t="str">
        <f>MID(D2541,1,2)</f>
        <v>IL</v>
      </c>
      <c r="F2541" s="71" t="s">
        <v>419</v>
      </c>
      <c r="G2541" s="71" t="str">
        <f>MID(F2541,1,2)</f>
        <v>US</v>
      </c>
      <c r="H2541" s="43" t="s">
        <v>4308</v>
      </c>
      <c r="I2541" s="71" t="s">
        <v>4309</v>
      </c>
      <c r="J2541" s="71" t="s">
        <v>426</v>
      </c>
      <c r="K2541" s="43"/>
      <c r="L2541" s="71" t="s">
        <v>105</v>
      </c>
      <c r="M2541" s="73">
        <v>6210</v>
      </c>
      <c r="N2541" s="71" t="s">
        <v>388</v>
      </c>
      <c r="O2541" s="73">
        <v>30.36</v>
      </c>
      <c r="P2541" s="71" t="s">
        <v>389</v>
      </c>
      <c r="Q2541" s="73">
        <v>6210</v>
      </c>
      <c r="R2541" s="71" t="s">
        <v>388</v>
      </c>
      <c r="S2541" s="73">
        <v>0</v>
      </c>
      <c r="T2541" s="71" t="s">
        <v>390</v>
      </c>
      <c r="U2541" s="74">
        <v>22</v>
      </c>
      <c r="V2541" s="71" t="s">
        <v>391</v>
      </c>
      <c r="W2541" s="130">
        <v>46086.410416666666</v>
      </c>
      <c r="X2541" s="72">
        <v>46088.25</v>
      </c>
      <c r="Y2541" s="72">
        <v>46090.5625</v>
      </c>
      <c r="Z2541" s="104" t="s">
        <v>382</v>
      </c>
      <c r="AA2541" s="104" t="s">
        <v>414</v>
      </c>
      <c r="AB2541" s="105">
        <v>46088.38958333333</v>
      </c>
      <c r="AC2541" s="105">
        <v>46088.622916666667</v>
      </c>
    </row>
    <row r="2542" s="70" customFormat="1" ht="11.25" customHeight="1">
      <c r="A2542" s="87"/>
      <c r="C2542" s="43" t="s">
        <v>4310</v>
      </c>
      <c r="D2542" s="71" t="s">
        <v>382</v>
      </c>
      <c r="E2542" s="71" t="str">
        <f>MID(D2542,1,2)</f>
        <v>IL</v>
      </c>
      <c r="F2542" s="71" t="s">
        <v>667</v>
      </c>
      <c r="G2542" s="71" t="str">
        <f>MID(F2542,1,2)</f>
        <v>DE</v>
      </c>
      <c r="H2542" s="43" t="s">
        <v>4311</v>
      </c>
      <c r="I2542" s="71" t="s">
        <v>4312</v>
      </c>
      <c r="J2542" s="71" t="s">
        <v>559</v>
      </c>
      <c r="K2542" s="43"/>
      <c r="L2542" s="71" t="s">
        <v>107</v>
      </c>
      <c r="M2542" s="73">
        <v>132</v>
      </c>
      <c r="N2542" s="71" t="s">
        <v>388</v>
      </c>
      <c r="O2542" s="73">
        <v>0.478</v>
      </c>
      <c r="P2542" s="71" t="s">
        <v>389</v>
      </c>
      <c r="Q2542" s="73">
        <v>132</v>
      </c>
      <c r="R2542" s="71" t="s">
        <v>388</v>
      </c>
      <c r="S2542" s="73">
        <v>0</v>
      </c>
      <c r="T2542" s="71" t="s">
        <v>390</v>
      </c>
      <c r="U2542" s="74">
        <v>1</v>
      </c>
      <c r="V2542" s="71" t="s">
        <v>391</v>
      </c>
      <c r="W2542" s="130">
        <v>46080.4728125</v>
      </c>
      <c r="X2542" s="72">
        <v>46084.021527777775</v>
      </c>
      <c r="Y2542" s="72">
        <v>46097.541666666664</v>
      </c>
      <c r="Z2542" s="104" t="s">
        <v>383</v>
      </c>
      <c r="AA2542" s="104" t="s">
        <v>667</v>
      </c>
      <c r="AB2542" s="105"/>
      <c r="AC2542" s="105"/>
    </row>
    <row r="2543" s="70" customFormat="1" ht="11.25" customHeight="1">
      <c r="A2543" s="87"/>
      <c r="C2543" s="43" t="s">
        <v>4310</v>
      </c>
      <c r="D2543" s="71" t="s">
        <v>382</v>
      </c>
      <c r="E2543" s="71" t="str">
        <f>MID(D2543,1,2)</f>
        <v>IL</v>
      </c>
      <c r="F2543" s="71" t="s">
        <v>667</v>
      </c>
      <c r="G2543" s="71" t="str">
        <f>MID(F2543,1,2)</f>
        <v>DE</v>
      </c>
      <c r="H2543" s="43" t="s">
        <v>4311</v>
      </c>
      <c r="I2543" s="71" t="s">
        <v>4312</v>
      </c>
      <c r="J2543" s="71" t="s">
        <v>559</v>
      </c>
      <c r="K2543" s="43"/>
      <c r="L2543" s="71" t="s">
        <v>107</v>
      </c>
      <c r="M2543" s="73">
        <v>132</v>
      </c>
      <c r="N2543" s="71" t="s">
        <v>388</v>
      </c>
      <c r="O2543" s="73">
        <v>0.478</v>
      </c>
      <c r="P2543" s="71" t="s">
        <v>389</v>
      </c>
      <c r="Q2543" s="73">
        <v>132</v>
      </c>
      <c r="R2543" s="71" t="s">
        <v>388</v>
      </c>
      <c r="S2543" s="73">
        <v>0</v>
      </c>
      <c r="T2543" s="71" t="s">
        <v>390</v>
      </c>
      <c r="U2543" s="74">
        <v>1</v>
      </c>
      <c r="V2543" s="71" t="s">
        <v>391</v>
      </c>
      <c r="W2543" s="130">
        <v>46080.4728125</v>
      </c>
      <c r="X2543" s="72">
        <v>46084.021527777775</v>
      </c>
      <c r="Y2543" s="72">
        <v>46097.541666666664</v>
      </c>
      <c r="Z2543" s="104" t="s">
        <v>667</v>
      </c>
      <c r="AA2543" s="104" t="s">
        <v>1006</v>
      </c>
      <c r="AB2543" s="105"/>
      <c r="AC2543" s="105"/>
    </row>
    <row r="2544" s="70" customFormat="1" ht="11.25" customHeight="1">
      <c r="A2544" s="87"/>
      <c r="C2544" s="43" t="s">
        <v>4310</v>
      </c>
      <c r="D2544" s="71" t="s">
        <v>382</v>
      </c>
      <c r="E2544" s="71" t="str">
        <f>MID(D2544,1,2)</f>
        <v>IL</v>
      </c>
      <c r="F2544" s="71" t="s">
        <v>667</v>
      </c>
      <c r="G2544" s="71" t="str">
        <f>MID(F2544,1,2)</f>
        <v>DE</v>
      </c>
      <c r="H2544" s="43" t="s">
        <v>4311</v>
      </c>
      <c r="I2544" s="71" t="s">
        <v>4312</v>
      </c>
      <c r="J2544" s="71" t="s">
        <v>559</v>
      </c>
      <c r="K2544" s="43"/>
      <c r="L2544" s="71" t="s">
        <v>107</v>
      </c>
      <c r="M2544" s="73">
        <v>132</v>
      </c>
      <c r="N2544" s="71" t="s">
        <v>388</v>
      </c>
      <c r="O2544" s="73">
        <v>0.478</v>
      </c>
      <c r="P2544" s="71" t="s">
        <v>389</v>
      </c>
      <c r="Q2544" s="73">
        <v>132</v>
      </c>
      <c r="R2544" s="71" t="s">
        <v>388</v>
      </c>
      <c r="S2544" s="73">
        <v>0</v>
      </c>
      <c r="T2544" s="71" t="s">
        <v>390</v>
      </c>
      <c r="U2544" s="74">
        <v>1</v>
      </c>
      <c r="V2544" s="71" t="s">
        <v>391</v>
      </c>
      <c r="W2544" s="130">
        <v>46080.4728125</v>
      </c>
      <c r="X2544" s="72">
        <v>46084.021527777775</v>
      </c>
      <c r="Y2544" s="72">
        <v>46097.541666666664</v>
      </c>
      <c r="Z2544" s="104" t="s">
        <v>382</v>
      </c>
      <c r="AA2544" s="104" t="s">
        <v>383</v>
      </c>
      <c r="AB2544" s="105">
        <v>46091.292361111111</v>
      </c>
      <c r="AC2544" s="105">
        <v>46091.435416666667</v>
      </c>
    </row>
    <row r="2545" s="70" customFormat="1" ht="11.25" customHeight="1">
      <c r="A2545" s="87"/>
      <c r="C2545" s="43" t="s">
        <v>4313</v>
      </c>
      <c r="D2545" s="71" t="s">
        <v>382</v>
      </c>
      <c r="E2545" s="71" t="str">
        <f>MID(D2545,1,2)</f>
        <v>IL</v>
      </c>
      <c r="F2545" s="71" t="s">
        <v>510</v>
      </c>
      <c r="G2545" s="71" t="str">
        <f>MID(F2545,1,2)</f>
        <v>US</v>
      </c>
      <c r="H2545" s="43" t="s">
        <v>4314</v>
      </c>
      <c r="I2545" s="71" t="s">
        <v>4315</v>
      </c>
      <c r="J2545" s="71" t="s">
        <v>483</v>
      </c>
      <c r="K2545" s="43"/>
      <c r="L2545" s="71" t="s">
        <v>105</v>
      </c>
      <c r="M2545" s="73">
        <v>100</v>
      </c>
      <c r="N2545" s="71" t="s">
        <v>388</v>
      </c>
      <c r="O2545" s="73">
        <v>0.996</v>
      </c>
      <c r="P2545" s="71" t="s">
        <v>389</v>
      </c>
      <c r="Q2545" s="73">
        <v>166</v>
      </c>
      <c r="R2545" s="71" t="s">
        <v>388</v>
      </c>
      <c r="S2545" s="73">
        <v>0</v>
      </c>
      <c r="T2545" s="71" t="s">
        <v>390</v>
      </c>
      <c r="U2545" s="74">
        <v>1</v>
      </c>
      <c r="V2545" s="71" t="s">
        <v>391</v>
      </c>
      <c r="W2545" s="130">
        <v>46079.809641203705</v>
      </c>
      <c r="X2545" s="72">
        <v>46082.979166666664</v>
      </c>
      <c r="Y2545" s="72">
        <v>46090.455555555556</v>
      </c>
      <c r="Z2545" s="104" t="s">
        <v>382</v>
      </c>
      <c r="AA2545" s="104" t="s">
        <v>414</v>
      </c>
      <c r="AB2545" s="105">
        <v>46086.242361111108</v>
      </c>
      <c r="AC2545" s="105">
        <v>46086.42083333333</v>
      </c>
    </row>
    <row r="2546" s="70" customFormat="1" ht="11.25" customHeight="1">
      <c r="A2546" s="87"/>
      <c r="C2546" s="43" t="s">
        <v>4313</v>
      </c>
      <c r="D2546" s="71" t="s">
        <v>382</v>
      </c>
      <c r="E2546" s="71" t="str">
        <f>MID(D2546,1,2)</f>
        <v>IL</v>
      </c>
      <c r="F2546" s="71" t="s">
        <v>510</v>
      </c>
      <c r="G2546" s="71" t="str">
        <f>MID(F2546,1,2)</f>
        <v>US</v>
      </c>
      <c r="H2546" s="43" t="s">
        <v>4314</v>
      </c>
      <c r="I2546" s="71" t="s">
        <v>4315</v>
      </c>
      <c r="J2546" s="71" t="s">
        <v>483</v>
      </c>
      <c r="K2546" s="43"/>
      <c r="L2546" s="71" t="s">
        <v>105</v>
      </c>
      <c r="M2546" s="73">
        <v>100</v>
      </c>
      <c r="N2546" s="71" t="s">
        <v>388</v>
      </c>
      <c r="O2546" s="73">
        <v>0.996</v>
      </c>
      <c r="P2546" s="71" t="s">
        <v>389</v>
      </c>
      <c r="Q2546" s="73">
        <v>166</v>
      </c>
      <c r="R2546" s="71" t="s">
        <v>388</v>
      </c>
      <c r="S2546" s="73">
        <v>0</v>
      </c>
      <c r="T2546" s="71" t="s">
        <v>390</v>
      </c>
      <c r="U2546" s="74">
        <v>1</v>
      </c>
      <c r="V2546" s="71" t="s">
        <v>391</v>
      </c>
      <c r="W2546" s="130">
        <v>46079.809641203705</v>
      </c>
      <c r="X2546" s="72">
        <v>46082.979166666664</v>
      </c>
      <c r="Y2546" s="72">
        <v>46090.455555555556</v>
      </c>
      <c r="Z2546" s="104" t="s">
        <v>414</v>
      </c>
      <c r="AA2546" s="104" t="s">
        <v>510</v>
      </c>
      <c r="AB2546" s="105">
        <v>46088.770138888889</v>
      </c>
      <c r="AC2546" s="105">
        <v>46090.29583333333</v>
      </c>
    </row>
    <row r="2547" s="70" customFormat="1" ht="11.25" customHeight="1">
      <c r="A2547" s="87"/>
      <c r="C2547" s="43" t="s">
        <v>4316</v>
      </c>
      <c r="D2547" s="71" t="s">
        <v>382</v>
      </c>
      <c r="E2547" s="71" t="str">
        <f>MID(D2547,1,2)</f>
        <v>IL</v>
      </c>
      <c r="F2547" s="71" t="s">
        <v>702</v>
      </c>
      <c r="G2547" s="71" t="str">
        <f>MID(F2547,1,2)</f>
        <v>JP</v>
      </c>
      <c r="H2547" s="43" t="s">
        <v>4317</v>
      </c>
      <c r="I2547" s="71" t="s">
        <v>4318</v>
      </c>
      <c r="J2547" s="71" t="s">
        <v>426</v>
      </c>
      <c r="K2547" s="43"/>
      <c r="L2547" s="71" t="s">
        <v>105</v>
      </c>
      <c r="M2547" s="73">
        <v>1223</v>
      </c>
      <c r="N2547" s="71" t="s">
        <v>388</v>
      </c>
      <c r="O2547" s="73">
        <v>10.683</v>
      </c>
      <c r="P2547" s="71" t="s">
        <v>389</v>
      </c>
      <c r="Q2547" s="73">
        <v>1780.5</v>
      </c>
      <c r="R2547" s="71" t="s">
        <v>388</v>
      </c>
      <c r="S2547" s="73">
        <v>0</v>
      </c>
      <c r="T2547" s="71" t="s">
        <v>390</v>
      </c>
      <c r="U2547" s="74">
        <v>6</v>
      </c>
      <c r="V2547" s="71" t="s">
        <v>391</v>
      </c>
      <c r="W2547" s="130">
        <v>46079.5</v>
      </c>
      <c r="X2547" s="72">
        <v>46081.488888888889</v>
      </c>
      <c r="Y2547" s="72">
        <v>46105.6875</v>
      </c>
      <c r="Z2547" s="104" t="s">
        <v>382</v>
      </c>
      <c r="AA2547" s="104" t="s">
        <v>408</v>
      </c>
      <c r="AB2547" s="105">
        <v>46102.538194444445</v>
      </c>
      <c r="AC2547" s="105"/>
    </row>
    <row r="2548" s="70" customFormat="1" ht="11.25" customHeight="1">
      <c r="A2548" s="87"/>
      <c r="C2548" s="43" t="s">
        <v>4316</v>
      </c>
      <c r="D2548" s="71" t="s">
        <v>382</v>
      </c>
      <c r="E2548" s="71" t="str">
        <f>MID(D2548,1,2)</f>
        <v>IL</v>
      </c>
      <c r="F2548" s="71" t="s">
        <v>702</v>
      </c>
      <c r="G2548" s="71" t="str">
        <f>MID(F2548,1,2)</f>
        <v>JP</v>
      </c>
      <c r="H2548" s="43" t="s">
        <v>4317</v>
      </c>
      <c r="I2548" s="71" t="s">
        <v>4318</v>
      </c>
      <c r="J2548" s="71" t="s">
        <v>426</v>
      </c>
      <c r="K2548" s="43"/>
      <c r="L2548" s="71" t="s">
        <v>105</v>
      </c>
      <c r="M2548" s="73">
        <v>1223</v>
      </c>
      <c r="N2548" s="71" t="s">
        <v>388</v>
      </c>
      <c r="O2548" s="73">
        <v>10.683</v>
      </c>
      <c r="P2548" s="71" t="s">
        <v>389</v>
      </c>
      <c r="Q2548" s="73">
        <v>1780.5</v>
      </c>
      <c r="R2548" s="71" t="s">
        <v>388</v>
      </c>
      <c r="S2548" s="73">
        <v>0</v>
      </c>
      <c r="T2548" s="71" t="s">
        <v>390</v>
      </c>
      <c r="U2548" s="74">
        <v>6</v>
      </c>
      <c r="V2548" s="71" t="s">
        <v>391</v>
      </c>
      <c r="W2548" s="130">
        <v>46079.5</v>
      </c>
      <c r="X2548" s="72">
        <v>46081.488888888889</v>
      </c>
      <c r="Y2548" s="72">
        <v>46105.6875</v>
      </c>
      <c r="Z2548" s="104" t="s">
        <v>408</v>
      </c>
      <c r="AA2548" s="104" t="s">
        <v>405</v>
      </c>
      <c r="AB2548" s="105">
        <v>46102.511111111111</v>
      </c>
      <c r="AC2548" s="105">
        <v>46102.6875</v>
      </c>
    </row>
    <row r="2549" s="70" customFormat="1" ht="11.25" customHeight="1">
      <c r="A2549" s="87"/>
      <c r="C2549" s="43" t="s">
        <v>4316</v>
      </c>
      <c r="D2549" s="71" t="s">
        <v>382</v>
      </c>
      <c r="E2549" s="71" t="str">
        <f>MID(D2549,1,2)</f>
        <v>IL</v>
      </c>
      <c r="F2549" s="71" t="s">
        <v>702</v>
      </c>
      <c r="G2549" s="71" t="str">
        <f>MID(F2549,1,2)</f>
        <v>JP</v>
      </c>
      <c r="H2549" s="43" t="s">
        <v>4317</v>
      </c>
      <c r="I2549" s="71" t="s">
        <v>4318</v>
      </c>
      <c r="J2549" s="71" t="s">
        <v>426</v>
      </c>
      <c r="K2549" s="43"/>
      <c r="L2549" s="71" t="s">
        <v>105</v>
      </c>
      <c r="M2549" s="73">
        <v>1223</v>
      </c>
      <c r="N2549" s="71" t="s">
        <v>388</v>
      </c>
      <c r="O2549" s="73">
        <v>10.683</v>
      </c>
      <c r="P2549" s="71" t="s">
        <v>389</v>
      </c>
      <c r="Q2549" s="73">
        <v>1780.5</v>
      </c>
      <c r="R2549" s="71" t="s">
        <v>388</v>
      </c>
      <c r="S2549" s="73">
        <v>0</v>
      </c>
      <c r="T2549" s="71" t="s">
        <v>390</v>
      </c>
      <c r="U2549" s="74">
        <v>6</v>
      </c>
      <c r="V2549" s="71" t="s">
        <v>391</v>
      </c>
      <c r="W2549" s="130">
        <v>46079.5</v>
      </c>
      <c r="X2549" s="72">
        <v>46081.488888888889</v>
      </c>
      <c r="Y2549" s="72">
        <v>46105.6875</v>
      </c>
      <c r="Z2549" s="104" t="s">
        <v>405</v>
      </c>
      <c r="AA2549" s="104" t="s">
        <v>702</v>
      </c>
      <c r="AB2549" s="105"/>
      <c r="AC2549" s="105"/>
    </row>
    <row r="2550" s="70" customFormat="1" ht="11.25" customHeight="1">
      <c r="A2550" s="87"/>
      <c r="C2550" s="43" t="s">
        <v>4319</v>
      </c>
      <c r="D2550" s="71" t="s">
        <v>382</v>
      </c>
      <c r="E2550" s="71" t="str">
        <f>MID(D2550,1,2)</f>
        <v>IL</v>
      </c>
      <c r="F2550" s="71" t="s">
        <v>496</v>
      </c>
      <c r="G2550" s="71" t="str">
        <f>MID(F2550,1,2)</f>
        <v>RO</v>
      </c>
      <c r="H2550" s="43" t="s">
        <v>4320</v>
      </c>
      <c r="I2550" s="71" t="s">
        <v>4321</v>
      </c>
      <c r="J2550" s="71" t="s">
        <v>426</v>
      </c>
      <c r="K2550" s="43"/>
      <c r="L2550" s="71" t="s">
        <v>105</v>
      </c>
      <c r="M2550" s="73">
        <v>25</v>
      </c>
      <c r="N2550" s="71" t="s">
        <v>388</v>
      </c>
      <c r="O2550" s="73">
        <v>0.11</v>
      </c>
      <c r="P2550" s="71" t="s">
        <v>389</v>
      </c>
      <c r="Q2550" s="73">
        <v>25</v>
      </c>
      <c r="R2550" s="71" t="s">
        <v>388</v>
      </c>
      <c r="S2550" s="73">
        <v>0</v>
      </c>
      <c r="T2550" s="71" t="s">
        <v>390</v>
      </c>
      <c r="U2550" s="74">
        <v>1</v>
      </c>
      <c r="V2550" s="71" t="s">
        <v>391</v>
      </c>
      <c r="W2550" s="130">
        <v>46079.5</v>
      </c>
      <c r="X2550" s="72">
        <v>46085.333333333336</v>
      </c>
      <c r="Y2550" s="72">
        <v>46092.416666666664</v>
      </c>
      <c r="Z2550" s="104" t="s">
        <v>408</v>
      </c>
      <c r="AA2550" s="104" t="s">
        <v>496</v>
      </c>
      <c r="AB2550" s="105">
        <v>46092.350694444445</v>
      </c>
      <c r="AC2550" s="105">
        <v>46092.416666666664</v>
      </c>
    </row>
    <row r="2551" s="70" customFormat="1" ht="11.25" customHeight="1">
      <c r="A2551" s="87"/>
      <c r="C2551" s="43" t="s">
        <v>4319</v>
      </c>
      <c r="D2551" s="71" t="s">
        <v>382</v>
      </c>
      <c r="E2551" s="71" t="str">
        <f>MID(D2551,1,2)</f>
        <v>IL</v>
      </c>
      <c r="F2551" s="71" t="s">
        <v>496</v>
      </c>
      <c r="G2551" s="71" t="str">
        <f>MID(F2551,1,2)</f>
        <v>RO</v>
      </c>
      <c r="H2551" s="43" t="s">
        <v>4320</v>
      </c>
      <c r="I2551" s="71" t="s">
        <v>4321</v>
      </c>
      <c r="J2551" s="71" t="s">
        <v>426</v>
      </c>
      <c r="K2551" s="43"/>
      <c r="L2551" s="71" t="s">
        <v>105</v>
      </c>
      <c r="M2551" s="73">
        <v>25</v>
      </c>
      <c r="N2551" s="71" t="s">
        <v>388</v>
      </c>
      <c r="O2551" s="73">
        <v>0.11</v>
      </c>
      <c r="P2551" s="71" t="s">
        <v>389</v>
      </c>
      <c r="Q2551" s="73">
        <v>25</v>
      </c>
      <c r="R2551" s="71" t="s">
        <v>388</v>
      </c>
      <c r="S2551" s="73">
        <v>0</v>
      </c>
      <c r="T2551" s="71" t="s">
        <v>390</v>
      </c>
      <c r="U2551" s="74">
        <v>1</v>
      </c>
      <c r="V2551" s="71" t="s">
        <v>391</v>
      </c>
      <c r="W2551" s="130">
        <v>46079.5</v>
      </c>
      <c r="X2551" s="72">
        <v>46085.333333333336</v>
      </c>
      <c r="Y2551" s="72">
        <v>46092.416666666664</v>
      </c>
      <c r="Z2551" s="104" t="s">
        <v>382</v>
      </c>
      <c r="AA2551" s="104" t="s">
        <v>408</v>
      </c>
      <c r="AB2551" s="105">
        <v>46089.215277777781</v>
      </c>
      <c r="AC2551" s="105">
        <v>46090.083333333336</v>
      </c>
    </row>
    <row r="2552" s="70" customFormat="1" ht="11.25" customHeight="1">
      <c r="A2552" s="87"/>
      <c r="C2552" s="43" t="s">
        <v>4322</v>
      </c>
      <c r="D2552" s="71" t="s">
        <v>382</v>
      </c>
      <c r="E2552" s="71" t="str">
        <f>MID(D2552,1,2)</f>
        <v>IL</v>
      </c>
      <c r="F2552" s="71" t="s">
        <v>546</v>
      </c>
      <c r="G2552" s="71" t="str">
        <f>MID(F2552,1,2)</f>
        <v>GB</v>
      </c>
      <c r="H2552" s="43" t="s">
        <v>4323</v>
      </c>
      <c r="I2552" s="71"/>
      <c r="J2552" s="71" t="s">
        <v>435</v>
      </c>
      <c r="K2552" s="43"/>
      <c r="L2552" s="71" t="s">
        <v>105</v>
      </c>
      <c r="M2552" s="73">
        <v>264</v>
      </c>
      <c r="N2552" s="71" t="s">
        <v>388</v>
      </c>
      <c r="O2552" s="73">
        <v>2.9</v>
      </c>
      <c r="P2552" s="71" t="s">
        <v>389</v>
      </c>
      <c r="Q2552" s="73">
        <v>483.5</v>
      </c>
      <c r="R2552" s="71" t="s">
        <v>388</v>
      </c>
      <c r="S2552" s="73">
        <v>0</v>
      </c>
      <c r="T2552" s="71" t="s">
        <v>390</v>
      </c>
      <c r="U2552" s="74">
        <v>3</v>
      </c>
      <c r="V2552" s="71" t="s">
        <v>391</v>
      </c>
      <c r="W2552" s="130"/>
      <c r="X2552" s="72">
        <v>46083.003472222219</v>
      </c>
      <c r="Y2552" s="72">
        <v>46091.333333333336</v>
      </c>
      <c r="Z2552" s="104" t="s">
        <v>382</v>
      </c>
      <c r="AA2552" s="104" t="s">
        <v>383</v>
      </c>
      <c r="AB2552" s="105"/>
      <c r="AC2552" s="105"/>
    </row>
    <row r="2553" s="70" customFormat="1" ht="11.25" customHeight="1">
      <c r="A2553" s="87"/>
      <c r="C2553" s="43" t="s">
        <v>4322</v>
      </c>
      <c r="D2553" s="71" t="s">
        <v>382</v>
      </c>
      <c r="E2553" s="71" t="str">
        <f>MID(D2553,1,2)</f>
        <v>IL</v>
      </c>
      <c r="F2553" s="71" t="s">
        <v>546</v>
      </c>
      <c r="G2553" s="71" t="str">
        <f>MID(F2553,1,2)</f>
        <v>GB</v>
      </c>
      <c r="H2553" s="43" t="s">
        <v>4323</v>
      </c>
      <c r="I2553" s="71"/>
      <c r="J2553" s="71" t="s">
        <v>435</v>
      </c>
      <c r="K2553" s="43"/>
      <c r="L2553" s="71" t="s">
        <v>105</v>
      </c>
      <c r="M2553" s="73">
        <v>264</v>
      </c>
      <c r="N2553" s="71" t="s">
        <v>388</v>
      </c>
      <c r="O2553" s="73">
        <v>2.9</v>
      </c>
      <c r="P2553" s="71" t="s">
        <v>389</v>
      </c>
      <c r="Q2553" s="73">
        <v>483.5</v>
      </c>
      <c r="R2553" s="71" t="s">
        <v>388</v>
      </c>
      <c r="S2553" s="73">
        <v>0</v>
      </c>
      <c r="T2553" s="71" t="s">
        <v>390</v>
      </c>
      <c r="U2553" s="74">
        <v>3</v>
      </c>
      <c r="V2553" s="71" t="s">
        <v>391</v>
      </c>
      <c r="W2553" s="130"/>
      <c r="X2553" s="72">
        <v>46083.003472222219</v>
      </c>
      <c r="Y2553" s="72">
        <v>46091.333333333336</v>
      </c>
      <c r="Z2553" s="104" t="s">
        <v>383</v>
      </c>
      <c r="AA2553" s="104" t="s">
        <v>546</v>
      </c>
      <c r="AB2553" s="105"/>
      <c r="AC2553" s="105"/>
    </row>
    <row r="2554" s="70" customFormat="1" ht="11.25" customHeight="1">
      <c r="A2554" s="87"/>
      <c r="C2554" s="43" t="s">
        <v>4324</v>
      </c>
      <c r="D2554" s="71" t="s">
        <v>382</v>
      </c>
      <c r="E2554" s="71" t="str">
        <f>MID(D2554,1,2)</f>
        <v>IL</v>
      </c>
      <c r="F2554" s="71" t="s">
        <v>518</v>
      </c>
      <c r="G2554" s="71" t="str">
        <f>MID(F2554,1,2)</f>
        <v>US</v>
      </c>
      <c r="H2554" s="43"/>
      <c r="I2554" s="71" t="s">
        <v>4325</v>
      </c>
      <c r="J2554" s="71" t="s">
        <v>400</v>
      </c>
      <c r="K2554" s="43"/>
      <c r="L2554" s="71" t="s">
        <v>105</v>
      </c>
      <c r="M2554" s="73">
        <v>230</v>
      </c>
      <c r="N2554" s="71" t="s">
        <v>388</v>
      </c>
      <c r="O2554" s="73">
        <v>4.278</v>
      </c>
      <c r="P2554" s="71" t="s">
        <v>389</v>
      </c>
      <c r="Q2554" s="73">
        <v>713</v>
      </c>
      <c r="R2554" s="71" t="s">
        <v>388</v>
      </c>
      <c r="S2554" s="73">
        <v>0</v>
      </c>
      <c r="T2554" s="71" t="s">
        <v>390</v>
      </c>
      <c r="U2554" s="74">
        <v>1</v>
      </c>
      <c r="V2554" s="71" t="s">
        <v>446</v>
      </c>
      <c r="W2554" s="130">
        <v>46079.809247685182</v>
      </c>
      <c r="X2554" s="72">
        <v>46083.003472222219</v>
      </c>
      <c r="Y2554" s="72">
        <v>46088.701388888891</v>
      </c>
      <c r="Z2554" s="104"/>
      <c r="AA2554" s="104"/>
      <c r="AB2554" s="105"/>
      <c r="AC2554" s="105"/>
    </row>
    <row r="2555" s="70" customFormat="1" ht="11.25" customHeight="1">
      <c r="A2555" s="87"/>
      <c r="C2555" s="43" t="s">
        <v>4326</v>
      </c>
      <c r="D2555" s="71" t="s">
        <v>382</v>
      </c>
      <c r="E2555" s="71" t="str">
        <f>MID(D2555,1,2)</f>
        <v>IL</v>
      </c>
      <c r="F2555" s="71" t="s">
        <v>383</v>
      </c>
      <c r="G2555" s="71" t="str">
        <f>MID(F2555,1,2)</f>
        <v>DE</v>
      </c>
      <c r="H2555" s="43" t="s">
        <v>4002</v>
      </c>
      <c r="I2555" s="71" t="s">
        <v>4327</v>
      </c>
      <c r="J2555" s="71" t="s">
        <v>426</v>
      </c>
      <c r="K2555" s="43"/>
      <c r="L2555" s="71" t="s">
        <v>105</v>
      </c>
      <c r="M2555" s="73">
        <v>131</v>
      </c>
      <c r="N2555" s="71" t="s">
        <v>388</v>
      </c>
      <c r="O2555" s="73">
        <v>0.432</v>
      </c>
      <c r="P2555" s="71" t="s">
        <v>389</v>
      </c>
      <c r="Q2555" s="73">
        <v>131</v>
      </c>
      <c r="R2555" s="71" t="s">
        <v>388</v>
      </c>
      <c r="S2555" s="73">
        <v>0</v>
      </c>
      <c r="T2555" s="71" t="s">
        <v>390</v>
      </c>
      <c r="U2555" s="74">
        <v>1</v>
      </c>
      <c r="V2555" s="71" t="s">
        <v>391</v>
      </c>
      <c r="W2555" s="130">
        <v>46083.500694444447</v>
      </c>
      <c r="X2555" s="72">
        <v>46080.498611111114</v>
      </c>
      <c r="Y2555" s="72">
        <v>46090.615972222222</v>
      </c>
      <c r="Z2555" s="104" t="s">
        <v>382</v>
      </c>
      <c r="AA2555" s="104" t="s">
        <v>466</v>
      </c>
      <c r="AB2555" s="105">
        <v>46088.06875</v>
      </c>
      <c r="AC2555" s="105">
        <v>46088.195833333331</v>
      </c>
    </row>
    <row r="2556" s="70" customFormat="1" ht="11.25" customHeight="1">
      <c r="A2556" s="87"/>
      <c r="C2556" s="43" t="s">
        <v>4326</v>
      </c>
      <c r="D2556" s="71" t="s">
        <v>382</v>
      </c>
      <c r="E2556" s="71" t="str">
        <f>MID(D2556,1,2)</f>
        <v>IL</v>
      </c>
      <c r="F2556" s="71" t="s">
        <v>383</v>
      </c>
      <c r="G2556" s="71" t="str">
        <f>MID(F2556,1,2)</f>
        <v>DE</v>
      </c>
      <c r="H2556" s="43" t="s">
        <v>4002</v>
      </c>
      <c r="I2556" s="71" t="s">
        <v>4327</v>
      </c>
      <c r="J2556" s="71" t="s">
        <v>426</v>
      </c>
      <c r="K2556" s="43"/>
      <c r="L2556" s="71" t="s">
        <v>105</v>
      </c>
      <c r="M2556" s="73">
        <v>131</v>
      </c>
      <c r="N2556" s="71" t="s">
        <v>388</v>
      </c>
      <c r="O2556" s="73">
        <v>0.432</v>
      </c>
      <c r="P2556" s="71" t="s">
        <v>389</v>
      </c>
      <c r="Q2556" s="73">
        <v>131</v>
      </c>
      <c r="R2556" s="71" t="s">
        <v>388</v>
      </c>
      <c r="S2556" s="73">
        <v>0</v>
      </c>
      <c r="T2556" s="71" t="s">
        <v>390</v>
      </c>
      <c r="U2556" s="74">
        <v>1</v>
      </c>
      <c r="V2556" s="71" t="s">
        <v>391</v>
      </c>
      <c r="W2556" s="130">
        <v>46083.500694444447</v>
      </c>
      <c r="X2556" s="72">
        <v>46080.498611111114</v>
      </c>
      <c r="Y2556" s="72">
        <v>46090.615972222222</v>
      </c>
      <c r="Z2556" s="104" t="s">
        <v>466</v>
      </c>
      <c r="AA2556" s="104" t="s">
        <v>383</v>
      </c>
      <c r="AB2556" s="105">
        <v>46089.086805555555</v>
      </c>
      <c r="AC2556" s="105">
        <v>46093.676388888889</v>
      </c>
    </row>
    <row r="2557" s="70" customFormat="1" ht="11.25" customHeight="1">
      <c r="A2557" s="87"/>
      <c r="C2557" s="43" t="s">
        <v>4328</v>
      </c>
      <c r="D2557" s="71" t="s">
        <v>382</v>
      </c>
      <c r="E2557" s="71" t="str">
        <f>MID(D2557,1,2)</f>
        <v>IL</v>
      </c>
      <c r="F2557" s="71" t="s">
        <v>408</v>
      </c>
      <c r="G2557" s="71" t="str">
        <f>MID(F2557,1,2)</f>
        <v>GR</v>
      </c>
      <c r="H2557" s="43" t="s">
        <v>4329</v>
      </c>
      <c r="I2557" s="71" t="s">
        <v>4330</v>
      </c>
      <c r="J2557" s="71" t="s">
        <v>400</v>
      </c>
      <c r="K2557" s="43"/>
      <c r="L2557" s="71" t="s">
        <v>105</v>
      </c>
      <c r="M2557" s="73">
        <v>15</v>
      </c>
      <c r="N2557" s="71" t="s">
        <v>388</v>
      </c>
      <c r="O2557" s="73">
        <v>0.088</v>
      </c>
      <c r="P2557" s="71" t="s">
        <v>389</v>
      </c>
      <c r="Q2557" s="73">
        <v>15</v>
      </c>
      <c r="R2557" s="71" t="s">
        <v>388</v>
      </c>
      <c r="S2557" s="73">
        <v>0</v>
      </c>
      <c r="T2557" s="71" t="s">
        <v>390</v>
      </c>
      <c r="U2557" s="74">
        <v>1</v>
      </c>
      <c r="V2557" s="71" t="s">
        <v>391</v>
      </c>
      <c r="W2557" s="130">
        <v>46079.534722222219</v>
      </c>
      <c r="X2557" s="72">
        <v>46084.715277777781</v>
      </c>
      <c r="Y2557" s="72">
        <v>46091.875</v>
      </c>
      <c r="Z2557" s="104" t="s">
        <v>382</v>
      </c>
      <c r="AA2557" s="104" t="s">
        <v>408</v>
      </c>
      <c r="AB2557" s="105">
        <v>46084.724305555559</v>
      </c>
      <c r="AC2557" s="105">
        <v>46084.813194444447</v>
      </c>
    </row>
    <row r="2558" s="70" customFormat="1" ht="11.25" customHeight="1">
      <c r="A2558" s="87"/>
      <c r="C2558" s="43" t="s">
        <v>4331</v>
      </c>
      <c r="D2558" s="71" t="s">
        <v>382</v>
      </c>
      <c r="E2558" s="71" t="str">
        <f>MID(D2558,1,2)</f>
        <v>IL</v>
      </c>
      <c r="F2558" s="71" t="s">
        <v>518</v>
      </c>
      <c r="G2558" s="71" t="str">
        <f>MID(F2558,1,2)</f>
        <v>US</v>
      </c>
      <c r="H2558" s="43"/>
      <c r="I2558" s="71" t="s">
        <v>4332</v>
      </c>
      <c r="J2558" s="71" t="s">
        <v>400</v>
      </c>
      <c r="K2558" s="43"/>
      <c r="L2558" s="71" t="s">
        <v>105</v>
      </c>
      <c r="M2558" s="73">
        <v>1160</v>
      </c>
      <c r="N2558" s="71" t="s">
        <v>388</v>
      </c>
      <c r="O2558" s="73">
        <v>19.346</v>
      </c>
      <c r="P2558" s="71" t="s">
        <v>389</v>
      </c>
      <c r="Q2558" s="73">
        <v>3224.5</v>
      </c>
      <c r="R2558" s="71" t="s">
        <v>388</v>
      </c>
      <c r="S2558" s="73">
        <v>0</v>
      </c>
      <c r="T2558" s="71" t="s">
        <v>390</v>
      </c>
      <c r="U2558" s="74">
        <v>2</v>
      </c>
      <c r="V2558" s="71" t="s">
        <v>446</v>
      </c>
      <c r="W2558" s="130">
        <v>46079.805833333332</v>
      </c>
      <c r="X2558" s="72">
        <v>46083.003472222219</v>
      </c>
      <c r="Y2558" s="72">
        <v>46088.701388888891</v>
      </c>
      <c r="Z2558" s="104"/>
      <c r="AA2558" s="104"/>
      <c r="AB2558" s="105"/>
      <c r="AC2558" s="105"/>
    </row>
    <row r="2559" s="70" customFormat="1" ht="11.25" customHeight="1">
      <c r="A2559" s="87"/>
      <c r="C2559" s="43" t="s">
        <v>4333</v>
      </c>
      <c r="D2559" s="71" t="s">
        <v>382</v>
      </c>
      <c r="E2559" s="71" t="str">
        <f>MID(D2559,1,2)</f>
        <v>IL</v>
      </c>
      <c r="F2559" s="71" t="s">
        <v>3998</v>
      </c>
      <c r="G2559" s="71" t="str">
        <f>MID(F2559,1,2)</f>
        <v>RO</v>
      </c>
      <c r="H2559" s="43" t="s">
        <v>3999</v>
      </c>
      <c r="I2559" s="71" t="s">
        <v>4334</v>
      </c>
      <c r="J2559" s="71" t="s">
        <v>386</v>
      </c>
      <c r="K2559" s="43"/>
      <c r="L2559" s="71" t="s">
        <v>107</v>
      </c>
      <c r="M2559" s="73">
        <v>0.3</v>
      </c>
      <c r="N2559" s="71" t="s">
        <v>388</v>
      </c>
      <c r="O2559" s="73">
        <v>0.004</v>
      </c>
      <c r="P2559" s="71" t="s">
        <v>389</v>
      </c>
      <c r="Q2559" s="73">
        <v>1</v>
      </c>
      <c r="R2559" s="71" t="s">
        <v>388</v>
      </c>
      <c r="S2559" s="73">
        <v>0</v>
      </c>
      <c r="T2559" s="71" t="s">
        <v>390</v>
      </c>
      <c r="U2559" s="74">
        <v>1</v>
      </c>
      <c r="V2559" s="71" t="s">
        <v>391</v>
      </c>
      <c r="W2559" s="130">
        <v>46079.583333333336</v>
      </c>
      <c r="X2559" s="72">
        <v>46093</v>
      </c>
      <c r="Y2559" s="72">
        <v>46096.572916666664</v>
      </c>
      <c r="Z2559" s="104" t="s">
        <v>382</v>
      </c>
      <c r="AA2559" s="104" t="s">
        <v>496</v>
      </c>
      <c r="AB2559" s="105">
        <v>46096.452777777777</v>
      </c>
      <c r="AC2559" s="105">
        <v>46096.5625</v>
      </c>
    </row>
    <row r="2560" s="70" customFormat="1" ht="11.25" customHeight="1">
      <c r="A2560" s="87"/>
      <c r="C2560" s="43" t="s">
        <v>4335</v>
      </c>
      <c r="D2560" s="71" t="s">
        <v>382</v>
      </c>
      <c r="E2560" s="71" t="str">
        <f>MID(D2560,1,2)</f>
        <v>IL</v>
      </c>
      <c r="F2560" s="71" t="s">
        <v>414</v>
      </c>
      <c r="G2560" s="71" t="str">
        <f>MID(F2560,1,2)</f>
        <v>US</v>
      </c>
      <c r="H2560" s="43" t="s">
        <v>4163</v>
      </c>
      <c r="I2560" s="71" t="s">
        <v>4336</v>
      </c>
      <c r="J2560" s="71" t="s">
        <v>386</v>
      </c>
      <c r="K2560" s="43" t="s">
        <v>431</v>
      </c>
      <c r="L2560" s="71" t="s">
        <v>107</v>
      </c>
      <c r="M2560" s="73">
        <v>10</v>
      </c>
      <c r="N2560" s="71" t="s">
        <v>388</v>
      </c>
      <c r="O2560" s="73">
        <v>0.048</v>
      </c>
      <c r="P2560" s="71" t="s">
        <v>389</v>
      </c>
      <c r="Q2560" s="73">
        <v>10</v>
      </c>
      <c r="R2560" s="71" t="s">
        <v>388</v>
      </c>
      <c r="S2560" s="73">
        <v>0</v>
      </c>
      <c r="T2560" s="71" t="s">
        <v>390</v>
      </c>
      <c r="U2560" s="74">
        <v>1</v>
      </c>
      <c r="V2560" s="71" t="s">
        <v>391</v>
      </c>
      <c r="W2560" s="130">
        <v>46079.51458333333</v>
      </c>
      <c r="X2560" s="72">
        <v>46084.916666666664</v>
      </c>
      <c r="Y2560" s="72">
        <v>46085.114583333336</v>
      </c>
      <c r="Z2560" s="104" t="s">
        <v>382</v>
      </c>
      <c r="AA2560" s="104" t="s">
        <v>414</v>
      </c>
      <c r="AB2560" s="105">
        <v>46085.021527777775</v>
      </c>
      <c r="AC2560" s="105">
        <v>46085.20416666667</v>
      </c>
    </row>
    <row r="2561" s="70" customFormat="1" ht="11.25" customHeight="1">
      <c r="A2561" s="87"/>
      <c r="C2561" s="43" t="s">
        <v>4337</v>
      </c>
      <c r="D2561" s="71" t="s">
        <v>382</v>
      </c>
      <c r="E2561" s="71" t="str">
        <f>MID(D2561,1,2)</f>
        <v>IL</v>
      </c>
      <c r="F2561" s="71" t="s">
        <v>1169</v>
      </c>
      <c r="G2561" s="71" t="str">
        <f>MID(F2561,1,2)</f>
        <v>HU</v>
      </c>
      <c r="H2561" s="43"/>
      <c r="I2561" s="71" t="s">
        <v>4338</v>
      </c>
      <c r="J2561" s="71" t="s">
        <v>400</v>
      </c>
      <c r="K2561" s="43"/>
      <c r="L2561" s="71" t="s">
        <v>105</v>
      </c>
      <c r="M2561" s="73">
        <v>7</v>
      </c>
      <c r="N2561" s="71" t="s">
        <v>388</v>
      </c>
      <c r="O2561" s="73">
        <v>0.142</v>
      </c>
      <c r="P2561" s="71" t="s">
        <v>389</v>
      </c>
      <c r="Q2561" s="73">
        <v>24</v>
      </c>
      <c r="R2561" s="71" t="s">
        <v>388</v>
      </c>
      <c r="S2561" s="73">
        <v>0</v>
      </c>
      <c r="T2561" s="71" t="s">
        <v>390</v>
      </c>
      <c r="U2561" s="74">
        <v>1</v>
      </c>
      <c r="V2561" s="71" t="s">
        <v>391</v>
      </c>
      <c r="W2561" s="130">
        <v>46079.833611111113</v>
      </c>
      <c r="X2561" s="72">
        <v>46082.715277777781</v>
      </c>
      <c r="Y2561" s="72">
        <v>46097.84375</v>
      </c>
      <c r="Z2561" s="104"/>
      <c r="AA2561" s="104"/>
      <c r="AB2561" s="105"/>
      <c r="AC2561" s="105"/>
    </row>
    <row r="2562" s="70" customFormat="1" ht="11.25" customHeight="1">
      <c r="A2562" s="87"/>
      <c r="C2562" s="43" t="s">
        <v>4339</v>
      </c>
      <c r="D2562" s="71" t="s">
        <v>382</v>
      </c>
      <c r="E2562" s="71" t="str">
        <f>MID(D2562,1,2)</f>
        <v>IL</v>
      </c>
      <c r="F2562" s="71" t="s">
        <v>774</v>
      </c>
      <c r="G2562" s="71" t="str">
        <f>MID(F2562,1,2)</f>
        <v>CN</v>
      </c>
      <c r="H2562" s="43" t="s">
        <v>4340</v>
      </c>
      <c r="I2562" s="71" t="s">
        <v>4341</v>
      </c>
      <c r="J2562" s="71" t="s">
        <v>386</v>
      </c>
      <c r="K2562" s="43"/>
      <c r="L2562" s="71" t="s">
        <v>107</v>
      </c>
      <c r="M2562" s="73">
        <v>487</v>
      </c>
      <c r="N2562" s="71" t="s">
        <v>388</v>
      </c>
      <c r="O2562" s="73">
        <v>0.549</v>
      </c>
      <c r="P2562" s="71" t="s">
        <v>389</v>
      </c>
      <c r="Q2562" s="73">
        <v>500</v>
      </c>
      <c r="R2562" s="71" t="s">
        <v>388</v>
      </c>
      <c r="S2562" s="73">
        <v>0</v>
      </c>
      <c r="T2562" s="71" t="s">
        <v>390</v>
      </c>
      <c r="U2562" s="74">
        <v>2</v>
      </c>
      <c r="V2562" s="71" t="s">
        <v>391</v>
      </c>
      <c r="W2562" s="130">
        <v>46079.74375</v>
      </c>
      <c r="X2562" s="72">
        <v>46091.25</v>
      </c>
      <c r="Y2562" s="72">
        <v>46095.6875</v>
      </c>
      <c r="Z2562" s="104" t="s">
        <v>382</v>
      </c>
      <c r="AA2562" s="104" t="s">
        <v>383</v>
      </c>
      <c r="AB2562" s="105">
        <v>46091.299305555556</v>
      </c>
      <c r="AC2562" s="105"/>
    </row>
    <row r="2563" s="70" customFormat="1" ht="11.25" customHeight="1">
      <c r="A2563" s="87"/>
      <c r="C2563" s="43" t="s">
        <v>4339</v>
      </c>
      <c r="D2563" s="71" t="s">
        <v>382</v>
      </c>
      <c r="E2563" s="71" t="str">
        <f>MID(D2563,1,2)</f>
        <v>IL</v>
      </c>
      <c r="F2563" s="71" t="s">
        <v>774</v>
      </c>
      <c r="G2563" s="71" t="str">
        <f>MID(F2563,1,2)</f>
        <v>CN</v>
      </c>
      <c r="H2563" s="43" t="s">
        <v>4340</v>
      </c>
      <c r="I2563" s="71" t="s">
        <v>4341</v>
      </c>
      <c r="J2563" s="71" t="s">
        <v>386</v>
      </c>
      <c r="K2563" s="43"/>
      <c r="L2563" s="71" t="s">
        <v>107</v>
      </c>
      <c r="M2563" s="73">
        <v>487</v>
      </c>
      <c r="N2563" s="71" t="s">
        <v>388</v>
      </c>
      <c r="O2563" s="73">
        <v>0.549</v>
      </c>
      <c r="P2563" s="71" t="s">
        <v>389</v>
      </c>
      <c r="Q2563" s="73">
        <v>500</v>
      </c>
      <c r="R2563" s="71" t="s">
        <v>388</v>
      </c>
      <c r="S2563" s="73">
        <v>0</v>
      </c>
      <c r="T2563" s="71" t="s">
        <v>390</v>
      </c>
      <c r="U2563" s="74">
        <v>2</v>
      </c>
      <c r="V2563" s="71" t="s">
        <v>391</v>
      </c>
      <c r="W2563" s="130">
        <v>46079.74375</v>
      </c>
      <c r="X2563" s="72">
        <v>46091.25</v>
      </c>
      <c r="Y2563" s="72">
        <v>46095.6875</v>
      </c>
      <c r="Z2563" s="104" t="s">
        <v>383</v>
      </c>
      <c r="AA2563" s="104" t="s">
        <v>403</v>
      </c>
      <c r="AB2563" s="105">
        <v>46094.507638888892</v>
      </c>
      <c r="AC2563" s="105">
        <v>46095.293055555558</v>
      </c>
    </row>
    <row r="2564" s="70" customFormat="1" ht="11.25" customHeight="1">
      <c r="A2564" s="87"/>
      <c r="C2564" s="43" t="s">
        <v>4339</v>
      </c>
      <c r="D2564" s="71" t="s">
        <v>382</v>
      </c>
      <c r="E2564" s="71" t="str">
        <f>MID(D2564,1,2)</f>
        <v>IL</v>
      </c>
      <c r="F2564" s="71" t="s">
        <v>774</v>
      </c>
      <c r="G2564" s="71" t="str">
        <f>MID(F2564,1,2)</f>
        <v>CN</v>
      </c>
      <c r="H2564" s="43" t="s">
        <v>4340</v>
      </c>
      <c r="I2564" s="71" t="s">
        <v>4341</v>
      </c>
      <c r="J2564" s="71" t="s">
        <v>386</v>
      </c>
      <c r="K2564" s="43"/>
      <c r="L2564" s="71" t="s">
        <v>107</v>
      </c>
      <c r="M2564" s="73">
        <v>487</v>
      </c>
      <c r="N2564" s="71" t="s">
        <v>388</v>
      </c>
      <c r="O2564" s="73">
        <v>0.549</v>
      </c>
      <c r="P2564" s="71" t="s">
        <v>389</v>
      </c>
      <c r="Q2564" s="73">
        <v>500</v>
      </c>
      <c r="R2564" s="71" t="s">
        <v>388</v>
      </c>
      <c r="S2564" s="73">
        <v>0</v>
      </c>
      <c r="T2564" s="71" t="s">
        <v>390</v>
      </c>
      <c r="U2564" s="74">
        <v>2</v>
      </c>
      <c r="V2564" s="71" t="s">
        <v>391</v>
      </c>
      <c r="W2564" s="130">
        <v>46079.74375</v>
      </c>
      <c r="X2564" s="72">
        <v>46091.25</v>
      </c>
      <c r="Y2564" s="72">
        <v>46095.6875</v>
      </c>
      <c r="Z2564" s="104" t="s">
        <v>403</v>
      </c>
      <c r="AA2564" s="104" t="s">
        <v>774</v>
      </c>
      <c r="AB2564" s="105">
        <v>46095.564583333333</v>
      </c>
      <c r="AC2564" s="105">
        <v>46095.669444444444</v>
      </c>
    </row>
    <row r="2565" s="70" customFormat="1" ht="11.25" customHeight="1">
      <c r="A2565" s="87"/>
      <c r="C2565" s="43" t="s">
        <v>4342</v>
      </c>
      <c r="D2565" s="71" t="s">
        <v>382</v>
      </c>
      <c r="E2565" s="71" t="str">
        <f>MID(D2565,1,2)</f>
        <v>IL</v>
      </c>
      <c r="F2565" s="71" t="s">
        <v>471</v>
      </c>
      <c r="G2565" s="71" t="str">
        <f>MID(F2565,1,2)</f>
        <v>US</v>
      </c>
      <c r="H2565" s="43" t="s">
        <v>4343</v>
      </c>
      <c r="I2565" s="71" t="s">
        <v>4344</v>
      </c>
      <c r="J2565" s="71" t="s">
        <v>386</v>
      </c>
      <c r="K2565" s="43"/>
      <c r="L2565" s="71" t="s">
        <v>107</v>
      </c>
      <c r="M2565" s="73">
        <v>298</v>
      </c>
      <c r="N2565" s="71" t="s">
        <v>388</v>
      </c>
      <c r="O2565" s="73">
        <v>0.739</v>
      </c>
      <c r="P2565" s="71" t="s">
        <v>389</v>
      </c>
      <c r="Q2565" s="73">
        <v>300</v>
      </c>
      <c r="R2565" s="71" t="s">
        <v>388</v>
      </c>
      <c r="S2565" s="73">
        <v>0</v>
      </c>
      <c r="T2565" s="71" t="s">
        <v>390</v>
      </c>
      <c r="U2565" s="74">
        <v>5</v>
      </c>
      <c r="V2565" s="71" t="s">
        <v>391</v>
      </c>
      <c r="W2565" s="130">
        <v>46079.598611111112</v>
      </c>
      <c r="X2565" s="72">
        <v>46089.401388888888</v>
      </c>
      <c r="Y2565" s="72">
        <v>46103.25</v>
      </c>
      <c r="Z2565" s="104" t="s">
        <v>382</v>
      </c>
      <c r="AA2565" s="104" t="s">
        <v>471</v>
      </c>
      <c r="AB2565" s="105">
        <v>46098.508333333331</v>
      </c>
      <c r="AC2565" s="105">
        <v>46098.666666666664</v>
      </c>
    </row>
    <row r="2566" s="70" customFormat="1" ht="11.25" customHeight="1">
      <c r="A2566" s="87"/>
      <c r="C2566" s="43" t="s">
        <v>4345</v>
      </c>
      <c r="D2566" s="71" t="s">
        <v>382</v>
      </c>
      <c r="E2566" s="71" t="str">
        <f>MID(D2566,1,2)</f>
        <v>IL</v>
      </c>
      <c r="F2566" s="71" t="s">
        <v>817</v>
      </c>
      <c r="G2566" s="71" t="str">
        <f>MID(F2566,1,2)</f>
        <v>IN</v>
      </c>
      <c r="H2566" s="43" t="s">
        <v>4346</v>
      </c>
      <c r="I2566" s="71" t="s">
        <v>4347</v>
      </c>
      <c r="J2566" s="71" t="s">
        <v>426</v>
      </c>
      <c r="K2566" s="43"/>
      <c r="L2566" s="71" t="s">
        <v>105</v>
      </c>
      <c r="M2566" s="73">
        <v>347</v>
      </c>
      <c r="N2566" s="71" t="s">
        <v>388</v>
      </c>
      <c r="O2566" s="73">
        <v>2.778</v>
      </c>
      <c r="P2566" s="71" t="s">
        <v>389</v>
      </c>
      <c r="Q2566" s="73">
        <v>463</v>
      </c>
      <c r="R2566" s="71" t="s">
        <v>388</v>
      </c>
      <c r="S2566" s="73">
        <v>0</v>
      </c>
      <c r="T2566" s="71" t="s">
        <v>390</v>
      </c>
      <c r="U2566" s="74">
        <v>3</v>
      </c>
      <c r="V2566" s="71" t="s">
        <v>391</v>
      </c>
      <c r="W2566" s="130"/>
      <c r="X2566" s="72">
        <v>46081.486111111109</v>
      </c>
      <c r="Y2566" s="72">
        <v>46081.840277777781</v>
      </c>
      <c r="Z2566" s="104" t="s">
        <v>382</v>
      </c>
      <c r="AA2566" s="104" t="s">
        <v>817</v>
      </c>
      <c r="AB2566" s="105"/>
      <c r="AC2566" s="105"/>
    </row>
    <row r="2567" s="70" customFormat="1" ht="11.25" customHeight="1">
      <c r="A2567" s="87"/>
      <c r="C2567" s="43" t="s">
        <v>4348</v>
      </c>
      <c r="D2567" s="71" t="s">
        <v>382</v>
      </c>
      <c r="E2567" s="71" t="str">
        <f>MID(D2567,1,2)</f>
        <v>IL</v>
      </c>
      <c r="F2567" s="71" t="s">
        <v>963</v>
      </c>
      <c r="G2567" s="71" t="str">
        <f>MID(F2567,1,2)</f>
        <v>IN</v>
      </c>
      <c r="H2567" s="43" t="s">
        <v>4120</v>
      </c>
      <c r="I2567" s="71" t="s">
        <v>4349</v>
      </c>
      <c r="J2567" s="71" t="s">
        <v>426</v>
      </c>
      <c r="K2567" s="43"/>
      <c r="L2567" s="71" t="s">
        <v>105</v>
      </c>
      <c r="M2567" s="73">
        <v>28</v>
      </c>
      <c r="N2567" s="71" t="s">
        <v>388</v>
      </c>
      <c r="O2567" s="73">
        <v>0.274</v>
      </c>
      <c r="P2567" s="71" t="s">
        <v>389</v>
      </c>
      <c r="Q2567" s="73">
        <v>46</v>
      </c>
      <c r="R2567" s="71" t="s">
        <v>388</v>
      </c>
      <c r="S2567" s="73">
        <v>0</v>
      </c>
      <c r="T2567" s="71" t="s">
        <v>390</v>
      </c>
      <c r="U2567" s="74">
        <v>1</v>
      </c>
      <c r="V2567" s="71" t="s">
        <v>391</v>
      </c>
      <c r="W2567" s="130">
        <v>46079.555555555555</v>
      </c>
      <c r="X2567" s="72">
        <v>46081.895833333336</v>
      </c>
      <c r="Y2567" s="72">
        <v>46100.666666666664</v>
      </c>
      <c r="Z2567" s="104" t="s">
        <v>382</v>
      </c>
      <c r="AA2567" s="104" t="s">
        <v>402</v>
      </c>
      <c r="AB2567" s="105">
        <v>46093.429166666669</v>
      </c>
      <c r="AC2567" s="105">
        <v>46093.841666666667</v>
      </c>
    </row>
    <row r="2568" s="70" customFormat="1" ht="11.25" customHeight="1">
      <c r="A2568" s="87"/>
      <c r="C2568" s="43" t="s">
        <v>4348</v>
      </c>
      <c r="D2568" s="71" t="s">
        <v>382</v>
      </c>
      <c r="E2568" s="71" t="str">
        <f>MID(D2568,1,2)</f>
        <v>IL</v>
      </c>
      <c r="F2568" s="71" t="s">
        <v>963</v>
      </c>
      <c r="G2568" s="71" t="str">
        <f>MID(F2568,1,2)</f>
        <v>IN</v>
      </c>
      <c r="H2568" s="43" t="s">
        <v>4120</v>
      </c>
      <c r="I2568" s="71" t="s">
        <v>4349</v>
      </c>
      <c r="J2568" s="71" t="s">
        <v>426</v>
      </c>
      <c r="K2568" s="43"/>
      <c r="L2568" s="71" t="s">
        <v>105</v>
      </c>
      <c r="M2568" s="73">
        <v>28</v>
      </c>
      <c r="N2568" s="71" t="s">
        <v>388</v>
      </c>
      <c r="O2568" s="73">
        <v>0.274</v>
      </c>
      <c r="P2568" s="71" t="s">
        <v>389</v>
      </c>
      <c r="Q2568" s="73">
        <v>46</v>
      </c>
      <c r="R2568" s="71" t="s">
        <v>388</v>
      </c>
      <c r="S2568" s="73">
        <v>0</v>
      </c>
      <c r="T2568" s="71" t="s">
        <v>390</v>
      </c>
      <c r="U2568" s="74">
        <v>1</v>
      </c>
      <c r="V2568" s="71" t="s">
        <v>391</v>
      </c>
      <c r="W2568" s="130">
        <v>46079.555555555555</v>
      </c>
      <c r="X2568" s="72">
        <v>46081.895833333336</v>
      </c>
      <c r="Y2568" s="72">
        <v>46100.666666666664</v>
      </c>
      <c r="Z2568" s="104" t="s">
        <v>402</v>
      </c>
      <c r="AA2568" s="104" t="s">
        <v>809</v>
      </c>
      <c r="AB2568" s="105">
        <v>46093.888194444444</v>
      </c>
      <c r="AC2568" s="105">
        <v>46093.842361111114</v>
      </c>
    </row>
    <row r="2569" s="70" customFormat="1" ht="11.25" customHeight="1">
      <c r="A2569" s="87"/>
      <c r="C2569" s="43" t="s">
        <v>4348</v>
      </c>
      <c r="D2569" s="71" t="s">
        <v>382</v>
      </c>
      <c r="E2569" s="71" t="str">
        <f>MID(D2569,1,2)</f>
        <v>IL</v>
      </c>
      <c r="F2569" s="71" t="s">
        <v>963</v>
      </c>
      <c r="G2569" s="71" t="str">
        <f>MID(F2569,1,2)</f>
        <v>IN</v>
      </c>
      <c r="H2569" s="43" t="s">
        <v>4120</v>
      </c>
      <c r="I2569" s="71" t="s">
        <v>4349</v>
      </c>
      <c r="J2569" s="71" t="s">
        <v>426</v>
      </c>
      <c r="K2569" s="43"/>
      <c r="L2569" s="71" t="s">
        <v>105</v>
      </c>
      <c r="M2569" s="73">
        <v>28</v>
      </c>
      <c r="N2569" s="71" t="s">
        <v>388</v>
      </c>
      <c r="O2569" s="73">
        <v>0.274</v>
      </c>
      <c r="P2569" s="71" t="s">
        <v>389</v>
      </c>
      <c r="Q2569" s="73">
        <v>46</v>
      </c>
      <c r="R2569" s="71" t="s">
        <v>388</v>
      </c>
      <c r="S2569" s="73">
        <v>0</v>
      </c>
      <c r="T2569" s="71" t="s">
        <v>390</v>
      </c>
      <c r="U2569" s="74">
        <v>1</v>
      </c>
      <c r="V2569" s="71" t="s">
        <v>391</v>
      </c>
      <c r="W2569" s="130">
        <v>46079.555555555555</v>
      </c>
      <c r="X2569" s="72">
        <v>46081.895833333336</v>
      </c>
      <c r="Y2569" s="72">
        <v>46100.666666666664</v>
      </c>
      <c r="Z2569" s="104" t="s">
        <v>809</v>
      </c>
      <c r="AA2569" s="104" t="s">
        <v>963</v>
      </c>
      <c r="AB2569" s="105">
        <v>46098.365972222222</v>
      </c>
      <c r="AC2569" s="105">
        <v>46100.365972222222</v>
      </c>
    </row>
    <row r="2570" s="70" customFormat="1" ht="11.25" customHeight="1">
      <c r="A2570" s="87"/>
      <c r="C2570" s="43" t="s">
        <v>4350</v>
      </c>
      <c r="D2570" s="71" t="s">
        <v>382</v>
      </c>
      <c r="E2570" s="71" t="str">
        <f>MID(D2570,1,2)</f>
        <v>IL</v>
      </c>
      <c r="F2570" s="71" t="s">
        <v>476</v>
      </c>
      <c r="G2570" s="71" t="str">
        <f>MID(F2570,1,2)</f>
        <v>SG</v>
      </c>
      <c r="H2570" s="43" t="s">
        <v>4351</v>
      </c>
      <c r="I2570" s="71" t="s">
        <v>4352</v>
      </c>
      <c r="J2570" s="71" t="s">
        <v>755</v>
      </c>
      <c r="K2570" s="43"/>
      <c r="L2570" s="71" t="s">
        <v>105</v>
      </c>
      <c r="M2570" s="73">
        <v>212</v>
      </c>
      <c r="N2570" s="71" t="s">
        <v>388</v>
      </c>
      <c r="O2570" s="73">
        <v>3.575</v>
      </c>
      <c r="P2570" s="71" t="s">
        <v>389</v>
      </c>
      <c r="Q2570" s="73">
        <v>596</v>
      </c>
      <c r="R2570" s="71" t="s">
        <v>388</v>
      </c>
      <c r="S2570" s="73">
        <v>0</v>
      </c>
      <c r="T2570" s="71" t="s">
        <v>390</v>
      </c>
      <c r="U2570" s="74">
        <v>2</v>
      </c>
      <c r="V2570" s="71" t="s">
        <v>391</v>
      </c>
      <c r="W2570" s="130">
        <v>46085.644444444442</v>
      </c>
      <c r="X2570" s="72">
        <v>46088.833333333336</v>
      </c>
      <c r="Y2570" s="72">
        <v>46100.291666666664</v>
      </c>
      <c r="Z2570" s="104" t="s">
        <v>382</v>
      </c>
      <c r="AA2570" s="104" t="s">
        <v>466</v>
      </c>
      <c r="AB2570" s="105">
        <v>46087.459027777775</v>
      </c>
      <c r="AC2570" s="105"/>
    </row>
    <row r="2571" s="70" customFormat="1" ht="11.25" customHeight="1">
      <c r="A2571" s="87"/>
      <c r="C2571" s="43" t="s">
        <v>4350</v>
      </c>
      <c r="D2571" s="71" t="s">
        <v>382</v>
      </c>
      <c r="E2571" s="71" t="str">
        <f>MID(D2571,1,2)</f>
        <v>IL</v>
      </c>
      <c r="F2571" s="71" t="s">
        <v>476</v>
      </c>
      <c r="G2571" s="71" t="str">
        <f>MID(F2571,1,2)</f>
        <v>SG</v>
      </c>
      <c r="H2571" s="43" t="s">
        <v>4351</v>
      </c>
      <c r="I2571" s="71" t="s">
        <v>4352</v>
      </c>
      <c r="J2571" s="71" t="s">
        <v>755</v>
      </c>
      <c r="K2571" s="43"/>
      <c r="L2571" s="71" t="s">
        <v>105</v>
      </c>
      <c r="M2571" s="73">
        <v>212</v>
      </c>
      <c r="N2571" s="71" t="s">
        <v>388</v>
      </c>
      <c r="O2571" s="73">
        <v>3.575</v>
      </c>
      <c r="P2571" s="71" t="s">
        <v>389</v>
      </c>
      <c r="Q2571" s="73">
        <v>596</v>
      </c>
      <c r="R2571" s="71" t="s">
        <v>388</v>
      </c>
      <c r="S2571" s="73">
        <v>0</v>
      </c>
      <c r="T2571" s="71" t="s">
        <v>390</v>
      </c>
      <c r="U2571" s="74">
        <v>2</v>
      </c>
      <c r="V2571" s="71" t="s">
        <v>391</v>
      </c>
      <c r="W2571" s="130">
        <v>46085.644444444442</v>
      </c>
      <c r="X2571" s="72">
        <v>46088.833333333336</v>
      </c>
      <c r="Y2571" s="72">
        <v>46100.291666666664</v>
      </c>
      <c r="Z2571" s="104" t="s">
        <v>466</v>
      </c>
      <c r="AA2571" s="104" t="s">
        <v>1117</v>
      </c>
      <c r="AB2571" s="105">
        <v>46088.667361111111</v>
      </c>
      <c r="AC2571" s="105"/>
    </row>
    <row r="2572" s="70" customFormat="1" ht="11.25" customHeight="1">
      <c r="A2572" s="87"/>
      <c r="C2572" s="43" t="s">
        <v>4350</v>
      </c>
      <c r="D2572" s="71" t="s">
        <v>382</v>
      </c>
      <c r="E2572" s="71" t="str">
        <f>MID(D2572,1,2)</f>
        <v>IL</v>
      </c>
      <c r="F2572" s="71" t="s">
        <v>476</v>
      </c>
      <c r="G2572" s="71" t="str">
        <f>MID(F2572,1,2)</f>
        <v>SG</v>
      </c>
      <c r="H2572" s="43" t="s">
        <v>4351</v>
      </c>
      <c r="I2572" s="71" t="s">
        <v>4352</v>
      </c>
      <c r="J2572" s="71" t="s">
        <v>755</v>
      </c>
      <c r="K2572" s="43"/>
      <c r="L2572" s="71" t="s">
        <v>105</v>
      </c>
      <c r="M2572" s="73">
        <v>212</v>
      </c>
      <c r="N2572" s="71" t="s">
        <v>388</v>
      </c>
      <c r="O2572" s="73">
        <v>3.575</v>
      </c>
      <c r="P2572" s="71" t="s">
        <v>389</v>
      </c>
      <c r="Q2572" s="73">
        <v>596</v>
      </c>
      <c r="R2572" s="71" t="s">
        <v>388</v>
      </c>
      <c r="S2572" s="73">
        <v>0</v>
      </c>
      <c r="T2572" s="71" t="s">
        <v>390</v>
      </c>
      <c r="U2572" s="74">
        <v>2</v>
      </c>
      <c r="V2572" s="71" t="s">
        <v>391</v>
      </c>
      <c r="W2572" s="130">
        <v>46085.644444444442</v>
      </c>
      <c r="X2572" s="72">
        <v>46088.833333333336</v>
      </c>
      <c r="Y2572" s="72">
        <v>46100.291666666664</v>
      </c>
      <c r="Z2572" s="104" t="s">
        <v>1117</v>
      </c>
      <c r="AA2572" s="104" t="s">
        <v>476</v>
      </c>
      <c r="AB2572" s="105">
        <v>46099.496527777781</v>
      </c>
      <c r="AC2572" s="105">
        <v>46100.306944444441</v>
      </c>
    </row>
    <row r="2573" s="70" customFormat="1" ht="11.25" customHeight="1">
      <c r="A2573" s="87"/>
      <c r="C2573" s="43" t="s">
        <v>4353</v>
      </c>
      <c r="D2573" s="71" t="s">
        <v>382</v>
      </c>
      <c r="E2573" s="71" t="str">
        <f>MID(D2573,1,2)</f>
        <v>IL</v>
      </c>
      <c r="F2573" s="71" t="s">
        <v>1175</v>
      </c>
      <c r="G2573" s="71" t="str">
        <f>MID(F2573,1,2)</f>
        <v>AE</v>
      </c>
      <c r="H2573" s="43" t="s">
        <v>4354</v>
      </c>
      <c r="I2573" s="71" t="s">
        <v>4355</v>
      </c>
      <c r="J2573" s="71" t="s">
        <v>811</v>
      </c>
      <c r="K2573" s="43"/>
      <c r="L2573" s="71" t="s">
        <v>105</v>
      </c>
      <c r="M2573" s="73">
        <v>113</v>
      </c>
      <c r="N2573" s="71" t="s">
        <v>388</v>
      </c>
      <c r="O2573" s="73">
        <v>0.604</v>
      </c>
      <c r="P2573" s="71" t="s">
        <v>389</v>
      </c>
      <c r="Q2573" s="73">
        <v>113</v>
      </c>
      <c r="R2573" s="71" t="s">
        <v>388</v>
      </c>
      <c r="S2573" s="73">
        <v>0</v>
      </c>
      <c r="T2573" s="71" t="s">
        <v>390</v>
      </c>
      <c r="U2573" s="74">
        <v>2</v>
      </c>
      <c r="V2573" s="71" t="s">
        <v>391</v>
      </c>
      <c r="W2573" s="130"/>
      <c r="X2573" s="72">
        <v>46080.552777777775</v>
      </c>
      <c r="Y2573" s="72">
        <v>46080.746527777781</v>
      </c>
      <c r="Z2573" s="104" t="s">
        <v>382</v>
      </c>
      <c r="AA2573" s="104" t="s">
        <v>1175</v>
      </c>
      <c r="AB2573" s="105">
        <v>46080.354166666664</v>
      </c>
      <c r="AC2573" s="105">
        <v>46080.567361111112</v>
      </c>
    </row>
    <row r="2574" s="70" customFormat="1" ht="11.25" customHeight="1">
      <c r="A2574" s="87"/>
      <c r="C2574" s="43" t="s">
        <v>4356</v>
      </c>
      <c r="D2574" s="71" t="s">
        <v>382</v>
      </c>
      <c r="E2574" s="71" t="str">
        <f>MID(D2574,1,2)</f>
        <v>IL</v>
      </c>
      <c r="F2574" s="71" t="s">
        <v>4140</v>
      </c>
      <c r="G2574" s="71" t="str">
        <f>MID(F2574,1,2)</f>
        <v>CA</v>
      </c>
      <c r="H2574" s="43" t="s">
        <v>4357</v>
      </c>
      <c r="I2574" s="71" t="s">
        <v>4358</v>
      </c>
      <c r="J2574" s="71" t="s">
        <v>483</v>
      </c>
      <c r="K2574" s="43"/>
      <c r="L2574" s="71" t="s">
        <v>105</v>
      </c>
      <c r="M2574" s="73">
        <v>27</v>
      </c>
      <c r="N2574" s="71" t="s">
        <v>388</v>
      </c>
      <c r="O2574" s="73">
        <v>0.528</v>
      </c>
      <c r="P2574" s="71" t="s">
        <v>389</v>
      </c>
      <c r="Q2574" s="73">
        <v>88</v>
      </c>
      <c r="R2574" s="71" t="s">
        <v>388</v>
      </c>
      <c r="S2574" s="73">
        <v>0</v>
      </c>
      <c r="T2574" s="71" t="s">
        <v>390</v>
      </c>
      <c r="U2574" s="74">
        <v>1</v>
      </c>
      <c r="V2574" s="71" t="s">
        <v>391</v>
      </c>
      <c r="W2574" s="130">
        <v>46079.5625</v>
      </c>
      <c r="X2574" s="72">
        <v>46083.496527777781</v>
      </c>
      <c r="Y2574" s="72">
        <v>46090.958333333336</v>
      </c>
      <c r="Z2574" s="104" t="s">
        <v>382</v>
      </c>
      <c r="AA2574" s="104" t="s">
        <v>408</v>
      </c>
      <c r="AB2574" s="105">
        <v>46084.73125</v>
      </c>
      <c r="AC2574" s="105">
        <v>46084.822916666664</v>
      </c>
    </row>
    <row r="2575" s="70" customFormat="1" ht="11.25" customHeight="1">
      <c r="A2575" s="87"/>
      <c r="C2575" s="43" t="s">
        <v>4356</v>
      </c>
      <c r="D2575" s="71" t="s">
        <v>382</v>
      </c>
      <c r="E2575" s="71" t="str">
        <f>MID(D2575,1,2)</f>
        <v>IL</v>
      </c>
      <c r="F2575" s="71" t="s">
        <v>4140</v>
      </c>
      <c r="G2575" s="71" t="str">
        <f>MID(F2575,1,2)</f>
        <v>CA</v>
      </c>
      <c r="H2575" s="43" t="s">
        <v>4357</v>
      </c>
      <c r="I2575" s="71" t="s">
        <v>4358</v>
      </c>
      <c r="J2575" s="71" t="s">
        <v>483</v>
      </c>
      <c r="K2575" s="43"/>
      <c r="L2575" s="71" t="s">
        <v>105</v>
      </c>
      <c r="M2575" s="73">
        <v>27</v>
      </c>
      <c r="N2575" s="71" t="s">
        <v>388</v>
      </c>
      <c r="O2575" s="73">
        <v>0.528</v>
      </c>
      <c r="P2575" s="71" t="s">
        <v>389</v>
      </c>
      <c r="Q2575" s="73">
        <v>88</v>
      </c>
      <c r="R2575" s="71" t="s">
        <v>388</v>
      </c>
      <c r="S2575" s="73">
        <v>0</v>
      </c>
      <c r="T2575" s="71" t="s">
        <v>390</v>
      </c>
      <c r="U2575" s="74">
        <v>1</v>
      </c>
      <c r="V2575" s="71" t="s">
        <v>391</v>
      </c>
      <c r="W2575" s="130">
        <v>46079.5625</v>
      </c>
      <c r="X2575" s="72">
        <v>46083.496527777781</v>
      </c>
      <c r="Y2575" s="72">
        <v>46090.958333333336</v>
      </c>
      <c r="Z2575" s="104" t="s">
        <v>408</v>
      </c>
      <c r="AA2575" s="104" t="s">
        <v>480</v>
      </c>
      <c r="AB2575" s="105">
        <v>46087.501388888886</v>
      </c>
      <c r="AC2575" s="105">
        <v>46087.615972222222</v>
      </c>
    </row>
    <row r="2576" s="70" customFormat="1" ht="11.25" customHeight="1">
      <c r="A2576" s="87"/>
      <c r="C2576" s="43" t="s">
        <v>4356</v>
      </c>
      <c r="D2576" s="71" t="s">
        <v>382</v>
      </c>
      <c r="E2576" s="71" t="str">
        <f>MID(D2576,1,2)</f>
        <v>IL</v>
      </c>
      <c r="F2576" s="71" t="s">
        <v>4140</v>
      </c>
      <c r="G2576" s="71" t="str">
        <f>MID(F2576,1,2)</f>
        <v>CA</v>
      </c>
      <c r="H2576" s="43" t="s">
        <v>4357</v>
      </c>
      <c r="I2576" s="71" t="s">
        <v>4358</v>
      </c>
      <c r="J2576" s="71" t="s">
        <v>483</v>
      </c>
      <c r="K2576" s="43"/>
      <c r="L2576" s="71" t="s">
        <v>105</v>
      </c>
      <c r="M2576" s="73">
        <v>27</v>
      </c>
      <c r="N2576" s="71" t="s">
        <v>388</v>
      </c>
      <c r="O2576" s="73">
        <v>0.528</v>
      </c>
      <c r="P2576" s="71" t="s">
        <v>389</v>
      </c>
      <c r="Q2576" s="73">
        <v>88</v>
      </c>
      <c r="R2576" s="71" t="s">
        <v>388</v>
      </c>
      <c r="S2576" s="73">
        <v>0</v>
      </c>
      <c r="T2576" s="71" t="s">
        <v>390</v>
      </c>
      <c r="U2576" s="74">
        <v>1</v>
      </c>
      <c r="V2576" s="71" t="s">
        <v>391</v>
      </c>
      <c r="W2576" s="130">
        <v>46079.5625</v>
      </c>
      <c r="X2576" s="72">
        <v>46083.496527777781</v>
      </c>
      <c r="Y2576" s="72">
        <v>46090.958333333336</v>
      </c>
      <c r="Z2576" s="104" t="s">
        <v>480</v>
      </c>
      <c r="AA2576" s="104" t="s">
        <v>4140</v>
      </c>
      <c r="AB2576" s="105">
        <v>46090.622916666667</v>
      </c>
      <c r="AC2576" s="105">
        <v>46093.416666666664</v>
      </c>
    </row>
    <row r="2577" s="70" customFormat="1" ht="11.25" customHeight="1">
      <c r="A2577" s="87"/>
      <c r="C2577" s="43" t="s">
        <v>4359</v>
      </c>
      <c r="D2577" s="71" t="s">
        <v>382</v>
      </c>
      <c r="E2577" s="71" t="str">
        <f>MID(D2577,1,2)</f>
        <v>IL</v>
      </c>
      <c r="F2577" s="71" t="s">
        <v>383</v>
      </c>
      <c r="G2577" s="71" t="str">
        <f>MID(F2577,1,2)</f>
        <v>DE</v>
      </c>
      <c r="H2577" s="43" t="s">
        <v>4311</v>
      </c>
      <c r="I2577" s="71" t="s">
        <v>4360</v>
      </c>
      <c r="J2577" s="71" t="s">
        <v>386</v>
      </c>
      <c r="K2577" s="43"/>
      <c r="L2577" s="71" t="s">
        <v>107</v>
      </c>
      <c r="M2577" s="73">
        <v>78</v>
      </c>
      <c r="N2577" s="71" t="s">
        <v>388</v>
      </c>
      <c r="O2577" s="73">
        <v>0.369</v>
      </c>
      <c r="P2577" s="71" t="s">
        <v>389</v>
      </c>
      <c r="Q2577" s="73">
        <v>78</v>
      </c>
      <c r="R2577" s="71" t="s">
        <v>388</v>
      </c>
      <c r="S2577" s="73">
        <v>0</v>
      </c>
      <c r="T2577" s="71" t="s">
        <v>390</v>
      </c>
      <c r="U2577" s="74">
        <v>1</v>
      </c>
      <c r="V2577" s="71" t="s">
        <v>391</v>
      </c>
      <c r="W2577" s="130">
        <v>46079.611805555556</v>
      </c>
      <c r="X2577" s="72">
        <v>46090.253472222219</v>
      </c>
      <c r="Y2577" s="72">
        <v>46098.25</v>
      </c>
      <c r="Z2577" s="104" t="s">
        <v>383</v>
      </c>
      <c r="AA2577" s="104" t="s">
        <v>667</v>
      </c>
      <c r="AB2577" s="105">
        <v>46097.927777777775</v>
      </c>
      <c r="AC2577" s="105"/>
    </row>
    <row r="2578" s="70" customFormat="1" ht="11.25" customHeight="1">
      <c r="A2578" s="87"/>
      <c r="C2578" s="43" t="s">
        <v>4359</v>
      </c>
      <c r="D2578" s="71" t="s">
        <v>382</v>
      </c>
      <c r="E2578" s="71" t="str">
        <f>MID(D2578,1,2)</f>
        <v>IL</v>
      </c>
      <c r="F2578" s="71" t="s">
        <v>383</v>
      </c>
      <c r="G2578" s="71" t="str">
        <f>MID(F2578,1,2)</f>
        <v>DE</v>
      </c>
      <c r="H2578" s="43" t="s">
        <v>4311</v>
      </c>
      <c r="I2578" s="71" t="s">
        <v>4360</v>
      </c>
      <c r="J2578" s="71" t="s">
        <v>386</v>
      </c>
      <c r="K2578" s="43"/>
      <c r="L2578" s="71" t="s">
        <v>107</v>
      </c>
      <c r="M2578" s="73">
        <v>78</v>
      </c>
      <c r="N2578" s="71" t="s">
        <v>388</v>
      </c>
      <c r="O2578" s="73">
        <v>0.369</v>
      </c>
      <c r="P2578" s="71" t="s">
        <v>389</v>
      </c>
      <c r="Q2578" s="73">
        <v>78</v>
      </c>
      <c r="R2578" s="71" t="s">
        <v>388</v>
      </c>
      <c r="S2578" s="73">
        <v>0</v>
      </c>
      <c r="T2578" s="71" t="s">
        <v>390</v>
      </c>
      <c r="U2578" s="74">
        <v>1</v>
      </c>
      <c r="V2578" s="71" t="s">
        <v>391</v>
      </c>
      <c r="W2578" s="130">
        <v>46079.611805555556</v>
      </c>
      <c r="X2578" s="72">
        <v>46090.253472222219</v>
      </c>
      <c r="Y2578" s="72">
        <v>46098.25</v>
      </c>
      <c r="Z2578" s="104" t="s">
        <v>382</v>
      </c>
      <c r="AA2578" s="104" t="s">
        <v>383</v>
      </c>
      <c r="AB2578" s="105">
        <v>46091.292361111111</v>
      </c>
      <c r="AC2578" s="105">
        <v>46091.435416666667</v>
      </c>
    </row>
    <row r="2579" s="70" customFormat="1" ht="11.25" customHeight="1">
      <c r="A2579" s="87"/>
      <c r="C2579" s="43" t="s">
        <v>4361</v>
      </c>
      <c r="D2579" s="71" t="s">
        <v>808</v>
      </c>
      <c r="E2579" s="71" t="str">
        <f>MID(D2579,1,2)</f>
        <v>IL</v>
      </c>
      <c r="F2579" s="71" t="s">
        <v>809</v>
      </c>
      <c r="G2579" s="71" t="str">
        <f>MID(F2579,1,2)</f>
        <v>IN</v>
      </c>
      <c r="H2579" s="43"/>
      <c r="I2579" s="71" t="s">
        <v>4362</v>
      </c>
      <c r="J2579" s="71" t="s">
        <v>811</v>
      </c>
      <c r="K2579" s="43"/>
      <c r="L2579" s="71" t="s">
        <v>105</v>
      </c>
      <c r="M2579" s="73">
        <v>0</v>
      </c>
      <c r="N2579" s="71" t="s">
        <v>388</v>
      </c>
      <c r="O2579" s="73">
        <v>0</v>
      </c>
      <c r="P2579" s="71" t="s">
        <v>389</v>
      </c>
      <c r="Q2579" s="73">
        <v>0</v>
      </c>
      <c r="R2579" s="71" t="s">
        <v>388</v>
      </c>
      <c r="S2579" s="73">
        <v>0</v>
      </c>
      <c r="T2579" s="71" t="s">
        <v>390</v>
      </c>
      <c r="U2579" s="74">
        <v>0</v>
      </c>
      <c r="V2579" s="71" t="s">
        <v>391</v>
      </c>
      <c r="W2579" s="130"/>
      <c r="X2579" s="72">
        <v>46079.55972222222</v>
      </c>
      <c r="Y2579" s="72">
        <v>46082.55972222222</v>
      </c>
      <c r="Z2579" s="104"/>
      <c r="AA2579" s="104"/>
      <c r="AB2579" s="105"/>
      <c r="AC2579" s="105"/>
    </row>
    <row r="2580" s="70" customFormat="1" ht="11.25" customHeight="1">
      <c r="A2580" s="87"/>
      <c r="C2580" s="43" t="s">
        <v>4363</v>
      </c>
      <c r="D2580" s="71" t="s">
        <v>382</v>
      </c>
      <c r="E2580" s="71" t="str">
        <f>MID(D2580,1,2)</f>
        <v>IL</v>
      </c>
      <c r="F2580" s="71" t="s">
        <v>963</v>
      </c>
      <c r="G2580" s="71" t="str">
        <f>MID(F2580,1,2)</f>
        <v>IN</v>
      </c>
      <c r="H2580" s="43" t="s">
        <v>4120</v>
      </c>
      <c r="I2580" s="71" t="s">
        <v>4364</v>
      </c>
      <c r="J2580" s="71" t="s">
        <v>426</v>
      </c>
      <c r="K2580" s="43"/>
      <c r="L2580" s="71" t="s">
        <v>105</v>
      </c>
      <c r="M2580" s="73">
        <v>16</v>
      </c>
      <c r="N2580" s="71" t="s">
        <v>388</v>
      </c>
      <c r="O2580" s="73">
        <v>0.045</v>
      </c>
      <c r="P2580" s="71" t="s">
        <v>389</v>
      </c>
      <c r="Q2580" s="73">
        <v>16</v>
      </c>
      <c r="R2580" s="71" t="s">
        <v>388</v>
      </c>
      <c r="S2580" s="73">
        <v>0</v>
      </c>
      <c r="T2580" s="71" t="s">
        <v>390</v>
      </c>
      <c r="U2580" s="74">
        <v>1</v>
      </c>
      <c r="V2580" s="71" t="s">
        <v>391</v>
      </c>
      <c r="W2580" s="130">
        <v>46079.570138888892</v>
      </c>
      <c r="X2580" s="72">
        <v>46081.895833333336</v>
      </c>
      <c r="Y2580" s="72">
        <v>46100.666666666664</v>
      </c>
      <c r="Z2580" s="104" t="s">
        <v>382</v>
      </c>
      <c r="AA2580" s="104" t="s">
        <v>402</v>
      </c>
      <c r="AB2580" s="105">
        <v>46093.429166666669</v>
      </c>
      <c r="AC2580" s="105">
        <v>46093.841666666667</v>
      </c>
    </row>
    <row r="2581" s="70" customFormat="1" ht="11.25" customHeight="1">
      <c r="A2581" s="87"/>
      <c r="C2581" s="43" t="s">
        <v>4363</v>
      </c>
      <c r="D2581" s="71" t="s">
        <v>382</v>
      </c>
      <c r="E2581" s="71" t="str">
        <f>MID(D2581,1,2)</f>
        <v>IL</v>
      </c>
      <c r="F2581" s="71" t="s">
        <v>963</v>
      </c>
      <c r="G2581" s="71" t="str">
        <f>MID(F2581,1,2)</f>
        <v>IN</v>
      </c>
      <c r="H2581" s="43" t="s">
        <v>4120</v>
      </c>
      <c r="I2581" s="71" t="s">
        <v>4364</v>
      </c>
      <c r="J2581" s="71" t="s">
        <v>426</v>
      </c>
      <c r="K2581" s="43"/>
      <c r="L2581" s="71" t="s">
        <v>105</v>
      </c>
      <c r="M2581" s="73">
        <v>16</v>
      </c>
      <c r="N2581" s="71" t="s">
        <v>388</v>
      </c>
      <c r="O2581" s="73">
        <v>0.045</v>
      </c>
      <c r="P2581" s="71" t="s">
        <v>389</v>
      </c>
      <c r="Q2581" s="73">
        <v>16</v>
      </c>
      <c r="R2581" s="71" t="s">
        <v>388</v>
      </c>
      <c r="S2581" s="73">
        <v>0</v>
      </c>
      <c r="T2581" s="71" t="s">
        <v>390</v>
      </c>
      <c r="U2581" s="74">
        <v>1</v>
      </c>
      <c r="V2581" s="71" t="s">
        <v>391</v>
      </c>
      <c r="W2581" s="130">
        <v>46079.570138888892</v>
      </c>
      <c r="X2581" s="72">
        <v>46081.895833333336</v>
      </c>
      <c r="Y2581" s="72">
        <v>46100.666666666664</v>
      </c>
      <c r="Z2581" s="104" t="s">
        <v>402</v>
      </c>
      <c r="AA2581" s="104" t="s">
        <v>809</v>
      </c>
      <c r="AB2581" s="105">
        <v>46093.888194444444</v>
      </c>
      <c r="AC2581" s="105">
        <v>46093.842361111114</v>
      </c>
    </row>
    <row r="2582" s="70" customFormat="1" ht="11.25" customHeight="1">
      <c r="A2582" s="87"/>
      <c r="C2582" s="43" t="s">
        <v>4363</v>
      </c>
      <c r="D2582" s="71" t="s">
        <v>382</v>
      </c>
      <c r="E2582" s="71" t="str">
        <f>MID(D2582,1,2)</f>
        <v>IL</v>
      </c>
      <c r="F2582" s="71" t="s">
        <v>963</v>
      </c>
      <c r="G2582" s="71" t="str">
        <f>MID(F2582,1,2)</f>
        <v>IN</v>
      </c>
      <c r="H2582" s="43" t="s">
        <v>4120</v>
      </c>
      <c r="I2582" s="71" t="s">
        <v>4364</v>
      </c>
      <c r="J2582" s="71" t="s">
        <v>426</v>
      </c>
      <c r="K2582" s="43"/>
      <c r="L2582" s="71" t="s">
        <v>105</v>
      </c>
      <c r="M2582" s="73">
        <v>16</v>
      </c>
      <c r="N2582" s="71" t="s">
        <v>388</v>
      </c>
      <c r="O2582" s="73">
        <v>0.045</v>
      </c>
      <c r="P2582" s="71" t="s">
        <v>389</v>
      </c>
      <c r="Q2582" s="73">
        <v>16</v>
      </c>
      <c r="R2582" s="71" t="s">
        <v>388</v>
      </c>
      <c r="S2582" s="73">
        <v>0</v>
      </c>
      <c r="T2582" s="71" t="s">
        <v>390</v>
      </c>
      <c r="U2582" s="74">
        <v>1</v>
      </c>
      <c r="V2582" s="71" t="s">
        <v>391</v>
      </c>
      <c r="W2582" s="130">
        <v>46079.570138888892</v>
      </c>
      <c r="X2582" s="72">
        <v>46081.895833333336</v>
      </c>
      <c r="Y2582" s="72">
        <v>46100.666666666664</v>
      </c>
      <c r="Z2582" s="104" t="s">
        <v>809</v>
      </c>
      <c r="AA2582" s="104" t="s">
        <v>963</v>
      </c>
      <c r="AB2582" s="105">
        <v>46098.365972222222</v>
      </c>
      <c r="AC2582" s="105">
        <v>46100.365972222222</v>
      </c>
    </row>
    <row r="2583" s="70" customFormat="1" ht="11.25" customHeight="1">
      <c r="A2583" s="87"/>
      <c r="C2583" s="43" t="s">
        <v>4365</v>
      </c>
      <c r="D2583" s="71" t="s">
        <v>382</v>
      </c>
      <c r="E2583" s="71" t="str">
        <f>MID(D2583,1,2)</f>
        <v>IL</v>
      </c>
      <c r="F2583" s="71" t="s">
        <v>4140</v>
      </c>
      <c r="G2583" s="71" t="str">
        <f>MID(F2583,1,2)</f>
        <v>CA</v>
      </c>
      <c r="H2583" s="43" t="s">
        <v>4357</v>
      </c>
      <c r="I2583" s="71" t="s">
        <v>4366</v>
      </c>
      <c r="J2583" s="71" t="s">
        <v>483</v>
      </c>
      <c r="K2583" s="43"/>
      <c r="L2583" s="71" t="s">
        <v>105</v>
      </c>
      <c r="M2583" s="73">
        <v>353</v>
      </c>
      <c r="N2583" s="71" t="s">
        <v>388</v>
      </c>
      <c r="O2583" s="73">
        <v>4.439</v>
      </c>
      <c r="P2583" s="71" t="s">
        <v>389</v>
      </c>
      <c r="Q2583" s="73">
        <v>740</v>
      </c>
      <c r="R2583" s="71" t="s">
        <v>388</v>
      </c>
      <c r="S2583" s="73">
        <v>0</v>
      </c>
      <c r="T2583" s="71" t="s">
        <v>390</v>
      </c>
      <c r="U2583" s="74">
        <v>4</v>
      </c>
      <c r="V2583" s="71" t="s">
        <v>391</v>
      </c>
      <c r="W2583" s="130">
        <v>46079.570138888892</v>
      </c>
      <c r="X2583" s="72">
        <v>46083.496527777781</v>
      </c>
      <c r="Y2583" s="72">
        <v>46090.958333333336</v>
      </c>
      <c r="Z2583" s="104" t="s">
        <v>382</v>
      </c>
      <c r="AA2583" s="104" t="s">
        <v>408</v>
      </c>
      <c r="AB2583" s="105">
        <v>46084.73125</v>
      </c>
      <c r="AC2583" s="105">
        <v>46084.822916666664</v>
      </c>
    </row>
    <row r="2584" s="70" customFormat="1" ht="11.25" customHeight="1">
      <c r="A2584" s="87"/>
      <c r="C2584" s="43" t="s">
        <v>4365</v>
      </c>
      <c r="D2584" s="71" t="s">
        <v>382</v>
      </c>
      <c r="E2584" s="71" t="str">
        <f>MID(D2584,1,2)</f>
        <v>IL</v>
      </c>
      <c r="F2584" s="71" t="s">
        <v>4140</v>
      </c>
      <c r="G2584" s="71" t="str">
        <f>MID(F2584,1,2)</f>
        <v>CA</v>
      </c>
      <c r="H2584" s="43" t="s">
        <v>4357</v>
      </c>
      <c r="I2584" s="71" t="s">
        <v>4366</v>
      </c>
      <c r="J2584" s="71" t="s">
        <v>483</v>
      </c>
      <c r="K2584" s="43"/>
      <c r="L2584" s="71" t="s">
        <v>105</v>
      </c>
      <c r="M2584" s="73">
        <v>353</v>
      </c>
      <c r="N2584" s="71" t="s">
        <v>388</v>
      </c>
      <c r="O2584" s="73">
        <v>4.439</v>
      </c>
      <c r="P2584" s="71" t="s">
        <v>389</v>
      </c>
      <c r="Q2584" s="73">
        <v>740</v>
      </c>
      <c r="R2584" s="71" t="s">
        <v>388</v>
      </c>
      <c r="S2584" s="73">
        <v>0</v>
      </c>
      <c r="T2584" s="71" t="s">
        <v>390</v>
      </c>
      <c r="U2584" s="74">
        <v>4</v>
      </c>
      <c r="V2584" s="71" t="s">
        <v>391</v>
      </c>
      <c r="W2584" s="130">
        <v>46079.570138888892</v>
      </c>
      <c r="X2584" s="72">
        <v>46083.496527777781</v>
      </c>
      <c r="Y2584" s="72">
        <v>46090.958333333336</v>
      </c>
      <c r="Z2584" s="104" t="s">
        <v>408</v>
      </c>
      <c r="AA2584" s="104" t="s">
        <v>480</v>
      </c>
      <c r="AB2584" s="105">
        <v>46087.501388888886</v>
      </c>
      <c r="AC2584" s="105">
        <v>46087.615972222222</v>
      </c>
    </row>
    <row r="2585" s="70" customFormat="1" ht="11.25" customHeight="1">
      <c r="A2585" s="87"/>
      <c r="C2585" s="43" t="s">
        <v>4365</v>
      </c>
      <c r="D2585" s="71" t="s">
        <v>382</v>
      </c>
      <c r="E2585" s="71" t="str">
        <f>MID(D2585,1,2)</f>
        <v>IL</v>
      </c>
      <c r="F2585" s="71" t="s">
        <v>4140</v>
      </c>
      <c r="G2585" s="71" t="str">
        <f>MID(F2585,1,2)</f>
        <v>CA</v>
      </c>
      <c r="H2585" s="43" t="s">
        <v>4357</v>
      </c>
      <c r="I2585" s="71" t="s">
        <v>4366</v>
      </c>
      <c r="J2585" s="71" t="s">
        <v>483</v>
      </c>
      <c r="K2585" s="43"/>
      <c r="L2585" s="71" t="s">
        <v>105</v>
      </c>
      <c r="M2585" s="73">
        <v>353</v>
      </c>
      <c r="N2585" s="71" t="s">
        <v>388</v>
      </c>
      <c r="O2585" s="73">
        <v>4.439</v>
      </c>
      <c r="P2585" s="71" t="s">
        <v>389</v>
      </c>
      <c r="Q2585" s="73">
        <v>740</v>
      </c>
      <c r="R2585" s="71" t="s">
        <v>388</v>
      </c>
      <c r="S2585" s="73">
        <v>0</v>
      </c>
      <c r="T2585" s="71" t="s">
        <v>390</v>
      </c>
      <c r="U2585" s="74">
        <v>4</v>
      </c>
      <c r="V2585" s="71" t="s">
        <v>391</v>
      </c>
      <c r="W2585" s="130">
        <v>46079.570138888892</v>
      </c>
      <c r="X2585" s="72">
        <v>46083.496527777781</v>
      </c>
      <c r="Y2585" s="72">
        <v>46090.958333333336</v>
      </c>
      <c r="Z2585" s="104" t="s">
        <v>480</v>
      </c>
      <c r="AA2585" s="104" t="s">
        <v>4140</v>
      </c>
      <c r="AB2585" s="105">
        <v>46090.622916666667</v>
      </c>
      <c r="AC2585" s="105">
        <v>46093.416666666664</v>
      </c>
    </row>
    <row r="2586" s="70" customFormat="1" ht="11.25" customHeight="1">
      <c r="A2586" s="87"/>
      <c r="C2586" s="43" t="s">
        <v>4367</v>
      </c>
      <c r="D2586" s="71" t="s">
        <v>382</v>
      </c>
      <c r="E2586" s="71" t="str">
        <f>MID(D2586,1,2)</f>
        <v>IL</v>
      </c>
      <c r="F2586" s="71" t="s">
        <v>422</v>
      </c>
      <c r="G2586" s="71" t="str">
        <f>MID(F2586,1,2)</f>
        <v>US</v>
      </c>
      <c r="H2586" s="43" t="s">
        <v>4368</v>
      </c>
      <c r="I2586" s="71" t="s">
        <v>4369</v>
      </c>
      <c r="J2586" s="71" t="s">
        <v>386</v>
      </c>
      <c r="K2586" s="43"/>
      <c r="L2586" s="71" t="s">
        <v>107</v>
      </c>
      <c r="M2586" s="73">
        <v>517</v>
      </c>
      <c r="N2586" s="71" t="s">
        <v>388</v>
      </c>
      <c r="O2586" s="73">
        <v>11.52</v>
      </c>
      <c r="P2586" s="71" t="s">
        <v>389</v>
      </c>
      <c r="Q2586" s="73">
        <v>1920</v>
      </c>
      <c r="R2586" s="71" t="s">
        <v>388</v>
      </c>
      <c r="S2586" s="73">
        <v>0</v>
      </c>
      <c r="T2586" s="71" t="s">
        <v>390</v>
      </c>
      <c r="U2586" s="74">
        <v>6</v>
      </c>
      <c r="V2586" s="71" t="s">
        <v>391</v>
      </c>
      <c r="W2586" s="130">
        <v>46089.869780092595</v>
      </c>
      <c r="X2586" s="72">
        <v>46095.25</v>
      </c>
      <c r="Y2586" s="72">
        <v>46102.458333333336</v>
      </c>
      <c r="Z2586" s="104" t="s">
        <v>382</v>
      </c>
      <c r="AA2586" s="104" t="s">
        <v>471</v>
      </c>
      <c r="AB2586" s="105">
        <v>46098.510416666664</v>
      </c>
      <c r="AC2586" s="105"/>
    </row>
    <row r="2587" s="70" customFormat="1" ht="11.25" customHeight="1">
      <c r="A2587" s="87"/>
      <c r="C2587" s="43" t="s">
        <v>4367</v>
      </c>
      <c r="D2587" s="71" t="s">
        <v>382</v>
      </c>
      <c r="E2587" s="71" t="str">
        <f>MID(D2587,1,2)</f>
        <v>IL</v>
      </c>
      <c r="F2587" s="71" t="s">
        <v>422</v>
      </c>
      <c r="G2587" s="71" t="str">
        <f>MID(F2587,1,2)</f>
        <v>US</v>
      </c>
      <c r="H2587" s="43" t="s">
        <v>4368</v>
      </c>
      <c r="I2587" s="71" t="s">
        <v>4369</v>
      </c>
      <c r="J2587" s="71" t="s">
        <v>386</v>
      </c>
      <c r="K2587" s="43"/>
      <c r="L2587" s="71" t="s">
        <v>107</v>
      </c>
      <c r="M2587" s="73">
        <v>517</v>
      </c>
      <c r="N2587" s="71" t="s">
        <v>388</v>
      </c>
      <c r="O2587" s="73">
        <v>11.52</v>
      </c>
      <c r="P2587" s="71" t="s">
        <v>389</v>
      </c>
      <c r="Q2587" s="73">
        <v>1920</v>
      </c>
      <c r="R2587" s="71" t="s">
        <v>388</v>
      </c>
      <c r="S2587" s="73">
        <v>0</v>
      </c>
      <c r="T2587" s="71" t="s">
        <v>390</v>
      </c>
      <c r="U2587" s="74">
        <v>6</v>
      </c>
      <c r="V2587" s="71" t="s">
        <v>391</v>
      </c>
      <c r="W2587" s="130">
        <v>46089.869780092595</v>
      </c>
      <c r="X2587" s="72">
        <v>46095.25</v>
      </c>
      <c r="Y2587" s="72">
        <v>46102.458333333336</v>
      </c>
      <c r="Z2587" s="104" t="s">
        <v>471</v>
      </c>
      <c r="AA2587" s="104" t="s">
        <v>422</v>
      </c>
      <c r="AB2587" s="105">
        <v>46101.779166666667</v>
      </c>
      <c r="AC2587" s="105">
        <v>46102.50625</v>
      </c>
    </row>
    <row r="2588" s="70" customFormat="1" ht="11.25" customHeight="1">
      <c r="A2588" s="87"/>
      <c r="C2588" s="43" t="s">
        <v>4370</v>
      </c>
      <c r="D2588" s="71" t="s">
        <v>382</v>
      </c>
      <c r="E2588" s="71" t="str">
        <f>MID(D2588,1,2)</f>
        <v>IL</v>
      </c>
      <c r="F2588" s="71" t="s">
        <v>963</v>
      </c>
      <c r="G2588" s="71" t="str">
        <f>MID(F2588,1,2)</f>
        <v>IN</v>
      </c>
      <c r="H2588" s="43" t="s">
        <v>4120</v>
      </c>
      <c r="I2588" s="71" t="s">
        <v>4371</v>
      </c>
      <c r="J2588" s="71" t="s">
        <v>426</v>
      </c>
      <c r="K2588" s="43"/>
      <c r="L2588" s="71" t="s">
        <v>105</v>
      </c>
      <c r="M2588" s="73">
        <v>1</v>
      </c>
      <c r="N2588" s="71" t="s">
        <v>388</v>
      </c>
      <c r="O2588" s="73">
        <v>0.007</v>
      </c>
      <c r="P2588" s="71" t="s">
        <v>389</v>
      </c>
      <c r="Q2588" s="73">
        <v>1.5</v>
      </c>
      <c r="R2588" s="71" t="s">
        <v>388</v>
      </c>
      <c r="S2588" s="73">
        <v>0</v>
      </c>
      <c r="T2588" s="71" t="s">
        <v>390</v>
      </c>
      <c r="U2588" s="74">
        <v>1</v>
      </c>
      <c r="V2588" s="71" t="s">
        <v>391</v>
      </c>
      <c r="W2588" s="130">
        <v>46079.962569444448</v>
      </c>
      <c r="X2588" s="72">
        <v>46081.690972222219</v>
      </c>
      <c r="Y2588" s="72">
        <v>46100.666666666664</v>
      </c>
      <c r="Z2588" s="104" t="s">
        <v>382</v>
      </c>
      <c r="AA2588" s="104" t="s">
        <v>402</v>
      </c>
      <c r="AB2588" s="105">
        <v>46093.429166666669</v>
      </c>
      <c r="AC2588" s="105">
        <v>46093.841666666667</v>
      </c>
    </row>
    <row r="2589" s="70" customFormat="1" ht="11.25" customHeight="1">
      <c r="A2589" s="87"/>
      <c r="C2589" s="43" t="s">
        <v>4370</v>
      </c>
      <c r="D2589" s="71" t="s">
        <v>382</v>
      </c>
      <c r="E2589" s="71" t="str">
        <f>MID(D2589,1,2)</f>
        <v>IL</v>
      </c>
      <c r="F2589" s="71" t="s">
        <v>963</v>
      </c>
      <c r="G2589" s="71" t="str">
        <f>MID(F2589,1,2)</f>
        <v>IN</v>
      </c>
      <c r="H2589" s="43" t="s">
        <v>4120</v>
      </c>
      <c r="I2589" s="71" t="s">
        <v>4371</v>
      </c>
      <c r="J2589" s="71" t="s">
        <v>426</v>
      </c>
      <c r="K2589" s="43"/>
      <c r="L2589" s="71" t="s">
        <v>105</v>
      </c>
      <c r="M2589" s="73">
        <v>1</v>
      </c>
      <c r="N2589" s="71" t="s">
        <v>388</v>
      </c>
      <c r="O2589" s="73">
        <v>0.007</v>
      </c>
      <c r="P2589" s="71" t="s">
        <v>389</v>
      </c>
      <c r="Q2589" s="73">
        <v>1.5</v>
      </c>
      <c r="R2589" s="71" t="s">
        <v>388</v>
      </c>
      <c r="S2589" s="73">
        <v>0</v>
      </c>
      <c r="T2589" s="71" t="s">
        <v>390</v>
      </c>
      <c r="U2589" s="74">
        <v>1</v>
      </c>
      <c r="V2589" s="71" t="s">
        <v>391</v>
      </c>
      <c r="W2589" s="130">
        <v>46079.962569444448</v>
      </c>
      <c r="X2589" s="72">
        <v>46081.690972222219</v>
      </c>
      <c r="Y2589" s="72">
        <v>46100.666666666664</v>
      </c>
      <c r="Z2589" s="104" t="s">
        <v>402</v>
      </c>
      <c r="AA2589" s="104" t="s">
        <v>809</v>
      </c>
      <c r="AB2589" s="105">
        <v>46093.888194444444</v>
      </c>
      <c r="AC2589" s="105">
        <v>46093.842361111114</v>
      </c>
    </row>
    <row r="2590" s="70" customFormat="1" ht="11.25" customHeight="1">
      <c r="A2590" s="87"/>
      <c r="C2590" s="43" t="s">
        <v>4370</v>
      </c>
      <c r="D2590" s="71" t="s">
        <v>382</v>
      </c>
      <c r="E2590" s="71" t="str">
        <f>MID(D2590,1,2)</f>
        <v>IL</v>
      </c>
      <c r="F2590" s="71" t="s">
        <v>963</v>
      </c>
      <c r="G2590" s="71" t="str">
        <f>MID(F2590,1,2)</f>
        <v>IN</v>
      </c>
      <c r="H2590" s="43" t="s">
        <v>4120</v>
      </c>
      <c r="I2590" s="71" t="s">
        <v>4371</v>
      </c>
      <c r="J2590" s="71" t="s">
        <v>426</v>
      </c>
      <c r="K2590" s="43"/>
      <c r="L2590" s="71" t="s">
        <v>105</v>
      </c>
      <c r="M2590" s="73">
        <v>1</v>
      </c>
      <c r="N2590" s="71" t="s">
        <v>388</v>
      </c>
      <c r="O2590" s="73">
        <v>0.007</v>
      </c>
      <c r="P2590" s="71" t="s">
        <v>389</v>
      </c>
      <c r="Q2590" s="73">
        <v>1.5</v>
      </c>
      <c r="R2590" s="71" t="s">
        <v>388</v>
      </c>
      <c r="S2590" s="73">
        <v>0</v>
      </c>
      <c r="T2590" s="71" t="s">
        <v>390</v>
      </c>
      <c r="U2590" s="74">
        <v>1</v>
      </c>
      <c r="V2590" s="71" t="s">
        <v>391</v>
      </c>
      <c r="W2590" s="130">
        <v>46079.962569444448</v>
      </c>
      <c r="X2590" s="72">
        <v>46081.690972222219</v>
      </c>
      <c r="Y2590" s="72">
        <v>46100.666666666664</v>
      </c>
      <c r="Z2590" s="104" t="s">
        <v>809</v>
      </c>
      <c r="AA2590" s="104" t="s">
        <v>963</v>
      </c>
      <c r="AB2590" s="105">
        <v>46098.365972222222</v>
      </c>
      <c r="AC2590" s="105">
        <v>46100.365972222222</v>
      </c>
    </row>
    <row r="2591" s="70" customFormat="1" ht="11.25" customHeight="1">
      <c r="A2591" s="87"/>
      <c r="C2591" s="43" t="s">
        <v>4372</v>
      </c>
      <c r="D2591" s="71" t="s">
        <v>382</v>
      </c>
      <c r="E2591" s="71" t="str">
        <f>MID(D2591,1,2)</f>
        <v>IL</v>
      </c>
      <c r="F2591" s="71" t="s">
        <v>2383</v>
      </c>
      <c r="G2591" s="71" t="str">
        <f>MID(F2591,1,2)</f>
        <v>SE</v>
      </c>
      <c r="H2591" s="43" t="s">
        <v>4373</v>
      </c>
      <c r="I2591" s="71" t="s">
        <v>4374</v>
      </c>
      <c r="J2591" s="71" t="s">
        <v>811</v>
      </c>
      <c r="K2591" s="43"/>
      <c r="L2591" s="71" t="s">
        <v>105</v>
      </c>
      <c r="M2591" s="73">
        <v>382</v>
      </c>
      <c r="N2591" s="71" t="s">
        <v>388</v>
      </c>
      <c r="O2591" s="73">
        <v>1.944</v>
      </c>
      <c r="P2591" s="71" t="s">
        <v>389</v>
      </c>
      <c r="Q2591" s="73">
        <v>382</v>
      </c>
      <c r="R2591" s="71" t="s">
        <v>388</v>
      </c>
      <c r="S2591" s="73">
        <v>0</v>
      </c>
      <c r="T2591" s="71" t="s">
        <v>390</v>
      </c>
      <c r="U2591" s="74">
        <v>1</v>
      </c>
      <c r="V2591" s="71" t="s">
        <v>391</v>
      </c>
      <c r="W2591" s="130"/>
      <c r="X2591" s="72">
        <v>46084.663194444445</v>
      </c>
      <c r="Y2591" s="72">
        <v>46142.819444444445</v>
      </c>
      <c r="Z2591" s="104" t="s">
        <v>382</v>
      </c>
      <c r="AA2591" s="104" t="s">
        <v>577</v>
      </c>
      <c r="AB2591" s="105"/>
      <c r="AC2591" s="105"/>
    </row>
    <row r="2592" s="70" customFormat="1" ht="11.25" customHeight="1">
      <c r="A2592" s="87"/>
      <c r="C2592" s="43" t="s">
        <v>4372</v>
      </c>
      <c r="D2592" s="71" t="s">
        <v>382</v>
      </c>
      <c r="E2592" s="71" t="str">
        <f>MID(D2592,1,2)</f>
        <v>IL</v>
      </c>
      <c r="F2592" s="71" t="s">
        <v>2383</v>
      </c>
      <c r="G2592" s="71" t="str">
        <f>MID(F2592,1,2)</f>
        <v>SE</v>
      </c>
      <c r="H2592" s="43" t="s">
        <v>4373</v>
      </c>
      <c r="I2592" s="71" t="s">
        <v>4374</v>
      </c>
      <c r="J2592" s="71" t="s">
        <v>811</v>
      </c>
      <c r="K2592" s="43"/>
      <c r="L2592" s="71" t="s">
        <v>105</v>
      </c>
      <c r="M2592" s="73">
        <v>382</v>
      </c>
      <c r="N2592" s="71" t="s">
        <v>388</v>
      </c>
      <c r="O2592" s="73">
        <v>1.944</v>
      </c>
      <c r="P2592" s="71" t="s">
        <v>389</v>
      </c>
      <c r="Q2592" s="73">
        <v>382</v>
      </c>
      <c r="R2592" s="71" t="s">
        <v>388</v>
      </c>
      <c r="S2592" s="73">
        <v>0</v>
      </c>
      <c r="T2592" s="71" t="s">
        <v>390</v>
      </c>
      <c r="U2592" s="74">
        <v>1</v>
      </c>
      <c r="V2592" s="71" t="s">
        <v>391</v>
      </c>
      <c r="W2592" s="130"/>
      <c r="X2592" s="72">
        <v>46084.663194444445</v>
      </c>
      <c r="Y2592" s="72">
        <v>46142.819444444445</v>
      </c>
      <c r="Z2592" s="104" t="s">
        <v>577</v>
      </c>
      <c r="AA2592" s="104" t="s">
        <v>1976</v>
      </c>
      <c r="AB2592" s="105"/>
      <c r="AC2592" s="105"/>
    </row>
    <row r="2593" s="70" customFormat="1" ht="11.25" customHeight="1">
      <c r="A2593" s="87"/>
      <c r="C2593" s="43" t="s">
        <v>4372</v>
      </c>
      <c r="D2593" s="71" t="s">
        <v>382</v>
      </c>
      <c r="E2593" s="71" t="str">
        <f>MID(D2593,1,2)</f>
        <v>IL</v>
      </c>
      <c r="F2593" s="71" t="s">
        <v>2383</v>
      </c>
      <c r="G2593" s="71" t="str">
        <f>MID(F2593,1,2)</f>
        <v>SE</v>
      </c>
      <c r="H2593" s="43" t="s">
        <v>4373</v>
      </c>
      <c r="I2593" s="71" t="s">
        <v>4374</v>
      </c>
      <c r="J2593" s="71" t="s">
        <v>811</v>
      </c>
      <c r="K2593" s="43"/>
      <c r="L2593" s="71" t="s">
        <v>105</v>
      </c>
      <c r="M2593" s="73">
        <v>382</v>
      </c>
      <c r="N2593" s="71" t="s">
        <v>388</v>
      </c>
      <c r="O2593" s="73">
        <v>1.944</v>
      </c>
      <c r="P2593" s="71" t="s">
        <v>389</v>
      </c>
      <c r="Q2593" s="73">
        <v>382</v>
      </c>
      <c r="R2593" s="71" t="s">
        <v>388</v>
      </c>
      <c r="S2593" s="73">
        <v>0</v>
      </c>
      <c r="T2593" s="71" t="s">
        <v>390</v>
      </c>
      <c r="U2593" s="74">
        <v>1</v>
      </c>
      <c r="V2593" s="71" t="s">
        <v>391</v>
      </c>
      <c r="W2593" s="130"/>
      <c r="X2593" s="72">
        <v>46084.663194444445</v>
      </c>
      <c r="Y2593" s="72">
        <v>46142.819444444445</v>
      </c>
      <c r="Z2593" s="104" t="s">
        <v>1976</v>
      </c>
      <c r="AA2593" s="104" t="s">
        <v>2383</v>
      </c>
      <c r="AB2593" s="105"/>
      <c r="AC2593" s="105"/>
    </row>
    <row r="2594" s="70" customFormat="1" ht="11.25" customHeight="1">
      <c r="A2594" s="87"/>
      <c r="C2594" s="43" t="s">
        <v>4375</v>
      </c>
      <c r="D2594" s="71" t="s">
        <v>382</v>
      </c>
      <c r="E2594" s="71" t="str">
        <f>MID(D2594,1,2)</f>
        <v>IL</v>
      </c>
      <c r="F2594" s="71" t="s">
        <v>774</v>
      </c>
      <c r="G2594" s="71" t="str">
        <f>MID(F2594,1,2)</f>
        <v>CN</v>
      </c>
      <c r="H2594" s="43" t="s">
        <v>4002</v>
      </c>
      <c r="I2594" s="71" t="s">
        <v>4376</v>
      </c>
      <c r="J2594" s="71" t="s">
        <v>454</v>
      </c>
      <c r="K2594" s="43"/>
      <c r="L2594" s="71" t="s">
        <v>107</v>
      </c>
      <c r="M2594" s="73">
        <v>82</v>
      </c>
      <c r="N2594" s="71" t="s">
        <v>388</v>
      </c>
      <c r="O2594" s="73">
        <v>0.332</v>
      </c>
      <c r="P2594" s="71" t="s">
        <v>389</v>
      </c>
      <c r="Q2594" s="73">
        <v>82</v>
      </c>
      <c r="R2594" s="71" t="s">
        <v>388</v>
      </c>
      <c r="S2594" s="73">
        <v>0</v>
      </c>
      <c r="T2594" s="71" t="s">
        <v>390</v>
      </c>
      <c r="U2594" s="74">
        <v>1</v>
      </c>
      <c r="V2594" s="71" t="s">
        <v>391</v>
      </c>
      <c r="W2594" s="130">
        <v>46079.739849537036</v>
      </c>
      <c r="X2594" s="72">
        <v>46085.996527777781</v>
      </c>
      <c r="Y2594" s="72">
        <v>46104.305555555555</v>
      </c>
      <c r="Z2594" s="104" t="s">
        <v>383</v>
      </c>
      <c r="AA2594" s="104" t="s">
        <v>774</v>
      </c>
      <c r="AB2594" s="105"/>
      <c r="AC2594" s="105"/>
    </row>
    <row r="2595" s="70" customFormat="1" ht="11.25" customHeight="1">
      <c r="A2595" s="87"/>
      <c r="C2595" s="43" t="s">
        <v>4375</v>
      </c>
      <c r="D2595" s="71" t="s">
        <v>382</v>
      </c>
      <c r="E2595" s="71" t="str">
        <f>MID(D2595,1,2)</f>
        <v>IL</v>
      </c>
      <c r="F2595" s="71" t="s">
        <v>774</v>
      </c>
      <c r="G2595" s="71" t="str">
        <f>MID(F2595,1,2)</f>
        <v>CN</v>
      </c>
      <c r="H2595" s="43" t="s">
        <v>4002</v>
      </c>
      <c r="I2595" s="71" t="s">
        <v>4376</v>
      </c>
      <c r="J2595" s="71" t="s">
        <v>454</v>
      </c>
      <c r="K2595" s="43"/>
      <c r="L2595" s="71" t="s">
        <v>107</v>
      </c>
      <c r="M2595" s="73">
        <v>82</v>
      </c>
      <c r="N2595" s="71" t="s">
        <v>388</v>
      </c>
      <c r="O2595" s="73">
        <v>0.332</v>
      </c>
      <c r="P2595" s="71" t="s">
        <v>389</v>
      </c>
      <c r="Q2595" s="73">
        <v>82</v>
      </c>
      <c r="R2595" s="71" t="s">
        <v>388</v>
      </c>
      <c r="S2595" s="73">
        <v>0</v>
      </c>
      <c r="T2595" s="71" t="s">
        <v>390</v>
      </c>
      <c r="U2595" s="74">
        <v>1</v>
      </c>
      <c r="V2595" s="71" t="s">
        <v>391</v>
      </c>
      <c r="W2595" s="130">
        <v>46079.739849537036</v>
      </c>
      <c r="X2595" s="72">
        <v>46085.996527777781</v>
      </c>
      <c r="Y2595" s="72">
        <v>46104.305555555555</v>
      </c>
      <c r="Z2595" s="104" t="s">
        <v>382</v>
      </c>
      <c r="AA2595" s="104" t="s">
        <v>466</v>
      </c>
      <c r="AB2595" s="105">
        <v>46088.06875</v>
      </c>
      <c r="AC2595" s="105">
        <v>46088.195833333331</v>
      </c>
    </row>
    <row r="2596" s="70" customFormat="1" ht="11.25" customHeight="1">
      <c r="A2596" s="87"/>
      <c r="C2596" s="43" t="s">
        <v>4375</v>
      </c>
      <c r="D2596" s="71" t="s">
        <v>382</v>
      </c>
      <c r="E2596" s="71" t="str">
        <f>MID(D2596,1,2)</f>
        <v>IL</v>
      </c>
      <c r="F2596" s="71" t="s">
        <v>774</v>
      </c>
      <c r="G2596" s="71" t="str">
        <f>MID(F2596,1,2)</f>
        <v>CN</v>
      </c>
      <c r="H2596" s="43" t="s">
        <v>4002</v>
      </c>
      <c r="I2596" s="71" t="s">
        <v>4376</v>
      </c>
      <c r="J2596" s="71" t="s">
        <v>454</v>
      </c>
      <c r="K2596" s="43"/>
      <c r="L2596" s="71" t="s">
        <v>107</v>
      </c>
      <c r="M2596" s="73">
        <v>82</v>
      </c>
      <c r="N2596" s="71" t="s">
        <v>388</v>
      </c>
      <c r="O2596" s="73">
        <v>0.332</v>
      </c>
      <c r="P2596" s="71" t="s">
        <v>389</v>
      </c>
      <c r="Q2596" s="73">
        <v>82</v>
      </c>
      <c r="R2596" s="71" t="s">
        <v>388</v>
      </c>
      <c r="S2596" s="73">
        <v>0</v>
      </c>
      <c r="T2596" s="71" t="s">
        <v>390</v>
      </c>
      <c r="U2596" s="74">
        <v>1</v>
      </c>
      <c r="V2596" s="71" t="s">
        <v>391</v>
      </c>
      <c r="W2596" s="130">
        <v>46079.739849537036</v>
      </c>
      <c r="X2596" s="72">
        <v>46085.996527777781</v>
      </c>
      <c r="Y2596" s="72">
        <v>46104.305555555555</v>
      </c>
      <c r="Z2596" s="104" t="s">
        <v>466</v>
      </c>
      <c r="AA2596" s="104" t="s">
        <v>383</v>
      </c>
      <c r="AB2596" s="105">
        <v>46089.086805555555</v>
      </c>
      <c r="AC2596" s="105">
        <v>46093.676388888889</v>
      </c>
    </row>
    <row r="2597" s="70" customFormat="1" ht="11.25" customHeight="1">
      <c r="A2597" s="87"/>
      <c r="C2597" s="43" t="s">
        <v>4377</v>
      </c>
      <c r="D2597" s="71" t="s">
        <v>382</v>
      </c>
      <c r="E2597" s="71" t="str">
        <f>MID(D2597,1,2)</f>
        <v>IL</v>
      </c>
      <c r="F2597" s="71" t="s">
        <v>1388</v>
      </c>
      <c r="G2597" s="71" t="str">
        <f>MID(F2597,1,2)</f>
        <v>GB</v>
      </c>
      <c r="H2597" s="43" t="s">
        <v>4378</v>
      </c>
      <c r="I2597" s="71" t="s">
        <v>4379</v>
      </c>
      <c r="J2597" s="71" t="s">
        <v>811</v>
      </c>
      <c r="K2597" s="43"/>
      <c r="L2597" s="71" t="s">
        <v>105</v>
      </c>
      <c r="M2597" s="73">
        <v>183</v>
      </c>
      <c r="N2597" s="71" t="s">
        <v>388</v>
      </c>
      <c r="O2597" s="73">
        <v>1.944</v>
      </c>
      <c r="P2597" s="71" t="s">
        <v>389</v>
      </c>
      <c r="Q2597" s="73">
        <v>324</v>
      </c>
      <c r="R2597" s="71" t="s">
        <v>388</v>
      </c>
      <c r="S2597" s="73">
        <v>0</v>
      </c>
      <c r="T2597" s="71" t="s">
        <v>390</v>
      </c>
      <c r="U2597" s="74">
        <v>1</v>
      </c>
      <c r="V2597" s="71" t="s">
        <v>391</v>
      </c>
      <c r="W2597" s="130"/>
      <c r="X2597" s="72">
        <v>46084.663194444445</v>
      </c>
      <c r="Y2597" s="72">
        <v>46116.291666666664</v>
      </c>
      <c r="Z2597" s="104" t="s">
        <v>382</v>
      </c>
      <c r="AA2597" s="104" t="s">
        <v>577</v>
      </c>
      <c r="AB2597" s="105"/>
      <c r="AC2597" s="105"/>
    </row>
    <row r="2598" s="70" customFormat="1" ht="11.25" customHeight="1">
      <c r="A2598" s="87"/>
      <c r="C2598" s="43" t="s">
        <v>4377</v>
      </c>
      <c r="D2598" s="71" t="s">
        <v>382</v>
      </c>
      <c r="E2598" s="71" t="str">
        <f>MID(D2598,1,2)</f>
        <v>IL</v>
      </c>
      <c r="F2598" s="71" t="s">
        <v>1388</v>
      </c>
      <c r="G2598" s="71" t="str">
        <f>MID(F2598,1,2)</f>
        <v>GB</v>
      </c>
      <c r="H2598" s="43" t="s">
        <v>4378</v>
      </c>
      <c r="I2598" s="71" t="s">
        <v>4379</v>
      </c>
      <c r="J2598" s="71" t="s">
        <v>811</v>
      </c>
      <c r="K2598" s="43"/>
      <c r="L2598" s="71" t="s">
        <v>105</v>
      </c>
      <c r="M2598" s="73">
        <v>183</v>
      </c>
      <c r="N2598" s="71" t="s">
        <v>388</v>
      </c>
      <c r="O2598" s="73">
        <v>1.944</v>
      </c>
      <c r="P2598" s="71" t="s">
        <v>389</v>
      </c>
      <c r="Q2598" s="73">
        <v>324</v>
      </c>
      <c r="R2598" s="71" t="s">
        <v>388</v>
      </c>
      <c r="S2598" s="73">
        <v>0</v>
      </c>
      <c r="T2598" s="71" t="s">
        <v>390</v>
      </c>
      <c r="U2598" s="74">
        <v>1</v>
      </c>
      <c r="V2598" s="71" t="s">
        <v>391</v>
      </c>
      <c r="W2598" s="130"/>
      <c r="X2598" s="72">
        <v>46084.663194444445</v>
      </c>
      <c r="Y2598" s="72">
        <v>46116.291666666664</v>
      </c>
      <c r="Z2598" s="104" t="s">
        <v>577</v>
      </c>
      <c r="AA2598" s="104" t="s">
        <v>4380</v>
      </c>
      <c r="AB2598" s="105"/>
      <c r="AC2598" s="105"/>
    </row>
    <row r="2599" s="70" customFormat="1" ht="11.25" customHeight="1">
      <c r="A2599" s="87"/>
      <c r="C2599" s="43" t="s">
        <v>4377</v>
      </c>
      <c r="D2599" s="71" t="s">
        <v>382</v>
      </c>
      <c r="E2599" s="71" t="str">
        <f>MID(D2599,1,2)</f>
        <v>IL</v>
      </c>
      <c r="F2599" s="71" t="s">
        <v>1388</v>
      </c>
      <c r="G2599" s="71" t="str">
        <f>MID(F2599,1,2)</f>
        <v>GB</v>
      </c>
      <c r="H2599" s="43" t="s">
        <v>4378</v>
      </c>
      <c r="I2599" s="71" t="s">
        <v>4379</v>
      </c>
      <c r="J2599" s="71" t="s">
        <v>811</v>
      </c>
      <c r="K2599" s="43"/>
      <c r="L2599" s="71" t="s">
        <v>105</v>
      </c>
      <c r="M2599" s="73">
        <v>183</v>
      </c>
      <c r="N2599" s="71" t="s">
        <v>388</v>
      </c>
      <c r="O2599" s="73">
        <v>1.944</v>
      </c>
      <c r="P2599" s="71" t="s">
        <v>389</v>
      </c>
      <c r="Q2599" s="73">
        <v>324</v>
      </c>
      <c r="R2599" s="71" t="s">
        <v>388</v>
      </c>
      <c r="S2599" s="73">
        <v>0</v>
      </c>
      <c r="T2599" s="71" t="s">
        <v>390</v>
      </c>
      <c r="U2599" s="74">
        <v>1</v>
      </c>
      <c r="V2599" s="71" t="s">
        <v>391</v>
      </c>
      <c r="W2599" s="130"/>
      <c r="X2599" s="72">
        <v>46084.663194444445</v>
      </c>
      <c r="Y2599" s="72">
        <v>46116.291666666664</v>
      </c>
      <c r="Z2599" s="104" t="s">
        <v>4380</v>
      </c>
      <c r="AA2599" s="104" t="s">
        <v>1388</v>
      </c>
      <c r="AB2599" s="105"/>
      <c r="AC2599" s="105"/>
    </row>
    <row r="2600" s="70" customFormat="1" ht="11.25" customHeight="1">
      <c r="A2600" s="87"/>
      <c r="C2600" s="43" t="s">
        <v>4381</v>
      </c>
      <c r="D2600" s="71" t="s">
        <v>382</v>
      </c>
      <c r="E2600" s="71" t="str">
        <f>MID(D2600,1,2)</f>
        <v>IL</v>
      </c>
      <c r="F2600" s="71" t="s">
        <v>443</v>
      </c>
      <c r="G2600" s="71" t="str">
        <f>MID(F2600,1,2)</f>
        <v>US</v>
      </c>
      <c r="H2600" s="43" t="s">
        <v>3806</v>
      </c>
      <c r="I2600" s="71" t="s">
        <v>4382</v>
      </c>
      <c r="J2600" s="71" t="s">
        <v>386</v>
      </c>
      <c r="K2600" s="43"/>
      <c r="L2600" s="71" t="s">
        <v>107</v>
      </c>
      <c r="M2600" s="73">
        <v>158</v>
      </c>
      <c r="N2600" s="71" t="s">
        <v>388</v>
      </c>
      <c r="O2600" s="73">
        <v>1.8</v>
      </c>
      <c r="P2600" s="71" t="s">
        <v>389</v>
      </c>
      <c r="Q2600" s="73">
        <v>300</v>
      </c>
      <c r="R2600" s="71" t="s">
        <v>388</v>
      </c>
      <c r="S2600" s="73">
        <v>0</v>
      </c>
      <c r="T2600" s="71" t="s">
        <v>390</v>
      </c>
      <c r="U2600" s="74">
        <v>2</v>
      </c>
      <c r="V2600" s="71" t="s">
        <v>536</v>
      </c>
      <c r="W2600" s="130">
        <v>46079.57708333333</v>
      </c>
      <c r="X2600" s="72">
        <v>46084.916666666664</v>
      </c>
      <c r="Y2600" s="72">
        <v>46090.291666666664</v>
      </c>
      <c r="Z2600" s="104" t="s">
        <v>382</v>
      </c>
      <c r="AA2600" s="104" t="s">
        <v>414</v>
      </c>
      <c r="AB2600" s="105">
        <v>46085.021527777775</v>
      </c>
      <c r="AC2600" s="105">
        <v>46085.20416666667</v>
      </c>
    </row>
    <row r="2601" s="70" customFormat="1" ht="11.25" customHeight="1">
      <c r="A2601" s="87"/>
      <c r="C2601" s="43" t="s">
        <v>4381</v>
      </c>
      <c r="D2601" s="71" t="s">
        <v>382</v>
      </c>
      <c r="E2601" s="71" t="str">
        <f>MID(D2601,1,2)</f>
        <v>IL</v>
      </c>
      <c r="F2601" s="71" t="s">
        <v>443</v>
      </c>
      <c r="G2601" s="71" t="str">
        <f>MID(F2601,1,2)</f>
        <v>US</v>
      </c>
      <c r="H2601" s="43" t="s">
        <v>3806</v>
      </c>
      <c r="I2601" s="71" t="s">
        <v>4382</v>
      </c>
      <c r="J2601" s="71" t="s">
        <v>386</v>
      </c>
      <c r="K2601" s="43"/>
      <c r="L2601" s="71" t="s">
        <v>107</v>
      </c>
      <c r="M2601" s="73">
        <v>158</v>
      </c>
      <c r="N2601" s="71" t="s">
        <v>388</v>
      </c>
      <c r="O2601" s="73">
        <v>1.8</v>
      </c>
      <c r="P2601" s="71" t="s">
        <v>389</v>
      </c>
      <c r="Q2601" s="73">
        <v>300</v>
      </c>
      <c r="R2601" s="71" t="s">
        <v>388</v>
      </c>
      <c r="S2601" s="73">
        <v>0</v>
      </c>
      <c r="T2601" s="71" t="s">
        <v>390</v>
      </c>
      <c r="U2601" s="74">
        <v>2</v>
      </c>
      <c r="V2601" s="71" t="s">
        <v>536</v>
      </c>
      <c r="W2601" s="130">
        <v>46079.57708333333</v>
      </c>
      <c r="X2601" s="72">
        <v>46084.916666666664</v>
      </c>
      <c r="Y2601" s="72">
        <v>46090.291666666664</v>
      </c>
      <c r="Z2601" s="104" t="s">
        <v>414</v>
      </c>
      <c r="AA2601" s="104" t="s">
        <v>443</v>
      </c>
      <c r="AB2601" s="105">
        <v>46085.797222222223</v>
      </c>
      <c r="AC2601" s="105">
        <v>46090.458333333336</v>
      </c>
    </row>
    <row r="2602" s="70" customFormat="1" ht="11.25" customHeight="1">
      <c r="A2602" s="87"/>
      <c r="C2602" s="43" t="s">
        <v>4383</v>
      </c>
      <c r="D2602" s="71" t="s">
        <v>382</v>
      </c>
      <c r="E2602" s="71" t="str">
        <f>MID(D2602,1,2)</f>
        <v>IL</v>
      </c>
      <c r="F2602" s="71" t="s">
        <v>443</v>
      </c>
      <c r="G2602" s="71" t="str">
        <f>MID(F2602,1,2)</f>
        <v>US</v>
      </c>
      <c r="H2602" s="43" t="s">
        <v>3806</v>
      </c>
      <c r="I2602" s="71" t="s">
        <v>4384</v>
      </c>
      <c r="J2602" s="71" t="s">
        <v>386</v>
      </c>
      <c r="K2602" s="43"/>
      <c r="L2602" s="71" t="s">
        <v>107</v>
      </c>
      <c r="M2602" s="73">
        <v>77</v>
      </c>
      <c r="N2602" s="71" t="s">
        <v>388</v>
      </c>
      <c r="O2602" s="73">
        <v>0.9</v>
      </c>
      <c r="P2602" s="71" t="s">
        <v>389</v>
      </c>
      <c r="Q2602" s="73">
        <v>150</v>
      </c>
      <c r="R2602" s="71" t="s">
        <v>388</v>
      </c>
      <c r="S2602" s="73">
        <v>0</v>
      </c>
      <c r="T2602" s="71" t="s">
        <v>390</v>
      </c>
      <c r="U2602" s="74">
        <v>1</v>
      </c>
      <c r="V2602" s="71" t="s">
        <v>536</v>
      </c>
      <c r="W2602" s="130">
        <v>46079.57708333333</v>
      </c>
      <c r="X2602" s="72">
        <v>46084.916666666664</v>
      </c>
      <c r="Y2602" s="72">
        <v>46090.291666666664</v>
      </c>
      <c r="Z2602" s="104" t="s">
        <v>382</v>
      </c>
      <c r="AA2602" s="104" t="s">
        <v>414</v>
      </c>
      <c r="AB2602" s="105">
        <v>46085.021527777775</v>
      </c>
      <c r="AC2602" s="105">
        <v>46085.20416666667</v>
      </c>
    </row>
    <row r="2603" s="70" customFormat="1" ht="11.25" customHeight="1">
      <c r="A2603" s="87"/>
      <c r="C2603" s="43" t="s">
        <v>4383</v>
      </c>
      <c r="D2603" s="71" t="s">
        <v>382</v>
      </c>
      <c r="E2603" s="71" t="str">
        <f>MID(D2603,1,2)</f>
        <v>IL</v>
      </c>
      <c r="F2603" s="71" t="s">
        <v>443</v>
      </c>
      <c r="G2603" s="71" t="str">
        <f>MID(F2603,1,2)</f>
        <v>US</v>
      </c>
      <c r="H2603" s="43" t="s">
        <v>3806</v>
      </c>
      <c r="I2603" s="71" t="s">
        <v>4384</v>
      </c>
      <c r="J2603" s="71" t="s">
        <v>386</v>
      </c>
      <c r="K2603" s="43"/>
      <c r="L2603" s="71" t="s">
        <v>107</v>
      </c>
      <c r="M2603" s="73">
        <v>77</v>
      </c>
      <c r="N2603" s="71" t="s">
        <v>388</v>
      </c>
      <c r="O2603" s="73">
        <v>0.9</v>
      </c>
      <c r="P2603" s="71" t="s">
        <v>389</v>
      </c>
      <c r="Q2603" s="73">
        <v>150</v>
      </c>
      <c r="R2603" s="71" t="s">
        <v>388</v>
      </c>
      <c r="S2603" s="73">
        <v>0</v>
      </c>
      <c r="T2603" s="71" t="s">
        <v>390</v>
      </c>
      <c r="U2603" s="74">
        <v>1</v>
      </c>
      <c r="V2603" s="71" t="s">
        <v>536</v>
      </c>
      <c r="W2603" s="130">
        <v>46079.57708333333</v>
      </c>
      <c r="X2603" s="72">
        <v>46084.916666666664</v>
      </c>
      <c r="Y2603" s="72">
        <v>46090.291666666664</v>
      </c>
      <c r="Z2603" s="104" t="s">
        <v>414</v>
      </c>
      <c r="AA2603" s="104" t="s">
        <v>443</v>
      </c>
      <c r="AB2603" s="105">
        <v>46085.797222222223</v>
      </c>
      <c r="AC2603" s="105">
        <v>46090.458333333336</v>
      </c>
    </row>
    <row r="2604" s="70" customFormat="1" ht="11.25" customHeight="1">
      <c r="A2604" s="87"/>
      <c r="C2604" s="43" t="s">
        <v>4385</v>
      </c>
      <c r="D2604" s="71" t="s">
        <v>382</v>
      </c>
      <c r="E2604" s="71" t="str">
        <f>MID(D2604,1,2)</f>
        <v>IL</v>
      </c>
      <c r="F2604" s="71" t="s">
        <v>443</v>
      </c>
      <c r="G2604" s="71" t="str">
        <f>MID(F2604,1,2)</f>
        <v>US</v>
      </c>
      <c r="H2604" s="43" t="s">
        <v>3806</v>
      </c>
      <c r="I2604" s="71" t="s">
        <v>4386</v>
      </c>
      <c r="J2604" s="71" t="s">
        <v>386</v>
      </c>
      <c r="K2604" s="43"/>
      <c r="L2604" s="71" t="s">
        <v>107</v>
      </c>
      <c r="M2604" s="73">
        <v>83</v>
      </c>
      <c r="N2604" s="71" t="s">
        <v>388</v>
      </c>
      <c r="O2604" s="73">
        <v>0.9</v>
      </c>
      <c r="P2604" s="71" t="s">
        <v>389</v>
      </c>
      <c r="Q2604" s="73">
        <v>150</v>
      </c>
      <c r="R2604" s="71" t="s">
        <v>388</v>
      </c>
      <c r="S2604" s="73">
        <v>0</v>
      </c>
      <c r="T2604" s="71" t="s">
        <v>390</v>
      </c>
      <c r="U2604" s="74">
        <v>1</v>
      </c>
      <c r="V2604" s="71" t="s">
        <v>536</v>
      </c>
      <c r="W2604" s="130">
        <v>46079.84097222222</v>
      </c>
      <c r="X2604" s="72">
        <v>46084.916666666664</v>
      </c>
      <c r="Y2604" s="72">
        <v>46090.291666666664</v>
      </c>
      <c r="Z2604" s="104" t="s">
        <v>382</v>
      </c>
      <c r="AA2604" s="104" t="s">
        <v>414</v>
      </c>
      <c r="AB2604" s="105">
        <v>46085.021527777775</v>
      </c>
      <c r="AC2604" s="105">
        <v>46085.20416666667</v>
      </c>
    </row>
    <row r="2605" s="70" customFormat="1" ht="11.25" customHeight="1">
      <c r="A2605" s="87"/>
      <c r="C2605" s="43" t="s">
        <v>4385</v>
      </c>
      <c r="D2605" s="71" t="s">
        <v>382</v>
      </c>
      <c r="E2605" s="71" t="str">
        <f>MID(D2605,1,2)</f>
        <v>IL</v>
      </c>
      <c r="F2605" s="71" t="s">
        <v>443</v>
      </c>
      <c r="G2605" s="71" t="str">
        <f>MID(F2605,1,2)</f>
        <v>US</v>
      </c>
      <c r="H2605" s="43" t="s">
        <v>3806</v>
      </c>
      <c r="I2605" s="71" t="s">
        <v>4386</v>
      </c>
      <c r="J2605" s="71" t="s">
        <v>386</v>
      </c>
      <c r="K2605" s="43"/>
      <c r="L2605" s="71" t="s">
        <v>107</v>
      </c>
      <c r="M2605" s="73">
        <v>83</v>
      </c>
      <c r="N2605" s="71" t="s">
        <v>388</v>
      </c>
      <c r="O2605" s="73">
        <v>0.9</v>
      </c>
      <c r="P2605" s="71" t="s">
        <v>389</v>
      </c>
      <c r="Q2605" s="73">
        <v>150</v>
      </c>
      <c r="R2605" s="71" t="s">
        <v>388</v>
      </c>
      <c r="S2605" s="73">
        <v>0</v>
      </c>
      <c r="T2605" s="71" t="s">
        <v>390</v>
      </c>
      <c r="U2605" s="74">
        <v>1</v>
      </c>
      <c r="V2605" s="71" t="s">
        <v>536</v>
      </c>
      <c r="W2605" s="130">
        <v>46079.84097222222</v>
      </c>
      <c r="X2605" s="72">
        <v>46084.916666666664</v>
      </c>
      <c r="Y2605" s="72">
        <v>46090.291666666664</v>
      </c>
      <c r="Z2605" s="104" t="s">
        <v>414</v>
      </c>
      <c r="AA2605" s="104" t="s">
        <v>443</v>
      </c>
      <c r="AB2605" s="105">
        <v>46085.797222222223</v>
      </c>
      <c r="AC2605" s="105">
        <v>46090.458333333336</v>
      </c>
    </row>
    <row r="2606" s="70" customFormat="1" ht="11.25" customHeight="1">
      <c r="A2606" s="87"/>
      <c r="C2606" s="43" t="s">
        <v>4387</v>
      </c>
      <c r="D2606" s="71" t="s">
        <v>382</v>
      </c>
      <c r="E2606" s="71" t="str">
        <f>MID(D2606,1,2)</f>
        <v>IL</v>
      </c>
      <c r="F2606" s="71" t="s">
        <v>1637</v>
      </c>
      <c r="G2606" s="71" t="str">
        <f>MID(F2606,1,2)</f>
        <v>DE</v>
      </c>
      <c r="H2606" s="43" t="s">
        <v>4388</v>
      </c>
      <c r="I2606" s="71" t="s">
        <v>4389</v>
      </c>
      <c r="J2606" s="71" t="s">
        <v>1135</v>
      </c>
      <c r="K2606" s="43"/>
      <c r="L2606" s="71" t="s">
        <v>107</v>
      </c>
      <c r="M2606" s="73">
        <v>266</v>
      </c>
      <c r="N2606" s="71" t="s">
        <v>388</v>
      </c>
      <c r="O2606" s="73">
        <v>1.944</v>
      </c>
      <c r="P2606" s="71" t="s">
        <v>389</v>
      </c>
      <c r="Q2606" s="73">
        <v>324</v>
      </c>
      <c r="R2606" s="71" t="s">
        <v>388</v>
      </c>
      <c r="S2606" s="73">
        <v>0</v>
      </c>
      <c r="T2606" s="71" t="s">
        <v>390</v>
      </c>
      <c r="U2606" s="74">
        <v>1</v>
      </c>
      <c r="V2606" s="71" t="s">
        <v>391</v>
      </c>
      <c r="W2606" s="130"/>
      <c r="X2606" s="72">
        <v>46084.663194444445</v>
      </c>
      <c r="Y2606" s="72">
        <v>46142.819444444445</v>
      </c>
      <c r="Z2606" s="104" t="s">
        <v>382</v>
      </c>
      <c r="AA2606" s="104" t="s">
        <v>577</v>
      </c>
      <c r="AB2606" s="105"/>
      <c r="AC2606" s="105"/>
    </row>
    <row r="2607" s="70" customFormat="1" ht="11.25" customHeight="1">
      <c r="A2607" s="87"/>
      <c r="C2607" s="43" t="s">
        <v>4387</v>
      </c>
      <c r="D2607" s="71" t="s">
        <v>382</v>
      </c>
      <c r="E2607" s="71" t="str">
        <f>MID(D2607,1,2)</f>
        <v>IL</v>
      </c>
      <c r="F2607" s="71" t="s">
        <v>1637</v>
      </c>
      <c r="G2607" s="71" t="str">
        <f>MID(F2607,1,2)</f>
        <v>DE</v>
      </c>
      <c r="H2607" s="43" t="s">
        <v>4388</v>
      </c>
      <c r="I2607" s="71" t="s">
        <v>4389</v>
      </c>
      <c r="J2607" s="71" t="s">
        <v>1135</v>
      </c>
      <c r="K2607" s="43"/>
      <c r="L2607" s="71" t="s">
        <v>107</v>
      </c>
      <c r="M2607" s="73">
        <v>266</v>
      </c>
      <c r="N2607" s="71" t="s">
        <v>388</v>
      </c>
      <c r="O2607" s="73">
        <v>1.944</v>
      </c>
      <c r="P2607" s="71" t="s">
        <v>389</v>
      </c>
      <c r="Q2607" s="73">
        <v>324</v>
      </c>
      <c r="R2607" s="71" t="s">
        <v>388</v>
      </c>
      <c r="S2607" s="73">
        <v>0</v>
      </c>
      <c r="T2607" s="71" t="s">
        <v>390</v>
      </c>
      <c r="U2607" s="74">
        <v>1</v>
      </c>
      <c r="V2607" s="71" t="s">
        <v>391</v>
      </c>
      <c r="W2607" s="130"/>
      <c r="X2607" s="72">
        <v>46084.663194444445</v>
      </c>
      <c r="Y2607" s="72">
        <v>46142.819444444445</v>
      </c>
      <c r="Z2607" s="104" t="s">
        <v>577</v>
      </c>
      <c r="AA2607" s="104" t="s">
        <v>1637</v>
      </c>
      <c r="AB2607" s="105"/>
      <c r="AC2607" s="105"/>
    </row>
    <row r="2608" s="70" customFormat="1" ht="11.25" customHeight="1">
      <c r="A2608" s="87"/>
      <c r="C2608" s="43" t="s">
        <v>4390</v>
      </c>
      <c r="D2608" s="71" t="s">
        <v>382</v>
      </c>
      <c r="E2608" s="71" t="str">
        <f>MID(D2608,1,2)</f>
        <v>IL</v>
      </c>
      <c r="F2608" s="71" t="s">
        <v>443</v>
      </c>
      <c r="G2608" s="71" t="str">
        <f>MID(F2608,1,2)</f>
        <v>US</v>
      </c>
      <c r="H2608" s="43" t="s">
        <v>3806</v>
      </c>
      <c r="I2608" s="71" t="s">
        <v>4391</v>
      </c>
      <c r="J2608" s="71" t="s">
        <v>386</v>
      </c>
      <c r="K2608" s="43"/>
      <c r="L2608" s="71" t="s">
        <v>107</v>
      </c>
      <c r="M2608" s="73">
        <v>65</v>
      </c>
      <c r="N2608" s="71" t="s">
        <v>388</v>
      </c>
      <c r="O2608" s="73">
        <v>0.9</v>
      </c>
      <c r="P2608" s="71" t="s">
        <v>389</v>
      </c>
      <c r="Q2608" s="73">
        <v>150</v>
      </c>
      <c r="R2608" s="71" t="s">
        <v>388</v>
      </c>
      <c r="S2608" s="73">
        <v>0</v>
      </c>
      <c r="T2608" s="71" t="s">
        <v>390</v>
      </c>
      <c r="U2608" s="74">
        <v>1</v>
      </c>
      <c r="V2608" s="71" t="s">
        <v>536</v>
      </c>
      <c r="W2608" s="130">
        <v>46079.583333333336</v>
      </c>
      <c r="X2608" s="72">
        <v>46084.916666666664</v>
      </c>
      <c r="Y2608" s="72">
        <v>46090.291666666664</v>
      </c>
      <c r="Z2608" s="104" t="s">
        <v>382</v>
      </c>
      <c r="AA2608" s="104" t="s">
        <v>414</v>
      </c>
      <c r="AB2608" s="105">
        <v>46085.021527777775</v>
      </c>
      <c r="AC2608" s="105">
        <v>46085.20416666667</v>
      </c>
    </row>
    <row r="2609" s="70" customFormat="1" ht="11.25" customHeight="1">
      <c r="A2609" s="87"/>
      <c r="C2609" s="43" t="s">
        <v>4390</v>
      </c>
      <c r="D2609" s="71" t="s">
        <v>382</v>
      </c>
      <c r="E2609" s="71" t="str">
        <f>MID(D2609,1,2)</f>
        <v>IL</v>
      </c>
      <c r="F2609" s="71" t="s">
        <v>443</v>
      </c>
      <c r="G2609" s="71" t="str">
        <f>MID(F2609,1,2)</f>
        <v>US</v>
      </c>
      <c r="H2609" s="43" t="s">
        <v>3806</v>
      </c>
      <c r="I2609" s="71" t="s">
        <v>4391</v>
      </c>
      <c r="J2609" s="71" t="s">
        <v>386</v>
      </c>
      <c r="K2609" s="43"/>
      <c r="L2609" s="71" t="s">
        <v>107</v>
      </c>
      <c r="M2609" s="73">
        <v>65</v>
      </c>
      <c r="N2609" s="71" t="s">
        <v>388</v>
      </c>
      <c r="O2609" s="73">
        <v>0.9</v>
      </c>
      <c r="P2609" s="71" t="s">
        <v>389</v>
      </c>
      <c r="Q2609" s="73">
        <v>150</v>
      </c>
      <c r="R2609" s="71" t="s">
        <v>388</v>
      </c>
      <c r="S2609" s="73">
        <v>0</v>
      </c>
      <c r="T2609" s="71" t="s">
        <v>390</v>
      </c>
      <c r="U2609" s="74">
        <v>1</v>
      </c>
      <c r="V2609" s="71" t="s">
        <v>536</v>
      </c>
      <c r="W2609" s="130">
        <v>46079.583333333336</v>
      </c>
      <c r="X2609" s="72">
        <v>46084.916666666664</v>
      </c>
      <c r="Y2609" s="72">
        <v>46090.291666666664</v>
      </c>
      <c r="Z2609" s="104" t="s">
        <v>414</v>
      </c>
      <c r="AA2609" s="104" t="s">
        <v>443</v>
      </c>
      <c r="AB2609" s="105">
        <v>46085.797222222223</v>
      </c>
      <c r="AC2609" s="105">
        <v>46090.458333333336</v>
      </c>
    </row>
    <row r="2610" s="70" customFormat="1" ht="11.25" customHeight="1">
      <c r="A2610" s="87"/>
      <c r="C2610" s="43" t="s">
        <v>4392</v>
      </c>
      <c r="D2610" s="71" t="s">
        <v>382</v>
      </c>
      <c r="E2610" s="71" t="str">
        <f>MID(D2610,1,2)</f>
        <v>IL</v>
      </c>
      <c r="F2610" s="71" t="s">
        <v>1583</v>
      </c>
      <c r="G2610" s="71" t="str">
        <f>MID(F2610,1,2)</f>
        <v>BR</v>
      </c>
      <c r="H2610" s="43" t="s">
        <v>4393</v>
      </c>
      <c r="I2610" s="71" t="s">
        <v>4394</v>
      </c>
      <c r="J2610" s="71" t="s">
        <v>411</v>
      </c>
      <c r="K2610" s="43"/>
      <c r="L2610" s="71" t="s">
        <v>105</v>
      </c>
      <c r="M2610" s="73">
        <v>2</v>
      </c>
      <c r="N2610" s="71" t="s">
        <v>388</v>
      </c>
      <c r="O2610" s="73">
        <v>0.029</v>
      </c>
      <c r="P2610" s="71" t="s">
        <v>389</v>
      </c>
      <c r="Q2610" s="73">
        <v>5</v>
      </c>
      <c r="R2610" s="71" t="s">
        <v>388</v>
      </c>
      <c r="S2610" s="73">
        <v>0</v>
      </c>
      <c r="T2610" s="71" t="s">
        <v>390</v>
      </c>
      <c r="U2610" s="74">
        <v>1</v>
      </c>
      <c r="V2610" s="71" t="s">
        <v>391</v>
      </c>
      <c r="W2610" s="130">
        <v>46079.632638888892</v>
      </c>
      <c r="X2610" s="72">
        <v>46100.000694444447</v>
      </c>
      <c r="Y2610" s="72">
        <v>46113.46875</v>
      </c>
      <c r="Z2610" s="104" t="s">
        <v>382</v>
      </c>
      <c r="AA2610" s="104" t="s">
        <v>408</v>
      </c>
      <c r="AB2610" s="105">
        <v>46101.170138888891</v>
      </c>
      <c r="AC2610" s="105">
        <v>46101.257638888892</v>
      </c>
    </row>
    <row r="2611" s="70" customFormat="1" ht="11.25" customHeight="1">
      <c r="A2611" s="87"/>
      <c r="C2611" s="43" t="s">
        <v>4392</v>
      </c>
      <c r="D2611" s="71" t="s">
        <v>382</v>
      </c>
      <c r="E2611" s="71" t="str">
        <f>MID(D2611,1,2)</f>
        <v>IL</v>
      </c>
      <c r="F2611" s="71" t="s">
        <v>1583</v>
      </c>
      <c r="G2611" s="71" t="str">
        <f>MID(F2611,1,2)</f>
        <v>BR</v>
      </c>
      <c r="H2611" s="43" t="s">
        <v>4393</v>
      </c>
      <c r="I2611" s="71" t="s">
        <v>4394</v>
      </c>
      <c r="J2611" s="71" t="s">
        <v>411</v>
      </c>
      <c r="K2611" s="43"/>
      <c r="L2611" s="71" t="s">
        <v>105</v>
      </c>
      <c r="M2611" s="73">
        <v>2</v>
      </c>
      <c r="N2611" s="71" t="s">
        <v>388</v>
      </c>
      <c r="O2611" s="73">
        <v>0.029</v>
      </c>
      <c r="P2611" s="71" t="s">
        <v>389</v>
      </c>
      <c r="Q2611" s="73">
        <v>5</v>
      </c>
      <c r="R2611" s="71" t="s">
        <v>388</v>
      </c>
      <c r="S2611" s="73">
        <v>0</v>
      </c>
      <c r="T2611" s="71" t="s">
        <v>390</v>
      </c>
      <c r="U2611" s="74">
        <v>1</v>
      </c>
      <c r="V2611" s="71" t="s">
        <v>391</v>
      </c>
      <c r="W2611" s="130">
        <v>46079.632638888892</v>
      </c>
      <c r="X2611" s="72">
        <v>46100.000694444447</v>
      </c>
      <c r="Y2611" s="72">
        <v>46113.46875</v>
      </c>
      <c r="Z2611" s="104" t="s">
        <v>408</v>
      </c>
      <c r="AA2611" s="104" t="s">
        <v>383</v>
      </c>
      <c r="AB2611" s="105"/>
      <c r="AC2611" s="105"/>
    </row>
    <row r="2612" s="70" customFormat="1" ht="11.25" customHeight="1">
      <c r="A2612" s="87"/>
      <c r="C2612" s="43" t="s">
        <v>4392</v>
      </c>
      <c r="D2612" s="71" t="s">
        <v>382</v>
      </c>
      <c r="E2612" s="71" t="str">
        <f>MID(D2612,1,2)</f>
        <v>IL</v>
      </c>
      <c r="F2612" s="71" t="s">
        <v>1583</v>
      </c>
      <c r="G2612" s="71" t="str">
        <f>MID(F2612,1,2)</f>
        <v>BR</v>
      </c>
      <c r="H2612" s="43" t="s">
        <v>4393</v>
      </c>
      <c r="I2612" s="71" t="s">
        <v>4394</v>
      </c>
      <c r="J2612" s="71" t="s">
        <v>411</v>
      </c>
      <c r="K2612" s="43"/>
      <c r="L2612" s="71" t="s">
        <v>105</v>
      </c>
      <c r="M2612" s="73">
        <v>2</v>
      </c>
      <c r="N2612" s="71" t="s">
        <v>388</v>
      </c>
      <c r="O2612" s="73">
        <v>0.029</v>
      </c>
      <c r="P2612" s="71" t="s">
        <v>389</v>
      </c>
      <c r="Q2612" s="73">
        <v>5</v>
      </c>
      <c r="R2612" s="71" t="s">
        <v>388</v>
      </c>
      <c r="S2612" s="73">
        <v>0</v>
      </c>
      <c r="T2612" s="71" t="s">
        <v>390</v>
      </c>
      <c r="U2612" s="74">
        <v>1</v>
      </c>
      <c r="V2612" s="71" t="s">
        <v>391</v>
      </c>
      <c r="W2612" s="130">
        <v>46079.632638888892</v>
      </c>
      <c r="X2612" s="72">
        <v>46100.000694444447</v>
      </c>
      <c r="Y2612" s="72">
        <v>46113.46875</v>
      </c>
      <c r="Z2612" s="104" t="s">
        <v>383</v>
      </c>
      <c r="AA2612" s="104" t="s">
        <v>1349</v>
      </c>
      <c r="AB2612" s="105"/>
      <c r="AC2612" s="105"/>
    </row>
    <row r="2613" s="70" customFormat="1" ht="11.25" customHeight="1">
      <c r="A2613" s="87"/>
      <c r="C2613" s="43" t="s">
        <v>4392</v>
      </c>
      <c r="D2613" s="71" t="s">
        <v>382</v>
      </c>
      <c r="E2613" s="71" t="str">
        <f>MID(D2613,1,2)</f>
        <v>IL</v>
      </c>
      <c r="F2613" s="71" t="s">
        <v>1583</v>
      </c>
      <c r="G2613" s="71" t="str">
        <f>MID(F2613,1,2)</f>
        <v>BR</v>
      </c>
      <c r="H2613" s="43" t="s">
        <v>4393</v>
      </c>
      <c r="I2613" s="71" t="s">
        <v>4394</v>
      </c>
      <c r="J2613" s="71" t="s">
        <v>411</v>
      </c>
      <c r="K2613" s="43"/>
      <c r="L2613" s="71" t="s">
        <v>105</v>
      </c>
      <c r="M2613" s="73">
        <v>2</v>
      </c>
      <c r="N2613" s="71" t="s">
        <v>388</v>
      </c>
      <c r="O2613" s="73">
        <v>0.029</v>
      </c>
      <c r="P2613" s="71" t="s">
        <v>389</v>
      </c>
      <c r="Q2613" s="73">
        <v>5</v>
      </c>
      <c r="R2613" s="71" t="s">
        <v>388</v>
      </c>
      <c r="S2613" s="73">
        <v>0</v>
      </c>
      <c r="T2613" s="71" t="s">
        <v>390</v>
      </c>
      <c r="U2613" s="74">
        <v>1</v>
      </c>
      <c r="V2613" s="71" t="s">
        <v>391</v>
      </c>
      <c r="W2613" s="130">
        <v>46079.632638888892</v>
      </c>
      <c r="X2613" s="72">
        <v>46100.000694444447</v>
      </c>
      <c r="Y2613" s="72">
        <v>46113.46875</v>
      </c>
      <c r="Z2613" s="104" t="s">
        <v>1349</v>
      </c>
      <c r="AA2613" s="104" t="s">
        <v>1583</v>
      </c>
      <c r="AB2613" s="105"/>
      <c r="AC2613" s="105"/>
    </row>
    <row r="2614" s="70" customFormat="1" ht="11.25" customHeight="1">
      <c r="A2614" s="87"/>
      <c r="C2614" s="43" t="s">
        <v>4395</v>
      </c>
      <c r="D2614" s="71" t="s">
        <v>382</v>
      </c>
      <c r="E2614" s="71" t="str">
        <f>MID(D2614,1,2)</f>
        <v>IL</v>
      </c>
      <c r="F2614" s="71" t="s">
        <v>443</v>
      </c>
      <c r="G2614" s="71" t="str">
        <f>MID(F2614,1,2)</f>
        <v>US</v>
      </c>
      <c r="H2614" s="43" t="s">
        <v>3806</v>
      </c>
      <c r="I2614" s="71" t="s">
        <v>4396</v>
      </c>
      <c r="J2614" s="71" t="s">
        <v>386</v>
      </c>
      <c r="K2614" s="43"/>
      <c r="L2614" s="71" t="s">
        <v>107</v>
      </c>
      <c r="M2614" s="73">
        <v>250</v>
      </c>
      <c r="N2614" s="71" t="s">
        <v>388</v>
      </c>
      <c r="O2614" s="73">
        <v>2.7</v>
      </c>
      <c r="P2614" s="71" t="s">
        <v>389</v>
      </c>
      <c r="Q2614" s="73">
        <v>450</v>
      </c>
      <c r="R2614" s="71" t="s">
        <v>388</v>
      </c>
      <c r="S2614" s="73">
        <v>0</v>
      </c>
      <c r="T2614" s="71" t="s">
        <v>390</v>
      </c>
      <c r="U2614" s="74">
        <v>3</v>
      </c>
      <c r="V2614" s="71" t="s">
        <v>536</v>
      </c>
      <c r="W2614" s="130">
        <v>46079.590277777781</v>
      </c>
      <c r="X2614" s="72">
        <v>46084.916666666664</v>
      </c>
      <c r="Y2614" s="72">
        <v>46090.291666666664</v>
      </c>
      <c r="Z2614" s="104" t="s">
        <v>382</v>
      </c>
      <c r="AA2614" s="104" t="s">
        <v>414</v>
      </c>
      <c r="AB2614" s="105">
        <v>46085.021527777775</v>
      </c>
      <c r="AC2614" s="105">
        <v>46085.20416666667</v>
      </c>
    </row>
    <row r="2615" s="70" customFormat="1" ht="11.25" customHeight="1">
      <c r="A2615" s="87"/>
      <c r="C2615" s="43" t="s">
        <v>4395</v>
      </c>
      <c r="D2615" s="71" t="s">
        <v>382</v>
      </c>
      <c r="E2615" s="71" t="str">
        <f>MID(D2615,1,2)</f>
        <v>IL</v>
      </c>
      <c r="F2615" s="71" t="s">
        <v>443</v>
      </c>
      <c r="G2615" s="71" t="str">
        <f>MID(F2615,1,2)</f>
        <v>US</v>
      </c>
      <c r="H2615" s="43" t="s">
        <v>3806</v>
      </c>
      <c r="I2615" s="71" t="s">
        <v>4396</v>
      </c>
      <c r="J2615" s="71" t="s">
        <v>386</v>
      </c>
      <c r="K2615" s="43"/>
      <c r="L2615" s="71" t="s">
        <v>107</v>
      </c>
      <c r="M2615" s="73">
        <v>250</v>
      </c>
      <c r="N2615" s="71" t="s">
        <v>388</v>
      </c>
      <c r="O2615" s="73">
        <v>2.7</v>
      </c>
      <c r="P2615" s="71" t="s">
        <v>389</v>
      </c>
      <c r="Q2615" s="73">
        <v>450</v>
      </c>
      <c r="R2615" s="71" t="s">
        <v>388</v>
      </c>
      <c r="S2615" s="73">
        <v>0</v>
      </c>
      <c r="T2615" s="71" t="s">
        <v>390</v>
      </c>
      <c r="U2615" s="74">
        <v>3</v>
      </c>
      <c r="V2615" s="71" t="s">
        <v>536</v>
      </c>
      <c r="W2615" s="130">
        <v>46079.590277777781</v>
      </c>
      <c r="X2615" s="72">
        <v>46084.916666666664</v>
      </c>
      <c r="Y2615" s="72">
        <v>46090.291666666664</v>
      </c>
      <c r="Z2615" s="104" t="s">
        <v>414</v>
      </c>
      <c r="AA2615" s="104" t="s">
        <v>443</v>
      </c>
      <c r="AB2615" s="105">
        <v>46085.797222222223</v>
      </c>
      <c r="AC2615" s="105">
        <v>46090.458333333336</v>
      </c>
    </row>
    <row r="2616" s="70" customFormat="1" ht="11.25" customHeight="1">
      <c r="A2616" s="87"/>
      <c r="C2616" s="43" t="s">
        <v>4397</v>
      </c>
      <c r="D2616" s="71" t="s">
        <v>382</v>
      </c>
      <c r="E2616" s="71" t="str">
        <f>MID(D2616,1,2)</f>
        <v>IL</v>
      </c>
      <c r="F2616" s="71" t="s">
        <v>1583</v>
      </c>
      <c r="G2616" s="71" t="str">
        <f>MID(F2616,1,2)</f>
        <v>BR</v>
      </c>
      <c r="H2616" s="43" t="s">
        <v>4393</v>
      </c>
      <c r="I2616" s="71" t="s">
        <v>4398</v>
      </c>
      <c r="J2616" s="71" t="s">
        <v>411</v>
      </c>
      <c r="K2616" s="43"/>
      <c r="L2616" s="71" t="s">
        <v>105</v>
      </c>
      <c r="M2616" s="73">
        <v>26.4</v>
      </c>
      <c r="N2616" s="71" t="s">
        <v>388</v>
      </c>
      <c r="O2616" s="73">
        <v>0.506</v>
      </c>
      <c r="P2616" s="71" t="s">
        <v>389</v>
      </c>
      <c r="Q2616" s="73">
        <v>84.5</v>
      </c>
      <c r="R2616" s="71" t="s">
        <v>388</v>
      </c>
      <c r="S2616" s="73">
        <v>0</v>
      </c>
      <c r="T2616" s="71" t="s">
        <v>390</v>
      </c>
      <c r="U2616" s="74">
        <v>1</v>
      </c>
      <c r="V2616" s="71" t="s">
        <v>391</v>
      </c>
      <c r="W2616" s="130">
        <v>46079.660416666666</v>
      </c>
      <c r="X2616" s="72">
        <v>46082.569444444445</v>
      </c>
      <c r="Y2616" s="72">
        <v>46113.46875</v>
      </c>
      <c r="Z2616" s="104" t="s">
        <v>382</v>
      </c>
      <c r="AA2616" s="104" t="s">
        <v>408</v>
      </c>
      <c r="AB2616" s="105">
        <v>46101.170138888891</v>
      </c>
      <c r="AC2616" s="105">
        <v>46101.257638888892</v>
      </c>
    </row>
    <row r="2617" s="70" customFormat="1" ht="11.25" customHeight="1">
      <c r="A2617" s="87"/>
      <c r="C2617" s="43" t="s">
        <v>4397</v>
      </c>
      <c r="D2617" s="71" t="s">
        <v>382</v>
      </c>
      <c r="E2617" s="71" t="str">
        <f>MID(D2617,1,2)</f>
        <v>IL</v>
      </c>
      <c r="F2617" s="71" t="s">
        <v>1583</v>
      </c>
      <c r="G2617" s="71" t="str">
        <f>MID(F2617,1,2)</f>
        <v>BR</v>
      </c>
      <c r="H2617" s="43" t="s">
        <v>4393</v>
      </c>
      <c r="I2617" s="71" t="s">
        <v>4398</v>
      </c>
      <c r="J2617" s="71" t="s">
        <v>411</v>
      </c>
      <c r="K2617" s="43"/>
      <c r="L2617" s="71" t="s">
        <v>105</v>
      </c>
      <c r="M2617" s="73">
        <v>26.4</v>
      </c>
      <c r="N2617" s="71" t="s">
        <v>388</v>
      </c>
      <c r="O2617" s="73">
        <v>0.506</v>
      </c>
      <c r="P2617" s="71" t="s">
        <v>389</v>
      </c>
      <c r="Q2617" s="73">
        <v>84.5</v>
      </c>
      <c r="R2617" s="71" t="s">
        <v>388</v>
      </c>
      <c r="S2617" s="73">
        <v>0</v>
      </c>
      <c r="T2617" s="71" t="s">
        <v>390</v>
      </c>
      <c r="U2617" s="74">
        <v>1</v>
      </c>
      <c r="V2617" s="71" t="s">
        <v>391</v>
      </c>
      <c r="W2617" s="130">
        <v>46079.660416666666</v>
      </c>
      <c r="X2617" s="72">
        <v>46082.569444444445</v>
      </c>
      <c r="Y2617" s="72">
        <v>46113.46875</v>
      </c>
      <c r="Z2617" s="104" t="s">
        <v>408</v>
      </c>
      <c r="AA2617" s="104" t="s">
        <v>383</v>
      </c>
      <c r="AB2617" s="105"/>
      <c r="AC2617" s="105"/>
    </row>
    <row r="2618" s="70" customFormat="1" ht="11.25" customHeight="1">
      <c r="A2618" s="87"/>
      <c r="C2618" s="43" t="s">
        <v>4397</v>
      </c>
      <c r="D2618" s="71" t="s">
        <v>382</v>
      </c>
      <c r="E2618" s="71" t="str">
        <f>MID(D2618,1,2)</f>
        <v>IL</v>
      </c>
      <c r="F2618" s="71" t="s">
        <v>1583</v>
      </c>
      <c r="G2618" s="71" t="str">
        <f>MID(F2618,1,2)</f>
        <v>BR</v>
      </c>
      <c r="H2618" s="43" t="s">
        <v>4393</v>
      </c>
      <c r="I2618" s="71" t="s">
        <v>4398</v>
      </c>
      <c r="J2618" s="71" t="s">
        <v>411</v>
      </c>
      <c r="K2618" s="43"/>
      <c r="L2618" s="71" t="s">
        <v>105</v>
      </c>
      <c r="M2618" s="73">
        <v>26.4</v>
      </c>
      <c r="N2618" s="71" t="s">
        <v>388</v>
      </c>
      <c r="O2618" s="73">
        <v>0.506</v>
      </c>
      <c r="P2618" s="71" t="s">
        <v>389</v>
      </c>
      <c r="Q2618" s="73">
        <v>84.5</v>
      </c>
      <c r="R2618" s="71" t="s">
        <v>388</v>
      </c>
      <c r="S2618" s="73">
        <v>0</v>
      </c>
      <c r="T2618" s="71" t="s">
        <v>390</v>
      </c>
      <c r="U2618" s="74">
        <v>1</v>
      </c>
      <c r="V2618" s="71" t="s">
        <v>391</v>
      </c>
      <c r="W2618" s="130">
        <v>46079.660416666666</v>
      </c>
      <c r="X2618" s="72">
        <v>46082.569444444445</v>
      </c>
      <c r="Y2618" s="72">
        <v>46113.46875</v>
      </c>
      <c r="Z2618" s="104" t="s">
        <v>383</v>
      </c>
      <c r="AA2618" s="104" t="s">
        <v>1349</v>
      </c>
      <c r="AB2618" s="105"/>
      <c r="AC2618" s="105"/>
    </row>
    <row r="2619" s="70" customFormat="1" ht="11.25" customHeight="1">
      <c r="A2619" s="87"/>
      <c r="C2619" s="43" t="s">
        <v>4397</v>
      </c>
      <c r="D2619" s="71" t="s">
        <v>382</v>
      </c>
      <c r="E2619" s="71" t="str">
        <f>MID(D2619,1,2)</f>
        <v>IL</v>
      </c>
      <c r="F2619" s="71" t="s">
        <v>1583</v>
      </c>
      <c r="G2619" s="71" t="str">
        <f>MID(F2619,1,2)</f>
        <v>BR</v>
      </c>
      <c r="H2619" s="43" t="s">
        <v>4393</v>
      </c>
      <c r="I2619" s="71" t="s">
        <v>4398</v>
      </c>
      <c r="J2619" s="71" t="s">
        <v>411</v>
      </c>
      <c r="K2619" s="43"/>
      <c r="L2619" s="71" t="s">
        <v>105</v>
      </c>
      <c r="M2619" s="73">
        <v>26.4</v>
      </c>
      <c r="N2619" s="71" t="s">
        <v>388</v>
      </c>
      <c r="O2619" s="73">
        <v>0.506</v>
      </c>
      <c r="P2619" s="71" t="s">
        <v>389</v>
      </c>
      <c r="Q2619" s="73">
        <v>84.5</v>
      </c>
      <c r="R2619" s="71" t="s">
        <v>388</v>
      </c>
      <c r="S2619" s="73">
        <v>0</v>
      </c>
      <c r="T2619" s="71" t="s">
        <v>390</v>
      </c>
      <c r="U2619" s="74">
        <v>1</v>
      </c>
      <c r="V2619" s="71" t="s">
        <v>391</v>
      </c>
      <c r="W2619" s="130">
        <v>46079.660416666666</v>
      </c>
      <c r="X2619" s="72">
        <v>46082.569444444445</v>
      </c>
      <c r="Y2619" s="72">
        <v>46113.46875</v>
      </c>
      <c r="Z2619" s="104" t="s">
        <v>1349</v>
      </c>
      <c r="AA2619" s="104" t="s">
        <v>1583</v>
      </c>
      <c r="AB2619" s="105"/>
      <c r="AC2619" s="105"/>
    </row>
    <row r="2620" s="70" customFormat="1" ht="11.25" customHeight="1">
      <c r="A2620" s="87"/>
      <c r="C2620" s="43" t="s">
        <v>4399</v>
      </c>
      <c r="D2620" s="71" t="s">
        <v>382</v>
      </c>
      <c r="E2620" s="71" t="str">
        <f>MID(D2620,1,2)</f>
        <v>IL</v>
      </c>
      <c r="F2620" s="71" t="s">
        <v>443</v>
      </c>
      <c r="G2620" s="71" t="str">
        <f>MID(F2620,1,2)</f>
        <v>US</v>
      </c>
      <c r="H2620" s="43" t="s">
        <v>3806</v>
      </c>
      <c r="I2620" s="71" t="s">
        <v>4400</v>
      </c>
      <c r="J2620" s="71" t="s">
        <v>386</v>
      </c>
      <c r="K2620" s="43"/>
      <c r="L2620" s="71" t="s">
        <v>107</v>
      </c>
      <c r="M2620" s="73">
        <v>142</v>
      </c>
      <c r="N2620" s="71" t="s">
        <v>388</v>
      </c>
      <c r="O2620" s="73">
        <v>1.8</v>
      </c>
      <c r="P2620" s="71" t="s">
        <v>389</v>
      </c>
      <c r="Q2620" s="73">
        <v>300</v>
      </c>
      <c r="R2620" s="71" t="s">
        <v>388</v>
      </c>
      <c r="S2620" s="73">
        <v>0</v>
      </c>
      <c r="T2620" s="71" t="s">
        <v>390</v>
      </c>
      <c r="U2620" s="74">
        <v>2</v>
      </c>
      <c r="V2620" s="71" t="s">
        <v>536</v>
      </c>
      <c r="W2620" s="130">
        <v>46080.257696759261</v>
      </c>
      <c r="X2620" s="72">
        <v>46084.916666666664</v>
      </c>
      <c r="Y2620" s="72">
        <v>46090.291666666664</v>
      </c>
      <c r="Z2620" s="104" t="s">
        <v>382</v>
      </c>
      <c r="AA2620" s="104" t="s">
        <v>414</v>
      </c>
      <c r="AB2620" s="105">
        <v>46085.021527777775</v>
      </c>
      <c r="AC2620" s="105">
        <v>46085.20416666667</v>
      </c>
    </row>
    <row r="2621" s="70" customFormat="1" ht="11.25" customHeight="1">
      <c r="A2621" s="87"/>
      <c r="C2621" s="43" t="s">
        <v>4399</v>
      </c>
      <c r="D2621" s="71" t="s">
        <v>382</v>
      </c>
      <c r="E2621" s="71" t="str">
        <f>MID(D2621,1,2)</f>
        <v>IL</v>
      </c>
      <c r="F2621" s="71" t="s">
        <v>443</v>
      </c>
      <c r="G2621" s="71" t="str">
        <f>MID(F2621,1,2)</f>
        <v>US</v>
      </c>
      <c r="H2621" s="43" t="s">
        <v>3806</v>
      </c>
      <c r="I2621" s="71" t="s">
        <v>4400</v>
      </c>
      <c r="J2621" s="71" t="s">
        <v>386</v>
      </c>
      <c r="K2621" s="43"/>
      <c r="L2621" s="71" t="s">
        <v>107</v>
      </c>
      <c r="M2621" s="73">
        <v>142</v>
      </c>
      <c r="N2621" s="71" t="s">
        <v>388</v>
      </c>
      <c r="O2621" s="73">
        <v>1.8</v>
      </c>
      <c r="P2621" s="71" t="s">
        <v>389</v>
      </c>
      <c r="Q2621" s="73">
        <v>300</v>
      </c>
      <c r="R2621" s="71" t="s">
        <v>388</v>
      </c>
      <c r="S2621" s="73">
        <v>0</v>
      </c>
      <c r="T2621" s="71" t="s">
        <v>390</v>
      </c>
      <c r="U2621" s="74">
        <v>2</v>
      </c>
      <c r="V2621" s="71" t="s">
        <v>536</v>
      </c>
      <c r="W2621" s="130">
        <v>46080.257696759261</v>
      </c>
      <c r="X2621" s="72">
        <v>46084.916666666664</v>
      </c>
      <c r="Y2621" s="72">
        <v>46090.291666666664</v>
      </c>
      <c r="Z2621" s="104" t="s">
        <v>414</v>
      </c>
      <c r="AA2621" s="104" t="s">
        <v>443</v>
      </c>
      <c r="AB2621" s="105">
        <v>46085.797222222223</v>
      </c>
      <c r="AC2621" s="105">
        <v>46090.458333333336</v>
      </c>
    </row>
    <row r="2622" s="70" customFormat="1" ht="11.25" customHeight="1">
      <c r="A2622" s="87"/>
      <c r="C2622" s="43" t="s">
        <v>4401</v>
      </c>
      <c r="D2622" s="71" t="s">
        <v>382</v>
      </c>
      <c r="E2622" s="71" t="str">
        <f>MID(D2622,1,2)</f>
        <v>IL</v>
      </c>
      <c r="F2622" s="71" t="s">
        <v>3718</v>
      </c>
      <c r="G2622" s="71" t="str">
        <f>MID(F2622,1,2)</f>
        <v>UG</v>
      </c>
      <c r="H2622" s="43" t="s">
        <v>4402</v>
      </c>
      <c r="I2622" s="71" t="s">
        <v>4403</v>
      </c>
      <c r="J2622" s="71" t="s">
        <v>400</v>
      </c>
      <c r="K2622" s="43"/>
      <c r="L2622" s="71" t="s">
        <v>105</v>
      </c>
      <c r="M2622" s="73">
        <v>36</v>
      </c>
      <c r="N2622" s="71" t="s">
        <v>388</v>
      </c>
      <c r="O2622" s="73">
        <v>0.431</v>
      </c>
      <c r="P2622" s="71" t="s">
        <v>389</v>
      </c>
      <c r="Q2622" s="73">
        <v>72</v>
      </c>
      <c r="R2622" s="71" t="s">
        <v>388</v>
      </c>
      <c r="S2622" s="73">
        <v>0</v>
      </c>
      <c r="T2622" s="71" t="s">
        <v>390</v>
      </c>
      <c r="U2622" s="74">
        <v>1</v>
      </c>
      <c r="V2622" s="71" t="s">
        <v>391</v>
      </c>
      <c r="W2622" s="130">
        <v>46079.837060185186</v>
      </c>
      <c r="X2622" s="72">
        <v>46080.375</v>
      </c>
      <c r="Y2622" s="72">
        <v>46109.59375</v>
      </c>
      <c r="Z2622" s="104" t="s">
        <v>382</v>
      </c>
      <c r="AA2622" s="104" t="s">
        <v>1310</v>
      </c>
      <c r="AB2622" s="105"/>
      <c r="AC2622" s="105"/>
    </row>
    <row r="2623" s="70" customFormat="1" ht="11.25" customHeight="1">
      <c r="A2623" s="87"/>
      <c r="C2623" s="43" t="s">
        <v>4401</v>
      </c>
      <c r="D2623" s="71" t="s">
        <v>382</v>
      </c>
      <c r="E2623" s="71" t="str">
        <f>MID(D2623,1,2)</f>
        <v>IL</v>
      </c>
      <c r="F2623" s="71" t="s">
        <v>3718</v>
      </c>
      <c r="G2623" s="71" t="str">
        <f>MID(F2623,1,2)</f>
        <v>UG</v>
      </c>
      <c r="H2623" s="43" t="s">
        <v>4402</v>
      </c>
      <c r="I2623" s="71" t="s">
        <v>4403</v>
      </c>
      <c r="J2623" s="71" t="s">
        <v>400</v>
      </c>
      <c r="K2623" s="43"/>
      <c r="L2623" s="71" t="s">
        <v>105</v>
      </c>
      <c r="M2623" s="73">
        <v>36</v>
      </c>
      <c r="N2623" s="71" t="s">
        <v>388</v>
      </c>
      <c r="O2623" s="73">
        <v>0.431</v>
      </c>
      <c r="P2623" s="71" t="s">
        <v>389</v>
      </c>
      <c r="Q2623" s="73">
        <v>72</v>
      </c>
      <c r="R2623" s="71" t="s">
        <v>388</v>
      </c>
      <c r="S2623" s="73">
        <v>0</v>
      </c>
      <c r="T2623" s="71" t="s">
        <v>390</v>
      </c>
      <c r="U2623" s="74">
        <v>1</v>
      </c>
      <c r="V2623" s="71" t="s">
        <v>391</v>
      </c>
      <c r="W2623" s="130">
        <v>46079.837060185186</v>
      </c>
      <c r="X2623" s="72">
        <v>46080.375</v>
      </c>
      <c r="Y2623" s="72">
        <v>46109.59375</v>
      </c>
      <c r="Z2623" s="104" t="s">
        <v>1310</v>
      </c>
      <c r="AA2623" s="104" t="s">
        <v>3718</v>
      </c>
      <c r="AB2623" s="105"/>
      <c r="AC2623" s="105"/>
    </row>
    <row r="2624" s="70" customFormat="1" ht="11.25" customHeight="1">
      <c r="A2624" s="87"/>
      <c r="C2624" s="43" t="s">
        <v>4404</v>
      </c>
      <c r="D2624" s="71" t="s">
        <v>382</v>
      </c>
      <c r="E2624" s="71" t="str">
        <f>MID(D2624,1,2)</f>
        <v>IL</v>
      </c>
      <c r="F2624" s="71" t="s">
        <v>414</v>
      </c>
      <c r="G2624" s="71" t="str">
        <f>MID(F2624,1,2)</f>
        <v>US</v>
      </c>
      <c r="H2624" s="43" t="s">
        <v>4163</v>
      </c>
      <c r="I2624" s="71" t="s">
        <v>4405</v>
      </c>
      <c r="J2624" s="71" t="s">
        <v>386</v>
      </c>
      <c r="K2624" s="43" t="s">
        <v>431</v>
      </c>
      <c r="L2624" s="71" t="s">
        <v>107</v>
      </c>
      <c r="M2624" s="73">
        <v>12</v>
      </c>
      <c r="N2624" s="71" t="s">
        <v>388</v>
      </c>
      <c r="O2624" s="73">
        <v>0.056</v>
      </c>
      <c r="P2624" s="71" t="s">
        <v>389</v>
      </c>
      <c r="Q2624" s="73">
        <v>12</v>
      </c>
      <c r="R2624" s="71" t="s">
        <v>388</v>
      </c>
      <c r="S2624" s="73">
        <v>0</v>
      </c>
      <c r="T2624" s="71" t="s">
        <v>390</v>
      </c>
      <c r="U2624" s="74">
        <v>1</v>
      </c>
      <c r="V2624" s="71" t="s">
        <v>427</v>
      </c>
      <c r="W2624" s="130">
        <v>46079.604861111111</v>
      </c>
      <c r="X2624" s="72">
        <v>46084.916666666664</v>
      </c>
      <c r="Y2624" s="72">
        <v>46085.114583333336</v>
      </c>
      <c r="Z2624" s="104" t="s">
        <v>382</v>
      </c>
      <c r="AA2624" s="104" t="s">
        <v>414</v>
      </c>
      <c r="AB2624" s="105">
        <v>46085.021527777775</v>
      </c>
      <c r="AC2624" s="105">
        <v>46085.20416666667</v>
      </c>
    </row>
    <row r="2625" s="70" customFormat="1" ht="11.25" customHeight="1">
      <c r="A2625" s="87"/>
      <c r="C2625" s="43" t="s">
        <v>4406</v>
      </c>
      <c r="D2625" s="71" t="s">
        <v>382</v>
      </c>
      <c r="E2625" s="71" t="str">
        <f>MID(D2625,1,2)</f>
        <v>IL</v>
      </c>
      <c r="F2625" s="71" t="s">
        <v>526</v>
      </c>
      <c r="G2625" s="71" t="str">
        <f>MID(F2625,1,2)</f>
        <v>US</v>
      </c>
      <c r="H2625" s="43" t="s">
        <v>4407</v>
      </c>
      <c r="I2625" s="71" t="s">
        <v>4408</v>
      </c>
      <c r="J2625" s="71" t="s">
        <v>454</v>
      </c>
      <c r="K2625" s="43"/>
      <c r="L2625" s="71" t="s">
        <v>107</v>
      </c>
      <c r="M2625" s="73">
        <v>312</v>
      </c>
      <c r="N2625" s="71" t="s">
        <v>388</v>
      </c>
      <c r="O2625" s="73">
        <v>3.024</v>
      </c>
      <c r="P2625" s="71" t="s">
        <v>389</v>
      </c>
      <c r="Q2625" s="73">
        <v>504</v>
      </c>
      <c r="R2625" s="71" t="s">
        <v>388</v>
      </c>
      <c r="S2625" s="73">
        <v>20</v>
      </c>
      <c r="T2625" s="71" t="s">
        <v>390</v>
      </c>
      <c r="U2625" s="74">
        <v>4</v>
      </c>
      <c r="V2625" s="71" t="s">
        <v>391</v>
      </c>
      <c r="W2625" s="130">
        <v>46079.618055555555</v>
      </c>
      <c r="X2625" s="72">
        <v>46086.03125</v>
      </c>
      <c r="Y2625" s="72">
        <v>46090.455555555556</v>
      </c>
      <c r="Z2625" s="104" t="s">
        <v>382</v>
      </c>
      <c r="AA2625" s="104" t="s">
        <v>414</v>
      </c>
      <c r="AB2625" s="105">
        <v>46086.242361111108</v>
      </c>
      <c r="AC2625" s="105">
        <v>46086.4625</v>
      </c>
    </row>
    <row r="2626" s="70" customFormat="1" ht="11.25" customHeight="1">
      <c r="A2626" s="87"/>
      <c r="C2626" s="43" t="s">
        <v>4409</v>
      </c>
      <c r="D2626" s="71" t="s">
        <v>382</v>
      </c>
      <c r="E2626" s="71" t="str">
        <f>MID(D2626,1,2)</f>
        <v>IL</v>
      </c>
      <c r="F2626" s="71" t="s">
        <v>476</v>
      </c>
      <c r="G2626" s="71" t="str">
        <f>MID(F2626,1,2)</f>
        <v>SG</v>
      </c>
      <c r="H2626" s="43" t="s">
        <v>4276</v>
      </c>
      <c r="I2626" s="71" t="s">
        <v>4410</v>
      </c>
      <c r="J2626" s="71" t="s">
        <v>454</v>
      </c>
      <c r="K2626" s="43"/>
      <c r="L2626" s="71" t="s">
        <v>107</v>
      </c>
      <c r="M2626" s="73">
        <v>528</v>
      </c>
      <c r="N2626" s="71" t="s">
        <v>388</v>
      </c>
      <c r="O2626" s="73">
        <v>3.269</v>
      </c>
      <c r="P2626" s="71" t="s">
        <v>389</v>
      </c>
      <c r="Q2626" s="73">
        <v>545</v>
      </c>
      <c r="R2626" s="71" t="s">
        <v>388</v>
      </c>
      <c r="S2626" s="73">
        <v>0</v>
      </c>
      <c r="T2626" s="71" t="s">
        <v>390</v>
      </c>
      <c r="U2626" s="74">
        <v>3</v>
      </c>
      <c r="V2626" s="71" t="s">
        <v>391</v>
      </c>
      <c r="W2626" s="130">
        <v>46079.746712962966</v>
      </c>
      <c r="X2626" s="72">
        <v>46088.68125</v>
      </c>
      <c r="Y2626" s="72">
        <v>46096.617361111108</v>
      </c>
      <c r="Z2626" s="104" t="s">
        <v>382</v>
      </c>
      <c r="AA2626" s="104" t="s">
        <v>403</v>
      </c>
      <c r="AB2626" s="105">
        <v>46093.134722222225</v>
      </c>
      <c r="AC2626" s="105">
        <v>46093.914583333331</v>
      </c>
    </row>
    <row r="2627" s="70" customFormat="1" ht="11.25" customHeight="1">
      <c r="A2627" s="87"/>
      <c r="C2627" s="43" t="s">
        <v>4409</v>
      </c>
      <c r="D2627" s="71" t="s">
        <v>382</v>
      </c>
      <c r="E2627" s="71" t="str">
        <f>MID(D2627,1,2)</f>
        <v>IL</v>
      </c>
      <c r="F2627" s="71" t="s">
        <v>476</v>
      </c>
      <c r="G2627" s="71" t="str">
        <f>MID(F2627,1,2)</f>
        <v>SG</v>
      </c>
      <c r="H2627" s="43" t="s">
        <v>4276</v>
      </c>
      <c r="I2627" s="71" t="s">
        <v>4410</v>
      </c>
      <c r="J2627" s="71" t="s">
        <v>454</v>
      </c>
      <c r="K2627" s="43"/>
      <c r="L2627" s="71" t="s">
        <v>107</v>
      </c>
      <c r="M2627" s="73">
        <v>528</v>
      </c>
      <c r="N2627" s="71" t="s">
        <v>388</v>
      </c>
      <c r="O2627" s="73">
        <v>3.269</v>
      </c>
      <c r="P2627" s="71" t="s">
        <v>389</v>
      </c>
      <c r="Q2627" s="73">
        <v>545</v>
      </c>
      <c r="R2627" s="71" t="s">
        <v>388</v>
      </c>
      <c r="S2627" s="73">
        <v>0</v>
      </c>
      <c r="T2627" s="71" t="s">
        <v>390</v>
      </c>
      <c r="U2627" s="74">
        <v>3</v>
      </c>
      <c r="V2627" s="71" t="s">
        <v>391</v>
      </c>
      <c r="W2627" s="130">
        <v>46079.746712962966</v>
      </c>
      <c r="X2627" s="72">
        <v>46088.68125</v>
      </c>
      <c r="Y2627" s="72">
        <v>46096.617361111108</v>
      </c>
      <c r="Z2627" s="104" t="s">
        <v>403</v>
      </c>
      <c r="AA2627" s="104" t="s">
        <v>476</v>
      </c>
      <c r="AB2627" s="105">
        <v>46096.37777777778</v>
      </c>
      <c r="AC2627" s="105">
        <v>46096.533333333333</v>
      </c>
    </row>
    <row r="2628" s="70" customFormat="1" ht="11.25" customHeight="1">
      <c r="A2628" s="87"/>
      <c r="C2628" s="43" t="s">
        <v>4411</v>
      </c>
      <c r="D2628" s="71" t="s">
        <v>382</v>
      </c>
      <c r="E2628" s="71" t="str">
        <f>MID(D2628,1,2)</f>
        <v>IL</v>
      </c>
      <c r="F2628" s="71" t="s">
        <v>1583</v>
      </c>
      <c r="G2628" s="71" t="str">
        <f>MID(F2628,1,2)</f>
        <v>BR</v>
      </c>
      <c r="H2628" s="43"/>
      <c r="I2628" s="71" t="s">
        <v>4412</v>
      </c>
      <c r="J2628" s="71" t="s">
        <v>411</v>
      </c>
      <c r="K2628" s="43"/>
      <c r="L2628" s="71" t="s">
        <v>105</v>
      </c>
      <c r="M2628" s="73">
        <v>10.4</v>
      </c>
      <c r="N2628" s="71" t="s">
        <v>388</v>
      </c>
      <c r="O2628" s="73">
        <v>0.135</v>
      </c>
      <c r="P2628" s="71" t="s">
        <v>389</v>
      </c>
      <c r="Q2628" s="73">
        <v>22.5</v>
      </c>
      <c r="R2628" s="71" t="s">
        <v>388</v>
      </c>
      <c r="S2628" s="73">
        <v>0</v>
      </c>
      <c r="T2628" s="71" t="s">
        <v>390</v>
      </c>
      <c r="U2628" s="74">
        <v>4</v>
      </c>
      <c r="V2628" s="71" t="s">
        <v>391</v>
      </c>
      <c r="W2628" s="130"/>
      <c r="X2628" s="72">
        <v>46082.569444444445</v>
      </c>
      <c r="Y2628" s="72">
        <v>46098.743055555555</v>
      </c>
      <c r="Z2628" s="104"/>
      <c r="AA2628" s="104"/>
      <c r="AB2628" s="105"/>
      <c r="AC2628" s="105"/>
    </row>
    <row r="2629" s="70" customFormat="1" ht="11.25" customHeight="1">
      <c r="A2629" s="87"/>
      <c r="C2629" s="43" t="s">
        <v>4413</v>
      </c>
      <c r="D2629" s="71" t="s">
        <v>382</v>
      </c>
      <c r="E2629" s="71" t="str">
        <f>MID(D2629,1,2)</f>
        <v>IL</v>
      </c>
      <c r="F2629" s="71" t="s">
        <v>414</v>
      </c>
      <c r="G2629" s="71" t="str">
        <f>MID(F2629,1,2)</f>
        <v>US</v>
      </c>
      <c r="H2629" s="43" t="s">
        <v>4414</v>
      </c>
      <c r="I2629" s="71" t="s">
        <v>4415</v>
      </c>
      <c r="J2629" s="71" t="s">
        <v>386</v>
      </c>
      <c r="K2629" s="43"/>
      <c r="L2629" s="71" t="s">
        <v>107</v>
      </c>
      <c r="M2629" s="73">
        <v>15</v>
      </c>
      <c r="N2629" s="71" t="s">
        <v>388</v>
      </c>
      <c r="O2629" s="73">
        <v>0.228</v>
      </c>
      <c r="P2629" s="71" t="s">
        <v>389</v>
      </c>
      <c r="Q2629" s="73">
        <v>38</v>
      </c>
      <c r="R2629" s="71" t="s">
        <v>388</v>
      </c>
      <c r="S2629" s="73">
        <v>0</v>
      </c>
      <c r="T2629" s="71" t="s">
        <v>390</v>
      </c>
      <c r="U2629" s="74">
        <v>5</v>
      </c>
      <c r="V2629" s="71" t="s">
        <v>427</v>
      </c>
      <c r="W2629" s="130">
        <v>46079.632638888892</v>
      </c>
      <c r="X2629" s="72">
        <v>46088.25</v>
      </c>
      <c r="Y2629" s="72">
        <v>46092.197916666664</v>
      </c>
      <c r="Z2629" s="104" t="s">
        <v>382</v>
      </c>
      <c r="AA2629" s="104" t="s">
        <v>414</v>
      </c>
      <c r="AB2629" s="105">
        <v>46088.38958333333</v>
      </c>
      <c r="AC2629" s="105">
        <v>46092.333333333336</v>
      </c>
    </row>
    <row r="2630" s="70" customFormat="1" ht="11.25" customHeight="1">
      <c r="A2630" s="87"/>
      <c r="C2630" s="43" t="s">
        <v>4416</v>
      </c>
      <c r="D2630" s="71" t="s">
        <v>382</v>
      </c>
      <c r="E2630" s="71" t="str">
        <f>MID(D2630,1,2)</f>
        <v>IL</v>
      </c>
      <c r="F2630" s="71" t="s">
        <v>414</v>
      </c>
      <c r="G2630" s="71" t="str">
        <f>MID(F2630,1,2)</f>
        <v>US</v>
      </c>
      <c r="H2630" s="43" t="s">
        <v>2791</v>
      </c>
      <c r="I2630" s="71" t="s">
        <v>4417</v>
      </c>
      <c r="J2630" s="71" t="s">
        <v>386</v>
      </c>
      <c r="K2630" s="43"/>
      <c r="L2630" s="71" t="s">
        <v>107</v>
      </c>
      <c r="M2630" s="73">
        <v>8</v>
      </c>
      <c r="N2630" s="71" t="s">
        <v>388</v>
      </c>
      <c r="O2630" s="73">
        <v>0.061</v>
      </c>
      <c r="P2630" s="71" t="s">
        <v>389</v>
      </c>
      <c r="Q2630" s="73">
        <v>10.5</v>
      </c>
      <c r="R2630" s="71" t="s">
        <v>388</v>
      </c>
      <c r="S2630" s="73">
        <v>0</v>
      </c>
      <c r="T2630" s="71" t="s">
        <v>390</v>
      </c>
      <c r="U2630" s="74">
        <v>1</v>
      </c>
      <c r="V2630" s="71" t="s">
        <v>446</v>
      </c>
      <c r="W2630" s="130">
        <v>46086.631944444445</v>
      </c>
      <c r="X2630" s="72">
        <v>46091.229166666664</v>
      </c>
      <c r="Y2630" s="72">
        <v>46096.291666666664</v>
      </c>
      <c r="Z2630" s="104" t="s">
        <v>382</v>
      </c>
      <c r="AA2630" s="104" t="s">
        <v>414</v>
      </c>
      <c r="AB2630" s="105">
        <v>46091.945833333331</v>
      </c>
      <c r="AC2630" s="105">
        <v>46092.136111111111</v>
      </c>
    </row>
    <row r="2631" s="70" customFormat="1" ht="11.25" customHeight="1">
      <c r="A2631" s="87"/>
      <c r="C2631" s="43" t="s">
        <v>4418</v>
      </c>
      <c r="D2631" s="71" t="s">
        <v>382</v>
      </c>
      <c r="E2631" s="71" t="str">
        <f>MID(D2631,1,2)</f>
        <v>IL</v>
      </c>
      <c r="F2631" s="71" t="s">
        <v>1583</v>
      </c>
      <c r="G2631" s="71" t="str">
        <f>MID(F2631,1,2)</f>
        <v>BR</v>
      </c>
      <c r="H2631" s="43"/>
      <c r="I2631" s="71" t="s">
        <v>4419</v>
      </c>
      <c r="J2631" s="71" t="s">
        <v>411</v>
      </c>
      <c r="K2631" s="43"/>
      <c r="L2631" s="71" t="s">
        <v>105</v>
      </c>
      <c r="M2631" s="73">
        <v>19</v>
      </c>
      <c r="N2631" s="71" t="s">
        <v>388</v>
      </c>
      <c r="O2631" s="73">
        <v>0.256</v>
      </c>
      <c r="P2631" s="71" t="s">
        <v>389</v>
      </c>
      <c r="Q2631" s="73">
        <v>43</v>
      </c>
      <c r="R2631" s="71" t="s">
        <v>388</v>
      </c>
      <c r="S2631" s="73">
        <v>0</v>
      </c>
      <c r="T2631" s="71" t="s">
        <v>390</v>
      </c>
      <c r="U2631" s="74">
        <v>1</v>
      </c>
      <c r="V2631" s="71" t="s">
        <v>391</v>
      </c>
      <c r="W2631" s="130">
        <v>46079.65347222222</v>
      </c>
      <c r="X2631" s="72">
        <v>46082.458333333336</v>
      </c>
      <c r="Y2631" s="72">
        <v>46086.940972222219</v>
      </c>
      <c r="Z2631" s="104"/>
      <c r="AA2631" s="104"/>
      <c r="AB2631" s="105"/>
      <c r="AC2631" s="105"/>
    </row>
    <row r="2632" s="70" customFormat="1" ht="11.25" customHeight="1">
      <c r="A2632" s="87"/>
      <c r="C2632" s="43" t="s">
        <v>4420</v>
      </c>
      <c r="D2632" s="71" t="s">
        <v>382</v>
      </c>
      <c r="E2632" s="71" t="str">
        <f>MID(D2632,1,2)</f>
        <v>IL</v>
      </c>
      <c r="F2632" s="71" t="s">
        <v>383</v>
      </c>
      <c r="G2632" s="71" t="str">
        <f>MID(F2632,1,2)</f>
        <v>DE</v>
      </c>
      <c r="H2632" s="43" t="s">
        <v>4311</v>
      </c>
      <c r="I2632" s="71" t="s">
        <v>4421</v>
      </c>
      <c r="J2632" s="71" t="s">
        <v>454</v>
      </c>
      <c r="K2632" s="43"/>
      <c r="L2632" s="71" t="s">
        <v>107</v>
      </c>
      <c r="M2632" s="73">
        <v>10</v>
      </c>
      <c r="N2632" s="71" t="s">
        <v>388</v>
      </c>
      <c r="O2632" s="73">
        <v>0.064</v>
      </c>
      <c r="P2632" s="71" t="s">
        <v>389</v>
      </c>
      <c r="Q2632" s="73">
        <v>11</v>
      </c>
      <c r="R2632" s="71" t="s">
        <v>388</v>
      </c>
      <c r="S2632" s="73">
        <v>0</v>
      </c>
      <c r="T2632" s="71" t="s">
        <v>390</v>
      </c>
      <c r="U2632" s="74">
        <v>1</v>
      </c>
      <c r="V2632" s="71" t="s">
        <v>391</v>
      </c>
      <c r="W2632" s="130">
        <v>46083.63422453704</v>
      </c>
      <c r="X2632" s="72">
        <v>46082.690972222219</v>
      </c>
      <c r="Y2632" s="72">
        <v>46097.25</v>
      </c>
      <c r="Z2632" s="104" t="s">
        <v>383</v>
      </c>
      <c r="AA2632" s="104" t="s">
        <v>680</v>
      </c>
      <c r="AB2632" s="105">
        <v>46095.470138888886</v>
      </c>
      <c r="AC2632" s="105">
        <v>46097.166666666664</v>
      </c>
    </row>
    <row r="2633" s="70" customFormat="1" ht="11.25" customHeight="1">
      <c r="A2633" s="87"/>
      <c r="C2633" s="43" t="s">
        <v>4420</v>
      </c>
      <c r="D2633" s="71" t="s">
        <v>382</v>
      </c>
      <c r="E2633" s="71" t="str">
        <f>MID(D2633,1,2)</f>
        <v>IL</v>
      </c>
      <c r="F2633" s="71" t="s">
        <v>383</v>
      </c>
      <c r="G2633" s="71" t="str">
        <f>MID(F2633,1,2)</f>
        <v>DE</v>
      </c>
      <c r="H2633" s="43" t="s">
        <v>4311</v>
      </c>
      <c r="I2633" s="71" t="s">
        <v>4421</v>
      </c>
      <c r="J2633" s="71" t="s">
        <v>454</v>
      </c>
      <c r="K2633" s="43"/>
      <c r="L2633" s="71" t="s">
        <v>107</v>
      </c>
      <c r="M2633" s="73">
        <v>10</v>
      </c>
      <c r="N2633" s="71" t="s">
        <v>388</v>
      </c>
      <c r="O2633" s="73">
        <v>0.064</v>
      </c>
      <c r="P2633" s="71" t="s">
        <v>389</v>
      </c>
      <c r="Q2633" s="73">
        <v>11</v>
      </c>
      <c r="R2633" s="71" t="s">
        <v>388</v>
      </c>
      <c r="S2633" s="73">
        <v>0</v>
      </c>
      <c r="T2633" s="71" t="s">
        <v>390</v>
      </c>
      <c r="U2633" s="74">
        <v>1</v>
      </c>
      <c r="V2633" s="71" t="s">
        <v>391</v>
      </c>
      <c r="W2633" s="130">
        <v>46083.63422453704</v>
      </c>
      <c r="X2633" s="72">
        <v>46082.690972222219</v>
      </c>
      <c r="Y2633" s="72">
        <v>46097.25</v>
      </c>
      <c r="Z2633" s="104" t="s">
        <v>382</v>
      </c>
      <c r="AA2633" s="104" t="s">
        <v>383</v>
      </c>
      <c r="AB2633" s="105">
        <v>46091.292361111111</v>
      </c>
      <c r="AC2633" s="105">
        <v>46091.435416666667</v>
      </c>
    </row>
    <row r="2634" s="70" customFormat="1" ht="11.25" customHeight="1">
      <c r="A2634" s="87"/>
      <c r="C2634" s="43" t="s">
        <v>4422</v>
      </c>
      <c r="D2634" s="71" t="s">
        <v>382</v>
      </c>
      <c r="E2634" s="71" t="str">
        <f>MID(D2634,1,2)</f>
        <v>IL</v>
      </c>
      <c r="F2634" s="71" t="s">
        <v>689</v>
      </c>
      <c r="G2634" s="71" t="str">
        <f>MID(F2634,1,2)</f>
        <v>MA</v>
      </c>
      <c r="H2634" s="43" t="s">
        <v>4423</v>
      </c>
      <c r="I2634" s="71" t="s">
        <v>4424</v>
      </c>
      <c r="J2634" s="71" t="s">
        <v>426</v>
      </c>
      <c r="K2634" s="43"/>
      <c r="L2634" s="71" t="s">
        <v>105</v>
      </c>
      <c r="M2634" s="73">
        <v>115</v>
      </c>
      <c r="N2634" s="71" t="s">
        <v>388</v>
      </c>
      <c r="O2634" s="73">
        <v>0.758</v>
      </c>
      <c r="P2634" s="71" t="s">
        <v>389</v>
      </c>
      <c r="Q2634" s="73">
        <v>126.5</v>
      </c>
      <c r="R2634" s="71" t="s">
        <v>388</v>
      </c>
      <c r="S2634" s="73">
        <v>0</v>
      </c>
      <c r="T2634" s="71" t="s">
        <v>390</v>
      </c>
      <c r="U2634" s="74">
        <v>1</v>
      </c>
      <c r="V2634" s="71" t="s">
        <v>391</v>
      </c>
      <c r="W2634" s="130">
        <v>46080.323240740741</v>
      </c>
      <c r="X2634" s="72">
        <v>46081.041666666664</v>
      </c>
      <c r="Y2634" s="72">
        <v>46082.021527777775</v>
      </c>
      <c r="Z2634" s="104" t="s">
        <v>382</v>
      </c>
      <c r="AA2634" s="104" t="s">
        <v>383</v>
      </c>
      <c r="AB2634" s="105">
        <v>46081.032638888886</v>
      </c>
      <c r="AC2634" s="105">
        <v>46081.225694444445</v>
      </c>
    </row>
    <row r="2635" s="70" customFormat="1" ht="11.25" customHeight="1">
      <c r="A2635" s="87"/>
      <c r="C2635" s="43" t="s">
        <v>4422</v>
      </c>
      <c r="D2635" s="71" t="s">
        <v>382</v>
      </c>
      <c r="E2635" s="71" t="str">
        <f>MID(D2635,1,2)</f>
        <v>IL</v>
      </c>
      <c r="F2635" s="71" t="s">
        <v>689</v>
      </c>
      <c r="G2635" s="71" t="str">
        <f>MID(F2635,1,2)</f>
        <v>MA</v>
      </c>
      <c r="H2635" s="43" t="s">
        <v>4423</v>
      </c>
      <c r="I2635" s="71" t="s">
        <v>4424</v>
      </c>
      <c r="J2635" s="71" t="s">
        <v>426</v>
      </c>
      <c r="K2635" s="43"/>
      <c r="L2635" s="71" t="s">
        <v>105</v>
      </c>
      <c r="M2635" s="73">
        <v>115</v>
      </c>
      <c r="N2635" s="71" t="s">
        <v>388</v>
      </c>
      <c r="O2635" s="73">
        <v>0.758</v>
      </c>
      <c r="P2635" s="71" t="s">
        <v>389</v>
      </c>
      <c r="Q2635" s="73">
        <v>126.5</v>
      </c>
      <c r="R2635" s="71" t="s">
        <v>388</v>
      </c>
      <c r="S2635" s="73">
        <v>0</v>
      </c>
      <c r="T2635" s="71" t="s">
        <v>390</v>
      </c>
      <c r="U2635" s="74">
        <v>1</v>
      </c>
      <c r="V2635" s="71" t="s">
        <v>391</v>
      </c>
      <c r="W2635" s="130">
        <v>46080.323240740741</v>
      </c>
      <c r="X2635" s="72">
        <v>46081.041666666664</v>
      </c>
      <c r="Y2635" s="72">
        <v>46082.021527777775</v>
      </c>
      <c r="Z2635" s="104" t="s">
        <v>383</v>
      </c>
      <c r="AA2635" s="104" t="s">
        <v>689</v>
      </c>
      <c r="AB2635" s="105">
        <v>46081.917361111111</v>
      </c>
      <c r="AC2635" s="105">
        <v>46082.013888888891</v>
      </c>
    </row>
    <row r="2636" s="70" customFormat="1" ht="11.25" customHeight="1">
      <c r="A2636" s="87"/>
      <c r="C2636" s="43" t="s">
        <v>4425</v>
      </c>
      <c r="D2636" s="71" t="s">
        <v>382</v>
      </c>
      <c r="E2636" s="71" t="str">
        <f>MID(D2636,1,2)</f>
        <v>IL</v>
      </c>
      <c r="F2636" s="71" t="s">
        <v>414</v>
      </c>
      <c r="G2636" s="71" t="str">
        <f>MID(F2636,1,2)</f>
        <v>US</v>
      </c>
      <c r="H2636" s="43" t="s">
        <v>4163</v>
      </c>
      <c r="I2636" s="71" t="s">
        <v>4426</v>
      </c>
      <c r="J2636" s="71" t="s">
        <v>426</v>
      </c>
      <c r="K2636" s="43"/>
      <c r="L2636" s="71" t="s">
        <v>105</v>
      </c>
      <c r="M2636" s="73">
        <v>81</v>
      </c>
      <c r="N2636" s="71" t="s">
        <v>388</v>
      </c>
      <c r="O2636" s="73">
        <v>0.478</v>
      </c>
      <c r="P2636" s="71" t="s">
        <v>389</v>
      </c>
      <c r="Q2636" s="73">
        <v>100</v>
      </c>
      <c r="R2636" s="71" t="s">
        <v>388</v>
      </c>
      <c r="S2636" s="73">
        <v>0</v>
      </c>
      <c r="T2636" s="71" t="s">
        <v>390</v>
      </c>
      <c r="U2636" s="74">
        <v>1</v>
      </c>
      <c r="V2636" s="71" t="s">
        <v>391</v>
      </c>
      <c r="W2636" s="130">
        <v>46079.709027777775</v>
      </c>
      <c r="X2636" s="72">
        <v>46082.03125</v>
      </c>
      <c r="Y2636" s="72">
        <v>46085.177083333336</v>
      </c>
      <c r="Z2636" s="104" t="s">
        <v>382</v>
      </c>
      <c r="AA2636" s="104" t="s">
        <v>414</v>
      </c>
      <c r="AB2636" s="105">
        <v>46085.021527777775</v>
      </c>
      <c r="AC2636" s="105">
        <v>46085.20416666667</v>
      </c>
    </row>
    <row r="2637" s="70" customFormat="1" ht="11.25" customHeight="1">
      <c r="A2637" s="87"/>
      <c r="C2637" s="43" t="s">
        <v>4427</v>
      </c>
      <c r="D2637" s="71" t="s">
        <v>382</v>
      </c>
      <c r="E2637" s="71" t="str">
        <f>MID(D2637,1,2)</f>
        <v>IL</v>
      </c>
      <c r="F2637" s="71" t="s">
        <v>414</v>
      </c>
      <c r="G2637" s="71" t="str">
        <f>MID(F2637,1,2)</f>
        <v>US</v>
      </c>
      <c r="H2637" s="43" t="s">
        <v>4163</v>
      </c>
      <c r="I2637" s="71" t="s">
        <v>4428</v>
      </c>
      <c r="J2637" s="71" t="s">
        <v>386</v>
      </c>
      <c r="K2637" s="43" t="s">
        <v>431</v>
      </c>
      <c r="L2637" s="71" t="s">
        <v>107</v>
      </c>
      <c r="M2637" s="73">
        <v>5</v>
      </c>
      <c r="N2637" s="71" t="s">
        <v>388</v>
      </c>
      <c r="O2637" s="73">
        <v>0.15</v>
      </c>
      <c r="P2637" s="71" t="s">
        <v>389</v>
      </c>
      <c r="Q2637" s="73">
        <v>25</v>
      </c>
      <c r="R2637" s="71" t="s">
        <v>388</v>
      </c>
      <c r="S2637" s="73">
        <v>0</v>
      </c>
      <c r="T2637" s="71" t="s">
        <v>390</v>
      </c>
      <c r="U2637" s="74">
        <v>1</v>
      </c>
      <c r="V2637" s="71" t="s">
        <v>427</v>
      </c>
      <c r="W2637" s="130">
        <v>46080.079398148147</v>
      </c>
      <c r="X2637" s="72">
        <v>46084.916666666664</v>
      </c>
      <c r="Y2637" s="72">
        <v>46085.114583333336</v>
      </c>
      <c r="Z2637" s="104" t="s">
        <v>382</v>
      </c>
      <c r="AA2637" s="104" t="s">
        <v>414</v>
      </c>
      <c r="AB2637" s="105">
        <v>46085.021527777775</v>
      </c>
      <c r="AC2637" s="105">
        <v>46085.20416666667</v>
      </c>
    </row>
    <row r="2638" s="70" customFormat="1" ht="11.25" customHeight="1">
      <c r="A2638" s="87"/>
      <c r="C2638" s="43" t="s">
        <v>4429</v>
      </c>
      <c r="D2638" s="71" t="s">
        <v>382</v>
      </c>
      <c r="E2638" s="71" t="str">
        <f>MID(D2638,1,2)</f>
        <v>IL</v>
      </c>
      <c r="F2638" s="71" t="s">
        <v>1169</v>
      </c>
      <c r="G2638" s="71" t="str">
        <f>MID(F2638,1,2)</f>
        <v>HU</v>
      </c>
      <c r="H2638" s="43" t="s">
        <v>4430</v>
      </c>
      <c r="I2638" s="71"/>
      <c r="J2638" s="71" t="s">
        <v>435</v>
      </c>
      <c r="K2638" s="43"/>
      <c r="L2638" s="71" t="s">
        <v>105</v>
      </c>
      <c r="M2638" s="73">
        <v>50</v>
      </c>
      <c r="N2638" s="71" t="s">
        <v>388</v>
      </c>
      <c r="O2638" s="73">
        <v>0.024</v>
      </c>
      <c r="P2638" s="71" t="s">
        <v>389</v>
      </c>
      <c r="Q2638" s="73">
        <v>50</v>
      </c>
      <c r="R2638" s="71" t="s">
        <v>388</v>
      </c>
      <c r="S2638" s="73">
        <v>0</v>
      </c>
      <c r="T2638" s="71" t="s">
        <v>390</v>
      </c>
      <c r="U2638" s="74">
        <v>1</v>
      </c>
      <c r="V2638" s="71" t="s">
        <v>391</v>
      </c>
      <c r="W2638" s="130"/>
      <c r="X2638" s="72">
        <v>46086.690972222219</v>
      </c>
      <c r="Y2638" s="72">
        <v>46126.479166666664</v>
      </c>
      <c r="Z2638" s="104" t="s">
        <v>382</v>
      </c>
      <c r="AA2638" s="104" t="s">
        <v>383</v>
      </c>
      <c r="AB2638" s="105"/>
      <c r="AC2638" s="105"/>
    </row>
    <row r="2639" s="70" customFormat="1" ht="11.25" customHeight="1">
      <c r="A2639" s="87"/>
      <c r="C2639" s="43" t="s">
        <v>4429</v>
      </c>
      <c r="D2639" s="71" t="s">
        <v>382</v>
      </c>
      <c r="E2639" s="71" t="str">
        <f>MID(D2639,1,2)</f>
        <v>IL</v>
      </c>
      <c r="F2639" s="71" t="s">
        <v>1169</v>
      </c>
      <c r="G2639" s="71" t="str">
        <f>MID(F2639,1,2)</f>
        <v>HU</v>
      </c>
      <c r="H2639" s="43" t="s">
        <v>4430</v>
      </c>
      <c r="I2639" s="71"/>
      <c r="J2639" s="71" t="s">
        <v>435</v>
      </c>
      <c r="K2639" s="43"/>
      <c r="L2639" s="71" t="s">
        <v>105</v>
      </c>
      <c r="M2639" s="73">
        <v>50</v>
      </c>
      <c r="N2639" s="71" t="s">
        <v>388</v>
      </c>
      <c r="O2639" s="73">
        <v>0.024</v>
      </c>
      <c r="P2639" s="71" t="s">
        <v>389</v>
      </c>
      <c r="Q2639" s="73">
        <v>50</v>
      </c>
      <c r="R2639" s="71" t="s">
        <v>388</v>
      </c>
      <c r="S2639" s="73">
        <v>0</v>
      </c>
      <c r="T2639" s="71" t="s">
        <v>390</v>
      </c>
      <c r="U2639" s="74">
        <v>1</v>
      </c>
      <c r="V2639" s="71" t="s">
        <v>391</v>
      </c>
      <c r="W2639" s="130"/>
      <c r="X2639" s="72">
        <v>46086.690972222219</v>
      </c>
      <c r="Y2639" s="72">
        <v>46126.479166666664</v>
      </c>
      <c r="Z2639" s="104" t="s">
        <v>383</v>
      </c>
      <c r="AA2639" s="104" t="s">
        <v>1169</v>
      </c>
      <c r="AB2639" s="105"/>
      <c r="AC2639" s="105"/>
    </row>
    <row r="2640" s="70" customFormat="1" ht="11.25" customHeight="1">
      <c r="A2640" s="87"/>
      <c r="C2640" s="43" t="s">
        <v>4431</v>
      </c>
      <c r="D2640" s="71" t="s">
        <v>382</v>
      </c>
      <c r="E2640" s="71" t="str">
        <f>MID(D2640,1,2)</f>
        <v>IL</v>
      </c>
      <c r="F2640" s="71" t="s">
        <v>1169</v>
      </c>
      <c r="G2640" s="71" t="str">
        <f>MID(F2640,1,2)</f>
        <v>HU</v>
      </c>
      <c r="H2640" s="43" t="s">
        <v>4432</v>
      </c>
      <c r="I2640" s="71"/>
      <c r="J2640" s="71" t="s">
        <v>435</v>
      </c>
      <c r="K2640" s="43"/>
      <c r="L2640" s="71" t="s">
        <v>105</v>
      </c>
      <c r="M2640" s="73">
        <v>50</v>
      </c>
      <c r="N2640" s="71" t="s">
        <v>388</v>
      </c>
      <c r="O2640" s="73">
        <v>0.084</v>
      </c>
      <c r="P2640" s="71" t="s">
        <v>389</v>
      </c>
      <c r="Q2640" s="73">
        <v>50</v>
      </c>
      <c r="R2640" s="71" t="s">
        <v>388</v>
      </c>
      <c r="S2640" s="73">
        <v>0</v>
      </c>
      <c r="T2640" s="71" t="s">
        <v>390</v>
      </c>
      <c r="U2640" s="74">
        <v>1</v>
      </c>
      <c r="V2640" s="71" t="s">
        <v>391</v>
      </c>
      <c r="W2640" s="130"/>
      <c r="X2640" s="72">
        <v>46085.690972222219</v>
      </c>
      <c r="Y2640" s="72">
        <v>46125.388888888891</v>
      </c>
      <c r="Z2640" s="104" t="s">
        <v>382</v>
      </c>
      <c r="AA2640" s="104" t="s">
        <v>383</v>
      </c>
      <c r="AB2640" s="105"/>
      <c r="AC2640" s="105"/>
    </row>
    <row r="2641" s="70" customFormat="1" ht="11.25" customHeight="1">
      <c r="A2641" s="87"/>
      <c r="C2641" s="43" t="s">
        <v>4431</v>
      </c>
      <c r="D2641" s="71" t="s">
        <v>382</v>
      </c>
      <c r="E2641" s="71" t="str">
        <f>MID(D2641,1,2)</f>
        <v>IL</v>
      </c>
      <c r="F2641" s="71" t="s">
        <v>1169</v>
      </c>
      <c r="G2641" s="71" t="str">
        <f>MID(F2641,1,2)</f>
        <v>HU</v>
      </c>
      <c r="H2641" s="43" t="s">
        <v>4432</v>
      </c>
      <c r="I2641" s="71"/>
      <c r="J2641" s="71" t="s">
        <v>435</v>
      </c>
      <c r="K2641" s="43"/>
      <c r="L2641" s="71" t="s">
        <v>105</v>
      </c>
      <c r="M2641" s="73">
        <v>50</v>
      </c>
      <c r="N2641" s="71" t="s">
        <v>388</v>
      </c>
      <c r="O2641" s="73">
        <v>0.084</v>
      </c>
      <c r="P2641" s="71" t="s">
        <v>389</v>
      </c>
      <c r="Q2641" s="73">
        <v>50</v>
      </c>
      <c r="R2641" s="71" t="s">
        <v>388</v>
      </c>
      <c r="S2641" s="73">
        <v>0</v>
      </c>
      <c r="T2641" s="71" t="s">
        <v>390</v>
      </c>
      <c r="U2641" s="74">
        <v>1</v>
      </c>
      <c r="V2641" s="71" t="s">
        <v>391</v>
      </c>
      <c r="W2641" s="130"/>
      <c r="X2641" s="72">
        <v>46085.690972222219</v>
      </c>
      <c r="Y2641" s="72">
        <v>46125.388888888891</v>
      </c>
      <c r="Z2641" s="104" t="s">
        <v>383</v>
      </c>
      <c r="AA2641" s="104" t="s">
        <v>1169</v>
      </c>
      <c r="AB2641" s="105"/>
      <c r="AC2641" s="105"/>
    </row>
    <row r="2642" s="70" customFormat="1" ht="11.25" customHeight="1">
      <c r="A2642" s="87"/>
      <c r="C2642" s="43" t="s">
        <v>4433</v>
      </c>
      <c r="D2642" s="71" t="s">
        <v>382</v>
      </c>
      <c r="E2642" s="71" t="str">
        <f>MID(D2642,1,2)</f>
        <v>IL</v>
      </c>
      <c r="F2642" s="71" t="s">
        <v>414</v>
      </c>
      <c r="G2642" s="71" t="str">
        <f>MID(F2642,1,2)</f>
        <v>US</v>
      </c>
      <c r="H2642" s="43" t="s">
        <v>4163</v>
      </c>
      <c r="I2642" s="71" t="s">
        <v>4434</v>
      </c>
      <c r="J2642" s="71" t="s">
        <v>426</v>
      </c>
      <c r="K2642" s="43"/>
      <c r="L2642" s="71" t="s">
        <v>105</v>
      </c>
      <c r="M2642" s="73">
        <v>255</v>
      </c>
      <c r="N2642" s="71" t="s">
        <v>388</v>
      </c>
      <c r="O2642" s="73">
        <v>1.158</v>
      </c>
      <c r="P2642" s="71" t="s">
        <v>389</v>
      </c>
      <c r="Q2642" s="73">
        <v>255</v>
      </c>
      <c r="R2642" s="71" t="s">
        <v>388</v>
      </c>
      <c r="S2642" s="73">
        <v>0</v>
      </c>
      <c r="T2642" s="71" t="s">
        <v>390</v>
      </c>
      <c r="U2642" s="74">
        <v>1</v>
      </c>
      <c r="V2642" s="71" t="s">
        <v>391</v>
      </c>
      <c r="W2642" s="130">
        <v>46079.777777777781</v>
      </c>
      <c r="X2642" s="72">
        <v>46082.03125</v>
      </c>
      <c r="Y2642" s="72">
        <v>46085.177083333336</v>
      </c>
      <c r="Z2642" s="104" t="s">
        <v>382</v>
      </c>
      <c r="AA2642" s="104" t="s">
        <v>414</v>
      </c>
      <c r="AB2642" s="105">
        <v>46085.021527777775</v>
      </c>
      <c r="AC2642" s="105">
        <v>46085.20416666667</v>
      </c>
    </row>
    <row r="2643" s="70" customFormat="1" ht="11.25" customHeight="1">
      <c r="A2643" s="87"/>
      <c r="C2643" s="43" t="s">
        <v>4435</v>
      </c>
      <c r="D2643" s="71" t="s">
        <v>382</v>
      </c>
      <c r="E2643" s="71" t="str">
        <f>MID(D2643,1,2)</f>
        <v>IL</v>
      </c>
      <c r="F2643" s="71" t="s">
        <v>414</v>
      </c>
      <c r="G2643" s="71" t="str">
        <f>MID(F2643,1,2)</f>
        <v>US</v>
      </c>
      <c r="H2643" s="43" t="s">
        <v>2791</v>
      </c>
      <c r="I2643" s="71" t="s">
        <v>4436</v>
      </c>
      <c r="J2643" s="71" t="s">
        <v>386</v>
      </c>
      <c r="K2643" s="43"/>
      <c r="L2643" s="71" t="s">
        <v>107</v>
      </c>
      <c r="M2643" s="73">
        <v>163</v>
      </c>
      <c r="N2643" s="71" t="s">
        <v>388</v>
      </c>
      <c r="O2643" s="73">
        <v>1.414</v>
      </c>
      <c r="P2643" s="71" t="s">
        <v>389</v>
      </c>
      <c r="Q2643" s="73">
        <v>236</v>
      </c>
      <c r="R2643" s="71" t="s">
        <v>388</v>
      </c>
      <c r="S2643" s="73">
        <v>0</v>
      </c>
      <c r="T2643" s="71" t="s">
        <v>390</v>
      </c>
      <c r="U2643" s="74">
        <v>1</v>
      </c>
      <c r="V2643" s="71" t="s">
        <v>446</v>
      </c>
      <c r="W2643" s="130">
        <v>46086.680555555555</v>
      </c>
      <c r="X2643" s="72">
        <v>46091.229166666664</v>
      </c>
      <c r="Y2643" s="72">
        <v>46096.291666666664</v>
      </c>
      <c r="Z2643" s="104" t="s">
        <v>382</v>
      </c>
      <c r="AA2643" s="104" t="s">
        <v>414</v>
      </c>
      <c r="AB2643" s="105">
        <v>46091.945833333331</v>
      </c>
      <c r="AC2643" s="105">
        <v>46092.136111111111</v>
      </c>
    </row>
    <row r="2644" s="70" customFormat="1" ht="11.25" customHeight="1">
      <c r="A2644" s="87"/>
      <c r="C2644" s="43" t="s">
        <v>4437</v>
      </c>
      <c r="D2644" s="71" t="s">
        <v>382</v>
      </c>
      <c r="E2644" s="71" t="str">
        <f>MID(D2644,1,2)</f>
        <v>IL</v>
      </c>
      <c r="F2644" s="71" t="s">
        <v>414</v>
      </c>
      <c r="G2644" s="71" t="str">
        <f>MID(F2644,1,2)</f>
        <v>US</v>
      </c>
      <c r="H2644" s="43" t="s">
        <v>4414</v>
      </c>
      <c r="I2644" s="71" t="s">
        <v>4438</v>
      </c>
      <c r="J2644" s="71" t="s">
        <v>386</v>
      </c>
      <c r="K2644" s="43" t="s">
        <v>759</v>
      </c>
      <c r="L2644" s="71" t="s">
        <v>107</v>
      </c>
      <c r="M2644" s="73">
        <v>4</v>
      </c>
      <c r="N2644" s="71" t="s">
        <v>388</v>
      </c>
      <c r="O2644" s="73">
        <v>0.051</v>
      </c>
      <c r="P2644" s="71" t="s">
        <v>389</v>
      </c>
      <c r="Q2644" s="73">
        <v>8.5</v>
      </c>
      <c r="R2644" s="71" t="s">
        <v>388</v>
      </c>
      <c r="S2644" s="73">
        <v>0</v>
      </c>
      <c r="T2644" s="71" t="s">
        <v>390</v>
      </c>
      <c r="U2644" s="74">
        <v>1</v>
      </c>
      <c r="V2644" s="71" t="s">
        <v>427</v>
      </c>
      <c r="W2644" s="130">
        <v>46082.49375</v>
      </c>
      <c r="X2644" s="72">
        <v>46088.25</v>
      </c>
      <c r="Y2644" s="72">
        <v>46092.197916666664</v>
      </c>
      <c r="Z2644" s="104" t="s">
        <v>382</v>
      </c>
      <c r="AA2644" s="104" t="s">
        <v>414</v>
      </c>
      <c r="AB2644" s="105">
        <v>46088.38958333333</v>
      </c>
      <c r="AC2644" s="105">
        <v>46092.333333333336</v>
      </c>
    </row>
    <row r="2645" s="70" customFormat="1" ht="11.25" customHeight="1">
      <c r="A2645" s="87"/>
      <c r="C2645" s="43" t="s">
        <v>4439</v>
      </c>
      <c r="D2645" s="71" t="s">
        <v>382</v>
      </c>
      <c r="E2645" s="71" t="str">
        <f>MID(D2645,1,2)</f>
        <v>IL</v>
      </c>
      <c r="F2645" s="71" t="s">
        <v>476</v>
      </c>
      <c r="G2645" s="71" t="str">
        <f>MID(F2645,1,2)</f>
        <v>SG</v>
      </c>
      <c r="H2645" s="43" t="s">
        <v>4002</v>
      </c>
      <c r="I2645" s="71" t="s">
        <v>4440</v>
      </c>
      <c r="J2645" s="71" t="s">
        <v>755</v>
      </c>
      <c r="K2645" s="43"/>
      <c r="L2645" s="71" t="s">
        <v>105</v>
      </c>
      <c r="M2645" s="73">
        <v>80</v>
      </c>
      <c r="N2645" s="71" t="s">
        <v>388</v>
      </c>
      <c r="O2645" s="73">
        <v>0.755</v>
      </c>
      <c r="P2645" s="71" t="s">
        <v>389</v>
      </c>
      <c r="Q2645" s="73">
        <v>126</v>
      </c>
      <c r="R2645" s="71" t="s">
        <v>388</v>
      </c>
      <c r="S2645" s="73">
        <v>0</v>
      </c>
      <c r="T2645" s="71" t="s">
        <v>390</v>
      </c>
      <c r="U2645" s="74">
        <v>1</v>
      </c>
      <c r="V2645" s="71" t="s">
        <v>391</v>
      </c>
      <c r="W2645" s="130">
        <v>46084.752870370372</v>
      </c>
      <c r="X2645" s="72">
        <v>46087.25</v>
      </c>
      <c r="Y2645" s="72">
        <v>46102.715277777781</v>
      </c>
      <c r="Z2645" s="104" t="s">
        <v>383</v>
      </c>
      <c r="AA2645" s="104" t="s">
        <v>476</v>
      </c>
      <c r="AB2645" s="105">
        <v>46101.932638888888</v>
      </c>
      <c r="AC2645" s="105">
        <v>46102.724305555559</v>
      </c>
    </row>
    <row r="2646" s="70" customFormat="1" ht="11.25" customHeight="1">
      <c r="A2646" s="87"/>
      <c r="C2646" s="43" t="s">
        <v>4439</v>
      </c>
      <c r="D2646" s="71" t="s">
        <v>382</v>
      </c>
      <c r="E2646" s="71" t="str">
        <f>MID(D2646,1,2)</f>
        <v>IL</v>
      </c>
      <c r="F2646" s="71" t="s">
        <v>476</v>
      </c>
      <c r="G2646" s="71" t="str">
        <f>MID(F2646,1,2)</f>
        <v>SG</v>
      </c>
      <c r="H2646" s="43" t="s">
        <v>4002</v>
      </c>
      <c r="I2646" s="71" t="s">
        <v>4440</v>
      </c>
      <c r="J2646" s="71" t="s">
        <v>755</v>
      </c>
      <c r="K2646" s="43"/>
      <c r="L2646" s="71" t="s">
        <v>105</v>
      </c>
      <c r="M2646" s="73">
        <v>80</v>
      </c>
      <c r="N2646" s="71" t="s">
        <v>388</v>
      </c>
      <c r="O2646" s="73">
        <v>0.755</v>
      </c>
      <c r="P2646" s="71" t="s">
        <v>389</v>
      </c>
      <c r="Q2646" s="73">
        <v>126</v>
      </c>
      <c r="R2646" s="71" t="s">
        <v>388</v>
      </c>
      <c r="S2646" s="73">
        <v>0</v>
      </c>
      <c r="T2646" s="71" t="s">
        <v>390</v>
      </c>
      <c r="U2646" s="74">
        <v>1</v>
      </c>
      <c r="V2646" s="71" t="s">
        <v>391</v>
      </c>
      <c r="W2646" s="130">
        <v>46084.752870370372</v>
      </c>
      <c r="X2646" s="72">
        <v>46087.25</v>
      </c>
      <c r="Y2646" s="72">
        <v>46102.715277777781</v>
      </c>
      <c r="Z2646" s="104" t="s">
        <v>382</v>
      </c>
      <c r="AA2646" s="104" t="s">
        <v>466</v>
      </c>
      <c r="AB2646" s="105">
        <v>46088.06875</v>
      </c>
      <c r="AC2646" s="105">
        <v>46088.195833333331</v>
      </c>
    </row>
    <row r="2647" s="70" customFormat="1" ht="11.25" customHeight="1">
      <c r="A2647" s="87"/>
      <c r="C2647" s="43" t="s">
        <v>4439</v>
      </c>
      <c r="D2647" s="71" t="s">
        <v>382</v>
      </c>
      <c r="E2647" s="71" t="str">
        <f>MID(D2647,1,2)</f>
        <v>IL</v>
      </c>
      <c r="F2647" s="71" t="s">
        <v>476</v>
      </c>
      <c r="G2647" s="71" t="str">
        <f>MID(F2647,1,2)</f>
        <v>SG</v>
      </c>
      <c r="H2647" s="43" t="s">
        <v>4002</v>
      </c>
      <c r="I2647" s="71" t="s">
        <v>4440</v>
      </c>
      <c r="J2647" s="71" t="s">
        <v>755</v>
      </c>
      <c r="K2647" s="43"/>
      <c r="L2647" s="71" t="s">
        <v>105</v>
      </c>
      <c r="M2647" s="73">
        <v>80</v>
      </c>
      <c r="N2647" s="71" t="s">
        <v>388</v>
      </c>
      <c r="O2647" s="73">
        <v>0.755</v>
      </c>
      <c r="P2647" s="71" t="s">
        <v>389</v>
      </c>
      <c r="Q2647" s="73">
        <v>126</v>
      </c>
      <c r="R2647" s="71" t="s">
        <v>388</v>
      </c>
      <c r="S2647" s="73">
        <v>0</v>
      </c>
      <c r="T2647" s="71" t="s">
        <v>390</v>
      </c>
      <c r="U2647" s="74">
        <v>1</v>
      </c>
      <c r="V2647" s="71" t="s">
        <v>391</v>
      </c>
      <c r="W2647" s="130">
        <v>46084.752870370372</v>
      </c>
      <c r="X2647" s="72">
        <v>46087.25</v>
      </c>
      <c r="Y2647" s="72">
        <v>46102.715277777781</v>
      </c>
      <c r="Z2647" s="104" t="s">
        <v>466</v>
      </c>
      <c r="AA2647" s="104" t="s">
        <v>383</v>
      </c>
      <c r="AB2647" s="105">
        <v>46089.086805555555</v>
      </c>
      <c r="AC2647" s="105">
        <v>46093.676388888889</v>
      </c>
    </row>
    <row r="2648" s="70" customFormat="1" ht="11.25" customHeight="1">
      <c r="A2648" s="87"/>
      <c r="C2648" s="43" t="s">
        <v>4441</v>
      </c>
      <c r="D2648" s="71" t="s">
        <v>382</v>
      </c>
      <c r="E2648" s="71" t="str">
        <f>MID(D2648,1,2)</f>
        <v>IL</v>
      </c>
      <c r="F2648" s="71" t="s">
        <v>476</v>
      </c>
      <c r="G2648" s="71" t="str">
        <f>MID(F2648,1,2)</f>
        <v>SG</v>
      </c>
      <c r="H2648" s="43" t="s">
        <v>4002</v>
      </c>
      <c r="I2648" s="71" t="s">
        <v>4442</v>
      </c>
      <c r="J2648" s="71" t="s">
        <v>755</v>
      </c>
      <c r="K2648" s="43"/>
      <c r="L2648" s="71" t="s">
        <v>105</v>
      </c>
      <c r="M2648" s="73">
        <v>105</v>
      </c>
      <c r="N2648" s="71" t="s">
        <v>388</v>
      </c>
      <c r="O2648" s="73">
        <v>1.246</v>
      </c>
      <c r="P2648" s="71" t="s">
        <v>389</v>
      </c>
      <c r="Q2648" s="73">
        <v>208</v>
      </c>
      <c r="R2648" s="71" t="s">
        <v>388</v>
      </c>
      <c r="S2648" s="73">
        <v>0</v>
      </c>
      <c r="T2648" s="71" t="s">
        <v>390</v>
      </c>
      <c r="U2648" s="74">
        <v>1</v>
      </c>
      <c r="V2648" s="71" t="s">
        <v>391</v>
      </c>
      <c r="W2648" s="130">
        <v>46084.66875</v>
      </c>
      <c r="X2648" s="72">
        <v>46087.25</v>
      </c>
      <c r="Y2648" s="72">
        <v>46102.715277777781</v>
      </c>
      <c r="Z2648" s="104" t="s">
        <v>383</v>
      </c>
      <c r="AA2648" s="104" t="s">
        <v>476</v>
      </c>
      <c r="AB2648" s="105">
        <v>46101.932638888888</v>
      </c>
      <c r="AC2648" s="105">
        <v>46102.724305555559</v>
      </c>
    </row>
    <row r="2649" s="70" customFormat="1" ht="11.25" customHeight="1">
      <c r="A2649" s="87"/>
      <c r="C2649" s="43" t="s">
        <v>4441</v>
      </c>
      <c r="D2649" s="71" t="s">
        <v>382</v>
      </c>
      <c r="E2649" s="71" t="str">
        <f>MID(D2649,1,2)</f>
        <v>IL</v>
      </c>
      <c r="F2649" s="71" t="s">
        <v>476</v>
      </c>
      <c r="G2649" s="71" t="str">
        <f>MID(F2649,1,2)</f>
        <v>SG</v>
      </c>
      <c r="H2649" s="43" t="s">
        <v>4002</v>
      </c>
      <c r="I2649" s="71" t="s">
        <v>4442</v>
      </c>
      <c r="J2649" s="71" t="s">
        <v>755</v>
      </c>
      <c r="K2649" s="43"/>
      <c r="L2649" s="71" t="s">
        <v>105</v>
      </c>
      <c r="M2649" s="73">
        <v>105</v>
      </c>
      <c r="N2649" s="71" t="s">
        <v>388</v>
      </c>
      <c r="O2649" s="73">
        <v>1.246</v>
      </c>
      <c r="P2649" s="71" t="s">
        <v>389</v>
      </c>
      <c r="Q2649" s="73">
        <v>208</v>
      </c>
      <c r="R2649" s="71" t="s">
        <v>388</v>
      </c>
      <c r="S2649" s="73">
        <v>0</v>
      </c>
      <c r="T2649" s="71" t="s">
        <v>390</v>
      </c>
      <c r="U2649" s="74">
        <v>1</v>
      </c>
      <c r="V2649" s="71" t="s">
        <v>391</v>
      </c>
      <c r="W2649" s="130">
        <v>46084.66875</v>
      </c>
      <c r="X2649" s="72">
        <v>46087.25</v>
      </c>
      <c r="Y2649" s="72">
        <v>46102.715277777781</v>
      </c>
      <c r="Z2649" s="104" t="s">
        <v>382</v>
      </c>
      <c r="AA2649" s="104" t="s">
        <v>466</v>
      </c>
      <c r="AB2649" s="105">
        <v>46088.06875</v>
      </c>
      <c r="AC2649" s="105">
        <v>46088.195833333331</v>
      </c>
    </row>
    <row r="2650" s="70" customFormat="1" ht="11.25" customHeight="1">
      <c r="A2650" s="87"/>
      <c r="C2650" s="43" t="s">
        <v>4441</v>
      </c>
      <c r="D2650" s="71" t="s">
        <v>382</v>
      </c>
      <c r="E2650" s="71" t="str">
        <f>MID(D2650,1,2)</f>
        <v>IL</v>
      </c>
      <c r="F2650" s="71" t="s">
        <v>476</v>
      </c>
      <c r="G2650" s="71" t="str">
        <f>MID(F2650,1,2)</f>
        <v>SG</v>
      </c>
      <c r="H2650" s="43" t="s">
        <v>4002</v>
      </c>
      <c r="I2650" s="71" t="s">
        <v>4442</v>
      </c>
      <c r="J2650" s="71" t="s">
        <v>755</v>
      </c>
      <c r="K2650" s="43"/>
      <c r="L2650" s="71" t="s">
        <v>105</v>
      </c>
      <c r="M2650" s="73">
        <v>105</v>
      </c>
      <c r="N2650" s="71" t="s">
        <v>388</v>
      </c>
      <c r="O2650" s="73">
        <v>1.246</v>
      </c>
      <c r="P2650" s="71" t="s">
        <v>389</v>
      </c>
      <c r="Q2650" s="73">
        <v>208</v>
      </c>
      <c r="R2650" s="71" t="s">
        <v>388</v>
      </c>
      <c r="S2650" s="73">
        <v>0</v>
      </c>
      <c r="T2650" s="71" t="s">
        <v>390</v>
      </c>
      <c r="U2650" s="74">
        <v>1</v>
      </c>
      <c r="V2650" s="71" t="s">
        <v>391</v>
      </c>
      <c r="W2650" s="130">
        <v>46084.66875</v>
      </c>
      <c r="X2650" s="72">
        <v>46087.25</v>
      </c>
      <c r="Y2650" s="72">
        <v>46102.715277777781</v>
      </c>
      <c r="Z2650" s="104" t="s">
        <v>466</v>
      </c>
      <c r="AA2650" s="104" t="s">
        <v>383</v>
      </c>
      <c r="AB2650" s="105">
        <v>46089.086805555555</v>
      </c>
      <c r="AC2650" s="105">
        <v>46093.676388888889</v>
      </c>
    </row>
    <row r="2651" s="70" customFormat="1" ht="11.25" customHeight="1">
      <c r="A2651" s="87"/>
      <c r="C2651" s="43" t="s">
        <v>4443</v>
      </c>
      <c r="D2651" s="71" t="s">
        <v>382</v>
      </c>
      <c r="E2651" s="71" t="str">
        <f>MID(D2651,1,2)</f>
        <v>IL</v>
      </c>
      <c r="F2651" s="71" t="s">
        <v>963</v>
      </c>
      <c r="G2651" s="71" t="str">
        <f>MID(F2651,1,2)</f>
        <v>IN</v>
      </c>
      <c r="H2651" s="43" t="s">
        <v>4120</v>
      </c>
      <c r="I2651" s="71" t="s">
        <v>4444</v>
      </c>
      <c r="J2651" s="71" t="s">
        <v>426</v>
      </c>
      <c r="K2651" s="43"/>
      <c r="L2651" s="71" t="s">
        <v>105</v>
      </c>
      <c r="M2651" s="73">
        <v>1</v>
      </c>
      <c r="N2651" s="71" t="s">
        <v>388</v>
      </c>
      <c r="O2651" s="73">
        <v>0.007</v>
      </c>
      <c r="P2651" s="71" t="s">
        <v>389</v>
      </c>
      <c r="Q2651" s="73">
        <v>1.5</v>
      </c>
      <c r="R2651" s="71" t="s">
        <v>388</v>
      </c>
      <c r="S2651" s="73">
        <v>0</v>
      </c>
      <c r="T2651" s="71" t="s">
        <v>390</v>
      </c>
      <c r="U2651" s="74">
        <v>1</v>
      </c>
      <c r="V2651" s="71" t="s">
        <v>391</v>
      </c>
      <c r="W2651" s="130">
        <v>46091.381944444445</v>
      </c>
      <c r="X2651" s="72">
        <v>46093.371527777781</v>
      </c>
      <c r="Y2651" s="72">
        <v>46100.666666666664</v>
      </c>
      <c r="Z2651" s="104" t="s">
        <v>382</v>
      </c>
      <c r="AA2651" s="104" t="s">
        <v>402</v>
      </c>
      <c r="AB2651" s="105">
        <v>46093.429166666669</v>
      </c>
      <c r="AC2651" s="105">
        <v>46093.841666666667</v>
      </c>
    </row>
    <row r="2652" s="70" customFormat="1" ht="11.25" customHeight="1">
      <c r="A2652" s="87"/>
      <c r="C2652" s="43" t="s">
        <v>4443</v>
      </c>
      <c r="D2652" s="71" t="s">
        <v>382</v>
      </c>
      <c r="E2652" s="71" t="str">
        <f>MID(D2652,1,2)</f>
        <v>IL</v>
      </c>
      <c r="F2652" s="71" t="s">
        <v>963</v>
      </c>
      <c r="G2652" s="71" t="str">
        <f>MID(F2652,1,2)</f>
        <v>IN</v>
      </c>
      <c r="H2652" s="43" t="s">
        <v>4120</v>
      </c>
      <c r="I2652" s="71" t="s">
        <v>4444</v>
      </c>
      <c r="J2652" s="71" t="s">
        <v>426</v>
      </c>
      <c r="K2652" s="43"/>
      <c r="L2652" s="71" t="s">
        <v>105</v>
      </c>
      <c r="M2652" s="73">
        <v>1</v>
      </c>
      <c r="N2652" s="71" t="s">
        <v>388</v>
      </c>
      <c r="O2652" s="73">
        <v>0.007</v>
      </c>
      <c r="P2652" s="71" t="s">
        <v>389</v>
      </c>
      <c r="Q2652" s="73">
        <v>1.5</v>
      </c>
      <c r="R2652" s="71" t="s">
        <v>388</v>
      </c>
      <c r="S2652" s="73">
        <v>0</v>
      </c>
      <c r="T2652" s="71" t="s">
        <v>390</v>
      </c>
      <c r="U2652" s="74">
        <v>1</v>
      </c>
      <c r="V2652" s="71" t="s">
        <v>391</v>
      </c>
      <c r="W2652" s="130">
        <v>46091.381944444445</v>
      </c>
      <c r="X2652" s="72">
        <v>46093.371527777781</v>
      </c>
      <c r="Y2652" s="72">
        <v>46100.666666666664</v>
      </c>
      <c r="Z2652" s="104" t="s">
        <v>402</v>
      </c>
      <c r="AA2652" s="104" t="s">
        <v>809</v>
      </c>
      <c r="AB2652" s="105">
        <v>46093.888194444444</v>
      </c>
      <c r="AC2652" s="105">
        <v>46093.842361111114</v>
      </c>
    </row>
    <row r="2653" s="70" customFormat="1" ht="11.25" customHeight="1">
      <c r="A2653" s="87"/>
      <c r="C2653" s="43" t="s">
        <v>4443</v>
      </c>
      <c r="D2653" s="71" t="s">
        <v>382</v>
      </c>
      <c r="E2653" s="71" t="str">
        <f>MID(D2653,1,2)</f>
        <v>IL</v>
      </c>
      <c r="F2653" s="71" t="s">
        <v>963</v>
      </c>
      <c r="G2653" s="71" t="str">
        <f>MID(F2653,1,2)</f>
        <v>IN</v>
      </c>
      <c r="H2653" s="43" t="s">
        <v>4120</v>
      </c>
      <c r="I2653" s="71" t="s">
        <v>4444</v>
      </c>
      <c r="J2653" s="71" t="s">
        <v>426</v>
      </c>
      <c r="K2653" s="43"/>
      <c r="L2653" s="71" t="s">
        <v>105</v>
      </c>
      <c r="M2653" s="73">
        <v>1</v>
      </c>
      <c r="N2653" s="71" t="s">
        <v>388</v>
      </c>
      <c r="O2653" s="73">
        <v>0.007</v>
      </c>
      <c r="P2653" s="71" t="s">
        <v>389</v>
      </c>
      <c r="Q2653" s="73">
        <v>1.5</v>
      </c>
      <c r="R2653" s="71" t="s">
        <v>388</v>
      </c>
      <c r="S2653" s="73">
        <v>0</v>
      </c>
      <c r="T2653" s="71" t="s">
        <v>390</v>
      </c>
      <c r="U2653" s="74">
        <v>1</v>
      </c>
      <c r="V2653" s="71" t="s">
        <v>391</v>
      </c>
      <c r="W2653" s="130">
        <v>46091.381944444445</v>
      </c>
      <c r="X2653" s="72">
        <v>46093.371527777781</v>
      </c>
      <c r="Y2653" s="72">
        <v>46100.666666666664</v>
      </c>
      <c r="Z2653" s="104" t="s">
        <v>809</v>
      </c>
      <c r="AA2653" s="104" t="s">
        <v>963</v>
      </c>
      <c r="AB2653" s="105">
        <v>46098.365972222222</v>
      </c>
      <c r="AC2653" s="105">
        <v>46100.365972222222</v>
      </c>
    </row>
    <row r="2654" s="70" customFormat="1" ht="11.25" customHeight="1">
      <c r="A2654" s="87"/>
      <c r="C2654" s="43" t="s">
        <v>4445</v>
      </c>
      <c r="D2654" s="71" t="s">
        <v>382</v>
      </c>
      <c r="E2654" s="71" t="str">
        <f>MID(D2654,1,2)</f>
        <v>IL</v>
      </c>
      <c r="F2654" s="71" t="s">
        <v>485</v>
      </c>
      <c r="G2654" s="71" t="str">
        <f>MID(F2654,1,2)</f>
        <v>US</v>
      </c>
      <c r="H2654" s="43" t="s">
        <v>4446</v>
      </c>
      <c r="I2654" s="71" t="s">
        <v>4447</v>
      </c>
      <c r="J2654" s="71" t="s">
        <v>386</v>
      </c>
      <c r="K2654" s="43"/>
      <c r="L2654" s="71" t="s">
        <v>107</v>
      </c>
      <c r="M2654" s="73">
        <v>93</v>
      </c>
      <c r="N2654" s="71" t="s">
        <v>388</v>
      </c>
      <c r="O2654" s="73">
        <v>1.085</v>
      </c>
      <c r="P2654" s="71" t="s">
        <v>389</v>
      </c>
      <c r="Q2654" s="73">
        <v>181</v>
      </c>
      <c r="R2654" s="71" t="s">
        <v>388</v>
      </c>
      <c r="S2654" s="73">
        <v>0</v>
      </c>
      <c r="T2654" s="71" t="s">
        <v>390</v>
      </c>
      <c r="U2654" s="74">
        <v>1</v>
      </c>
      <c r="V2654" s="71" t="s">
        <v>391</v>
      </c>
      <c r="W2654" s="130">
        <v>46086.423611111109</v>
      </c>
      <c r="X2654" s="72">
        <v>46096.25</v>
      </c>
      <c r="Y2654" s="72">
        <v>46104.833333333336</v>
      </c>
      <c r="Z2654" s="104" t="s">
        <v>382</v>
      </c>
      <c r="AA2654" s="104" t="s">
        <v>408</v>
      </c>
      <c r="AB2654" s="105">
        <v>46096.154166666667</v>
      </c>
      <c r="AC2654" s="105"/>
    </row>
    <row r="2655" s="70" customFormat="1" ht="11.25" customHeight="1">
      <c r="A2655" s="87"/>
      <c r="C2655" s="43" t="s">
        <v>4445</v>
      </c>
      <c r="D2655" s="71" t="s">
        <v>382</v>
      </c>
      <c r="E2655" s="71" t="str">
        <f>MID(D2655,1,2)</f>
        <v>IL</v>
      </c>
      <c r="F2655" s="71" t="s">
        <v>485</v>
      </c>
      <c r="G2655" s="71" t="str">
        <f>MID(F2655,1,2)</f>
        <v>US</v>
      </c>
      <c r="H2655" s="43" t="s">
        <v>4446</v>
      </c>
      <c r="I2655" s="71" t="s">
        <v>4447</v>
      </c>
      <c r="J2655" s="71" t="s">
        <v>386</v>
      </c>
      <c r="K2655" s="43"/>
      <c r="L2655" s="71" t="s">
        <v>107</v>
      </c>
      <c r="M2655" s="73">
        <v>93</v>
      </c>
      <c r="N2655" s="71" t="s">
        <v>388</v>
      </c>
      <c r="O2655" s="73">
        <v>1.085</v>
      </c>
      <c r="P2655" s="71" t="s">
        <v>389</v>
      </c>
      <c r="Q2655" s="73">
        <v>181</v>
      </c>
      <c r="R2655" s="71" t="s">
        <v>388</v>
      </c>
      <c r="S2655" s="73">
        <v>0</v>
      </c>
      <c r="T2655" s="71" t="s">
        <v>390</v>
      </c>
      <c r="U2655" s="74">
        <v>1</v>
      </c>
      <c r="V2655" s="71" t="s">
        <v>391</v>
      </c>
      <c r="W2655" s="130">
        <v>46086.423611111109</v>
      </c>
      <c r="X2655" s="72">
        <v>46096.25</v>
      </c>
      <c r="Y2655" s="72">
        <v>46104.833333333336</v>
      </c>
      <c r="Z2655" s="104" t="s">
        <v>408</v>
      </c>
      <c r="AA2655" s="104" t="s">
        <v>405</v>
      </c>
      <c r="AB2655" s="105">
        <v>46102.511111111111</v>
      </c>
      <c r="AC2655" s="105">
        <v>46102.6875</v>
      </c>
    </row>
    <row r="2656" s="70" customFormat="1" ht="11.25" customHeight="1">
      <c r="A2656" s="87"/>
      <c r="C2656" s="43" t="s">
        <v>4445</v>
      </c>
      <c r="D2656" s="71" t="s">
        <v>382</v>
      </c>
      <c r="E2656" s="71" t="str">
        <f>MID(D2656,1,2)</f>
        <v>IL</v>
      </c>
      <c r="F2656" s="71" t="s">
        <v>485</v>
      </c>
      <c r="G2656" s="71" t="str">
        <f>MID(F2656,1,2)</f>
        <v>US</v>
      </c>
      <c r="H2656" s="43" t="s">
        <v>4446</v>
      </c>
      <c r="I2656" s="71" t="s">
        <v>4447</v>
      </c>
      <c r="J2656" s="71" t="s">
        <v>386</v>
      </c>
      <c r="K2656" s="43"/>
      <c r="L2656" s="71" t="s">
        <v>107</v>
      </c>
      <c r="M2656" s="73">
        <v>93</v>
      </c>
      <c r="N2656" s="71" t="s">
        <v>388</v>
      </c>
      <c r="O2656" s="73">
        <v>1.085</v>
      </c>
      <c r="P2656" s="71" t="s">
        <v>389</v>
      </c>
      <c r="Q2656" s="73">
        <v>181</v>
      </c>
      <c r="R2656" s="71" t="s">
        <v>388</v>
      </c>
      <c r="S2656" s="73">
        <v>0</v>
      </c>
      <c r="T2656" s="71" t="s">
        <v>390</v>
      </c>
      <c r="U2656" s="74">
        <v>1</v>
      </c>
      <c r="V2656" s="71" t="s">
        <v>391</v>
      </c>
      <c r="W2656" s="130">
        <v>46086.423611111109</v>
      </c>
      <c r="X2656" s="72">
        <v>46096.25</v>
      </c>
      <c r="Y2656" s="72">
        <v>46104.833333333336</v>
      </c>
      <c r="Z2656" s="104" t="s">
        <v>405</v>
      </c>
      <c r="AA2656" s="104" t="s">
        <v>485</v>
      </c>
      <c r="AB2656" s="105"/>
      <c r="AC2656" s="105"/>
    </row>
    <row r="2657" s="70" customFormat="1" ht="11.25" customHeight="1">
      <c r="A2657" s="87"/>
      <c r="C2657" s="43" t="s">
        <v>4448</v>
      </c>
      <c r="D2657" s="71" t="s">
        <v>382</v>
      </c>
      <c r="E2657" s="71" t="str">
        <f>MID(D2657,1,2)</f>
        <v>IL</v>
      </c>
      <c r="F2657" s="71" t="s">
        <v>414</v>
      </c>
      <c r="G2657" s="71" t="str">
        <f>MID(F2657,1,2)</f>
        <v>US</v>
      </c>
      <c r="H2657" s="43" t="s">
        <v>4414</v>
      </c>
      <c r="I2657" s="71" t="s">
        <v>4449</v>
      </c>
      <c r="J2657" s="71" t="s">
        <v>400</v>
      </c>
      <c r="K2657" s="43"/>
      <c r="L2657" s="71" t="s">
        <v>105</v>
      </c>
      <c r="M2657" s="73">
        <v>2</v>
      </c>
      <c r="N2657" s="71" t="s">
        <v>388</v>
      </c>
      <c r="O2657" s="73">
        <v>0.014</v>
      </c>
      <c r="P2657" s="71" t="s">
        <v>389</v>
      </c>
      <c r="Q2657" s="73">
        <v>2.5</v>
      </c>
      <c r="R2657" s="71" t="s">
        <v>388</v>
      </c>
      <c r="S2657" s="73">
        <v>0</v>
      </c>
      <c r="T2657" s="71" t="s">
        <v>390</v>
      </c>
      <c r="U2657" s="74">
        <v>1</v>
      </c>
      <c r="V2657" s="71" t="s">
        <v>427</v>
      </c>
      <c r="W2657" s="130">
        <v>46082.611805555556</v>
      </c>
      <c r="X2657" s="72">
        <v>46088.25</v>
      </c>
      <c r="Y2657" s="72">
        <v>46092.197916666664</v>
      </c>
      <c r="Z2657" s="104" t="s">
        <v>382</v>
      </c>
      <c r="AA2657" s="104" t="s">
        <v>414</v>
      </c>
      <c r="AB2657" s="105">
        <v>46088.38958333333</v>
      </c>
      <c r="AC2657" s="105">
        <v>46092.333333333336</v>
      </c>
    </row>
    <row r="2658" s="70" customFormat="1" ht="11.25" customHeight="1">
      <c r="A2658" s="87"/>
      <c r="C2658" s="43" t="s">
        <v>4450</v>
      </c>
      <c r="D2658" s="71" t="s">
        <v>382</v>
      </c>
      <c r="E2658" s="71" t="str">
        <f>MID(D2658,1,2)</f>
        <v>IL</v>
      </c>
      <c r="F2658" s="71" t="s">
        <v>414</v>
      </c>
      <c r="G2658" s="71" t="str">
        <f>MID(F2658,1,2)</f>
        <v>US</v>
      </c>
      <c r="H2658" s="43" t="s">
        <v>4414</v>
      </c>
      <c r="I2658" s="71" t="s">
        <v>4451</v>
      </c>
      <c r="J2658" s="71" t="s">
        <v>483</v>
      </c>
      <c r="K2658" s="43"/>
      <c r="L2658" s="71" t="s">
        <v>105</v>
      </c>
      <c r="M2658" s="73">
        <v>2</v>
      </c>
      <c r="N2658" s="71" t="s">
        <v>388</v>
      </c>
      <c r="O2658" s="73">
        <v>0.023</v>
      </c>
      <c r="P2658" s="71" t="s">
        <v>389</v>
      </c>
      <c r="Q2658" s="73">
        <v>4</v>
      </c>
      <c r="R2658" s="71" t="s">
        <v>388</v>
      </c>
      <c r="S2658" s="73">
        <v>0</v>
      </c>
      <c r="T2658" s="71" t="s">
        <v>390</v>
      </c>
      <c r="U2658" s="74">
        <v>1</v>
      </c>
      <c r="V2658" s="71" t="s">
        <v>427</v>
      </c>
      <c r="W2658" s="130">
        <v>46082.61875</v>
      </c>
      <c r="X2658" s="72">
        <v>46088.25</v>
      </c>
      <c r="Y2658" s="72">
        <v>46092.197916666664</v>
      </c>
      <c r="Z2658" s="104" t="s">
        <v>382</v>
      </c>
      <c r="AA2658" s="104" t="s">
        <v>414</v>
      </c>
      <c r="AB2658" s="105">
        <v>46088.38958333333</v>
      </c>
      <c r="AC2658" s="105">
        <v>46092.333333333336</v>
      </c>
    </row>
    <row r="2659" s="70" customFormat="1" ht="11.25" customHeight="1">
      <c r="A2659" s="87"/>
      <c r="C2659" s="43" t="s">
        <v>4452</v>
      </c>
      <c r="D2659" s="71" t="s">
        <v>382</v>
      </c>
      <c r="E2659" s="71" t="str">
        <f>MID(D2659,1,2)</f>
        <v>IL</v>
      </c>
      <c r="F2659" s="71" t="s">
        <v>414</v>
      </c>
      <c r="G2659" s="71" t="str">
        <f>MID(F2659,1,2)</f>
        <v>US</v>
      </c>
      <c r="H2659" s="43" t="s">
        <v>4414</v>
      </c>
      <c r="I2659" s="71" t="s">
        <v>4453</v>
      </c>
      <c r="J2659" s="71" t="s">
        <v>400</v>
      </c>
      <c r="K2659" s="43"/>
      <c r="L2659" s="71" t="s">
        <v>105</v>
      </c>
      <c r="M2659" s="73">
        <v>2</v>
      </c>
      <c r="N2659" s="71" t="s">
        <v>388</v>
      </c>
      <c r="O2659" s="73">
        <v>0.014</v>
      </c>
      <c r="P2659" s="71" t="s">
        <v>389</v>
      </c>
      <c r="Q2659" s="73">
        <v>2.5</v>
      </c>
      <c r="R2659" s="71" t="s">
        <v>388</v>
      </c>
      <c r="S2659" s="73">
        <v>0</v>
      </c>
      <c r="T2659" s="71" t="s">
        <v>390</v>
      </c>
      <c r="U2659" s="74">
        <v>1</v>
      </c>
      <c r="V2659" s="71" t="s">
        <v>427</v>
      </c>
      <c r="W2659" s="130">
        <v>46082.625</v>
      </c>
      <c r="X2659" s="72">
        <v>46088.25</v>
      </c>
      <c r="Y2659" s="72">
        <v>46092.197916666664</v>
      </c>
      <c r="Z2659" s="104" t="s">
        <v>382</v>
      </c>
      <c r="AA2659" s="104" t="s">
        <v>414</v>
      </c>
      <c r="AB2659" s="105">
        <v>46088.38958333333</v>
      </c>
      <c r="AC2659" s="105">
        <v>46092.333333333336</v>
      </c>
    </row>
    <row r="2660" s="70" customFormat="1" ht="11.25" customHeight="1">
      <c r="A2660" s="87"/>
      <c r="C2660" s="43" t="s">
        <v>4454</v>
      </c>
      <c r="D2660" s="71" t="s">
        <v>382</v>
      </c>
      <c r="E2660" s="71" t="str">
        <f>MID(D2660,1,2)</f>
        <v>IL</v>
      </c>
      <c r="F2660" s="71" t="s">
        <v>419</v>
      </c>
      <c r="G2660" s="71" t="str">
        <f>MID(F2660,1,2)</f>
        <v>US</v>
      </c>
      <c r="H2660" s="43" t="s">
        <v>2942</v>
      </c>
      <c r="I2660" s="71" t="s">
        <v>4455</v>
      </c>
      <c r="J2660" s="71" t="s">
        <v>426</v>
      </c>
      <c r="K2660" s="43"/>
      <c r="L2660" s="71" t="s">
        <v>105</v>
      </c>
      <c r="M2660" s="73">
        <v>7618</v>
      </c>
      <c r="N2660" s="71" t="s">
        <v>388</v>
      </c>
      <c r="O2660" s="73">
        <v>35.88</v>
      </c>
      <c r="P2660" s="71" t="s">
        <v>389</v>
      </c>
      <c r="Q2660" s="73">
        <v>7618</v>
      </c>
      <c r="R2660" s="71" t="s">
        <v>388</v>
      </c>
      <c r="S2660" s="73">
        <v>0</v>
      </c>
      <c r="T2660" s="71" t="s">
        <v>390</v>
      </c>
      <c r="U2660" s="74">
        <v>26</v>
      </c>
      <c r="V2660" s="71" t="s">
        <v>391</v>
      </c>
      <c r="W2660" s="130">
        <v>46084.349803240744</v>
      </c>
      <c r="X2660" s="72">
        <v>46084.25</v>
      </c>
      <c r="Y2660" s="72">
        <v>46085.20416666667</v>
      </c>
      <c r="Z2660" s="104" t="s">
        <v>382</v>
      </c>
      <c r="AA2660" s="104" t="s">
        <v>414</v>
      </c>
      <c r="AB2660" s="105">
        <v>46085.021527777775</v>
      </c>
      <c r="AC2660" s="105">
        <v>46085.20416666667</v>
      </c>
    </row>
    <row r="2661" s="70" customFormat="1" ht="11.25" customHeight="1">
      <c r="A2661" s="87"/>
      <c r="C2661" s="43" t="s">
        <v>4456</v>
      </c>
      <c r="D2661" s="71" t="s">
        <v>382</v>
      </c>
      <c r="E2661" s="71" t="str">
        <f>MID(D2661,1,2)</f>
        <v>IL</v>
      </c>
      <c r="F2661" s="71" t="s">
        <v>419</v>
      </c>
      <c r="G2661" s="71" t="str">
        <f>MID(F2661,1,2)</f>
        <v>US</v>
      </c>
      <c r="H2661" s="43" t="s">
        <v>4457</v>
      </c>
      <c r="I2661" s="71" t="s">
        <v>4458</v>
      </c>
      <c r="J2661" s="71" t="s">
        <v>426</v>
      </c>
      <c r="K2661" s="43"/>
      <c r="L2661" s="71" t="s">
        <v>105</v>
      </c>
      <c r="M2661" s="73">
        <v>432</v>
      </c>
      <c r="N2661" s="71" t="s">
        <v>388</v>
      </c>
      <c r="O2661" s="73">
        <v>6.9</v>
      </c>
      <c r="P2661" s="71" t="s">
        <v>389</v>
      </c>
      <c r="Q2661" s="73">
        <v>1150</v>
      </c>
      <c r="R2661" s="71" t="s">
        <v>388</v>
      </c>
      <c r="S2661" s="73">
        <v>0</v>
      </c>
      <c r="T2661" s="71" t="s">
        <v>390</v>
      </c>
      <c r="U2661" s="74">
        <v>5</v>
      </c>
      <c r="V2661" s="71" t="s">
        <v>391</v>
      </c>
      <c r="W2661" s="130">
        <v>46086.419988425929</v>
      </c>
      <c r="X2661" s="72">
        <v>46088.25</v>
      </c>
      <c r="Y2661" s="72">
        <v>46090.4375</v>
      </c>
      <c r="Z2661" s="104" t="s">
        <v>382</v>
      </c>
      <c r="AA2661" s="104" t="s">
        <v>414</v>
      </c>
      <c r="AB2661" s="105">
        <v>46088.38958333333</v>
      </c>
      <c r="AC2661" s="105">
        <v>46088.58125</v>
      </c>
    </row>
    <row r="2662" s="70" customFormat="1" ht="11.25" customHeight="1">
      <c r="A2662" s="87"/>
      <c r="C2662" s="43" t="s">
        <v>4459</v>
      </c>
      <c r="D2662" s="71" t="s">
        <v>382</v>
      </c>
      <c r="E2662" s="71" t="str">
        <f>MID(D2662,1,2)</f>
        <v>IL</v>
      </c>
      <c r="F2662" s="71" t="s">
        <v>963</v>
      </c>
      <c r="G2662" s="71" t="str">
        <f>MID(F2662,1,2)</f>
        <v>IN</v>
      </c>
      <c r="H2662" s="43" t="s">
        <v>4120</v>
      </c>
      <c r="I2662" s="71" t="s">
        <v>4460</v>
      </c>
      <c r="J2662" s="71" t="s">
        <v>426</v>
      </c>
      <c r="K2662" s="43"/>
      <c r="L2662" s="71" t="s">
        <v>105</v>
      </c>
      <c r="M2662" s="73">
        <v>76</v>
      </c>
      <c r="N2662" s="71" t="s">
        <v>388</v>
      </c>
      <c r="O2662" s="73">
        <v>0.75</v>
      </c>
      <c r="P2662" s="71" t="s">
        <v>389</v>
      </c>
      <c r="Q2662" s="73">
        <v>125</v>
      </c>
      <c r="R2662" s="71" t="s">
        <v>388</v>
      </c>
      <c r="S2662" s="73">
        <v>0</v>
      </c>
      <c r="T2662" s="71" t="s">
        <v>390</v>
      </c>
      <c r="U2662" s="74">
        <v>1</v>
      </c>
      <c r="V2662" s="71" t="s">
        <v>391</v>
      </c>
      <c r="W2662" s="130">
        <v>46091.396527777775</v>
      </c>
      <c r="X2662" s="72">
        <v>46093.371527777781</v>
      </c>
      <c r="Y2662" s="72">
        <v>46100.666666666664</v>
      </c>
      <c r="Z2662" s="104" t="s">
        <v>382</v>
      </c>
      <c r="AA2662" s="104" t="s">
        <v>402</v>
      </c>
      <c r="AB2662" s="105">
        <v>46093.429166666669</v>
      </c>
      <c r="AC2662" s="105">
        <v>46093.841666666667</v>
      </c>
    </row>
    <row r="2663" s="70" customFormat="1" ht="11.25" customHeight="1">
      <c r="A2663" s="87"/>
      <c r="C2663" s="43" t="s">
        <v>4459</v>
      </c>
      <c r="D2663" s="71" t="s">
        <v>382</v>
      </c>
      <c r="E2663" s="71" t="str">
        <f>MID(D2663,1,2)</f>
        <v>IL</v>
      </c>
      <c r="F2663" s="71" t="s">
        <v>963</v>
      </c>
      <c r="G2663" s="71" t="str">
        <f>MID(F2663,1,2)</f>
        <v>IN</v>
      </c>
      <c r="H2663" s="43" t="s">
        <v>4120</v>
      </c>
      <c r="I2663" s="71" t="s">
        <v>4460</v>
      </c>
      <c r="J2663" s="71" t="s">
        <v>426</v>
      </c>
      <c r="K2663" s="43"/>
      <c r="L2663" s="71" t="s">
        <v>105</v>
      </c>
      <c r="M2663" s="73">
        <v>76</v>
      </c>
      <c r="N2663" s="71" t="s">
        <v>388</v>
      </c>
      <c r="O2663" s="73">
        <v>0.75</v>
      </c>
      <c r="P2663" s="71" t="s">
        <v>389</v>
      </c>
      <c r="Q2663" s="73">
        <v>125</v>
      </c>
      <c r="R2663" s="71" t="s">
        <v>388</v>
      </c>
      <c r="S2663" s="73">
        <v>0</v>
      </c>
      <c r="T2663" s="71" t="s">
        <v>390</v>
      </c>
      <c r="U2663" s="74">
        <v>1</v>
      </c>
      <c r="V2663" s="71" t="s">
        <v>391</v>
      </c>
      <c r="W2663" s="130">
        <v>46091.396527777775</v>
      </c>
      <c r="X2663" s="72">
        <v>46093.371527777781</v>
      </c>
      <c r="Y2663" s="72">
        <v>46100.666666666664</v>
      </c>
      <c r="Z2663" s="104" t="s">
        <v>402</v>
      </c>
      <c r="AA2663" s="104" t="s">
        <v>809</v>
      </c>
      <c r="AB2663" s="105">
        <v>46093.888194444444</v>
      </c>
      <c r="AC2663" s="105">
        <v>46093.842361111114</v>
      </c>
    </row>
    <row r="2664" s="70" customFormat="1" ht="11.25" customHeight="1">
      <c r="A2664" s="87"/>
      <c r="C2664" s="43" t="s">
        <v>4459</v>
      </c>
      <c r="D2664" s="71" t="s">
        <v>382</v>
      </c>
      <c r="E2664" s="71" t="str">
        <f>MID(D2664,1,2)</f>
        <v>IL</v>
      </c>
      <c r="F2664" s="71" t="s">
        <v>963</v>
      </c>
      <c r="G2664" s="71" t="str">
        <f>MID(F2664,1,2)</f>
        <v>IN</v>
      </c>
      <c r="H2664" s="43" t="s">
        <v>4120</v>
      </c>
      <c r="I2664" s="71" t="s">
        <v>4460</v>
      </c>
      <c r="J2664" s="71" t="s">
        <v>426</v>
      </c>
      <c r="K2664" s="43"/>
      <c r="L2664" s="71" t="s">
        <v>105</v>
      </c>
      <c r="M2664" s="73">
        <v>76</v>
      </c>
      <c r="N2664" s="71" t="s">
        <v>388</v>
      </c>
      <c r="O2664" s="73">
        <v>0.75</v>
      </c>
      <c r="P2664" s="71" t="s">
        <v>389</v>
      </c>
      <c r="Q2664" s="73">
        <v>125</v>
      </c>
      <c r="R2664" s="71" t="s">
        <v>388</v>
      </c>
      <c r="S2664" s="73">
        <v>0</v>
      </c>
      <c r="T2664" s="71" t="s">
        <v>390</v>
      </c>
      <c r="U2664" s="74">
        <v>1</v>
      </c>
      <c r="V2664" s="71" t="s">
        <v>391</v>
      </c>
      <c r="W2664" s="130">
        <v>46091.396527777775</v>
      </c>
      <c r="X2664" s="72">
        <v>46093.371527777781</v>
      </c>
      <c r="Y2664" s="72">
        <v>46100.666666666664</v>
      </c>
      <c r="Z2664" s="104" t="s">
        <v>809</v>
      </c>
      <c r="AA2664" s="104" t="s">
        <v>963</v>
      </c>
      <c r="AB2664" s="105">
        <v>46098.365972222222</v>
      </c>
      <c r="AC2664" s="105">
        <v>46100.365972222222</v>
      </c>
    </row>
    <row r="2665" s="70" customFormat="1" ht="11.25" customHeight="1">
      <c r="A2665" s="87"/>
      <c r="C2665" s="43" t="s">
        <v>4461</v>
      </c>
      <c r="D2665" s="71" t="s">
        <v>382</v>
      </c>
      <c r="E2665" s="71" t="str">
        <f>MID(D2665,1,2)</f>
        <v>IL</v>
      </c>
      <c r="F2665" s="71" t="s">
        <v>963</v>
      </c>
      <c r="G2665" s="71" t="str">
        <f>MID(F2665,1,2)</f>
        <v>IN</v>
      </c>
      <c r="H2665" s="43" t="s">
        <v>4120</v>
      </c>
      <c r="I2665" s="71" t="s">
        <v>4462</v>
      </c>
      <c r="J2665" s="71" t="s">
        <v>426</v>
      </c>
      <c r="K2665" s="43"/>
      <c r="L2665" s="71" t="s">
        <v>105</v>
      </c>
      <c r="M2665" s="73">
        <v>4</v>
      </c>
      <c r="N2665" s="71" t="s">
        <v>388</v>
      </c>
      <c r="O2665" s="73">
        <v>0.029</v>
      </c>
      <c r="P2665" s="71" t="s">
        <v>389</v>
      </c>
      <c r="Q2665" s="73">
        <v>5</v>
      </c>
      <c r="R2665" s="71" t="s">
        <v>388</v>
      </c>
      <c r="S2665" s="73">
        <v>0</v>
      </c>
      <c r="T2665" s="71" t="s">
        <v>390</v>
      </c>
      <c r="U2665" s="74">
        <v>1</v>
      </c>
      <c r="V2665" s="71" t="s">
        <v>391</v>
      </c>
      <c r="W2665" s="130">
        <v>46091.40347222222</v>
      </c>
      <c r="X2665" s="72">
        <v>46093.371527777781</v>
      </c>
      <c r="Y2665" s="72">
        <v>46100.666666666664</v>
      </c>
      <c r="Z2665" s="104" t="s">
        <v>382</v>
      </c>
      <c r="AA2665" s="104" t="s">
        <v>402</v>
      </c>
      <c r="AB2665" s="105">
        <v>46093.429166666669</v>
      </c>
      <c r="AC2665" s="105">
        <v>46093.841666666667</v>
      </c>
    </row>
    <row r="2666" s="70" customFormat="1" ht="11.25" customHeight="1">
      <c r="A2666" s="87"/>
      <c r="C2666" s="43" t="s">
        <v>4461</v>
      </c>
      <c r="D2666" s="71" t="s">
        <v>382</v>
      </c>
      <c r="E2666" s="71" t="str">
        <f>MID(D2666,1,2)</f>
        <v>IL</v>
      </c>
      <c r="F2666" s="71" t="s">
        <v>963</v>
      </c>
      <c r="G2666" s="71" t="str">
        <f>MID(F2666,1,2)</f>
        <v>IN</v>
      </c>
      <c r="H2666" s="43" t="s">
        <v>4120</v>
      </c>
      <c r="I2666" s="71" t="s">
        <v>4462</v>
      </c>
      <c r="J2666" s="71" t="s">
        <v>426</v>
      </c>
      <c r="K2666" s="43"/>
      <c r="L2666" s="71" t="s">
        <v>105</v>
      </c>
      <c r="M2666" s="73">
        <v>4</v>
      </c>
      <c r="N2666" s="71" t="s">
        <v>388</v>
      </c>
      <c r="O2666" s="73">
        <v>0.029</v>
      </c>
      <c r="P2666" s="71" t="s">
        <v>389</v>
      </c>
      <c r="Q2666" s="73">
        <v>5</v>
      </c>
      <c r="R2666" s="71" t="s">
        <v>388</v>
      </c>
      <c r="S2666" s="73">
        <v>0</v>
      </c>
      <c r="T2666" s="71" t="s">
        <v>390</v>
      </c>
      <c r="U2666" s="74">
        <v>1</v>
      </c>
      <c r="V2666" s="71" t="s">
        <v>391</v>
      </c>
      <c r="W2666" s="130">
        <v>46091.40347222222</v>
      </c>
      <c r="X2666" s="72">
        <v>46093.371527777781</v>
      </c>
      <c r="Y2666" s="72">
        <v>46100.666666666664</v>
      </c>
      <c r="Z2666" s="104" t="s">
        <v>402</v>
      </c>
      <c r="AA2666" s="104" t="s">
        <v>809</v>
      </c>
      <c r="AB2666" s="105">
        <v>46093.888194444444</v>
      </c>
      <c r="AC2666" s="105">
        <v>46093.842361111114</v>
      </c>
    </row>
    <row r="2667" s="70" customFormat="1" ht="11.25" customHeight="1">
      <c r="A2667" s="87"/>
      <c r="C2667" s="43" t="s">
        <v>4461</v>
      </c>
      <c r="D2667" s="71" t="s">
        <v>382</v>
      </c>
      <c r="E2667" s="71" t="str">
        <f>MID(D2667,1,2)</f>
        <v>IL</v>
      </c>
      <c r="F2667" s="71" t="s">
        <v>963</v>
      </c>
      <c r="G2667" s="71" t="str">
        <f>MID(F2667,1,2)</f>
        <v>IN</v>
      </c>
      <c r="H2667" s="43" t="s">
        <v>4120</v>
      </c>
      <c r="I2667" s="71" t="s">
        <v>4462</v>
      </c>
      <c r="J2667" s="71" t="s">
        <v>426</v>
      </c>
      <c r="K2667" s="43"/>
      <c r="L2667" s="71" t="s">
        <v>105</v>
      </c>
      <c r="M2667" s="73">
        <v>4</v>
      </c>
      <c r="N2667" s="71" t="s">
        <v>388</v>
      </c>
      <c r="O2667" s="73">
        <v>0.029</v>
      </c>
      <c r="P2667" s="71" t="s">
        <v>389</v>
      </c>
      <c r="Q2667" s="73">
        <v>5</v>
      </c>
      <c r="R2667" s="71" t="s">
        <v>388</v>
      </c>
      <c r="S2667" s="73">
        <v>0</v>
      </c>
      <c r="T2667" s="71" t="s">
        <v>390</v>
      </c>
      <c r="U2667" s="74">
        <v>1</v>
      </c>
      <c r="V2667" s="71" t="s">
        <v>391</v>
      </c>
      <c r="W2667" s="130">
        <v>46091.40347222222</v>
      </c>
      <c r="X2667" s="72">
        <v>46093.371527777781</v>
      </c>
      <c r="Y2667" s="72">
        <v>46100.666666666664</v>
      </c>
      <c r="Z2667" s="104" t="s">
        <v>809</v>
      </c>
      <c r="AA2667" s="104" t="s">
        <v>963</v>
      </c>
      <c r="AB2667" s="105">
        <v>46098.365972222222</v>
      </c>
      <c r="AC2667" s="105">
        <v>46100.365972222222</v>
      </c>
    </row>
    <row r="2668" s="70" customFormat="1" ht="11.25" customHeight="1">
      <c r="A2668" s="87"/>
      <c r="C2668" s="43" t="s">
        <v>4463</v>
      </c>
      <c r="D2668" s="71" t="s">
        <v>382</v>
      </c>
      <c r="E2668" s="71" t="str">
        <f>MID(D2668,1,2)</f>
        <v>IL</v>
      </c>
      <c r="F2668" s="71" t="s">
        <v>476</v>
      </c>
      <c r="G2668" s="71" t="str">
        <f>MID(F2668,1,2)</f>
        <v>SG</v>
      </c>
      <c r="H2668" s="43" t="s">
        <v>4464</v>
      </c>
      <c r="I2668" s="71" t="s">
        <v>4465</v>
      </c>
      <c r="J2668" s="71" t="s">
        <v>426</v>
      </c>
      <c r="K2668" s="43"/>
      <c r="L2668" s="71" t="s">
        <v>105</v>
      </c>
      <c r="M2668" s="73">
        <v>2</v>
      </c>
      <c r="N2668" s="71" t="s">
        <v>388</v>
      </c>
      <c r="O2668" s="73">
        <v>0.027</v>
      </c>
      <c r="P2668" s="71" t="s">
        <v>389</v>
      </c>
      <c r="Q2668" s="73">
        <v>4.5</v>
      </c>
      <c r="R2668" s="71" t="s">
        <v>388</v>
      </c>
      <c r="S2668" s="73">
        <v>0</v>
      </c>
      <c r="T2668" s="71" t="s">
        <v>390</v>
      </c>
      <c r="U2668" s="74">
        <v>1</v>
      </c>
      <c r="V2668" s="71" t="s">
        <v>391</v>
      </c>
      <c r="W2668" s="130">
        <v>46096.570439814815</v>
      </c>
      <c r="X2668" s="72">
        <v>46098.000694444447</v>
      </c>
      <c r="Y2668" s="72">
        <v>46110.704861111109</v>
      </c>
      <c r="Z2668" s="104" t="s">
        <v>382</v>
      </c>
      <c r="AA2668" s="104" t="s">
        <v>408</v>
      </c>
      <c r="AB2668" s="105">
        <v>46101.192361111112</v>
      </c>
      <c r="AC2668" s="105"/>
    </row>
    <row r="2669" s="70" customFormat="1" ht="11.25" customHeight="1">
      <c r="A2669" s="87"/>
      <c r="C2669" s="43" t="s">
        <v>4463</v>
      </c>
      <c r="D2669" s="71" t="s">
        <v>382</v>
      </c>
      <c r="E2669" s="71" t="str">
        <f>MID(D2669,1,2)</f>
        <v>IL</v>
      </c>
      <c r="F2669" s="71" t="s">
        <v>476</v>
      </c>
      <c r="G2669" s="71" t="str">
        <f>MID(F2669,1,2)</f>
        <v>SG</v>
      </c>
      <c r="H2669" s="43" t="s">
        <v>4464</v>
      </c>
      <c r="I2669" s="71" t="s">
        <v>4465</v>
      </c>
      <c r="J2669" s="71" t="s">
        <v>426</v>
      </c>
      <c r="K2669" s="43"/>
      <c r="L2669" s="71" t="s">
        <v>105</v>
      </c>
      <c r="M2669" s="73">
        <v>2</v>
      </c>
      <c r="N2669" s="71" t="s">
        <v>388</v>
      </c>
      <c r="O2669" s="73">
        <v>0.027</v>
      </c>
      <c r="P2669" s="71" t="s">
        <v>389</v>
      </c>
      <c r="Q2669" s="73">
        <v>4.5</v>
      </c>
      <c r="R2669" s="71" t="s">
        <v>388</v>
      </c>
      <c r="S2669" s="73">
        <v>0</v>
      </c>
      <c r="T2669" s="71" t="s">
        <v>390</v>
      </c>
      <c r="U2669" s="74">
        <v>1</v>
      </c>
      <c r="V2669" s="71" t="s">
        <v>391</v>
      </c>
      <c r="W2669" s="130">
        <v>46096.570439814815</v>
      </c>
      <c r="X2669" s="72">
        <v>46098.000694444447</v>
      </c>
      <c r="Y2669" s="72">
        <v>46110.704861111109</v>
      </c>
      <c r="Z2669" s="104" t="s">
        <v>408</v>
      </c>
      <c r="AA2669" s="104" t="s">
        <v>383</v>
      </c>
      <c r="AB2669" s="105"/>
      <c r="AC2669" s="105"/>
    </row>
    <row r="2670" s="70" customFormat="1" ht="11.25" customHeight="1">
      <c r="A2670" s="87"/>
      <c r="C2670" s="43" t="s">
        <v>4463</v>
      </c>
      <c r="D2670" s="71" t="s">
        <v>382</v>
      </c>
      <c r="E2670" s="71" t="str">
        <f>MID(D2670,1,2)</f>
        <v>IL</v>
      </c>
      <c r="F2670" s="71" t="s">
        <v>476</v>
      </c>
      <c r="G2670" s="71" t="str">
        <f>MID(F2670,1,2)</f>
        <v>SG</v>
      </c>
      <c r="H2670" s="43" t="s">
        <v>4464</v>
      </c>
      <c r="I2670" s="71" t="s">
        <v>4465</v>
      </c>
      <c r="J2670" s="71" t="s">
        <v>426</v>
      </c>
      <c r="K2670" s="43"/>
      <c r="L2670" s="71" t="s">
        <v>105</v>
      </c>
      <c r="M2670" s="73">
        <v>2</v>
      </c>
      <c r="N2670" s="71" t="s">
        <v>388</v>
      </c>
      <c r="O2670" s="73">
        <v>0.027</v>
      </c>
      <c r="P2670" s="71" t="s">
        <v>389</v>
      </c>
      <c r="Q2670" s="73">
        <v>4.5</v>
      </c>
      <c r="R2670" s="71" t="s">
        <v>388</v>
      </c>
      <c r="S2670" s="73">
        <v>0</v>
      </c>
      <c r="T2670" s="71" t="s">
        <v>390</v>
      </c>
      <c r="U2670" s="74">
        <v>1</v>
      </c>
      <c r="V2670" s="71" t="s">
        <v>391</v>
      </c>
      <c r="W2670" s="130">
        <v>46096.570439814815</v>
      </c>
      <c r="X2670" s="72">
        <v>46098.000694444447</v>
      </c>
      <c r="Y2670" s="72">
        <v>46110.704861111109</v>
      </c>
      <c r="Z2670" s="104" t="s">
        <v>383</v>
      </c>
      <c r="AA2670" s="104" t="s">
        <v>476</v>
      </c>
      <c r="AB2670" s="105"/>
      <c r="AC2670" s="105"/>
    </row>
    <row r="2671" s="70" customFormat="1" ht="11.25" customHeight="1">
      <c r="A2671" s="87"/>
      <c r="C2671" s="43" t="s">
        <v>4466</v>
      </c>
      <c r="D2671" s="71" t="s">
        <v>382</v>
      </c>
      <c r="E2671" s="71" t="str">
        <f>MID(D2671,1,2)</f>
        <v>IL</v>
      </c>
      <c r="F2671" s="71" t="s">
        <v>476</v>
      </c>
      <c r="G2671" s="71" t="str">
        <f>MID(F2671,1,2)</f>
        <v>SG</v>
      </c>
      <c r="H2671" s="43" t="s">
        <v>4464</v>
      </c>
      <c r="I2671" s="71" t="s">
        <v>4467</v>
      </c>
      <c r="J2671" s="71" t="s">
        <v>426</v>
      </c>
      <c r="K2671" s="43"/>
      <c r="L2671" s="71" t="s">
        <v>105</v>
      </c>
      <c r="M2671" s="73">
        <v>3</v>
      </c>
      <c r="N2671" s="71" t="s">
        <v>388</v>
      </c>
      <c r="O2671" s="73">
        <v>0.029</v>
      </c>
      <c r="P2671" s="71" t="s">
        <v>389</v>
      </c>
      <c r="Q2671" s="73">
        <v>5</v>
      </c>
      <c r="R2671" s="71" t="s">
        <v>388</v>
      </c>
      <c r="S2671" s="73">
        <v>0</v>
      </c>
      <c r="T2671" s="71" t="s">
        <v>390</v>
      </c>
      <c r="U2671" s="74">
        <v>1</v>
      </c>
      <c r="V2671" s="71" t="s">
        <v>391</v>
      </c>
      <c r="W2671" s="130">
        <v>46096.570451388892</v>
      </c>
      <c r="X2671" s="72">
        <v>46098.000694444447</v>
      </c>
      <c r="Y2671" s="72">
        <v>46110.704861111109</v>
      </c>
      <c r="Z2671" s="104" t="s">
        <v>382</v>
      </c>
      <c r="AA2671" s="104" t="s">
        <v>408</v>
      </c>
      <c r="AB2671" s="105">
        <v>46101.192361111112</v>
      </c>
      <c r="AC2671" s="105"/>
    </row>
    <row r="2672" s="70" customFormat="1" ht="11.25" customHeight="1">
      <c r="A2672" s="87"/>
      <c r="C2672" s="43" t="s">
        <v>4466</v>
      </c>
      <c r="D2672" s="71" t="s">
        <v>382</v>
      </c>
      <c r="E2672" s="71" t="str">
        <f>MID(D2672,1,2)</f>
        <v>IL</v>
      </c>
      <c r="F2672" s="71" t="s">
        <v>476</v>
      </c>
      <c r="G2672" s="71" t="str">
        <f>MID(F2672,1,2)</f>
        <v>SG</v>
      </c>
      <c r="H2672" s="43" t="s">
        <v>4464</v>
      </c>
      <c r="I2672" s="71" t="s">
        <v>4467</v>
      </c>
      <c r="J2672" s="71" t="s">
        <v>426</v>
      </c>
      <c r="K2672" s="43"/>
      <c r="L2672" s="71" t="s">
        <v>105</v>
      </c>
      <c r="M2672" s="73">
        <v>3</v>
      </c>
      <c r="N2672" s="71" t="s">
        <v>388</v>
      </c>
      <c r="O2672" s="73">
        <v>0.029</v>
      </c>
      <c r="P2672" s="71" t="s">
        <v>389</v>
      </c>
      <c r="Q2672" s="73">
        <v>5</v>
      </c>
      <c r="R2672" s="71" t="s">
        <v>388</v>
      </c>
      <c r="S2672" s="73">
        <v>0</v>
      </c>
      <c r="T2672" s="71" t="s">
        <v>390</v>
      </c>
      <c r="U2672" s="74">
        <v>1</v>
      </c>
      <c r="V2672" s="71" t="s">
        <v>391</v>
      </c>
      <c r="W2672" s="130">
        <v>46096.570451388892</v>
      </c>
      <c r="X2672" s="72">
        <v>46098.000694444447</v>
      </c>
      <c r="Y2672" s="72">
        <v>46110.704861111109</v>
      </c>
      <c r="Z2672" s="104" t="s">
        <v>408</v>
      </c>
      <c r="AA2672" s="104" t="s">
        <v>383</v>
      </c>
      <c r="AB2672" s="105"/>
      <c r="AC2672" s="105"/>
    </row>
    <row r="2673" s="70" customFormat="1" ht="11.25" customHeight="1">
      <c r="A2673" s="87"/>
      <c r="C2673" s="43" t="s">
        <v>4466</v>
      </c>
      <c r="D2673" s="71" t="s">
        <v>382</v>
      </c>
      <c r="E2673" s="71" t="str">
        <f>MID(D2673,1,2)</f>
        <v>IL</v>
      </c>
      <c r="F2673" s="71" t="s">
        <v>476</v>
      </c>
      <c r="G2673" s="71" t="str">
        <f>MID(F2673,1,2)</f>
        <v>SG</v>
      </c>
      <c r="H2673" s="43" t="s">
        <v>4464</v>
      </c>
      <c r="I2673" s="71" t="s">
        <v>4467</v>
      </c>
      <c r="J2673" s="71" t="s">
        <v>426</v>
      </c>
      <c r="K2673" s="43"/>
      <c r="L2673" s="71" t="s">
        <v>105</v>
      </c>
      <c r="M2673" s="73">
        <v>3</v>
      </c>
      <c r="N2673" s="71" t="s">
        <v>388</v>
      </c>
      <c r="O2673" s="73">
        <v>0.029</v>
      </c>
      <c r="P2673" s="71" t="s">
        <v>389</v>
      </c>
      <c r="Q2673" s="73">
        <v>5</v>
      </c>
      <c r="R2673" s="71" t="s">
        <v>388</v>
      </c>
      <c r="S2673" s="73">
        <v>0</v>
      </c>
      <c r="T2673" s="71" t="s">
        <v>390</v>
      </c>
      <c r="U2673" s="74">
        <v>1</v>
      </c>
      <c r="V2673" s="71" t="s">
        <v>391</v>
      </c>
      <c r="W2673" s="130">
        <v>46096.570451388892</v>
      </c>
      <c r="X2673" s="72">
        <v>46098.000694444447</v>
      </c>
      <c r="Y2673" s="72">
        <v>46110.704861111109</v>
      </c>
      <c r="Z2673" s="104" t="s">
        <v>383</v>
      </c>
      <c r="AA2673" s="104" t="s">
        <v>476</v>
      </c>
      <c r="AB2673" s="105"/>
      <c r="AC2673" s="105"/>
    </row>
    <row r="2674" s="70" customFormat="1" ht="11.25" customHeight="1">
      <c r="A2674" s="87"/>
      <c r="C2674" s="43" t="s">
        <v>4468</v>
      </c>
      <c r="D2674" s="71" t="s">
        <v>382</v>
      </c>
      <c r="E2674" s="71" t="str">
        <f>MID(D2674,1,2)</f>
        <v>IL</v>
      </c>
      <c r="F2674" s="71" t="s">
        <v>414</v>
      </c>
      <c r="G2674" s="71" t="str">
        <f>MID(F2674,1,2)</f>
        <v>US</v>
      </c>
      <c r="H2674" s="43" t="s">
        <v>4163</v>
      </c>
      <c r="I2674" s="71" t="s">
        <v>4469</v>
      </c>
      <c r="J2674" s="71" t="s">
        <v>483</v>
      </c>
      <c r="K2674" s="43"/>
      <c r="L2674" s="71" t="s">
        <v>105</v>
      </c>
      <c r="M2674" s="73">
        <v>54</v>
      </c>
      <c r="N2674" s="71" t="s">
        <v>388</v>
      </c>
      <c r="O2674" s="73">
        <v>0.42</v>
      </c>
      <c r="P2674" s="71" t="s">
        <v>389</v>
      </c>
      <c r="Q2674" s="73">
        <v>70</v>
      </c>
      <c r="R2674" s="71" t="s">
        <v>388</v>
      </c>
      <c r="S2674" s="73">
        <v>0</v>
      </c>
      <c r="T2674" s="71" t="s">
        <v>390</v>
      </c>
      <c r="U2674" s="74">
        <v>1</v>
      </c>
      <c r="V2674" s="71" t="s">
        <v>391</v>
      </c>
      <c r="W2674" s="130">
        <v>46083.382638888892</v>
      </c>
      <c r="X2674" s="72">
        <v>46084.916666666664</v>
      </c>
      <c r="Y2674" s="72">
        <v>46085.114583333336</v>
      </c>
      <c r="Z2674" s="104" t="s">
        <v>382</v>
      </c>
      <c r="AA2674" s="104" t="s">
        <v>414</v>
      </c>
      <c r="AB2674" s="105">
        <v>46085.021527777775</v>
      </c>
      <c r="AC2674" s="105">
        <v>46085.20416666667</v>
      </c>
    </row>
    <row r="2675" s="70" customFormat="1" ht="11.25" customHeight="1">
      <c r="A2675" s="87"/>
      <c r="C2675" s="43" t="s">
        <v>4470</v>
      </c>
      <c r="D2675" s="71" t="s">
        <v>382</v>
      </c>
      <c r="E2675" s="71" t="str">
        <f>MID(D2675,1,2)</f>
        <v>IL</v>
      </c>
      <c r="F2675" s="71" t="s">
        <v>963</v>
      </c>
      <c r="G2675" s="71" t="str">
        <f>MID(F2675,1,2)</f>
        <v>IN</v>
      </c>
      <c r="H2675" s="43" t="s">
        <v>4120</v>
      </c>
      <c r="I2675" s="71" t="s">
        <v>4471</v>
      </c>
      <c r="J2675" s="71" t="s">
        <v>426</v>
      </c>
      <c r="K2675" s="43"/>
      <c r="L2675" s="71" t="s">
        <v>105</v>
      </c>
      <c r="M2675" s="73">
        <v>30</v>
      </c>
      <c r="N2675" s="71" t="s">
        <v>388</v>
      </c>
      <c r="O2675" s="73">
        <v>0.428</v>
      </c>
      <c r="P2675" s="71" t="s">
        <v>389</v>
      </c>
      <c r="Q2675" s="73">
        <v>71.5</v>
      </c>
      <c r="R2675" s="71" t="s">
        <v>388</v>
      </c>
      <c r="S2675" s="73">
        <v>0</v>
      </c>
      <c r="T2675" s="71" t="s">
        <v>390</v>
      </c>
      <c r="U2675" s="74">
        <v>1</v>
      </c>
      <c r="V2675" s="71" t="s">
        <v>391</v>
      </c>
      <c r="W2675" s="130">
        <v>46091.732476851852</v>
      </c>
      <c r="X2675" s="72">
        <v>46093.371527777781</v>
      </c>
      <c r="Y2675" s="72">
        <v>46100.666666666664</v>
      </c>
      <c r="Z2675" s="104" t="s">
        <v>382</v>
      </c>
      <c r="AA2675" s="104" t="s">
        <v>402</v>
      </c>
      <c r="AB2675" s="105">
        <v>46093.429166666669</v>
      </c>
      <c r="AC2675" s="105">
        <v>46093.841666666667</v>
      </c>
    </row>
    <row r="2676" s="70" customFormat="1" ht="11.25" customHeight="1">
      <c r="A2676" s="87"/>
      <c r="C2676" s="43" t="s">
        <v>4470</v>
      </c>
      <c r="D2676" s="71" t="s">
        <v>382</v>
      </c>
      <c r="E2676" s="71" t="str">
        <f>MID(D2676,1,2)</f>
        <v>IL</v>
      </c>
      <c r="F2676" s="71" t="s">
        <v>963</v>
      </c>
      <c r="G2676" s="71" t="str">
        <f>MID(F2676,1,2)</f>
        <v>IN</v>
      </c>
      <c r="H2676" s="43" t="s">
        <v>4120</v>
      </c>
      <c r="I2676" s="71" t="s">
        <v>4471</v>
      </c>
      <c r="J2676" s="71" t="s">
        <v>426</v>
      </c>
      <c r="K2676" s="43"/>
      <c r="L2676" s="71" t="s">
        <v>105</v>
      </c>
      <c r="M2676" s="73">
        <v>30</v>
      </c>
      <c r="N2676" s="71" t="s">
        <v>388</v>
      </c>
      <c r="O2676" s="73">
        <v>0.428</v>
      </c>
      <c r="P2676" s="71" t="s">
        <v>389</v>
      </c>
      <c r="Q2676" s="73">
        <v>71.5</v>
      </c>
      <c r="R2676" s="71" t="s">
        <v>388</v>
      </c>
      <c r="S2676" s="73">
        <v>0</v>
      </c>
      <c r="T2676" s="71" t="s">
        <v>390</v>
      </c>
      <c r="U2676" s="74">
        <v>1</v>
      </c>
      <c r="V2676" s="71" t="s">
        <v>391</v>
      </c>
      <c r="W2676" s="130">
        <v>46091.732476851852</v>
      </c>
      <c r="X2676" s="72">
        <v>46093.371527777781</v>
      </c>
      <c r="Y2676" s="72">
        <v>46100.666666666664</v>
      </c>
      <c r="Z2676" s="104" t="s">
        <v>402</v>
      </c>
      <c r="AA2676" s="104" t="s">
        <v>809</v>
      </c>
      <c r="AB2676" s="105">
        <v>46093.888194444444</v>
      </c>
      <c r="AC2676" s="105">
        <v>46093.842361111114</v>
      </c>
    </row>
    <row r="2677" s="70" customFormat="1" ht="11.25" customHeight="1">
      <c r="A2677" s="87"/>
      <c r="C2677" s="43" t="s">
        <v>4470</v>
      </c>
      <c r="D2677" s="71" t="s">
        <v>382</v>
      </c>
      <c r="E2677" s="71" t="str">
        <f>MID(D2677,1,2)</f>
        <v>IL</v>
      </c>
      <c r="F2677" s="71" t="s">
        <v>963</v>
      </c>
      <c r="G2677" s="71" t="str">
        <f>MID(F2677,1,2)</f>
        <v>IN</v>
      </c>
      <c r="H2677" s="43" t="s">
        <v>4120</v>
      </c>
      <c r="I2677" s="71" t="s">
        <v>4471</v>
      </c>
      <c r="J2677" s="71" t="s">
        <v>426</v>
      </c>
      <c r="K2677" s="43"/>
      <c r="L2677" s="71" t="s">
        <v>105</v>
      </c>
      <c r="M2677" s="73">
        <v>30</v>
      </c>
      <c r="N2677" s="71" t="s">
        <v>388</v>
      </c>
      <c r="O2677" s="73">
        <v>0.428</v>
      </c>
      <c r="P2677" s="71" t="s">
        <v>389</v>
      </c>
      <c r="Q2677" s="73">
        <v>71.5</v>
      </c>
      <c r="R2677" s="71" t="s">
        <v>388</v>
      </c>
      <c r="S2677" s="73">
        <v>0</v>
      </c>
      <c r="T2677" s="71" t="s">
        <v>390</v>
      </c>
      <c r="U2677" s="74">
        <v>1</v>
      </c>
      <c r="V2677" s="71" t="s">
        <v>391</v>
      </c>
      <c r="W2677" s="130">
        <v>46091.732476851852</v>
      </c>
      <c r="X2677" s="72">
        <v>46093.371527777781</v>
      </c>
      <c r="Y2677" s="72">
        <v>46100.666666666664</v>
      </c>
      <c r="Z2677" s="104" t="s">
        <v>809</v>
      </c>
      <c r="AA2677" s="104" t="s">
        <v>963</v>
      </c>
      <c r="AB2677" s="105">
        <v>46098.365972222222</v>
      </c>
      <c r="AC2677" s="105">
        <v>46100.365972222222</v>
      </c>
    </row>
    <row r="2678" s="70" customFormat="1" ht="11.25" customHeight="1">
      <c r="A2678" s="87"/>
      <c r="C2678" s="43" t="s">
        <v>4472</v>
      </c>
      <c r="D2678" s="71" t="s">
        <v>382</v>
      </c>
      <c r="E2678" s="71" t="str">
        <f>MID(D2678,1,2)</f>
        <v>IL</v>
      </c>
      <c r="F2678" s="71" t="s">
        <v>963</v>
      </c>
      <c r="G2678" s="71" t="str">
        <f>MID(F2678,1,2)</f>
        <v>IN</v>
      </c>
      <c r="H2678" s="43" t="s">
        <v>4120</v>
      </c>
      <c r="I2678" s="71" t="s">
        <v>4473</v>
      </c>
      <c r="J2678" s="71" t="s">
        <v>426</v>
      </c>
      <c r="K2678" s="43"/>
      <c r="L2678" s="71" t="s">
        <v>105</v>
      </c>
      <c r="M2678" s="73">
        <v>12</v>
      </c>
      <c r="N2678" s="71" t="s">
        <v>388</v>
      </c>
      <c r="O2678" s="73">
        <v>0.076</v>
      </c>
      <c r="P2678" s="71" t="s">
        <v>389</v>
      </c>
      <c r="Q2678" s="73">
        <v>13</v>
      </c>
      <c r="R2678" s="71" t="s">
        <v>388</v>
      </c>
      <c r="S2678" s="73">
        <v>0</v>
      </c>
      <c r="T2678" s="71" t="s">
        <v>390</v>
      </c>
      <c r="U2678" s="74">
        <v>1</v>
      </c>
      <c r="V2678" s="71" t="s">
        <v>391</v>
      </c>
      <c r="W2678" s="130">
        <v>46091.725694444445</v>
      </c>
      <c r="X2678" s="72">
        <v>46093.371527777781</v>
      </c>
      <c r="Y2678" s="72">
        <v>46100.666666666664</v>
      </c>
      <c r="Z2678" s="104" t="s">
        <v>382</v>
      </c>
      <c r="AA2678" s="104" t="s">
        <v>402</v>
      </c>
      <c r="AB2678" s="105">
        <v>46093.429166666669</v>
      </c>
      <c r="AC2678" s="105">
        <v>46093.841666666667</v>
      </c>
    </row>
    <row r="2679" s="70" customFormat="1" ht="11.25" customHeight="1">
      <c r="A2679" s="87"/>
      <c r="C2679" s="43" t="s">
        <v>4472</v>
      </c>
      <c r="D2679" s="71" t="s">
        <v>382</v>
      </c>
      <c r="E2679" s="71" t="str">
        <f>MID(D2679,1,2)</f>
        <v>IL</v>
      </c>
      <c r="F2679" s="71" t="s">
        <v>963</v>
      </c>
      <c r="G2679" s="71" t="str">
        <f>MID(F2679,1,2)</f>
        <v>IN</v>
      </c>
      <c r="H2679" s="43" t="s">
        <v>4120</v>
      </c>
      <c r="I2679" s="71" t="s">
        <v>4473</v>
      </c>
      <c r="J2679" s="71" t="s">
        <v>426</v>
      </c>
      <c r="K2679" s="43"/>
      <c r="L2679" s="71" t="s">
        <v>105</v>
      </c>
      <c r="M2679" s="73">
        <v>12</v>
      </c>
      <c r="N2679" s="71" t="s">
        <v>388</v>
      </c>
      <c r="O2679" s="73">
        <v>0.076</v>
      </c>
      <c r="P2679" s="71" t="s">
        <v>389</v>
      </c>
      <c r="Q2679" s="73">
        <v>13</v>
      </c>
      <c r="R2679" s="71" t="s">
        <v>388</v>
      </c>
      <c r="S2679" s="73">
        <v>0</v>
      </c>
      <c r="T2679" s="71" t="s">
        <v>390</v>
      </c>
      <c r="U2679" s="74">
        <v>1</v>
      </c>
      <c r="V2679" s="71" t="s">
        <v>391</v>
      </c>
      <c r="W2679" s="130">
        <v>46091.725694444445</v>
      </c>
      <c r="X2679" s="72">
        <v>46093.371527777781</v>
      </c>
      <c r="Y2679" s="72">
        <v>46100.666666666664</v>
      </c>
      <c r="Z2679" s="104" t="s">
        <v>402</v>
      </c>
      <c r="AA2679" s="104" t="s">
        <v>809</v>
      </c>
      <c r="AB2679" s="105">
        <v>46093.888194444444</v>
      </c>
      <c r="AC2679" s="105">
        <v>46093.842361111114</v>
      </c>
    </row>
    <row r="2680" s="70" customFormat="1" ht="11.25" customHeight="1">
      <c r="A2680" s="87"/>
      <c r="C2680" s="43" t="s">
        <v>4472</v>
      </c>
      <c r="D2680" s="71" t="s">
        <v>382</v>
      </c>
      <c r="E2680" s="71" t="str">
        <f>MID(D2680,1,2)</f>
        <v>IL</v>
      </c>
      <c r="F2680" s="71" t="s">
        <v>963</v>
      </c>
      <c r="G2680" s="71" t="str">
        <f>MID(F2680,1,2)</f>
        <v>IN</v>
      </c>
      <c r="H2680" s="43" t="s">
        <v>4120</v>
      </c>
      <c r="I2680" s="71" t="s">
        <v>4473</v>
      </c>
      <c r="J2680" s="71" t="s">
        <v>426</v>
      </c>
      <c r="K2680" s="43"/>
      <c r="L2680" s="71" t="s">
        <v>105</v>
      </c>
      <c r="M2680" s="73">
        <v>12</v>
      </c>
      <c r="N2680" s="71" t="s">
        <v>388</v>
      </c>
      <c r="O2680" s="73">
        <v>0.076</v>
      </c>
      <c r="P2680" s="71" t="s">
        <v>389</v>
      </c>
      <c r="Q2680" s="73">
        <v>13</v>
      </c>
      <c r="R2680" s="71" t="s">
        <v>388</v>
      </c>
      <c r="S2680" s="73">
        <v>0</v>
      </c>
      <c r="T2680" s="71" t="s">
        <v>390</v>
      </c>
      <c r="U2680" s="74">
        <v>1</v>
      </c>
      <c r="V2680" s="71" t="s">
        <v>391</v>
      </c>
      <c r="W2680" s="130">
        <v>46091.725694444445</v>
      </c>
      <c r="X2680" s="72">
        <v>46093.371527777781</v>
      </c>
      <c r="Y2680" s="72">
        <v>46100.666666666664</v>
      </c>
      <c r="Z2680" s="104" t="s">
        <v>809</v>
      </c>
      <c r="AA2680" s="104" t="s">
        <v>963</v>
      </c>
      <c r="AB2680" s="105">
        <v>46098.365972222222</v>
      </c>
      <c r="AC2680" s="105">
        <v>46100.365972222222</v>
      </c>
    </row>
    <row r="2681" s="70" customFormat="1" ht="11.25" customHeight="1">
      <c r="A2681" s="87"/>
      <c r="C2681" s="43" t="s">
        <v>4474</v>
      </c>
      <c r="D2681" s="71" t="s">
        <v>382</v>
      </c>
      <c r="E2681" s="71" t="str">
        <f>MID(D2681,1,2)</f>
        <v>IL</v>
      </c>
      <c r="F2681" s="71" t="s">
        <v>414</v>
      </c>
      <c r="G2681" s="71" t="str">
        <f>MID(F2681,1,2)</f>
        <v>US</v>
      </c>
      <c r="H2681" s="43" t="s">
        <v>2791</v>
      </c>
      <c r="I2681" s="71" t="s">
        <v>4475</v>
      </c>
      <c r="J2681" s="71" t="s">
        <v>386</v>
      </c>
      <c r="K2681" s="43"/>
      <c r="L2681" s="71" t="s">
        <v>107</v>
      </c>
      <c r="M2681" s="73">
        <v>5</v>
      </c>
      <c r="N2681" s="71" t="s">
        <v>388</v>
      </c>
      <c r="O2681" s="73">
        <v>0.061</v>
      </c>
      <c r="P2681" s="71" t="s">
        <v>389</v>
      </c>
      <c r="Q2681" s="73">
        <v>10.5</v>
      </c>
      <c r="R2681" s="71" t="s">
        <v>388</v>
      </c>
      <c r="S2681" s="73">
        <v>0</v>
      </c>
      <c r="T2681" s="71" t="s">
        <v>390</v>
      </c>
      <c r="U2681" s="74">
        <v>1</v>
      </c>
      <c r="V2681" s="71" t="s">
        <v>446</v>
      </c>
      <c r="W2681" s="130">
        <v>46089.598993055559</v>
      </c>
      <c r="X2681" s="72">
        <v>46091.229166666664</v>
      </c>
      <c r="Y2681" s="72">
        <v>46096.291666666664</v>
      </c>
      <c r="Z2681" s="104" t="s">
        <v>382</v>
      </c>
      <c r="AA2681" s="104" t="s">
        <v>414</v>
      </c>
      <c r="AB2681" s="105">
        <v>46091.945833333331</v>
      </c>
      <c r="AC2681" s="105">
        <v>46092.136111111111</v>
      </c>
    </row>
    <row r="2682" s="70" customFormat="1" ht="11.25" customHeight="1">
      <c r="A2682" s="87"/>
      <c r="C2682" s="43" t="s">
        <v>4476</v>
      </c>
      <c r="D2682" s="71" t="s">
        <v>382</v>
      </c>
      <c r="E2682" s="71" t="str">
        <f>MID(D2682,1,2)</f>
        <v>IL</v>
      </c>
      <c r="F2682" s="71" t="s">
        <v>978</v>
      </c>
      <c r="G2682" s="71" t="str">
        <f>MID(F2682,1,2)</f>
        <v>PL</v>
      </c>
      <c r="H2682" s="43" t="s">
        <v>4311</v>
      </c>
      <c r="I2682" s="71" t="s">
        <v>4477</v>
      </c>
      <c r="J2682" s="71" t="s">
        <v>386</v>
      </c>
      <c r="K2682" s="43"/>
      <c r="L2682" s="71" t="s">
        <v>107</v>
      </c>
      <c r="M2682" s="73">
        <v>1423</v>
      </c>
      <c r="N2682" s="71" t="s">
        <v>388</v>
      </c>
      <c r="O2682" s="73">
        <v>1.257</v>
      </c>
      <c r="P2682" s="71" t="s">
        <v>389</v>
      </c>
      <c r="Q2682" s="73">
        <v>1423</v>
      </c>
      <c r="R2682" s="71" t="s">
        <v>388</v>
      </c>
      <c r="S2682" s="73">
        <v>0</v>
      </c>
      <c r="T2682" s="71" t="s">
        <v>390</v>
      </c>
      <c r="U2682" s="74">
        <v>5</v>
      </c>
      <c r="V2682" s="71" t="s">
        <v>391</v>
      </c>
      <c r="W2682" s="130">
        <v>46084.563194444447</v>
      </c>
      <c r="X2682" s="72">
        <v>46091</v>
      </c>
      <c r="Y2682" s="72">
        <v>46091.443055555559</v>
      </c>
      <c r="Z2682" s="104" t="s">
        <v>382</v>
      </c>
      <c r="AA2682" s="104" t="s">
        <v>383</v>
      </c>
      <c r="AB2682" s="105">
        <v>46091.292361111111</v>
      </c>
      <c r="AC2682" s="105">
        <v>46091.435416666667</v>
      </c>
    </row>
    <row r="2683" s="70" customFormat="1" ht="11.25" customHeight="1">
      <c r="A2683" s="87"/>
      <c r="C2683" s="43" t="s">
        <v>4476</v>
      </c>
      <c r="D2683" s="71" t="s">
        <v>382</v>
      </c>
      <c r="E2683" s="71" t="str">
        <f>MID(D2683,1,2)</f>
        <v>IL</v>
      </c>
      <c r="F2683" s="71" t="s">
        <v>978</v>
      </c>
      <c r="G2683" s="71" t="str">
        <f>MID(F2683,1,2)</f>
        <v>PL</v>
      </c>
      <c r="H2683" s="43" t="s">
        <v>4311</v>
      </c>
      <c r="I2683" s="71" t="s">
        <v>4477</v>
      </c>
      <c r="J2683" s="71" t="s">
        <v>386</v>
      </c>
      <c r="K2683" s="43"/>
      <c r="L2683" s="71" t="s">
        <v>107</v>
      </c>
      <c r="M2683" s="73">
        <v>1423</v>
      </c>
      <c r="N2683" s="71" t="s">
        <v>388</v>
      </c>
      <c r="O2683" s="73">
        <v>1.257</v>
      </c>
      <c r="P2683" s="71" t="s">
        <v>389</v>
      </c>
      <c r="Q2683" s="73">
        <v>1423</v>
      </c>
      <c r="R2683" s="71" t="s">
        <v>388</v>
      </c>
      <c r="S2683" s="73">
        <v>0</v>
      </c>
      <c r="T2683" s="71" t="s">
        <v>390</v>
      </c>
      <c r="U2683" s="74">
        <v>5</v>
      </c>
      <c r="V2683" s="71" t="s">
        <v>391</v>
      </c>
      <c r="W2683" s="130">
        <v>46084.563194444447</v>
      </c>
      <c r="X2683" s="72">
        <v>46091</v>
      </c>
      <c r="Y2683" s="72">
        <v>46091.443055555559</v>
      </c>
      <c r="Z2683" s="104" t="s">
        <v>383</v>
      </c>
      <c r="AA2683" s="104" t="s">
        <v>4478</v>
      </c>
      <c r="AB2683" s="105">
        <v>46096.076388888891</v>
      </c>
      <c r="AC2683" s="105">
        <v>46097.5</v>
      </c>
    </row>
    <row r="2684" s="70" customFormat="1" ht="11.25" customHeight="1">
      <c r="A2684" s="87"/>
      <c r="C2684" s="43" t="s">
        <v>4479</v>
      </c>
      <c r="D2684" s="71" t="s">
        <v>382</v>
      </c>
      <c r="E2684" s="71" t="str">
        <f>MID(D2684,1,2)</f>
        <v>IL</v>
      </c>
      <c r="F2684" s="71" t="s">
        <v>667</v>
      </c>
      <c r="G2684" s="71" t="str">
        <f>MID(F2684,1,2)</f>
        <v>DE</v>
      </c>
      <c r="H2684" s="43" t="s">
        <v>4480</v>
      </c>
      <c r="I2684" s="71" t="s">
        <v>4481</v>
      </c>
      <c r="J2684" s="71" t="s">
        <v>400</v>
      </c>
      <c r="K2684" s="43"/>
      <c r="L2684" s="71" t="s">
        <v>105</v>
      </c>
      <c r="M2684" s="73">
        <v>2</v>
      </c>
      <c r="N2684" s="71" t="s">
        <v>388</v>
      </c>
      <c r="O2684" s="73">
        <v>0.023</v>
      </c>
      <c r="P2684" s="71" t="s">
        <v>389</v>
      </c>
      <c r="Q2684" s="73">
        <v>4</v>
      </c>
      <c r="R2684" s="71" t="s">
        <v>388</v>
      </c>
      <c r="S2684" s="73">
        <v>0</v>
      </c>
      <c r="T2684" s="71" t="s">
        <v>390</v>
      </c>
      <c r="U2684" s="74">
        <v>1</v>
      </c>
      <c r="V2684" s="71" t="s">
        <v>391</v>
      </c>
      <c r="W2684" s="130">
        <v>46089.49375</v>
      </c>
      <c r="X2684" s="72">
        <v>46096.166666666664</v>
      </c>
      <c r="Y2684" s="72">
        <v>46099.753472222219</v>
      </c>
      <c r="Z2684" s="104" t="s">
        <v>382</v>
      </c>
      <c r="AA2684" s="104" t="s">
        <v>408</v>
      </c>
      <c r="AB2684" s="105">
        <v>46096.517361111109</v>
      </c>
      <c r="AC2684" s="105"/>
    </row>
    <row r="2685" s="70" customFormat="1" ht="11.25" customHeight="1">
      <c r="A2685" s="87"/>
      <c r="C2685" s="43" t="s">
        <v>4479</v>
      </c>
      <c r="D2685" s="71" t="s">
        <v>382</v>
      </c>
      <c r="E2685" s="71" t="str">
        <f>MID(D2685,1,2)</f>
        <v>IL</v>
      </c>
      <c r="F2685" s="71" t="s">
        <v>667</v>
      </c>
      <c r="G2685" s="71" t="str">
        <f>MID(F2685,1,2)</f>
        <v>DE</v>
      </c>
      <c r="H2685" s="43" t="s">
        <v>4480</v>
      </c>
      <c r="I2685" s="71" t="s">
        <v>4481</v>
      </c>
      <c r="J2685" s="71" t="s">
        <v>400</v>
      </c>
      <c r="K2685" s="43"/>
      <c r="L2685" s="71" t="s">
        <v>105</v>
      </c>
      <c r="M2685" s="73">
        <v>2</v>
      </c>
      <c r="N2685" s="71" t="s">
        <v>388</v>
      </c>
      <c r="O2685" s="73">
        <v>0.023</v>
      </c>
      <c r="P2685" s="71" t="s">
        <v>389</v>
      </c>
      <c r="Q2685" s="73">
        <v>4</v>
      </c>
      <c r="R2685" s="71" t="s">
        <v>388</v>
      </c>
      <c r="S2685" s="73">
        <v>0</v>
      </c>
      <c r="T2685" s="71" t="s">
        <v>390</v>
      </c>
      <c r="U2685" s="74">
        <v>1</v>
      </c>
      <c r="V2685" s="71" t="s">
        <v>391</v>
      </c>
      <c r="W2685" s="130">
        <v>46089.49375</v>
      </c>
      <c r="X2685" s="72">
        <v>46096.166666666664</v>
      </c>
      <c r="Y2685" s="72">
        <v>46099.753472222219</v>
      </c>
      <c r="Z2685" s="104" t="s">
        <v>408</v>
      </c>
      <c r="AA2685" s="104" t="s">
        <v>3173</v>
      </c>
      <c r="AB2685" s="105">
        <v>46098.791666666664</v>
      </c>
      <c r="AC2685" s="105"/>
    </row>
    <row r="2686" s="70" customFormat="1" ht="11.25" customHeight="1">
      <c r="A2686" s="87"/>
      <c r="C2686" s="43" t="s">
        <v>4479</v>
      </c>
      <c r="D2686" s="71" t="s">
        <v>382</v>
      </c>
      <c r="E2686" s="71" t="str">
        <f>MID(D2686,1,2)</f>
        <v>IL</v>
      </c>
      <c r="F2686" s="71" t="s">
        <v>667</v>
      </c>
      <c r="G2686" s="71" t="str">
        <f>MID(F2686,1,2)</f>
        <v>DE</v>
      </c>
      <c r="H2686" s="43" t="s">
        <v>4480</v>
      </c>
      <c r="I2686" s="71" t="s">
        <v>4481</v>
      </c>
      <c r="J2686" s="71" t="s">
        <v>400</v>
      </c>
      <c r="K2686" s="43"/>
      <c r="L2686" s="71" t="s">
        <v>105</v>
      </c>
      <c r="M2686" s="73">
        <v>2</v>
      </c>
      <c r="N2686" s="71" t="s">
        <v>388</v>
      </c>
      <c r="O2686" s="73">
        <v>0.023</v>
      </c>
      <c r="P2686" s="71" t="s">
        <v>389</v>
      </c>
      <c r="Q2686" s="73">
        <v>4</v>
      </c>
      <c r="R2686" s="71" t="s">
        <v>388</v>
      </c>
      <c r="S2686" s="73">
        <v>0</v>
      </c>
      <c r="T2686" s="71" t="s">
        <v>390</v>
      </c>
      <c r="U2686" s="74">
        <v>1</v>
      </c>
      <c r="V2686" s="71" t="s">
        <v>391</v>
      </c>
      <c r="W2686" s="130">
        <v>46089.49375</v>
      </c>
      <c r="X2686" s="72">
        <v>46096.166666666664</v>
      </c>
      <c r="Y2686" s="72">
        <v>46099.753472222219</v>
      </c>
      <c r="Z2686" s="104" t="s">
        <v>3173</v>
      </c>
      <c r="AA2686" s="104" t="s">
        <v>667</v>
      </c>
      <c r="AB2686" s="105">
        <v>46099.209027777775</v>
      </c>
      <c r="AC2686" s="105">
        <v>46099.625</v>
      </c>
    </row>
    <row r="2687" s="70" customFormat="1" ht="11.25" customHeight="1">
      <c r="A2687" s="87"/>
      <c r="C2687" s="43" t="s">
        <v>4482</v>
      </c>
      <c r="D2687" s="71" t="s">
        <v>382</v>
      </c>
      <c r="E2687" s="71" t="str">
        <f>MID(D2687,1,2)</f>
        <v>IL</v>
      </c>
      <c r="F2687" s="71" t="s">
        <v>471</v>
      </c>
      <c r="G2687" s="71" t="str">
        <f>MID(F2687,1,2)</f>
        <v>US</v>
      </c>
      <c r="H2687" s="43" t="s">
        <v>4483</v>
      </c>
      <c r="I2687" s="71" t="s">
        <v>4484</v>
      </c>
      <c r="J2687" s="71" t="s">
        <v>386</v>
      </c>
      <c r="K2687" s="43"/>
      <c r="L2687" s="71" t="s">
        <v>107</v>
      </c>
      <c r="M2687" s="73">
        <v>207</v>
      </c>
      <c r="N2687" s="71" t="s">
        <v>388</v>
      </c>
      <c r="O2687" s="73">
        <v>2.196</v>
      </c>
      <c r="P2687" s="71" t="s">
        <v>389</v>
      </c>
      <c r="Q2687" s="73">
        <v>366</v>
      </c>
      <c r="R2687" s="71" t="s">
        <v>388</v>
      </c>
      <c r="S2687" s="73">
        <v>0</v>
      </c>
      <c r="T2687" s="71" t="s">
        <v>390</v>
      </c>
      <c r="U2687" s="74">
        <v>3</v>
      </c>
      <c r="V2687" s="71" t="s">
        <v>391</v>
      </c>
      <c r="W2687" s="130">
        <v>46092.64266203704</v>
      </c>
      <c r="X2687" s="72">
        <v>46097.677777777775</v>
      </c>
      <c r="Y2687" s="72">
        <v>46098.625</v>
      </c>
      <c r="Z2687" s="104" t="s">
        <v>382</v>
      </c>
      <c r="AA2687" s="104" t="s">
        <v>471</v>
      </c>
      <c r="AB2687" s="105">
        <v>46098.511111111111</v>
      </c>
      <c r="AC2687" s="105">
        <v>46098.625</v>
      </c>
    </row>
    <row r="2688" s="70" customFormat="1" ht="11.25" customHeight="1">
      <c r="A2688" s="87"/>
      <c r="C2688" s="43" t="s">
        <v>4485</v>
      </c>
      <c r="D2688" s="71" t="s">
        <v>382</v>
      </c>
      <c r="E2688" s="71" t="str">
        <f>MID(D2688,1,2)</f>
        <v>IL</v>
      </c>
      <c r="F2688" s="71" t="s">
        <v>471</v>
      </c>
      <c r="G2688" s="71" t="str">
        <f>MID(F2688,1,2)</f>
        <v>US</v>
      </c>
      <c r="H2688" s="43" t="s">
        <v>4486</v>
      </c>
      <c r="I2688" s="71" t="s">
        <v>4487</v>
      </c>
      <c r="J2688" s="71" t="s">
        <v>386</v>
      </c>
      <c r="K2688" s="43"/>
      <c r="L2688" s="71" t="s">
        <v>107</v>
      </c>
      <c r="M2688" s="73">
        <v>37</v>
      </c>
      <c r="N2688" s="71" t="s">
        <v>388</v>
      </c>
      <c r="O2688" s="73">
        <v>0.71</v>
      </c>
      <c r="P2688" s="71" t="s">
        <v>389</v>
      </c>
      <c r="Q2688" s="73">
        <v>118.5</v>
      </c>
      <c r="R2688" s="71" t="s">
        <v>388</v>
      </c>
      <c r="S2688" s="73">
        <v>0</v>
      </c>
      <c r="T2688" s="71" t="s">
        <v>390</v>
      </c>
      <c r="U2688" s="74">
        <v>2</v>
      </c>
      <c r="V2688" s="71" t="s">
        <v>391</v>
      </c>
      <c r="W2688" s="130">
        <v>46084.4375</v>
      </c>
      <c r="X2688" s="72">
        <v>46095</v>
      </c>
      <c r="Y2688" s="72">
        <v>46098.625</v>
      </c>
      <c r="Z2688" s="104" t="s">
        <v>382</v>
      </c>
      <c r="AA2688" s="104" t="s">
        <v>471</v>
      </c>
      <c r="AB2688" s="105">
        <v>46098.510416666664</v>
      </c>
      <c r="AC2688" s="105">
        <v>46098.625</v>
      </c>
    </row>
    <row r="2689" s="70" customFormat="1" ht="11.25" customHeight="1">
      <c r="A2689" s="87"/>
      <c r="C2689" s="43" t="s">
        <v>4488</v>
      </c>
      <c r="D2689" s="71" t="s">
        <v>382</v>
      </c>
      <c r="E2689" s="71" t="str">
        <f>MID(D2689,1,2)</f>
        <v>IL</v>
      </c>
      <c r="F2689" s="71" t="s">
        <v>496</v>
      </c>
      <c r="G2689" s="71" t="str">
        <f>MID(F2689,1,2)</f>
        <v>RO</v>
      </c>
      <c r="H2689" s="43" t="s">
        <v>4320</v>
      </c>
      <c r="I2689" s="71" t="s">
        <v>4489</v>
      </c>
      <c r="J2689" s="71" t="s">
        <v>400</v>
      </c>
      <c r="K2689" s="43"/>
      <c r="L2689" s="71" t="s">
        <v>105</v>
      </c>
      <c r="M2689" s="73">
        <v>45</v>
      </c>
      <c r="N2689" s="71" t="s">
        <v>388</v>
      </c>
      <c r="O2689" s="73">
        <v>0.708</v>
      </c>
      <c r="P2689" s="71" t="s">
        <v>389</v>
      </c>
      <c r="Q2689" s="73">
        <v>118</v>
      </c>
      <c r="R2689" s="71" t="s">
        <v>388</v>
      </c>
      <c r="S2689" s="73">
        <v>0</v>
      </c>
      <c r="T2689" s="71" t="s">
        <v>390</v>
      </c>
      <c r="U2689" s="74">
        <v>1</v>
      </c>
      <c r="V2689" s="71" t="s">
        <v>391</v>
      </c>
      <c r="W2689" s="130">
        <v>46083.70208333333</v>
      </c>
      <c r="X2689" s="72">
        <v>46089.229166666664</v>
      </c>
      <c r="Y2689" s="72">
        <v>46092.416666666664</v>
      </c>
      <c r="Z2689" s="104" t="s">
        <v>408</v>
      </c>
      <c r="AA2689" s="104" t="s">
        <v>496</v>
      </c>
      <c r="AB2689" s="105">
        <v>46092.350694444445</v>
      </c>
      <c r="AC2689" s="105">
        <v>46092.416666666664</v>
      </c>
    </row>
    <row r="2690" s="70" customFormat="1" ht="11.25" customHeight="1">
      <c r="A2690" s="87"/>
      <c r="C2690" s="43" t="s">
        <v>4488</v>
      </c>
      <c r="D2690" s="71" t="s">
        <v>382</v>
      </c>
      <c r="E2690" s="71" t="str">
        <f>MID(D2690,1,2)</f>
        <v>IL</v>
      </c>
      <c r="F2690" s="71" t="s">
        <v>496</v>
      </c>
      <c r="G2690" s="71" t="str">
        <f>MID(F2690,1,2)</f>
        <v>RO</v>
      </c>
      <c r="H2690" s="43" t="s">
        <v>4320</v>
      </c>
      <c r="I2690" s="71" t="s">
        <v>4489</v>
      </c>
      <c r="J2690" s="71" t="s">
        <v>400</v>
      </c>
      <c r="K2690" s="43"/>
      <c r="L2690" s="71" t="s">
        <v>105</v>
      </c>
      <c r="M2690" s="73">
        <v>45</v>
      </c>
      <c r="N2690" s="71" t="s">
        <v>388</v>
      </c>
      <c r="O2690" s="73">
        <v>0.708</v>
      </c>
      <c r="P2690" s="71" t="s">
        <v>389</v>
      </c>
      <c r="Q2690" s="73">
        <v>118</v>
      </c>
      <c r="R2690" s="71" t="s">
        <v>388</v>
      </c>
      <c r="S2690" s="73">
        <v>0</v>
      </c>
      <c r="T2690" s="71" t="s">
        <v>390</v>
      </c>
      <c r="U2690" s="74">
        <v>1</v>
      </c>
      <c r="V2690" s="71" t="s">
        <v>391</v>
      </c>
      <c r="W2690" s="130">
        <v>46083.70208333333</v>
      </c>
      <c r="X2690" s="72">
        <v>46089.229166666664</v>
      </c>
      <c r="Y2690" s="72">
        <v>46092.416666666664</v>
      </c>
      <c r="Z2690" s="104" t="s">
        <v>382</v>
      </c>
      <c r="AA2690" s="104" t="s">
        <v>408</v>
      </c>
      <c r="AB2690" s="105">
        <v>46089.215277777781</v>
      </c>
      <c r="AC2690" s="105">
        <v>46090.083333333336</v>
      </c>
    </row>
    <row r="2691" s="70" customFormat="1" ht="11.25" customHeight="1">
      <c r="A2691" s="87"/>
      <c r="C2691" s="43" t="s">
        <v>4490</v>
      </c>
      <c r="D2691" s="71" t="s">
        <v>382</v>
      </c>
      <c r="E2691" s="71" t="str">
        <f>MID(D2691,1,2)</f>
        <v>IL</v>
      </c>
      <c r="F2691" s="71" t="s">
        <v>1538</v>
      </c>
      <c r="G2691" s="71" t="str">
        <f>MID(F2691,1,2)</f>
        <v>KR</v>
      </c>
      <c r="H2691" s="43" t="s">
        <v>3993</v>
      </c>
      <c r="I2691" s="71" t="s">
        <v>4491</v>
      </c>
      <c r="J2691" s="71" t="s">
        <v>755</v>
      </c>
      <c r="K2691" s="43"/>
      <c r="L2691" s="71" t="s">
        <v>105</v>
      </c>
      <c r="M2691" s="73">
        <v>83</v>
      </c>
      <c r="N2691" s="71" t="s">
        <v>388</v>
      </c>
      <c r="O2691" s="73">
        <v>1.324</v>
      </c>
      <c r="P2691" s="71" t="s">
        <v>389</v>
      </c>
      <c r="Q2691" s="73">
        <v>221</v>
      </c>
      <c r="R2691" s="71" t="s">
        <v>388</v>
      </c>
      <c r="S2691" s="73">
        <v>0</v>
      </c>
      <c r="T2691" s="71" t="s">
        <v>390</v>
      </c>
      <c r="U2691" s="74">
        <v>1</v>
      </c>
      <c r="V2691" s="71" t="s">
        <v>391</v>
      </c>
      <c r="W2691" s="130">
        <v>46084.45208333333</v>
      </c>
      <c r="X2691" s="72">
        <v>46085.111111111109</v>
      </c>
      <c r="Y2691" s="72">
        <v>46105.625</v>
      </c>
      <c r="Z2691" s="104" t="s">
        <v>382</v>
      </c>
      <c r="AA2691" s="104" t="s">
        <v>466</v>
      </c>
      <c r="AB2691" s="105">
        <v>46087.102083333331</v>
      </c>
      <c r="AC2691" s="105">
        <v>46087.234722222223</v>
      </c>
    </row>
    <row r="2692" s="70" customFormat="1" ht="11.25" customHeight="1">
      <c r="A2692" s="87"/>
      <c r="C2692" s="43" t="s">
        <v>4490</v>
      </c>
      <c r="D2692" s="71" t="s">
        <v>382</v>
      </c>
      <c r="E2692" s="71" t="str">
        <f>MID(D2692,1,2)</f>
        <v>IL</v>
      </c>
      <c r="F2692" s="71" t="s">
        <v>1538</v>
      </c>
      <c r="G2692" s="71" t="str">
        <f>MID(F2692,1,2)</f>
        <v>KR</v>
      </c>
      <c r="H2692" s="43" t="s">
        <v>3993</v>
      </c>
      <c r="I2692" s="71" t="s">
        <v>4491</v>
      </c>
      <c r="J2692" s="71" t="s">
        <v>755</v>
      </c>
      <c r="K2692" s="43"/>
      <c r="L2692" s="71" t="s">
        <v>105</v>
      </c>
      <c r="M2692" s="73">
        <v>83</v>
      </c>
      <c r="N2692" s="71" t="s">
        <v>388</v>
      </c>
      <c r="O2692" s="73">
        <v>1.324</v>
      </c>
      <c r="P2692" s="71" t="s">
        <v>389</v>
      </c>
      <c r="Q2692" s="73">
        <v>221</v>
      </c>
      <c r="R2692" s="71" t="s">
        <v>388</v>
      </c>
      <c r="S2692" s="73">
        <v>0</v>
      </c>
      <c r="T2692" s="71" t="s">
        <v>390</v>
      </c>
      <c r="U2692" s="74">
        <v>1</v>
      </c>
      <c r="V2692" s="71" t="s">
        <v>391</v>
      </c>
      <c r="W2692" s="130">
        <v>46084.45208333333</v>
      </c>
      <c r="X2692" s="72">
        <v>46085.111111111109</v>
      </c>
      <c r="Y2692" s="72">
        <v>46105.625</v>
      </c>
      <c r="Z2692" s="104" t="s">
        <v>466</v>
      </c>
      <c r="AA2692" s="104" t="s">
        <v>1117</v>
      </c>
      <c r="AB2692" s="105">
        <v>46101.209722222222</v>
      </c>
      <c r="AC2692" s="105">
        <v>46101.428472222222</v>
      </c>
    </row>
    <row r="2693" s="70" customFormat="1" ht="11.25" customHeight="1">
      <c r="A2693" s="87"/>
      <c r="C2693" s="43" t="s">
        <v>4490</v>
      </c>
      <c r="D2693" s="71" t="s">
        <v>382</v>
      </c>
      <c r="E2693" s="71" t="str">
        <f>MID(D2693,1,2)</f>
        <v>IL</v>
      </c>
      <c r="F2693" s="71" t="s">
        <v>1538</v>
      </c>
      <c r="G2693" s="71" t="str">
        <f>MID(F2693,1,2)</f>
        <v>KR</v>
      </c>
      <c r="H2693" s="43" t="s">
        <v>3993</v>
      </c>
      <c r="I2693" s="71" t="s">
        <v>4491</v>
      </c>
      <c r="J2693" s="71" t="s">
        <v>755</v>
      </c>
      <c r="K2693" s="43"/>
      <c r="L2693" s="71" t="s">
        <v>105</v>
      </c>
      <c r="M2693" s="73">
        <v>83</v>
      </c>
      <c r="N2693" s="71" t="s">
        <v>388</v>
      </c>
      <c r="O2693" s="73">
        <v>1.324</v>
      </c>
      <c r="P2693" s="71" t="s">
        <v>389</v>
      </c>
      <c r="Q2693" s="73">
        <v>221</v>
      </c>
      <c r="R2693" s="71" t="s">
        <v>388</v>
      </c>
      <c r="S2693" s="73">
        <v>0</v>
      </c>
      <c r="T2693" s="71" t="s">
        <v>390</v>
      </c>
      <c r="U2693" s="74">
        <v>1</v>
      </c>
      <c r="V2693" s="71" t="s">
        <v>391</v>
      </c>
      <c r="W2693" s="130">
        <v>46084.45208333333</v>
      </c>
      <c r="X2693" s="72">
        <v>46085.111111111109</v>
      </c>
      <c r="Y2693" s="72">
        <v>46105.625</v>
      </c>
      <c r="Z2693" s="104" t="s">
        <v>1117</v>
      </c>
      <c r="AA2693" s="104" t="s">
        <v>1538</v>
      </c>
      <c r="AB2693" s="105"/>
      <c r="AC2693" s="105"/>
    </row>
    <row r="2694" s="70" customFormat="1" ht="11.25" customHeight="1">
      <c r="A2694" s="87"/>
      <c r="C2694" s="43" t="s">
        <v>4492</v>
      </c>
      <c r="D2694" s="71" t="s">
        <v>382</v>
      </c>
      <c r="E2694" s="71" t="str">
        <f>MID(D2694,1,2)</f>
        <v>IL</v>
      </c>
      <c r="F2694" s="71" t="s">
        <v>422</v>
      </c>
      <c r="G2694" s="71" t="str">
        <f>MID(F2694,1,2)</f>
        <v>US</v>
      </c>
      <c r="H2694" s="43" t="s">
        <v>4493</v>
      </c>
      <c r="I2694" s="71"/>
      <c r="J2694" s="71" t="s">
        <v>426</v>
      </c>
      <c r="K2694" s="43"/>
      <c r="L2694" s="71" t="s">
        <v>105</v>
      </c>
      <c r="M2694" s="73">
        <v>3488</v>
      </c>
      <c r="N2694" s="71" t="s">
        <v>388</v>
      </c>
      <c r="O2694" s="73">
        <v>12.072</v>
      </c>
      <c r="P2694" s="71" t="s">
        <v>389</v>
      </c>
      <c r="Q2694" s="73">
        <v>3488</v>
      </c>
      <c r="R2694" s="71" t="s">
        <v>388</v>
      </c>
      <c r="S2694" s="73">
        <v>0</v>
      </c>
      <c r="T2694" s="71" t="s">
        <v>390</v>
      </c>
      <c r="U2694" s="74">
        <v>10</v>
      </c>
      <c r="V2694" s="71" t="s">
        <v>391</v>
      </c>
      <c r="W2694" s="130"/>
      <c r="X2694" s="72">
        <v>46098.041666666664</v>
      </c>
      <c r="Y2694" s="72">
        <v>46112.21875</v>
      </c>
      <c r="Z2694" s="104" t="s">
        <v>382</v>
      </c>
      <c r="AA2694" s="104" t="s">
        <v>422</v>
      </c>
      <c r="AB2694" s="105"/>
      <c r="AC2694" s="105"/>
    </row>
    <row r="2695" s="70" customFormat="1" ht="11.25" customHeight="1">
      <c r="A2695" s="87"/>
      <c r="C2695" s="43" t="s">
        <v>4494</v>
      </c>
      <c r="D2695" s="71" t="s">
        <v>382</v>
      </c>
      <c r="E2695" s="71" t="str">
        <f>MID(D2695,1,2)</f>
        <v>IL</v>
      </c>
      <c r="F2695" s="71" t="s">
        <v>774</v>
      </c>
      <c r="G2695" s="71" t="str">
        <f>MID(F2695,1,2)</f>
        <v>CN</v>
      </c>
      <c r="H2695" s="43" t="s">
        <v>4495</v>
      </c>
      <c r="I2695" s="71" t="s">
        <v>4496</v>
      </c>
      <c r="J2695" s="71" t="s">
        <v>755</v>
      </c>
      <c r="K2695" s="43"/>
      <c r="L2695" s="71" t="s">
        <v>105</v>
      </c>
      <c r="M2695" s="73">
        <v>1</v>
      </c>
      <c r="N2695" s="71" t="s">
        <v>388</v>
      </c>
      <c r="O2695" s="73">
        <v>0.004</v>
      </c>
      <c r="P2695" s="71" t="s">
        <v>389</v>
      </c>
      <c r="Q2695" s="73">
        <v>1</v>
      </c>
      <c r="R2695" s="71" t="s">
        <v>388</v>
      </c>
      <c r="S2695" s="73">
        <v>0</v>
      </c>
      <c r="T2695" s="71" t="s">
        <v>390</v>
      </c>
      <c r="U2695" s="74">
        <v>1</v>
      </c>
      <c r="V2695" s="71" t="s">
        <v>391</v>
      </c>
      <c r="W2695" s="130">
        <v>46084.593182870369</v>
      </c>
      <c r="X2695" s="72">
        <v>46086.4875</v>
      </c>
      <c r="Y2695" s="72">
        <v>46090.677083333336</v>
      </c>
      <c r="Z2695" s="104" t="s">
        <v>382</v>
      </c>
      <c r="AA2695" s="104" t="s">
        <v>383</v>
      </c>
      <c r="AB2695" s="105">
        <v>46086.496527777781</v>
      </c>
      <c r="AC2695" s="105"/>
    </row>
    <row r="2696" s="70" customFormat="1" ht="11.25" customHeight="1">
      <c r="A2696" s="87"/>
      <c r="C2696" s="43" t="s">
        <v>4494</v>
      </c>
      <c r="D2696" s="71" t="s">
        <v>382</v>
      </c>
      <c r="E2696" s="71" t="str">
        <f>MID(D2696,1,2)</f>
        <v>IL</v>
      </c>
      <c r="F2696" s="71" t="s">
        <v>774</v>
      </c>
      <c r="G2696" s="71" t="str">
        <f>MID(F2696,1,2)</f>
        <v>CN</v>
      </c>
      <c r="H2696" s="43" t="s">
        <v>4495</v>
      </c>
      <c r="I2696" s="71" t="s">
        <v>4496</v>
      </c>
      <c r="J2696" s="71" t="s">
        <v>755</v>
      </c>
      <c r="K2696" s="43"/>
      <c r="L2696" s="71" t="s">
        <v>105</v>
      </c>
      <c r="M2696" s="73">
        <v>1</v>
      </c>
      <c r="N2696" s="71" t="s">
        <v>388</v>
      </c>
      <c r="O2696" s="73">
        <v>0.004</v>
      </c>
      <c r="P2696" s="71" t="s">
        <v>389</v>
      </c>
      <c r="Q2696" s="73">
        <v>1</v>
      </c>
      <c r="R2696" s="71" t="s">
        <v>388</v>
      </c>
      <c r="S2696" s="73">
        <v>0</v>
      </c>
      <c r="T2696" s="71" t="s">
        <v>390</v>
      </c>
      <c r="U2696" s="74">
        <v>1</v>
      </c>
      <c r="V2696" s="71" t="s">
        <v>391</v>
      </c>
      <c r="W2696" s="130">
        <v>46084.593182870369</v>
      </c>
      <c r="X2696" s="72">
        <v>46086.4875</v>
      </c>
      <c r="Y2696" s="72">
        <v>46090.677083333336</v>
      </c>
      <c r="Z2696" s="104" t="s">
        <v>383</v>
      </c>
      <c r="AA2696" s="104" t="s">
        <v>403</v>
      </c>
      <c r="AB2696" s="105">
        <v>46088.507638888892</v>
      </c>
      <c r="AC2696" s="105">
        <v>46089.2625</v>
      </c>
    </row>
    <row r="2697" s="70" customFormat="1" ht="11.25" customHeight="1">
      <c r="A2697" s="87"/>
      <c r="C2697" s="43" t="s">
        <v>4494</v>
      </c>
      <c r="D2697" s="71" t="s">
        <v>382</v>
      </c>
      <c r="E2697" s="71" t="str">
        <f>MID(D2697,1,2)</f>
        <v>IL</v>
      </c>
      <c r="F2697" s="71" t="s">
        <v>774</v>
      </c>
      <c r="G2697" s="71" t="str">
        <f>MID(F2697,1,2)</f>
        <v>CN</v>
      </c>
      <c r="H2697" s="43" t="s">
        <v>4495</v>
      </c>
      <c r="I2697" s="71" t="s">
        <v>4496</v>
      </c>
      <c r="J2697" s="71" t="s">
        <v>755</v>
      </c>
      <c r="K2697" s="43"/>
      <c r="L2697" s="71" t="s">
        <v>105</v>
      </c>
      <c r="M2697" s="73">
        <v>1</v>
      </c>
      <c r="N2697" s="71" t="s">
        <v>388</v>
      </c>
      <c r="O2697" s="73">
        <v>0.004</v>
      </c>
      <c r="P2697" s="71" t="s">
        <v>389</v>
      </c>
      <c r="Q2697" s="73">
        <v>1</v>
      </c>
      <c r="R2697" s="71" t="s">
        <v>388</v>
      </c>
      <c r="S2697" s="73">
        <v>0</v>
      </c>
      <c r="T2697" s="71" t="s">
        <v>390</v>
      </c>
      <c r="U2697" s="74">
        <v>1</v>
      </c>
      <c r="V2697" s="71" t="s">
        <v>391</v>
      </c>
      <c r="W2697" s="130">
        <v>46084.593182870369</v>
      </c>
      <c r="X2697" s="72">
        <v>46086.4875</v>
      </c>
      <c r="Y2697" s="72">
        <v>46090.677083333336</v>
      </c>
      <c r="Z2697" s="104" t="s">
        <v>403</v>
      </c>
      <c r="AA2697" s="104" t="s">
        <v>774</v>
      </c>
      <c r="AB2697" s="105">
        <v>46090.56527777778</v>
      </c>
      <c r="AC2697" s="105">
        <v>46090.655555555553</v>
      </c>
    </row>
    <row r="2698" s="70" customFormat="1" ht="11.25" customHeight="1">
      <c r="A2698" s="87"/>
      <c r="C2698" s="43" t="s">
        <v>4497</v>
      </c>
      <c r="D2698" s="71" t="s">
        <v>382</v>
      </c>
      <c r="E2698" s="71" t="str">
        <f>MID(D2698,1,2)</f>
        <v>IL</v>
      </c>
      <c r="F2698" s="71" t="s">
        <v>422</v>
      </c>
      <c r="G2698" s="71" t="str">
        <f>MID(F2698,1,2)</f>
        <v>US</v>
      </c>
      <c r="H2698" s="43" t="s">
        <v>4498</v>
      </c>
      <c r="I2698" s="71"/>
      <c r="J2698" s="71" t="s">
        <v>426</v>
      </c>
      <c r="K2698" s="43"/>
      <c r="L2698" s="71" t="s">
        <v>105</v>
      </c>
      <c r="M2698" s="73">
        <v>3924</v>
      </c>
      <c r="N2698" s="71" t="s">
        <v>388</v>
      </c>
      <c r="O2698" s="73">
        <v>18.12</v>
      </c>
      <c r="P2698" s="71" t="s">
        <v>389</v>
      </c>
      <c r="Q2698" s="73">
        <v>3924</v>
      </c>
      <c r="R2698" s="71" t="s">
        <v>388</v>
      </c>
      <c r="S2698" s="73">
        <v>0</v>
      </c>
      <c r="T2698" s="71" t="s">
        <v>390</v>
      </c>
      <c r="U2698" s="74">
        <v>11</v>
      </c>
      <c r="V2698" s="71" t="s">
        <v>391</v>
      </c>
      <c r="W2698" s="130"/>
      <c r="X2698" s="72">
        <v>46097.041666666664</v>
      </c>
      <c r="Y2698" s="72">
        <v>46110.25</v>
      </c>
      <c r="Z2698" s="104" t="s">
        <v>382</v>
      </c>
      <c r="AA2698" s="104" t="s">
        <v>422</v>
      </c>
      <c r="AB2698" s="105"/>
      <c r="AC2698" s="105"/>
    </row>
    <row r="2699" s="70" customFormat="1" ht="11.25" customHeight="1">
      <c r="A2699" s="87"/>
      <c r="C2699" s="43" t="s">
        <v>4499</v>
      </c>
      <c r="D2699" s="71" t="s">
        <v>382</v>
      </c>
      <c r="E2699" s="71" t="str">
        <f>MID(D2699,1,2)</f>
        <v>IL</v>
      </c>
      <c r="F2699" s="71" t="s">
        <v>414</v>
      </c>
      <c r="G2699" s="71" t="str">
        <f>MID(F2699,1,2)</f>
        <v>US</v>
      </c>
      <c r="H2699" s="43" t="s">
        <v>4500</v>
      </c>
      <c r="I2699" s="71" t="s">
        <v>4501</v>
      </c>
      <c r="J2699" s="71" t="s">
        <v>386</v>
      </c>
      <c r="K2699" s="43"/>
      <c r="L2699" s="71" t="s">
        <v>107</v>
      </c>
      <c r="M2699" s="73">
        <v>66</v>
      </c>
      <c r="N2699" s="71" t="s">
        <v>388</v>
      </c>
      <c r="O2699" s="73">
        <v>0.586</v>
      </c>
      <c r="P2699" s="71" t="s">
        <v>389</v>
      </c>
      <c r="Q2699" s="73">
        <v>98</v>
      </c>
      <c r="R2699" s="71" t="s">
        <v>388</v>
      </c>
      <c r="S2699" s="73">
        <v>0</v>
      </c>
      <c r="T2699" s="71" t="s">
        <v>390</v>
      </c>
      <c r="U2699" s="74">
        <v>1</v>
      </c>
      <c r="V2699" s="71" t="s">
        <v>446</v>
      </c>
      <c r="W2699" s="130">
        <v>46089.396527777775</v>
      </c>
      <c r="X2699" s="72">
        <v>46090.875</v>
      </c>
      <c r="Y2699" s="72">
        <v>46092.072916666664</v>
      </c>
      <c r="Z2699" s="104" t="s">
        <v>382</v>
      </c>
      <c r="AA2699" s="104" t="s">
        <v>414</v>
      </c>
      <c r="AB2699" s="105">
        <v>46091.945833333331</v>
      </c>
      <c r="AC2699" s="105">
        <v>46092.136111111111</v>
      </c>
    </row>
    <row r="2700" s="70" customFormat="1" ht="11.25" customHeight="1">
      <c r="A2700" s="87"/>
      <c r="C2700" s="43" t="s">
        <v>4502</v>
      </c>
      <c r="D2700" s="71" t="s">
        <v>382</v>
      </c>
      <c r="E2700" s="71" t="str">
        <f>MID(D2700,1,2)</f>
        <v>IL</v>
      </c>
      <c r="F2700" s="71" t="s">
        <v>1108</v>
      </c>
      <c r="G2700" s="71" t="str">
        <f>MID(F2700,1,2)</f>
        <v>TW</v>
      </c>
      <c r="H2700" s="43" t="s">
        <v>2295</v>
      </c>
      <c r="I2700" s="71" t="s">
        <v>4503</v>
      </c>
      <c r="J2700" s="71" t="s">
        <v>386</v>
      </c>
      <c r="K2700" s="43"/>
      <c r="L2700" s="71" t="s">
        <v>107</v>
      </c>
      <c r="M2700" s="73">
        <v>2743</v>
      </c>
      <c r="N2700" s="71" t="s">
        <v>388</v>
      </c>
      <c r="O2700" s="73">
        <v>21.197</v>
      </c>
      <c r="P2700" s="71" t="s">
        <v>389</v>
      </c>
      <c r="Q2700" s="73">
        <v>3533</v>
      </c>
      <c r="R2700" s="71" t="s">
        <v>388</v>
      </c>
      <c r="S2700" s="73">
        <v>0</v>
      </c>
      <c r="T2700" s="71" t="s">
        <v>390</v>
      </c>
      <c r="U2700" s="74">
        <v>3</v>
      </c>
      <c r="V2700" s="71" t="s">
        <v>391</v>
      </c>
      <c r="W2700" s="130">
        <v>46089.467361111114</v>
      </c>
      <c r="X2700" s="72">
        <v>46093.951388888891</v>
      </c>
      <c r="Y2700" s="72">
        <v>46102.677083333336</v>
      </c>
      <c r="Z2700" s="104" t="s">
        <v>382</v>
      </c>
      <c r="AA2700" s="104" t="s">
        <v>466</v>
      </c>
      <c r="AB2700" s="105">
        <v>46094.325694444444</v>
      </c>
      <c r="AC2700" s="105">
        <v>46094.4625</v>
      </c>
    </row>
    <row r="2701" s="70" customFormat="1" ht="11.25" customHeight="1">
      <c r="A2701" s="87"/>
      <c r="C2701" s="43" t="s">
        <v>4502</v>
      </c>
      <c r="D2701" s="71" t="s">
        <v>382</v>
      </c>
      <c r="E2701" s="71" t="str">
        <f>MID(D2701,1,2)</f>
        <v>IL</v>
      </c>
      <c r="F2701" s="71" t="s">
        <v>1108</v>
      </c>
      <c r="G2701" s="71" t="str">
        <f>MID(F2701,1,2)</f>
        <v>TW</v>
      </c>
      <c r="H2701" s="43" t="s">
        <v>2295</v>
      </c>
      <c r="I2701" s="71" t="s">
        <v>4503</v>
      </c>
      <c r="J2701" s="71" t="s">
        <v>386</v>
      </c>
      <c r="K2701" s="43"/>
      <c r="L2701" s="71" t="s">
        <v>107</v>
      </c>
      <c r="M2701" s="73">
        <v>2743</v>
      </c>
      <c r="N2701" s="71" t="s">
        <v>388</v>
      </c>
      <c r="O2701" s="73">
        <v>21.197</v>
      </c>
      <c r="P2701" s="71" t="s">
        <v>389</v>
      </c>
      <c r="Q2701" s="73">
        <v>3533</v>
      </c>
      <c r="R2701" s="71" t="s">
        <v>388</v>
      </c>
      <c r="S2701" s="73">
        <v>0</v>
      </c>
      <c r="T2701" s="71" t="s">
        <v>390</v>
      </c>
      <c r="U2701" s="74">
        <v>3</v>
      </c>
      <c r="V2701" s="71" t="s">
        <v>391</v>
      </c>
      <c r="W2701" s="130">
        <v>46089.467361111114</v>
      </c>
      <c r="X2701" s="72">
        <v>46093.951388888891</v>
      </c>
      <c r="Y2701" s="72">
        <v>46102.677083333336</v>
      </c>
      <c r="Z2701" s="104" t="s">
        <v>466</v>
      </c>
      <c r="AA2701" s="104" t="s">
        <v>1370</v>
      </c>
      <c r="AB2701" s="105">
        <v>46095.010416666664</v>
      </c>
      <c r="AC2701" s="105">
        <v>46095.120138888888</v>
      </c>
    </row>
    <row r="2702" s="70" customFormat="1" ht="11.25" customHeight="1">
      <c r="A2702" s="87"/>
      <c r="C2702" s="43" t="s">
        <v>4502</v>
      </c>
      <c r="D2702" s="71" t="s">
        <v>382</v>
      </c>
      <c r="E2702" s="71" t="str">
        <f>MID(D2702,1,2)</f>
        <v>IL</v>
      </c>
      <c r="F2702" s="71" t="s">
        <v>1108</v>
      </c>
      <c r="G2702" s="71" t="str">
        <f>MID(F2702,1,2)</f>
        <v>TW</v>
      </c>
      <c r="H2702" s="43" t="s">
        <v>2295</v>
      </c>
      <c r="I2702" s="71" t="s">
        <v>4503</v>
      </c>
      <c r="J2702" s="71" t="s">
        <v>386</v>
      </c>
      <c r="K2702" s="43"/>
      <c r="L2702" s="71" t="s">
        <v>107</v>
      </c>
      <c r="M2702" s="73">
        <v>2743</v>
      </c>
      <c r="N2702" s="71" t="s">
        <v>388</v>
      </c>
      <c r="O2702" s="73">
        <v>21.197</v>
      </c>
      <c r="P2702" s="71" t="s">
        <v>389</v>
      </c>
      <c r="Q2702" s="73">
        <v>3533</v>
      </c>
      <c r="R2702" s="71" t="s">
        <v>388</v>
      </c>
      <c r="S2702" s="73">
        <v>0</v>
      </c>
      <c r="T2702" s="71" t="s">
        <v>390</v>
      </c>
      <c r="U2702" s="74">
        <v>3</v>
      </c>
      <c r="V2702" s="71" t="s">
        <v>391</v>
      </c>
      <c r="W2702" s="130">
        <v>46089.467361111114</v>
      </c>
      <c r="X2702" s="72">
        <v>46093.951388888891</v>
      </c>
      <c r="Y2702" s="72">
        <v>46102.677083333336</v>
      </c>
      <c r="Z2702" s="104" t="s">
        <v>1370</v>
      </c>
      <c r="AA2702" s="104" t="s">
        <v>1108</v>
      </c>
      <c r="AB2702" s="105">
        <v>46100.897916666669</v>
      </c>
      <c r="AC2702" s="105">
        <v>46099.932638888888</v>
      </c>
    </row>
    <row r="2703" s="70" customFormat="1" ht="11.25" customHeight="1">
      <c r="A2703" s="87"/>
      <c r="C2703" s="43" t="s">
        <v>4504</v>
      </c>
      <c r="D2703" s="71" t="s">
        <v>382</v>
      </c>
      <c r="E2703" s="71" t="str">
        <f>MID(D2703,1,2)</f>
        <v>IL</v>
      </c>
      <c r="F2703" s="71" t="s">
        <v>1108</v>
      </c>
      <c r="G2703" s="71" t="str">
        <f>MID(F2703,1,2)</f>
        <v>TW</v>
      </c>
      <c r="H2703" s="43" t="s">
        <v>2295</v>
      </c>
      <c r="I2703" s="71" t="s">
        <v>4505</v>
      </c>
      <c r="J2703" s="71" t="s">
        <v>386</v>
      </c>
      <c r="K2703" s="43"/>
      <c r="L2703" s="71" t="s">
        <v>107</v>
      </c>
      <c r="M2703" s="73">
        <v>2725</v>
      </c>
      <c r="N2703" s="71" t="s">
        <v>388</v>
      </c>
      <c r="O2703" s="73">
        <v>21.197</v>
      </c>
      <c r="P2703" s="71" t="s">
        <v>389</v>
      </c>
      <c r="Q2703" s="73">
        <v>3533</v>
      </c>
      <c r="R2703" s="71" t="s">
        <v>388</v>
      </c>
      <c r="S2703" s="73">
        <v>0</v>
      </c>
      <c r="T2703" s="71" t="s">
        <v>390</v>
      </c>
      <c r="U2703" s="74">
        <v>3</v>
      </c>
      <c r="V2703" s="71" t="s">
        <v>391</v>
      </c>
      <c r="W2703" s="130">
        <v>46089.472916666666</v>
      </c>
      <c r="X2703" s="72">
        <v>46093.951388888891</v>
      </c>
      <c r="Y2703" s="72">
        <v>46102.677083333336</v>
      </c>
      <c r="Z2703" s="104" t="s">
        <v>382</v>
      </c>
      <c r="AA2703" s="104" t="s">
        <v>466</v>
      </c>
      <c r="AB2703" s="105">
        <v>46094.325694444444</v>
      </c>
      <c r="AC2703" s="105">
        <v>46094.4625</v>
      </c>
    </row>
    <row r="2704" s="70" customFormat="1" ht="11.25" customHeight="1">
      <c r="A2704" s="87"/>
      <c r="C2704" s="43" t="s">
        <v>4504</v>
      </c>
      <c r="D2704" s="71" t="s">
        <v>382</v>
      </c>
      <c r="E2704" s="71" t="str">
        <f>MID(D2704,1,2)</f>
        <v>IL</v>
      </c>
      <c r="F2704" s="71" t="s">
        <v>1108</v>
      </c>
      <c r="G2704" s="71" t="str">
        <f>MID(F2704,1,2)</f>
        <v>TW</v>
      </c>
      <c r="H2704" s="43" t="s">
        <v>2295</v>
      </c>
      <c r="I2704" s="71" t="s">
        <v>4505</v>
      </c>
      <c r="J2704" s="71" t="s">
        <v>386</v>
      </c>
      <c r="K2704" s="43"/>
      <c r="L2704" s="71" t="s">
        <v>107</v>
      </c>
      <c r="M2704" s="73">
        <v>2725</v>
      </c>
      <c r="N2704" s="71" t="s">
        <v>388</v>
      </c>
      <c r="O2704" s="73">
        <v>21.197</v>
      </c>
      <c r="P2704" s="71" t="s">
        <v>389</v>
      </c>
      <c r="Q2704" s="73">
        <v>3533</v>
      </c>
      <c r="R2704" s="71" t="s">
        <v>388</v>
      </c>
      <c r="S2704" s="73">
        <v>0</v>
      </c>
      <c r="T2704" s="71" t="s">
        <v>390</v>
      </c>
      <c r="U2704" s="74">
        <v>3</v>
      </c>
      <c r="V2704" s="71" t="s">
        <v>391</v>
      </c>
      <c r="W2704" s="130">
        <v>46089.472916666666</v>
      </c>
      <c r="X2704" s="72">
        <v>46093.951388888891</v>
      </c>
      <c r="Y2704" s="72">
        <v>46102.677083333336</v>
      </c>
      <c r="Z2704" s="104" t="s">
        <v>466</v>
      </c>
      <c r="AA2704" s="104" t="s">
        <v>1370</v>
      </c>
      <c r="AB2704" s="105">
        <v>46095.010416666664</v>
      </c>
      <c r="AC2704" s="105">
        <v>46095.120138888888</v>
      </c>
    </row>
    <row r="2705" s="70" customFormat="1" ht="11.25" customHeight="1">
      <c r="A2705" s="87"/>
      <c r="C2705" s="43" t="s">
        <v>4504</v>
      </c>
      <c r="D2705" s="71" t="s">
        <v>382</v>
      </c>
      <c r="E2705" s="71" t="str">
        <f>MID(D2705,1,2)</f>
        <v>IL</v>
      </c>
      <c r="F2705" s="71" t="s">
        <v>1108</v>
      </c>
      <c r="G2705" s="71" t="str">
        <f>MID(F2705,1,2)</f>
        <v>TW</v>
      </c>
      <c r="H2705" s="43" t="s">
        <v>2295</v>
      </c>
      <c r="I2705" s="71" t="s">
        <v>4505</v>
      </c>
      <c r="J2705" s="71" t="s">
        <v>386</v>
      </c>
      <c r="K2705" s="43"/>
      <c r="L2705" s="71" t="s">
        <v>107</v>
      </c>
      <c r="M2705" s="73">
        <v>2725</v>
      </c>
      <c r="N2705" s="71" t="s">
        <v>388</v>
      </c>
      <c r="O2705" s="73">
        <v>21.197</v>
      </c>
      <c r="P2705" s="71" t="s">
        <v>389</v>
      </c>
      <c r="Q2705" s="73">
        <v>3533</v>
      </c>
      <c r="R2705" s="71" t="s">
        <v>388</v>
      </c>
      <c r="S2705" s="73">
        <v>0</v>
      </c>
      <c r="T2705" s="71" t="s">
        <v>390</v>
      </c>
      <c r="U2705" s="74">
        <v>3</v>
      </c>
      <c r="V2705" s="71" t="s">
        <v>391</v>
      </c>
      <c r="W2705" s="130">
        <v>46089.472916666666</v>
      </c>
      <c r="X2705" s="72">
        <v>46093.951388888891</v>
      </c>
      <c r="Y2705" s="72">
        <v>46102.677083333336</v>
      </c>
      <c r="Z2705" s="104" t="s">
        <v>1370</v>
      </c>
      <c r="AA2705" s="104" t="s">
        <v>1108</v>
      </c>
      <c r="AB2705" s="105">
        <v>46100.897916666669</v>
      </c>
      <c r="AC2705" s="105">
        <v>46099.932638888888</v>
      </c>
    </row>
    <row r="2706" s="70" customFormat="1" ht="11.25" customHeight="1">
      <c r="A2706" s="87"/>
      <c r="C2706" s="43" t="s">
        <v>4506</v>
      </c>
      <c r="D2706" s="71" t="s">
        <v>382</v>
      </c>
      <c r="E2706" s="71" t="str">
        <f>MID(D2706,1,2)</f>
        <v>IL</v>
      </c>
      <c r="F2706" s="71" t="s">
        <v>597</v>
      </c>
      <c r="G2706" s="71" t="str">
        <f>MID(F2706,1,2)</f>
        <v>NL</v>
      </c>
      <c r="H2706" s="43" t="s">
        <v>4507</v>
      </c>
      <c r="I2706" s="71"/>
      <c r="J2706" s="71" t="s">
        <v>454</v>
      </c>
      <c r="K2706" s="43"/>
      <c r="L2706" s="71" t="s">
        <v>107</v>
      </c>
      <c r="M2706" s="73">
        <v>6100</v>
      </c>
      <c r="N2706" s="71" t="s">
        <v>388</v>
      </c>
      <c r="O2706" s="73">
        <v>16.357</v>
      </c>
      <c r="P2706" s="71" t="s">
        <v>389</v>
      </c>
      <c r="Q2706" s="73">
        <v>6100</v>
      </c>
      <c r="R2706" s="71" t="s">
        <v>388</v>
      </c>
      <c r="S2706" s="73">
        <v>0</v>
      </c>
      <c r="T2706" s="71" t="s">
        <v>390</v>
      </c>
      <c r="U2706" s="74">
        <v>1</v>
      </c>
      <c r="V2706" s="71" t="s">
        <v>391</v>
      </c>
      <c r="W2706" s="130">
        <v>46084.375694444447</v>
      </c>
      <c r="X2706" s="72">
        <v>46085.363888888889</v>
      </c>
      <c r="Y2706" s="72">
        <v>46087.444444444445</v>
      </c>
      <c r="Z2706" s="104" t="s">
        <v>382</v>
      </c>
      <c r="AA2706" s="104" t="s">
        <v>466</v>
      </c>
      <c r="AB2706" s="105">
        <v>46085.936805555553</v>
      </c>
      <c r="AC2706" s="105">
        <v>46086.064583333333</v>
      </c>
    </row>
    <row r="2707" s="70" customFormat="1" ht="11.25" customHeight="1">
      <c r="A2707" s="87"/>
      <c r="C2707" s="43" t="s">
        <v>4506</v>
      </c>
      <c r="D2707" s="71" t="s">
        <v>382</v>
      </c>
      <c r="E2707" s="71" t="str">
        <f>MID(D2707,1,2)</f>
        <v>IL</v>
      </c>
      <c r="F2707" s="71" t="s">
        <v>597</v>
      </c>
      <c r="G2707" s="71" t="str">
        <f>MID(F2707,1,2)</f>
        <v>NL</v>
      </c>
      <c r="H2707" s="43" t="s">
        <v>4507</v>
      </c>
      <c r="I2707" s="71"/>
      <c r="J2707" s="71" t="s">
        <v>454</v>
      </c>
      <c r="K2707" s="43"/>
      <c r="L2707" s="71" t="s">
        <v>107</v>
      </c>
      <c r="M2707" s="73">
        <v>6100</v>
      </c>
      <c r="N2707" s="71" t="s">
        <v>388</v>
      </c>
      <c r="O2707" s="73">
        <v>16.357</v>
      </c>
      <c r="P2707" s="71" t="s">
        <v>389</v>
      </c>
      <c r="Q2707" s="73">
        <v>6100</v>
      </c>
      <c r="R2707" s="71" t="s">
        <v>388</v>
      </c>
      <c r="S2707" s="73">
        <v>0</v>
      </c>
      <c r="T2707" s="71" t="s">
        <v>390</v>
      </c>
      <c r="U2707" s="74">
        <v>1</v>
      </c>
      <c r="V2707" s="71" t="s">
        <v>391</v>
      </c>
      <c r="W2707" s="130">
        <v>46084.375694444447</v>
      </c>
      <c r="X2707" s="72">
        <v>46085.363888888889</v>
      </c>
      <c r="Y2707" s="72">
        <v>46087.444444444445</v>
      </c>
      <c r="Z2707" s="104" t="s">
        <v>466</v>
      </c>
      <c r="AA2707" s="104" t="s">
        <v>597</v>
      </c>
      <c r="AB2707" s="105">
        <v>46086.765972222223</v>
      </c>
      <c r="AC2707" s="105">
        <v>46087.448611111111</v>
      </c>
    </row>
    <row r="2708" s="70" customFormat="1" ht="11.25" customHeight="1">
      <c r="A2708" s="87"/>
      <c r="C2708" s="43" t="s">
        <v>4508</v>
      </c>
      <c r="D2708" s="71" t="s">
        <v>382</v>
      </c>
      <c r="E2708" s="71" t="str">
        <f>MID(D2708,1,2)</f>
        <v>IL</v>
      </c>
      <c r="F2708" s="71" t="s">
        <v>414</v>
      </c>
      <c r="G2708" s="71" t="str">
        <f>MID(F2708,1,2)</f>
        <v>US</v>
      </c>
      <c r="H2708" s="43" t="s">
        <v>4509</v>
      </c>
      <c r="I2708" s="71" t="s">
        <v>4510</v>
      </c>
      <c r="J2708" s="71" t="s">
        <v>426</v>
      </c>
      <c r="K2708" s="43" t="s">
        <v>768</v>
      </c>
      <c r="L2708" s="71" t="s">
        <v>105</v>
      </c>
      <c r="M2708" s="73">
        <v>224</v>
      </c>
      <c r="N2708" s="71" t="s">
        <v>388</v>
      </c>
      <c r="O2708" s="73">
        <v>0.963</v>
      </c>
      <c r="P2708" s="71" t="s">
        <v>389</v>
      </c>
      <c r="Q2708" s="73">
        <v>224</v>
      </c>
      <c r="R2708" s="71" t="s">
        <v>388</v>
      </c>
      <c r="S2708" s="73">
        <v>0</v>
      </c>
      <c r="T2708" s="71" t="s">
        <v>390</v>
      </c>
      <c r="U2708" s="74">
        <v>3</v>
      </c>
      <c r="V2708" s="71" t="s">
        <v>391</v>
      </c>
      <c r="W2708" s="130">
        <v>46084.382638888892</v>
      </c>
      <c r="X2708" s="72">
        <v>46085.458333333336</v>
      </c>
      <c r="Y2708" s="72">
        <v>46095.35</v>
      </c>
      <c r="Z2708" s="104" t="s">
        <v>382</v>
      </c>
      <c r="AA2708" s="104" t="s">
        <v>408</v>
      </c>
      <c r="AB2708" s="105">
        <v>46089.215277777781</v>
      </c>
      <c r="AC2708" s="105">
        <v>46089.309027777781</v>
      </c>
    </row>
    <row r="2709" s="70" customFormat="1" ht="11.25" customHeight="1">
      <c r="A2709" s="87"/>
      <c r="C2709" s="43" t="s">
        <v>4508</v>
      </c>
      <c r="D2709" s="71" t="s">
        <v>382</v>
      </c>
      <c r="E2709" s="71" t="str">
        <f>MID(D2709,1,2)</f>
        <v>IL</v>
      </c>
      <c r="F2709" s="71" t="s">
        <v>414</v>
      </c>
      <c r="G2709" s="71" t="str">
        <f>MID(F2709,1,2)</f>
        <v>US</v>
      </c>
      <c r="H2709" s="43" t="s">
        <v>4509</v>
      </c>
      <c r="I2709" s="71" t="s">
        <v>4510</v>
      </c>
      <c r="J2709" s="71" t="s">
        <v>426</v>
      </c>
      <c r="K2709" s="43" t="s">
        <v>768</v>
      </c>
      <c r="L2709" s="71" t="s">
        <v>105</v>
      </c>
      <c r="M2709" s="73">
        <v>224</v>
      </c>
      <c r="N2709" s="71" t="s">
        <v>388</v>
      </c>
      <c r="O2709" s="73">
        <v>0.963</v>
      </c>
      <c r="P2709" s="71" t="s">
        <v>389</v>
      </c>
      <c r="Q2709" s="73">
        <v>224</v>
      </c>
      <c r="R2709" s="71" t="s">
        <v>388</v>
      </c>
      <c r="S2709" s="73">
        <v>0</v>
      </c>
      <c r="T2709" s="71" t="s">
        <v>390</v>
      </c>
      <c r="U2709" s="74">
        <v>3</v>
      </c>
      <c r="V2709" s="71" t="s">
        <v>391</v>
      </c>
      <c r="W2709" s="130">
        <v>46084.382638888892</v>
      </c>
      <c r="X2709" s="72">
        <v>46085.458333333336</v>
      </c>
      <c r="Y2709" s="72">
        <v>46095.35</v>
      </c>
      <c r="Z2709" s="104" t="s">
        <v>408</v>
      </c>
      <c r="AA2709" s="104" t="s">
        <v>405</v>
      </c>
      <c r="AB2709" s="105">
        <v>46091.54791666667</v>
      </c>
      <c r="AC2709" s="105">
        <v>46091.740972222222</v>
      </c>
    </row>
    <row r="2710" s="70" customFormat="1" ht="11.25" customHeight="1">
      <c r="A2710" s="87"/>
      <c r="C2710" s="43" t="s">
        <v>4508</v>
      </c>
      <c r="D2710" s="71" t="s">
        <v>382</v>
      </c>
      <c r="E2710" s="71" t="str">
        <f>MID(D2710,1,2)</f>
        <v>IL</v>
      </c>
      <c r="F2710" s="71" t="s">
        <v>414</v>
      </c>
      <c r="G2710" s="71" t="str">
        <f>MID(F2710,1,2)</f>
        <v>US</v>
      </c>
      <c r="H2710" s="43" t="s">
        <v>4509</v>
      </c>
      <c r="I2710" s="71" t="s">
        <v>4510</v>
      </c>
      <c r="J2710" s="71" t="s">
        <v>426</v>
      </c>
      <c r="K2710" s="43" t="s">
        <v>768</v>
      </c>
      <c r="L2710" s="71" t="s">
        <v>105</v>
      </c>
      <c r="M2710" s="73">
        <v>224</v>
      </c>
      <c r="N2710" s="71" t="s">
        <v>388</v>
      </c>
      <c r="O2710" s="73">
        <v>0.963</v>
      </c>
      <c r="P2710" s="71" t="s">
        <v>389</v>
      </c>
      <c r="Q2710" s="73">
        <v>224</v>
      </c>
      <c r="R2710" s="71" t="s">
        <v>388</v>
      </c>
      <c r="S2710" s="73">
        <v>0</v>
      </c>
      <c r="T2710" s="71" t="s">
        <v>390</v>
      </c>
      <c r="U2710" s="74">
        <v>3</v>
      </c>
      <c r="V2710" s="71" t="s">
        <v>391</v>
      </c>
      <c r="W2710" s="130">
        <v>46084.382638888892</v>
      </c>
      <c r="X2710" s="72">
        <v>46085.458333333336</v>
      </c>
      <c r="Y2710" s="72">
        <v>46095.35</v>
      </c>
      <c r="Z2710" s="104" t="s">
        <v>405</v>
      </c>
      <c r="AA2710" s="104" t="s">
        <v>414</v>
      </c>
      <c r="AB2710" s="105">
        <v>46092.825694444444</v>
      </c>
      <c r="AC2710" s="105">
        <v>46094</v>
      </c>
    </row>
    <row r="2711" s="70" customFormat="1" ht="11.25" customHeight="1">
      <c r="A2711" s="87"/>
      <c r="C2711" s="43" t="s">
        <v>4511</v>
      </c>
      <c r="D2711" s="71" t="s">
        <v>382</v>
      </c>
      <c r="E2711" s="71" t="str">
        <f>MID(D2711,1,2)</f>
        <v>IL</v>
      </c>
      <c r="F2711" s="71" t="s">
        <v>443</v>
      </c>
      <c r="G2711" s="71" t="str">
        <f>MID(F2711,1,2)</f>
        <v>US</v>
      </c>
      <c r="H2711" s="43" t="s">
        <v>4512</v>
      </c>
      <c r="I2711" s="71" t="s">
        <v>4513</v>
      </c>
      <c r="J2711" s="71" t="s">
        <v>755</v>
      </c>
      <c r="K2711" s="43"/>
      <c r="L2711" s="71" t="s">
        <v>105</v>
      </c>
      <c r="M2711" s="73">
        <v>94</v>
      </c>
      <c r="N2711" s="71" t="s">
        <v>388</v>
      </c>
      <c r="O2711" s="73">
        <v>1.014</v>
      </c>
      <c r="P2711" s="71" t="s">
        <v>389</v>
      </c>
      <c r="Q2711" s="73">
        <v>169</v>
      </c>
      <c r="R2711" s="71" t="s">
        <v>388</v>
      </c>
      <c r="S2711" s="73">
        <v>0</v>
      </c>
      <c r="T2711" s="71" t="s">
        <v>390</v>
      </c>
      <c r="U2711" s="74">
        <v>1</v>
      </c>
      <c r="V2711" s="71" t="s">
        <v>391</v>
      </c>
      <c r="W2711" s="130">
        <v>46084.424305555556</v>
      </c>
      <c r="X2711" s="72">
        <v>46090.979166666664</v>
      </c>
      <c r="Y2711" s="72">
        <v>46098.886111111111</v>
      </c>
      <c r="Z2711" s="104" t="s">
        <v>382</v>
      </c>
      <c r="AA2711" s="104" t="s">
        <v>684</v>
      </c>
      <c r="AB2711" s="105">
        <v>46090.842361111114</v>
      </c>
      <c r="AC2711" s="105">
        <v>46091.59375</v>
      </c>
    </row>
    <row r="2712" s="70" customFormat="1" ht="11.25" customHeight="1">
      <c r="A2712" s="87"/>
      <c r="C2712" s="43" t="s">
        <v>4511</v>
      </c>
      <c r="D2712" s="71" t="s">
        <v>382</v>
      </c>
      <c r="E2712" s="71" t="str">
        <f>MID(D2712,1,2)</f>
        <v>IL</v>
      </c>
      <c r="F2712" s="71" t="s">
        <v>443</v>
      </c>
      <c r="G2712" s="71" t="str">
        <f>MID(F2712,1,2)</f>
        <v>US</v>
      </c>
      <c r="H2712" s="43" t="s">
        <v>4512</v>
      </c>
      <c r="I2712" s="71" t="s">
        <v>4513</v>
      </c>
      <c r="J2712" s="71" t="s">
        <v>755</v>
      </c>
      <c r="K2712" s="43"/>
      <c r="L2712" s="71" t="s">
        <v>105</v>
      </c>
      <c r="M2712" s="73">
        <v>94</v>
      </c>
      <c r="N2712" s="71" t="s">
        <v>388</v>
      </c>
      <c r="O2712" s="73">
        <v>1.014</v>
      </c>
      <c r="P2712" s="71" t="s">
        <v>389</v>
      </c>
      <c r="Q2712" s="73">
        <v>169</v>
      </c>
      <c r="R2712" s="71" t="s">
        <v>388</v>
      </c>
      <c r="S2712" s="73">
        <v>0</v>
      </c>
      <c r="T2712" s="71" t="s">
        <v>390</v>
      </c>
      <c r="U2712" s="74">
        <v>1</v>
      </c>
      <c r="V2712" s="71" t="s">
        <v>391</v>
      </c>
      <c r="W2712" s="130">
        <v>46084.424305555556</v>
      </c>
      <c r="X2712" s="72">
        <v>46090.979166666664</v>
      </c>
      <c r="Y2712" s="72">
        <v>46098.886111111111</v>
      </c>
      <c r="Z2712" s="104" t="s">
        <v>684</v>
      </c>
      <c r="AA2712" s="104" t="s">
        <v>942</v>
      </c>
      <c r="AB2712" s="105">
        <v>46093.734722222223</v>
      </c>
      <c r="AC2712" s="105">
        <v>46094.229166666664</v>
      </c>
    </row>
    <row r="2713" s="70" customFormat="1" ht="11.25" customHeight="1">
      <c r="A2713" s="87"/>
      <c r="C2713" s="43" t="s">
        <v>4511</v>
      </c>
      <c r="D2713" s="71" t="s">
        <v>382</v>
      </c>
      <c r="E2713" s="71" t="str">
        <f>MID(D2713,1,2)</f>
        <v>IL</v>
      </c>
      <c r="F2713" s="71" t="s">
        <v>443</v>
      </c>
      <c r="G2713" s="71" t="str">
        <f>MID(F2713,1,2)</f>
        <v>US</v>
      </c>
      <c r="H2713" s="43" t="s">
        <v>4512</v>
      </c>
      <c r="I2713" s="71" t="s">
        <v>4513</v>
      </c>
      <c r="J2713" s="71" t="s">
        <v>755</v>
      </c>
      <c r="K2713" s="43"/>
      <c r="L2713" s="71" t="s">
        <v>105</v>
      </c>
      <c r="M2713" s="73">
        <v>94</v>
      </c>
      <c r="N2713" s="71" t="s">
        <v>388</v>
      </c>
      <c r="O2713" s="73">
        <v>1.014</v>
      </c>
      <c r="P2713" s="71" t="s">
        <v>389</v>
      </c>
      <c r="Q2713" s="73">
        <v>169</v>
      </c>
      <c r="R2713" s="71" t="s">
        <v>388</v>
      </c>
      <c r="S2713" s="73">
        <v>0</v>
      </c>
      <c r="T2713" s="71" t="s">
        <v>390</v>
      </c>
      <c r="U2713" s="74">
        <v>1</v>
      </c>
      <c r="V2713" s="71" t="s">
        <v>391</v>
      </c>
      <c r="W2713" s="130">
        <v>46084.424305555556</v>
      </c>
      <c r="X2713" s="72">
        <v>46090.979166666664</v>
      </c>
      <c r="Y2713" s="72">
        <v>46098.886111111111</v>
      </c>
      <c r="Z2713" s="104" t="s">
        <v>942</v>
      </c>
      <c r="AA2713" s="104" t="s">
        <v>1960</v>
      </c>
      <c r="AB2713" s="105">
        <v>46097.463888888888</v>
      </c>
      <c r="AC2713" s="105">
        <v>46097.661111111112</v>
      </c>
    </row>
    <row r="2714" s="70" customFormat="1" ht="11.25" customHeight="1">
      <c r="A2714" s="87"/>
      <c r="C2714" s="43" t="s">
        <v>4511</v>
      </c>
      <c r="D2714" s="71" t="s">
        <v>382</v>
      </c>
      <c r="E2714" s="71" t="str">
        <f>MID(D2714,1,2)</f>
        <v>IL</v>
      </c>
      <c r="F2714" s="71" t="s">
        <v>443</v>
      </c>
      <c r="G2714" s="71" t="str">
        <f>MID(F2714,1,2)</f>
        <v>US</v>
      </c>
      <c r="H2714" s="43" t="s">
        <v>4512</v>
      </c>
      <c r="I2714" s="71" t="s">
        <v>4513</v>
      </c>
      <c r="J2714" s="71" t="s">
        <v>755</v>
      </c>
      <c r="K2714" s="43"/>
      <c r="L2714" s="71" t="s">
        <v>105</v>
      </c>
      <c r="M2714" s="73">
        <v>94</v>
      </c>
      <c r="N2714" s="71" t="s">
        <v>388</v>
      </c>
      <c r="O2714" s="73">
        <v>1.014</v>
      </c>
      <c r="P2714" s="71" t="s">
        <v>389</v>
      </c>
      <c r="Q2714" s="73">
        <v>169</v>
      </c>
      <c r="R2714" s="71" t="s">
        <v>388</v>
      </c>
      <c r="S2714" s="73">
        <v>0</v>
      </c>
      <c r="T2714" s="71" t="s">
        <v>390</v>
      </c>
      <c r="U2714" s="74">
        <v>1</v>
      </c>
      <c r="V2714" s="71" t="s">
        <v>391</v>
      </c>
      <c r="W2714" s="130">
        <v>46084.424305555556</v>
      </c>
      <c r="X2714" s="72">
        <v>46090.979166666664</v>
      </c>
      <c r="Y2714" s="72">
        <v>46098.886111111111</v>
      </c>
      <c r="Z2714" s="104" t="s">
        <v>1960</v>
      </c>
      <c r="AA2714" s="104" t="s">
        <v>443</v>
      </c>
      <c r="AB2714" s="105">
        <v>46098.38125</v>
      </c>
      <c r="AC2714" s="105">
        <v>46098.465277777781</v>
      </c>
    </row>
    <row r="2715" s="70" customFormat="1" ht="11.25" customHeight="1">
      <c r="A2715" s="87"/>
      <c r="C2715" s="43" t="s">
        <v>4514</v>
      </c>
      <c r="D2715" s="71" t="s">
        <v>382</v>
      </c>
      <c r="E2715" s="71" t="str">
        <f>MID(D2715,1,2)</f>
        <v>IL</v>
      </c>
      <c r="F2715" s="71" t="s">
        <v>476</v>
      </c>
      <c r="G2715" s="71" t="str">
        <f>MID(F2715,1,2)</f>
        <v>SG</v>
      </c>
      <c r="H2715" s="43" t="s">
        <v>4002</v>
      </c>
      <c r="I2715" s="71" t="s">
        <v>4515</v>
      </c>
      <c r="J2715" s="71" t="s">
        <v>755</v>
      </c>
      <c r="K2715" s="43"/>
      <c r="L2715" s="71" t="s">
        <v>105</v>
      </c>
      <c r="M2715" s="73">
        <v>104</v>
      </c>
      <c r="N2715" s="71" t="s">
        <v>388</v>
      </c>
      <c r="O2715" s="73">
        <v>0.338</v>
      </c>
      <c r="P2715" s="71" t="s">
        <v>389</v>
      </c>
      <c r="Q2715" s="73">
        <v>104</v>
      </c>
      <c r="R2715" s="71" t="s">
        <v>388</v>
      </c>
      <c r="S2715" s="73">
        <v>0</v>
      </c>
      <c r="T2715" s="71" t="s">
        <v>390</v>
      </c>
      <c r="U2715" s="74">
        <v>1</v>
      </c>
      <c r="V2715" s="71" t="s">
        <v>391</v>
      </c>
      <c r="W2715" s="130">
        <v>46084.667361111111</v>
      </c>
      <c r="X2715" s="72">
        <v>46087.25</v>
      </c>
      <c r="Y2715" s="72">
        <v>46090.615972222222</v>
      </c>
      <c r="Z2715" s="104" t="s">
        <v>383</v>
      </c>
      <c r="AA2715" s="104" t="s">
        <v>577</v>
      </c>
      <c r="AB2715" s="105"/>
      <c r="AC2715" s="105"/>
    </row>
    <row r="2716" s="70" customFormat="1" ht="11.25" customHeight="1">
      <c r="A2716" s="87"/>
      <c r="C2716" s="43" t="s">
        <v>4514</v>
      </c>
      <c r="D2716" s="71" t="s">
        <v>382</v>
      </c>
      <c r="E2716" s="71" t="str">
        <f>MID(D2716,1,2)</f>
        <v>IL</v>
      </c>
      <c r="F2716" s="71" t="s">
        <v>476</v>
      </c>
      <c r="G2716" s="71" t="str">
        <f>MID(F2716,1,2)</f>
        <v>SG</v>
      </c>
      <c r="H2716" s="43" t="s">
        <v>4002</v>
      </c>
      <c r="I2716" s="71" t="s">
        <v>4515</v>
      </c>
      <c r="J2716" s="71" t="s">
        <v>755</v>
      </c>
      <c r="K2716" s="43"/>
      <c r="L2716" s="71" t="s">
        <v>105</v>
      </c>
      <c r="M2716" s="73">
        <v>104</v>
      </c>
      <c r="N2716" s="71" t="s">
        <v>388</v>
      </c>
      <c r="O2716" s="73">
        <v>0.338</v>
      </c>
      <c r="P2716" s="71" t="s">
        <v>389</v>
      </c>
      <c r="Q2716" s="73">
        <v>104</v>
      </c>
      <c r="R2716" s="71" t="s">
        <v>388</v>
      </c>
      <c r="S2716" s="73">
        <v>0</v>
      </c>
      <c r="T2716" s="71" t="s">
        <v>390</v>
      </c>
      <c r="U2716" s="74">
        <v>1</v>
      </c>
      <c r="V2716" s="71" t="s">
        <v>391</v>
      </c>
      <c r="W2716" s="130">
        <v>46084.667361111111</v>
      </c>
      <c r="X2716" s="72">
        <v>46087.25</v>
      </c>
      <c r="Y2716" s="72">
        <v>46090.615972222222</v>
      </c>
      <c r="Z2716" s="104" t="s">
        <v>577</v>
      </c>
      <c r="AA2716" s="104" t="s">
        <v>476</v>
      </c>
      <c r="AB2716" s="105"/>
      <c r="AC2716" s="105"/>
    </row>
    <row r="2717" s="70" customFormat="1" ht="11.25" customHeight="1">
      <c r="A2717" s="87"/>
      <c r="C2717" s="43" t="s">
        <v>4514</v>
      </c>
      <c r="D2717" s="71" t="s">
        <v>382</v>
      </c>
      <c r="E2717" s="71" t="str">
        <f>MID(D2717,1,2)</f>
        <v>IL</v>
      </c>
      <c r="F2717" s="71" t="s">
        <v>476</v>
      </c>
      <c r="G2717" s="71" t="str">
        <f>MID(F2717,1,2)</f>
        <v>SG</v>
      </c>
      <c r="H2717" s="43" t="s">
        <v>4002</v>
      </c>
      <c r="I2717" s="71" t="s">
        <v>4515</v>
      </c>
      <c r="J2717" s="71" t="s">
        <v>755</v>
      </c>
      <c r="K2717" s="43"/>
      <c r="L2717" s="71" t="s">
        <v>105</v>
      </c>
      <c r="M2717" s="73">
        <v>104</v>
      </c>
      <c r="N2717" s="71" t="s">
        <v>388</v>
      </c>
      <c r="O2717" s="73">
        <v>0.338</v>
      </c>
      <c r="P2717" s="71" t="s">
        <v>389</v>
      </c>
      <c r="Q2717" s="73">
        <v>104</v>
      </c>
      <c r="R2717" s="71" t="s">
        <v>388</v>
      </c>
      <c r="S2717" s="73">
        <v>0</v>
      </c>
      <c r="T2717" s="71" t="s">
        <v>390</v>
      </c>
      <c r="U2717" s="74">
        <v>1</v>
      </c>
      <c r="V2717" s="71" t="s">
        <v>391</v>
      </c>
      <c r="W2717" s="130">
        <v>46084.667361111111</v>
      </c>
      <c r="X2717" s="72">
        <v>46087.25</v>
      </c>
      <c r="Y2717" s="72">
        <v>46090.615972222222</v>
      </c>
      <c r="Z2717" s="104" t="s">
        <v>382</v>
      </c>
      <c r="AA2717" s="104" t="s">
        <v>466</v>
      </c>
      <c r="AB2717" s="105">
        <v>46088.06875</v>
      </c>
      <c r="AC2717" s="105">
        <v>46088.195833333331</v>
      </c>
    </row>
    <row r="2718" s="70" customFormat="1" ht="11.25" customHeight="1">
      <c r="A2718" s="87"/>
      <c r="C2718" s="43" t="s">
        <v>4514</v>
      </c>
      <c r="D2718" s="71" t="s">
        <v>382</v>
      </c>
      <c r="E2718" s="71" t="str">
        <f>MID(D2718,1,2)</f>
        <v>IL</v>
      </c>
      <c r="F2718" s="71" t="s">
        <v>476</v>
      </c>
      <c r="G2718" s="71" t="str">
        <f>MID(F2718,1,2)</f>
        <v>SG</v>
      </c>
      <c r="H2718" s="43" t="s">
        <v>4002</v>
      </c>
      <c r="I2718" s="71" t="s">
        <v>4515</v>
      </c>
      <c r="J2718" s="71" t="s">
        <v>755</v>
      </c>
      <c r="K2718" s="43"/>
      <c r="L2718" s="71" t="s">
        <v>105</v>
      </c>
      <c r="M2718" s="73">
        <v>104</v>
      </c>
      <c r="N2718" s="71" t="s">
        <v>388</v>
      </c>
      <c r="O2718" s="73">
        <v>0.338</v>
      </c>
      <c r="P2718" s="71" t="s">
        <v>389</v>
      </c>
      <c r="Q2718" s="73">
        <v>104</v>
      </c>
      <c r="R2718" s="71" t="s">
        <v>388</v>
      </c>
      <c r="S2718" s="73">
        <v>0</v>
      </c>
      <c r="T2718" s="71" t="s">
        <v>390</v>
      </c>
      <c r="U2718" s="74">
        <v>1</v>
      </c>
      <c r="V2718" s="71" t="s">
        <v>391</v>
      </c>
      <c r="W2718" s="130">
        <v>46084.667361111111</v>
      </c>
      <c r="X2718" s="72">
        <v>46087.25</v>
      </c>
      <c r="Y2718" s="72">
        <v>46090.615972222222</v>
      </c>
      <c r="Z2718" s="104" t="s">
        <v>466</v>
      </c>
      <c r="AA2718" s="104" t="s">
        <v>383</v>
      </c>
      <c r="AB2718" s="105">
        <v>46089.086805555555</v>
      </c>
      <c r="AC2718" s="105">
        <v>46093.676388888889</v>
      </c>
    </row>
    <row r="2719" s="70" customFormat="1" ht="11.25" customHeight="1">
      <c r="A2719" s="87"/>
      <c r="C2719" s="43" t="s">
        <v>4516</v>
      </c>
      <c r="D2719" s="71" t="s">
        <v>382</v>
      </c>
      <c r="E2719" s="71" t="str">
        <f>MID(D2719,1,2)</f>
        <v>IL</v>
      </c>
      <c r="F2719" s="71" t="s">
        <v>383</v>
      </c>
      <c r="G2719" s="71" t="str">
        <f>MID(F2719,1,2)</f>
        <v>DE</v>
      </c>
      <c r="H2719" s="43" t="s">
        <v>4002</v>
      </c>
      <c r="I2719" s="71" t="s">
        <v>4517</v>
      </c>
      <c r="J2719" s="71" t="s">
        <v>426</v>
      </c>
      <c r="K2719" s="43"/>
      <c r="L2719" s="71" t="s">
        <v>105</v>
      </c>
      <c r="M2719" s="73">
        <v>102</v>
      </c>
      <c r="N2719" s="71" t="s">
        <v>388</v>
      </c>
      <c r="O2719" s="73">
        <v>0.312</v>
      </c>
      <c r="P2719" s="71" t="s">
        <v>389</v>
      </c>
      <c r="Q2719" s="73">
        <v>102</v>
      </c>
      <c r="R2719" s="71" t="s">
        <v>388</v>
      </c>
      <c r="S2719" s="73">
        <v>0</v>
      </c>
      <c r="T2719" s="71" t="s">
        <v>390</v>
      </c>
      <c r="U2719" s="74">
        <v>1</v>
      </c>
      <c r="V2719" s="71" t="s">
        <v>391</v>
      </c>
      <c r="W2719" s="130">
        <v>46084.445138888892</v>
      </c>
      <c r="X2719" s="72">
        <v>46087.25</v>
      </c>
      <c r="Y2719" s="72">
        <v>46090.615972222222</v>
      </c>
      <c r="Z2719" s="104" t="s">
        <v>382</v>
      </c>
      <c r="AA2719" s="104" t="s">
        <v>466</v>
      </c>
      <c r="AB2719" s="105">
        <v>46088.06875</v>
      </c>
      <c r="AC2719" s="105">
        <v>46088.195833333331</v>
      </c>
    </row>
    <row r="2720" s="70" customFormat="1" ht="11.25" customHeight="1">
      <c r="A2720" s="87"/>
      <c r="C2720" s="43" t="s">
        <v>4516</v>
      </c>
      <c r="D2720" s="71" t="s">
        <v>382</v>
      </c>
      <c r="E2720" s="71" t="str">
        <f>MID(D2720,1,2)</f>
        <v>IL</v>
      </c>
      <c r="F2720" s="71" t="s">
        <v>383</v>
      </c>
      <c r="G2720" s="71" t="str">
        <f>MID(F2720,1,2)</f>
        <v>DE</v>
      </c>
      <c r="H2720" s="43" t="s">
        <v>4002</v>
      </c>
      <c r="I2720" s="71" t="s">
        <v>4517</v>
      </c>
      <c r="J2720" s="71" t="s">
        <v>426</v>
      </c>
      <c r="K2720" s="43"/>
      <c r="L2720" s="71" t="s">
        <v>105</v>
      </c>
      <c r="M2720" s="73">
        <v>102</v>
      </c>
      <c r="N2720" s="71" t="s">
        <v>388</v>
      </c>
      <c r="O2720" s="73">
        <v>0.312</v>
      </c>
      <c r="P2720" s="71" t="s">
        <v>389</v>
      </c>
      <c r="Q2720" s="73">
        <v>102</v>
      </c>
      <c r="R2720" s="71" t="s">
        <v>388</v>
      </c>
      <c r="S2720" s="73">
        <v>0</v>
      </c>
      <c r="T2720" s="71" t="s">
        <v>390</v>
      </c>
      <c r="U2720" s="74">
        <v>1</v>
      </c>
      <c r="V2720" s="71" t="s">
        <v>391</v>
      </c>
      <c r="W2720" s="130">
        <v>46084.445138888892</v>
      </c>
      <c r="X2720" s="72">
        <v>46087.25</v>
      </c>
      <c r="Y2720" s="72">
        <v>46090.615972222222</v>
      </c>
      <c r="Z2720" s="104" t="s">
        <v>466</v>
      </c>
      <c r="AA2720" s="104" t="s">
        <v>383</v>
      </c>
      <c r="AB2720" s="105">
        <v>46089.086805555555</v>
      </c>
      <c r="AC2720" s="105">
        <v>46093.676388888889</v>
      </c>
    </row>
    <row r="2721" s="70" customFormat="1" ht="11.25" customHeight="1">
      <c r="A2721" s="87"/>
      <c r="C2721" s="43" t="s">
        <v>4518</v>
      </c>
      <c r="D2721" s="71" t="s">
        <v>382</v>
      </c>
      <c r="E2721" s="71" t="str">
        <f>MID(D2721,1,2)</f>
        <v>IL</v>
      </c>
      <c r="F2721" s="71" t="s">
        <v>414</v>
      </c>
      <c r="G2721" s="71" t="str">
        <f>MID(F2721,1,2)</f>
        <v>US</v>
      </c>
      <c r="H2721" s="43" t="s">
        <v>4414</v>
      </c>
      <c r="I2721" s="71" t="s">
        <v>4519</v>
      </c>
      <c r="J2721" s="71" t="s">
        <v>454</v>
      </c>
      <c r="K2721" s="43"/>
      <c r="L2721" s="71" t="s">
        <v>107</v>
      </c>
      <c r="M2721" s="73">
        <v>36</v>
      </c>
      <c r="N2721" s="71" t="s">
        <v>388</v>
      </c>
      <c r="O2721" s="73">
        <v>0.251</v>
      </c>
      <c r="P2721" s="71" t="s">
        <v>389</v>
      </c>
      <c r="Q2721" s="73">
        <v>42</v>
      </c>
      <c r="R2721" s="71" t="s">
        <v>388</v>
      </c>
      <c r="S2721" s="73">
        <v>0</v>
      </c>
      <c r="T2721" s="71" t="s">
        <v>390</v>
      </c>
      <c r="U2721" s="74">
        <v>1</v>
      </c>
      <c r="V2721" s="71" t="s">
        <v>391</v>
      </c>
      <c r="W2721" s="130">
        <v>46084.459027777775</v>
      </c>
      <c r="X2721" s="72">
        <v>46088.25</v>
      </c>
      <c r="Y2721" s="72">
        <v>46092.197916666664</v>
      </c>
      <c r="Z2721" s="104" t="s">
        <v>382</v>
      </c>
      <c r="AA2721" s="104" t="s">
        <v>414</v>
      </c>
      <c r="AB2721" s="105">
        <v>46088.38958333333</v>
      </c>
      <c r="AC2721" s="105">
        <v>46092.333333333336</v>
      </c>
    </row>
    <row r="2722" s="70" customFormat="1" ht="11.25" customHeight="1">
      <c r="A2722" s="87"/>
      <c r="C2722" s="43" t="s">
        <v>4520</v>
      </c>
      <c r="D2722" s="71" t="s">
        <v>382</v>
      </c>
      <c r="E2722" s="71" t="str">
        <f>MID(D2722,1,2)</f>
        <v>IL</v>
      </c>
      <c r="F2722" s="71" t="s">
        <v>414</v>
      </c>
      <c r="G2722" s="71" t="str">
        <f>MID(F2722,1,2)</f>
        <v>US</v>
      </c>
      <c r="H2722" s="43" t="s">
        <v>4414</v>
      </c>
      <c r="I2722" s="71" t="s">
        <v>4521</v>
      </c>
      <c r="J2722" s="71" t="s">
        <v>454</v>
      </c>
      <c r="K2722" s="43"/>
      <c r="L2722" s="71" t="s">
        <v>107</v>
      </c>
      <c r="M2722" s="73">
        <v>1</v>
      </c>
      <c r="N2722" s="71" t="s">
        <v>388</v>
      </c>
      <c r="O2722" s="73">
        <v>0.019</v>
      </c>
      <c r="P2722" s="71" t="s">
        <v>389</v>
      </c>
      <c r="Q2722" s="73">
        <v>3.5</v>
      </c>
      <c r="R2722" s="71" t="s">
        <v>388</v>
      </c>
      <c r="S2722" s="73">
        <v>0</v>
      </c>
      <c r="T2722" s="71" t="s">
        <v>390</v>
      </c>
      <c r="U2722" s="74">
        <v>1</v>
      </c>
      <c r="V2722" s="71" t="s">
        <v>427</v>
      </c>
      <c r="W2722" s="130">
        <v>46084.465277777781</v>
      </c>
      <c r="X2722" s="72">
        <v>46088.25</v>
      </c>
      <c r="Y2722" s="72">
        <v>46092.197916666664</v>
      </c>
      <c r="Z2722" s="104" t="s">
        <v>382</v>
      </c>
      <c r="AA2722" s="104" t="s">
        <v>414</v>
      </c>
      <c r="AB2722" s="105">
        <v>46088.38958333333</v>
      </c>
      <c r="AC2722" s="105">
        <v>46092.333333333336</v>
      </c>
    </row>
    <row r="2723" s="70" customFormat="1" ht="11.25" customHeight="1">
      <c r="A2723" s="87"/>
      <c r="C2723" s="43" t="s">
        <v>4522</v>
      </c>
      <c r="D2723" s="71" t="s">
        <v>382</v>
      </c>
      <c r="E2723" s="71" t="str">
        <f>MID(D2723,1,2)</f>
        <v>IL</v>
      </c>
      <c r="F2723" s="71" t="s">
        <v>414</v>
      </c>
      <c r="G2723" s="71" t="str">
        <f>MID(F2723,1,2)</f>
        <v>US</v>
      </c>
      <c r="H2723" s="43" t="s">
        <v>4414</v>
      </c>
      <c r="I2723" s="71" t="s">
        <v>4523</v>
      </c>
      <c r="J2723" s="71" t="s">
        <v>454</v>
      </c>
      <c r="K2723" s="43" t="s">
        <v>759</v>
      </c>
      <c r="L2723" s="71" t="s">
        <v>107</v>
      </c>
      <c r="M2723" s="73">
        <v>46</v>
      </c>
      <c r="N2723" s="71" t="s">
        <v>388</v>
      </c>
      <c r="O2723" s="73">
        <v>0.388</v>
      </c>
      <c r="P2723" s="71" t="s">
        <v>389</v>
      </c>
      <c r="Q2723" s="73">
        <v>65</v>
      </c>
      <c r="R2723" s="71" t="s">
        <v>388</v>
      </c>
      <c r="S2723" s="73">
        <v>0</v>
      </c>
      <c r="T2723" s="71" t="s">
        <v>390</v>
      </c>
      <c r="U2723" s="74">
        <v>1</v>
      </c>
      <c r="V2723" s="71" t="s">
        <v>391</v>
      </c>
      <c r="W2723" s="130">
        <v>46084.472916666666</v>
      </c>
      <c r="X2723" s="72">
        <v>46088.25</v>
      </c>
      <c r="Y2723" s="72">
        <v>46092.197916666664</v>
      </c>
      <c r="Z2723" s="104" t="s">
        <v>382</v>
      </c>
      <c r="AA2723" s="104" t="s">
        <v>414</v>
      </c>
      <c r="AB2723" s="105">
        <v>46088.38958333333</v>
      </c>
      <c r="AC2723" s="105">
        <v>46092.333333333336</v>
      </c>
    </row>
    <row r="2724" s="70" customFormat="1" ht="11.25" customHeight="1">
      <c r="A2724" s="87"/>
      <c r="C2724" s="43" t="s">
        <v>4524</v>
      </c>
      <c r="D2724" s="71" t="s">
        <v>382</v>
      </c>
      <c r="E2724" s="71" t="str">
        <f>MID(D2724,1,2)</f>
        <v>IL</v>
      </c>
      <c r="F2724" s="71" t="s">
        <v>383</v>
      </c>
      <c r="G2724" s="71" t="str">
        <f>MID(F2724,1,2)</f>
        <v>DE</v>
      </c>
      <c r="H2724" s="43" t="s">
        <v>4002</v>
      </c>
      <c r="I2724" s="71" t="s">
        <v>4525</v>
      </c>
      <c r="J2724" s="71" t="s">
        <v>386</v>
      </c>
      <c r="K2724" s="43"/>
      <c r="L2724" s="71" t="s">
        <v>107</v>
      </c>
      <c r="M2724" s="73">
        <v>91</v>
      </c>
      <c r="N2724" s="71" t="s">
        <v>388</v>
      </c>
      <c r="O2724" s="73">
        <v>1.027</v>
      </c>
      <c r="P2724" s="71" t="s">
        <v>389</v>
      </c>
      <c r="Q2724" s="73">
        <v>171.5</v>
      </c>
      <c r="R2724" s="71" t="s">
        <v>388</v>
      </c>
      <c r="S2724" s="73">
        <v>0</v>
      </c>
      <c r="T2724" s="71" t="s">
        <v>390</v>
      </c>
      <c r="U2724" s="74">
        <v>1</v>
      </c>
      <c r="V2724" s="71" t="s">
        <v>391</v>
      </c>
      <c r="W2724" s="130">
        <v>46085.549305555556</v>
      </c>
      <c r="X2724" s="72">
        <v>46087.25</v>
      </c>
      <c r="Y2724" s="72">
        <v>46094.333333333336</v>
      </c>
      <c r="Z2724" s="104" t="s">
        <v>383</v>
      </c>
      <c r="AA2724" s="104" t="s">
        <v>667</v>
      </c>
      <c r="AB2724" s="105"/>
      <c r="AC2724" s="105"/>
    </row>
    <row r="2725" s="70" customFormat="1" ht="11.25" customHeight="1">
      <c r="A2725" s="87"/>
      <c r="C2725" s="43" t="s">
        <v>4524</v>
      </c>
      <c r="D2725" s="71" t="s">
        <v>382</v>
      </c>
      <c r="E2725" s="71" t="str">
        <f>MID(D2725,1,2)</f>
        <v>IL</v>
      </c>
      <c r="F2725" s="71" t="s">
        <v>383</v>
      </c>
      <c r="G2725" s="71" t="str">
        <f>MID(F2725,1,2)</f>
        <v>DE</v>
      </c>
      <c r="H2725" s="43" t="s">
        <v>4002</v>
      </c>
      <c r="I2725" s="71" t="s">
        <v>4525</v>
      </c>
      <c r="J2725" s="71" t="s">
        <v>386</v>
      </c>
      <c r="K2725" s="43"/>
      <c r="L2725" s="71" t="s">
        <v>107</v>
      </c>
      <c r="M2725" s="73">
        <v>91</v>
      </c>
      <c r="N2725" s="71" t="s">
        <v>388</v>
      </c>
      <c r="O2725" s="73">
        <v>1.027</v>
      </c>
      <c r="P2725" s="71" t="s">
        <v>389</v>
      </c>
      <c r="Q2725" s="73">
        <v>171.5</v>
      </c>
      <c r="R2725" s="71" t="s">
        <v>388</v>
      </c>
      <c r="S2725" s="73">
        <v>0</v>
      </c>
      <c r="T2725" s="71" t="s">
        <v>390</v>
      </c>
      <c r="U2725" s="74">
        <v>1</v>
      </c>
      <c r="V2725" s="71" t="s">
        <v>391</v>
      </c>
      <c r="W2725" s="130">
        <v>46085.549305555556</v>
      </c>
      <c r="X2725" s="72">
        <v>46087.25</v>
      </c>
      <c r="Y2725" s="72">
        <v>46094.333333333336</v>
      </c>
      <c r="Z2725" s="104" t="s">
        <v>382</v>
      </c>
      <c r="AA2725" s="104" t="s">
        <v>466</v>
      </c>
      <c r="AB2725" s="105">
        <v>46088.06875</v>
      </c>
      <c r="AC2725" s="105">
        <v>46088.195833333331</v>
      </c>
    </row>
    <row r="2726" s="70" customFormat="1" ht="11.25" customHeight="1">
      <c r="A2726" s="87"/>
      <c r="C2726" s="43" t="s">
        <v>4524</v>
      </c>
      <c r="D2726" s="71" t="s">
        <v>382</v>
      </c>
      <c r="E2726" s="71" t="str">
        <f>MID(D2726,1,2)</f>
        <v>IL</v>
      </c>
      <c r="F2726" s="71" t="s">
        <v>383</v>
      </c>
      <c r="G2726" s="71" t="str">
        <f>MID(F2726,1,2)</f>
        <v>DE</v>
      </c>
      <c r="H2726" s="43" t="s">
        <v>4002</v>
      </c>
      <c r="I2726" s="71" t="s">
        <v>4525</v>
      </c>
      <c r="J2726" s="71" t="s">
        <v>386</v>
      </c>
      <c r="K2726" s="43"/>
      <c r="L2726" s="71" t="s">
        <v>107</v>
      </c>
      <c r="M2726" s="73">
        <v>91</v>
      </c>
      <c r="N2726" s="71" t="s">
        <v>388</v>
      </c>
      <c r="O2726" s="73">
        <v>1.027</v>
      </c>
      <c r="P2726" s="71" t="s">
        <v>389</v>
      </c>
      <c r="Q2726" s="73">
        <v>171.5</v>
      </c>
      <c r="R2726" s="71" t="s">
        <v>388</v>
      </c>
      <c r="S2726" s="73">
        <v>0</v>
      </c>
      <c r="T2726" s="71" t="s">
        <v>390</v>
      </c>
      <c r="U2726" s="74">
        <v>1</v>
      </c>
      <c r="V2726" s="71" t="s">
        <v>391</v>
      </c>
      <c r="W2726" s="130">
        <v>46085.549305555556</v>
      </c>
      <c r="X2726" s="72">
        <v>46087.25</v>
      </c>
      <c r="Y2726" s="72">
        <v>46094.333333333336</v>
      </c>
      <c r="Z2726" s="104" t="s">
        <v>466</v>
      </c>
      <c r="AA2726" s="104" t="s">
        <v>383</v>
      </c>
      <c r="AB2726" s="105">
        <v>46089.086805555555</v>
      </c>
      <c r="AC2726" s="105">
        <v>46093.676388888889</v>
      </c>
    </row>
    <row r="2727" s="70" customFormat="1" ht="11.25" customHeight="1">
      <c r="A2727" s="87"/>
      <c r="C2727" s="43" t="s">
        <v>4526</v>
      </c>
      <c r="D2727" s="71" t="s">
        <v>382</v>
      </c>
      <c r="E2727" s="71" t="str">
        <f>MID(D2727,1,2)</f>
        <v>IL</v>
      </c>
      <c r="F2727" s="71" t="s">
        <v>414</v>
      </c>
      <c r="G2727" s="71" t="str">
        <f>MID(F2727,1,2)</f>
        <v>US</v>
      </c>
      <c r="H2727" s="43" t="s">
        <v>4414</v>
      </c>
      <c r="I2727" s="71" t="s">
        <v>4527</v>
      </c>
      <c r="J2727" s="71" t="s">
        <v>454</v>
      </c>
      <c r="K2727" s="43" t="s">
        <v>759</v>
      </c>
      <c r="L2727" s="71" t="s">
        <v>107</v>
      </c>
      <c r="M2727" s="73">
        <v>123</v>
      </c>
      <c r="N2727" s="71" t="s">
        <v>388</v>
      </c>
      <c r="O2727" s="73">
        <v>0.637</v>
      </c>
      <c r="P2727" s="71" t="s">
        <v>389</v>
      </c>
      <c r="Q2727" s="73">
        <v>123</v>
      </c>
      <c r="R2727" s="71" t="s">
        <v>388</v>
      </c>
      <c r="S2727" s="73">
        <v>0</v>
      </c>
      <c r="T2727" s="71" t="s">
        <v>390</v>
      </c>
      <c r="U2727" s="74">
        <v>1</v>
      </c>
      <c r="V2727" s="71" t="s">
        <v>391</v>
      </c>
      <c r="W2727" s="130">
        <v>46084.479166666664</v>
      </c>
      <c r="X2727" s="72">
        <v>46088.25</v>
      </c>
      <c r="Y2727" s="72">
        <v>46092.197916666664</v>
      </c>
      <c r="Z2727" s="104" t="s">
        <v>382</v>
      </c>
      <c r="AA2727" s="104" t="s">
        <v>414</v>
      </c>
      <c r="AB2727" s="105">
        <v>46088.38958333333</v>
      </c>
      <c r="AC2727" s="105">
        <v>46092.333333333336</v>
      </c>
    </row>
    <row r="2728" s="70" customFormat="1" ht="11.25" customHeight="1">
      <c r="A2728" s="87"/>
      <c r="C2728" s="43" t="s">
        <v>4528</v>
      </c>
      <c r="D2728" s="71" t="s">
        <v>382</v>
      </c>
      <c r="E2728" s="71" t="str">
        <f>MID(D2728,1,2)</f>
        <v>IL</v>
      </c>
      <c r="F2728" s="71" t="s">
        <v>414</v>
      </c>
      <c r="G2728" s="71" t="str">
        <f>MID(F2728,1,2)</f>
        <v>US</v>
      </c>
      <c r="H2728" s="43" t="s">
        <v>4414</v>
      </c>
      <c r="I2728" s="71" t="s">
        <v>4529</v>
      </c>
      <c r="J2728" s="71" t="s">
        <v>386</v>
      </c>
      <c r="K2728" s="43"/>
      <c r="L2728" s="71" t="s">
        <v>107</v>
      </c>
      <c r="M2728" s="73">
        <v>2</v>
      </c>
      <c r="N2728" s="71" t="s">
        <v>388</v>
      </c>
      <c r="O2728" s="73">
        <v>0.003</v>
      </c>
      <c r="P2728" s="71" t="s">
        <v>389</v>
      </c>
      <c r="Q2728" s="73">
        <v>2</v>
      </c>
      <c r="R2728" s="71" t="s">
        <v>388</v>
      </c>
      <c r="S2728" s="73">
        <v>0</v>
      </c>
      <c r="T2728" s="71" t="s">
        <v>390</v>
      </c>
      <c r="U2728" s="74">
        <v>1</v>
      </c>
      <c r="V2728" s="71" t="s">
        <v>446</v>
      </c>
      <c r="W2728" s="130">
        <v>46084.535416666666</v>
      </c>
      <c r="X2728" s="72">
        <v>46088.25</v>
      </c>
      <c r="Y2728" s="72">
        <v>46092.197916666664</v>
      </c>
      <c r="Z2728" s="104" t="s">
        <v>382</v>
      </c>
      <c r="AA2728" s="104" t="s">
        <v>414</v>
      </c>
      <c r="AB2728" s="105">
        <v>46088.38958333333</v>
      </c>
      <c r="AC2728" s="105">
        <v>46092.333333333336</v>
      </c>
    </row>
    <row r="2729" s="70" customFormat="1" ht="11.25" customHeight="1">
      <c r="A2729" s="87"/>
      <c r="C2729" s="43" t="s">
        <v>4530</v>
      </c>
      <c r="D2729" s="71" t="s">
        <v>382</v>
      </c>
      <c r="E2729" s="71" t="str">
        <f>MID(D2729,1,2)</f>
        <v>IL</v>
      </c>
      <c r="F2729" s="71" t="s">
        <v>3121</v>
      </c>
      <c r="G2729" s="71" t="str">
        <f>MID(F2729,1,2)</f>
        <v>JP</v>
      </c>
      <c r="H2729" s="43" t="s">
        <v>4531</v>
      </c>
      <c r="I2729" s="71" t="s">
        <v>4532</v>
      </c>
      <c r="J2729" s="71" t="s">
        <v>755</v>
      </c>
      <c r="K2729" s="43"/>
      <c r="L2729" s="71" t="s">
        <v>105</v>
      </c>
      <c r="M2729" s="73">
        <v>104</v>
      </c>
      <c r="N2729" s="71" t="s">
        <v>388</v>
      </c>
      <c r="O2729" s="73">
        <v>0.601</v>
      </c>
      <c r="P2729" s="71" t="s">
        <v>389</v>
      </c>
      <c r="Q2729" s="73">
        <v>104</v>
      </c>
      <c r="R2729" s="71" t="s">
        <v>388</v>
      </c>
      <c r="S2729" s="73">
        <v>0</v>
      </c>
      <c r="T2729" s="71" t="s">
        <v>390</v>
      </c>
      <c r="U2729" s="74">
        <v>1</v>
      </c>
      <c r="V2729" s="71" t="s">
        <v>391</v>
      </c>
      <c r="W2729" s="130">
        <v>46085.43125</v>
      </c>
      <c r="X2729" s="72">
        <v>46088.034722222219</v>
      </c>
      <c r="Y2729" s="72">
        <v>46088.418055555558</v>
      </c>
      <c r="Z2729" s="104" t="s">
        <v>382</v>
      </c>
      <c r="AA2729" s="104" t="s">
        <v>466</v>
      </c>
      <c r="AB2729" s="105">
        <v>46088.06875</v>
      </c>
      <c r="AC2729" s="105">
        <v>46088.195833333331</v>
      </c>
    </row>
    <row r="2730" s="70" customFormat="1" ht="11.25" customHeight="1">
      <c r="A2730" s="87"/>
      <c r="C2730" s="43" t="s">
        <v>4530</v>
      </c>
      <c r="D2730" s="71" t="s">
        <v>382</v>
      </c>
      <c r="E2730" s="71" t="str">
        <f>MID(D2730,1,2)</f>
        <v>IL</v>
      </c>
      <c r="F2730" s="71" t="s">
        <v>3121</v>
      </c>
      <c r="G2730" s="71" t="str">
        <f>MID(F2730,1,2)</f>
        <v>JP</v>
      </c>
      <c r="H2730" s="43" t="s">
        <v>4531</v>
      </c>
      <c r="I2730" s="71" t="s">
        <v>4532</v>
      </c>
      <c r="J2730" s="71" t="s">
        <v>755</v>
      </c>
      <c r="K2730" s="43"/>
      <c r="L2730" s="71" t="s">
        <v>105</v>
      </c>
      <c r="M2730" s="73">
        <v>104</v>
      </c>
      <c r="N2730" s="71" t="s">
        <v>388</v>
      </c>
      <c r="O2730" s="73">
        <v>0.601</v>
      </c>
      <c r="P2730" s="71" t="s">
        <v>389</v>
      </c>
      <c r="Q2730" s="73">
        <v>104</v>
      </c>
      <c r="R2730" s="71" t="s">
        <v>388</v>
      </c>
      <c r="S2730" s="73">
        <v>0</v>
      </c>
      <c r="T2730" s="71" t="s">
        <v>390</v>
      </c>
      <c r="U2730" s="74">
        <v>1</v>
      </c>
      <c r="V2730" s="71" t="s">
        <v>391</v>
      </c>
      <c r="W2730" s="130">
        <v>46085.43125</v>
      </c>
      <c r="X2730" s="72">
        <v>46088.034722222219</v>
      </c>
      <c r="Y2730" s="72">
        <v>46088.418055555558</v>
      </c>
      <c r="Z2730" s="104" t="s">
        <v>466</v>
      </c>
      <c r="AA2730" s="104" t="s">
        <v>1370</v>
      </c>
      <c r="AB2730" s="105">
        <v>46089.061111111114</v>
      </c>
      <c r="AC2730" s="105">
        <v>46089.211805555555</v>
      </c>
    </row>
    <row r="2731" s="70" customFormat="1" ht="11.25" customHeight="1">
      <c r="A2731" s="87"/>
      <c r="C2731" s="43" t="s">
        <v>4530</v>
      </c>
      <c r="D2731" s="71" t="s">
        <v>382</v>
      </c>
      <c r="E2731" s="71" t="str">
        <f>MID(D2731,1,2)</f>
        <v>IL</v>
      </c>
      <c r="F2731" s="71" t="s">
        <v>3121</v>
      </c>
      <c r="G2731" s="71" t="str">
        <f>MID(F2731,1,2)</f>
        <v>JP</v>
      </c>
      <c r="H2731" s="43" t="s">
        <v>4531</v>
      </c>
      <c r="I2731" s="71" t="s">
        <v>4532</v>
      </c>
      <c r="J2731" s="71" t="s">
        <v>755</v>
      </c>
      <c r="K2731" s="43"/>
      <c r="L2731" s="71" t="s">
        <v>105</v>
      </c>
      <c r="M2731" s="73">
        <v>104</v>
      </c>
      <c r="N2731" s="71" t="s">
        <v>388</v>
      </c>
      <c r="O2731" s="73">
        <v>0.601</v>
      </c>
      <c r="P2731" s="71" t="s">
        <v>389</v>
      </c>
      <c r="Q2731" s="73">
        <v>104</v>
      </c>
      <c r="R2731" s="71" t="s">
        <v>388</v>
      </c>
      <c r="S2731" s="73">
        <v>0</v>
      </c>
      <c r="T2731" s="71" t="s">
        <v>390</v>
      </c>
      <c r="U2731" s="74">
        <v>1</v>
      </c>
      <c r="V2731" s="71" t="s">
        <v>391</v>
      </c>
      <c r="W2731" s="130">
        <v>46085.43125</v>
      </c>
      <c r="X2731" s="72">
        <v>46088.034722222219</v>
      </c>
      <c r="Y2731" s="72">
        <v>46088.418055555558</v>
      </c>
      <c r="Z2731" s="104" t="s">
        <v>1370</v>
      </c>
      <c r="AA2731" s="104" t="s">
        <v>1108</v>
      </c>
      <c r="AB2731" s="105">
        <v>46090.73541666667</v>
      </c>
      <c r="AC2731" s="105">
        <v>46091.693055555559</v>
      </c>
    </row>
    <row r="2732" s="70" customFormat="1" ht="11.25" customHeight="1">
      <c r="A2732" s="87"/>
      <c r="C2732" s="43" t="s">
        <v>4530</v>
      </c>
      <c r="D2732" s="71" t="s">
        <v>382</v>
      </c>
      <c r="E2732" s="71" t="str">
        <f>MID(D2732,1,2)</f>
        <v>IL</v>
      </c>
      <c r="F2732" s="71" t="s">
        <v>3121</v>
      </c>
      <c r="G2732" s="71" t="str">
        <f>MID(F2732,1,2)</f>
        <v>JP</v>
      </c>
      <c r="H2732" s="43" t="s">
        <v>4531</v>
      </c>
      <c r="I2732" s="71" t="s">
        <v>4532</v>
      </c>
      <c r="J2732" s="71" t="s">
        <v>755</v>
      </c>
      <c r="K2732" s="43"/>
      <c r="L2732" s="71" t="s">
        <v>105</v>
      </c>
      <c r="M2732" s="73">
        <v>104</v>
      </c>
      <c r="N2732" s="71" t="s">
        <v>388</v>
      </c>
      <c r="O2732" s="73">
        <v>0.601</v>
      </c>
      <c r="P2732" s="71" t="s">
        <v>389</v>
      </c>
      <c r="Q2732" s="73">
        <v>104</v>
      </c>
      <c r="R2732" s="71" t="s">
        <v>388</v>
      </c>
      <c r="S2732" s="73">
        <v>0</v>
      </c>
      <c r="T2732" s="71" t="s">
        <v>390</v>
      </c>
      <c r="U2732" s="74">
        <v>1</v>
      </c>
      <c r="V2732" s="71" t="s">
        <v>391</v>
      </c>
      <c r="W2732" s="130">
        <v>46085.43125</v>
      </c>
      <c r="X2732" s="72">
        <v>46088.034722222219</v>
      </c>
      <c r="Y2732" s="72">
        <v>46088.418055555558</v>
      </c>
      <c r="Z2732" s="104" t="s">
        <v>1108</v>
      </c>
      <c r="AA2732" s="104" t="s">
        <v>3121</v>
      </c>
      <c r="AB2732" s="105">
        <v>46092.377083333333</v>
      </c>
      <c r="AC2732" s="105">
        <v>46092.51666666667</v>
      </c>
    </row>
    <row r="2733" s="70" customFormat="1" ht="11.25" customHeight="1">
      <c r="A2733" s="87"/>
      <c r="C2733" s="43" t="s">
        <v>4533</v>
      </c>
      <c r="D2733" s="71" t="s">
        <v>382</v>
      </c>
      <c r="E2733" s="71" t="str">
        <f>MID(D2733,1,2)</f>
        <v>IL</v>
      </c>
      <c r="F2733" s="71" t="s">
        <v>978</v>
      </c>
      <c r="G2733" s="71" t="str">
        <f>MID(F2733,1,2)</f>
        <v>PL</v>
      </c>
      <c r="H2733" s="43" t="s">
        <v>4311</v>
      </c>
      <c r="I2733" s="71" t="s">
        <v>4534</v>
      </c>
      <c r="J2733" s="71" t="s">
        <v>386</v>
      </c>
      <c r="K2733" s="43"/>
      <c r="L2733" s="71" t="s">
        <v>107</v>
      </c>
      <c r="M2733" s="73">
        <v>1160</v>
      </c>
      <c r="N2733" s="71" t="s">
        <v>388</v>
      </c>
      <c r="O2733" s="73">
        <v>0.897</v>
      </c>
      <c r="P2733" s="71" t="s">
        <v>389</v>
      </c>
      <c r="Q2733" s="73">
        <v>1160</v>
      </c>
      <c r="R2733" s="71" t="s">
        <v>388</v>
      </c>
      <c r="S2733" s="73">
        <v>0</v>
      </c>
      <c r="T2733" s="71" t="s">
        <v>390</v>
      </c>
      <c r="U2733" s="74">
        <v>3</v>
      </c>
      <c r="V2733" s="71" t="s">
        <v>391</v>
      </c>
      <c r="W2733" s="130">
        <v>46084.563194444447</v>
      </c>
      <c r="X2733" s="72">
        <v>46090.253472222219</v>
      </c>
      <c r="Y2733" s="72">
        <v>46091.443055555559</v>
      </c>
      <c r="Z2733" s="104" t="s">
        <v>382</v>
      </c>
      <c r="AA2733" s="104" t="s">
        <v>383</v>
      </c>
      <c r="AB2733" s="105">
        <v>46091.292361111111</v>
      </c>
      <c r="AC2733" s="105">
        <v>46091.435416666667</v>
      </c>
    </row>
    <row r="2734" s="70" customFormat="1" ht="11.25" customHeight="1">
      <c r="A2734" s="87"/>
      <c r="C2734" s="43" t="s">
        <v>4533</v>
      </c>
      <c r="D2734" s="71" t="s">
        <v>382</v>
      </c>
      <c r="E2734" s="71" t="str">
        <f>MID(D2734,1,2)</f>
        <v>IL</v>
      </c>
      <c r="F2734" s="71" t="s">
        <v>978</v>
      </c>
      <c r="G2734" s="71" t="str">
        <f>MID(F2734,1,2)</f>
        <v>PL</v>
      </c>
      <c r="H2734" s="43" t="s">
        <v>4311</v>
      </c>
      <c r="I2734" s="71" t="s">
        <v>4534</v>
      </c>
      <c r="J2734" s="71" t="s">
        <v>386</v>
      </c>
      <c r="K2734" s="43"/>
      <c r="L2734" s="71" t="s">
        <v>107</v>
      </c>
      <c r="M2734" s="73">
        <v>1160</v>
      </c>
      <c r="N2734" s="71" t="s">
        <v>388</v>
      </c>
      <c r="O2734" s="73">
        <v>0.897</v>
      </c>
      <c r="P2734" s="71" t="s">
        <v>389</v>
      </c>
      <c r="Q2734" s="73">
        <v>1160</v>
      </c>
      <c r="R2734" s="71" t="s">
        <v>388</v>
      </c>
      <c r="S2734" s="73">
        <v>0</v>
      </c>
      <c r="T2734" s="71" t="s">
        <v>390</v>
      </c>
      <c r="U2734" s="74">
        <v>3</v>
      </c>
      <c r="V2734" s="71" t="s">
        <v>391</v>
      </c>
      <c r="W2734" s="130">
        <v>46084.563194444447</v>
      </c>
      <c r="X2734" s="72">
        <v>46090.253472222219</v>
      </c>
      <c r="Y2734" s="72">
        <v>46091.443055555559</v>
      </c>
      <c r="Z2734" s="104" t="s">
        <v>383</v>
      </c>
      <c r="AA2734" s="104" t="s">
        <v>4478</v>
      </c>
      <c r="AB2734" s="105">
        <v>46096.076388888891</v>
      </c>
      <c r="AC2734" s="105">
        <v>46097.5</v>
      </c>
    </row>
    <row r="2735" s="70" customFormat="1" ht="11.25" customHeight="1">
      <c r="A2735" s="87"/>
      <c r="C2735" s="43" t="s">
        <v>4535</v>
      </c>
      <c r="D2735" s="71" t="s">
        <v>382</v>
      </c>
      <c r="E2735" s="71" t="str">
        <f>MID(D2735,1,2)</f>
        <v>IL</v>
      </c>
      <c r="F2735" s="71" t="s">
        <v>480</v>
      </c>
      <c r="G2735" s="71" t="str">
        <f>MID(F2735,1,2)</f>
        <v>CA</v>
      </c>
      <c r="H2735" s="43" t="s">
        <v>4536</v>
      </c>
      <c r="I2735" s="71" t="s">
        <v>4537</v>
      </c>
      <c r="J2735" s="71" t="s">
        <v>483</v>
      </c>
      <c r="K2735" s="43"/>
      <c r="L2735" s="71" t="s">
        <v>105</v>
      </c>
      <c r="M2735" s="73">
        <v>437</v>
      </c>
      <c r="N2735" s="71" t="s">
        <v>388</v>
      </c>
      <c r="O2735" s="73">
        <v>4.465</v>
      </c>
      <c r="P2735" s="71" t="s">
        <v>389</v>
      </c>
      <c r="Q2735" s="73">
        <v>744.5</v>
      </c>
      <c r="R2735" s="71" t="s">
        <v>388</v>
      </c>
      <c r="S2735" s="73">
        <v>0</v>
      </c>
      <c r="T2735" s="71" t="s">
        <v>390</v>
      </c>
      <c r="U2735" s="74">
        <v>3</v>
      </c>
      <c r="V2735" s="71" t="s">
        <v>391</v>
      </c>
      <c r="W2735" s="130">
        <v>46090.655717592592</v>
      </c>
      <c r="X2735" s="72">
        <v>46091.229166666664</v>
      </c>
      <c r="Y2735" s="72">
        <v>46094.621527777781</v>
      </c>
      <c r="Z2735" s="104" t="s">
        <v>382</v>
      </c>
      <c r="AA2735" s="104" t="s">
        <v>408</v>
      </c>
      <c r="AB2735" s="105">
        <v>46091.784722222219</v>
      </c>
      <c r="AC2735" s="105">
        <v>46091.875694444447</v>
      </c>
    </row>
    <row r="2736" s="70" customFormat="1" ht="11.25" customHeight="1">
      <c r="A2736" s="87"/>
      <c r="C2736" s="43" t="s">
        <v>4535</v>
      </c>
      <c r="D2736" s="71" t="s">
        <v>382</v>
      </c>
      <c r="E2736" s="71" t="str">
        <f>MID(D2736,1,2)</f>
        <v>IL</v>
      </c>
      <c r="F2736" s="71" t="s">
        <v>480</v>
      </c>
      <c r="G2736" s="71" t="str">
        <f>MID(F2736,1,2)</f>
        <v>CA</v>
      </c>
      <c r="H2736" s="43" t="s">
        <v>4536</v>
      </c>
      <c r="I2736" s="71" t="s">
        <v>4537</v>
      </c>
      <c r="J2736" s="71" t="s">
        <v>483</v>
      </c>
      <c r="K2736" s="43"/>
      <c r="L2736" s="71" t="s">
        <v>105</v>
      </c>
      <c r="M2736" s="73">
        <v>437</v>
      </c>
      <c r="N2736" s="71" t="s">
        <v>388</v>
      </c>
      <c r="O2736" s="73">
        <v>4.465</v>
      </c>
      <c r="P2736" s="71" t="s">
        <v>389</v>
      </c>
      <c r="Q2736" s="73">
        <v>744.5</v>
      </c>
      <c r="R2736" s="71" t="s">
        <v>388</v>
      </c>
      <c r="S2736" s="73">
        <v>0</v>
      </c>
      <c r="T2736" s="71" t="s">
        <v>390</v>
      </c>
      <c r="U2736" s="74">
        <v>3</v>
      </c>
      <c r="V2736" s="71" t="s">
        <v>391</v>
      </c>
      <c r="W2736" s="130">
        <v>46090.655717592592</v>
      </c>
      <c r="X2736" s="72">
        <v>46091.229166666664</v>
      </c>
      <c r="Y2736" s="72">
        <v>46094.621527777781</v>
      </c>
      <c r="Z2736" s="104" t="s">
        <v>408</v>
      </c>
      <c r="AA2736" s="104" t="s">
        <v>480</v>
      </c>
      <c r="AB2736" s="105">
        <v>46094.461805555555</v>
      </c>
      <c r="AC2736" s="105">
        <v>46094.62777777778</v>
      </c>
    </row>
    <row r="2737" s="70" customFormat="1" ht="11.25" customHeight="1">
      <c r="A2737" s="87"/>
      <c r="C2737" s="43" t="s">
        <v>4538</v>
      </c>
      <c r="D2737" s="71" t="s">
        <v>382</v>
      </c>
      <c r="E2737" s="71" t="str">
        <f>MID(D2737,1,2)</f>
        <v>IL</v>
      </c>
      <c r="F2737" s="71" t="s">
        <v>414</v>
      </c>
      <c r="G2737" s="71" t="str">
        <f>MID(F2737,1,2)</f>
        <v>US</v>
      </c>
      <c r="H2737" s="43" t="s">
        <v>4187</v>
      </c>
      <c r="I2737" s="71" t="s">
        <v>4539</v>
      </c>
      <c r="J2737" s="71" t="s">
        <v>426</v>
      </c>
      <c r="K2737" s="43"/>
      <c r="L2737" s="71" t="s">
        <v>105</v>
      </c>
      <c r="M2737" s="73">
        <v>88</v>
      </c>
      <c r="N2737" s="71" t="s">
        <v>388</v>
      </c>
      <c r="O2737" s="73">
        <v>0.992</v>
      </c>
      <c r="P2737" s="71" t="s">
        <v>389</v>
      </c>
      <c r="Q2737" s="73">
        <v>165.5</v>
      </c>
      <c r="R2737" s="71" t="s">
        <v>388</v>
      </c>
      <c r="S2737" s="73">
        <v>0</v>
      </c>
      <c r="T2737" s="71" t="s">
        <v>390</v>
      </c>
      <c r="U2737" s="74">
        <v>1</v>
      </c>
      <c r="V2737" s="71" t="s">
        <v>391</v>
      </c>
      <c r="W2737" s="130">
        <v>46084.611805555556</v>
      </c>
      <c r="X2737" s="72">
        <v>46088.677083333336</v>
      </c>
      <c r="Y2737" s="72">
        <v>46095.541666666664</v>
      </c>
      <c r="Z2737" s="104" t="s">
        <v>382</v>
      </c>
      <c r="AA2737" s="104" t="s">
        <v>414</v>
      </c>
      <c r="AB2737" s="105">
        <v>46091.955555555556</v>
      </c>
      <c r="AC2737" s="105">
        <v>46094.475</v>
      </c>
    </row>
    <row r="2738" s="70" customFormat="1" ht="11.25" customHeight="1">
      <c r="A2738" s="87"/>
      <c r="C2738" s="43" t="s">
        <v>4540</v>
      </c>
      <c r="D2738" s="71" t="s">
        <v>382</v>
      </c>
      <c r="E2738" s="71" t="str">
        <f>MID(D2738,1,2)</f>
        <v>IL</v>
      </c>
      <c r="F2738" s="71" t="s">
        <v>414</v>
      </c>
      <c r="G2738" s="71" t="str">
        <f>MID(F2738,1,2)</f>
        <v>US</v>
      </c>
      <c r="H2738" s="43" t="s">
        <v>4414</v>
      </c>
      <c r="I2738" s="71" t="s">
        <v>4541</v>
      </c>
      <c r="J2738" s="71" t="s">
        <v>454</v>
      </c>
      <c r="K2738" s="43"/>
      <c r="L2738" s="71" t="s">
        <v>107</v>
      </c>
      <c r="M2738" s="73">
        <v>3</v>
      </c>
      <c r="N2738" s="71" t="s">
        <v>388</v>
      </c>
      <c r="O2738" s="73">
        <v>0.045</v>
      </c>
      <c r="P2738" s="71" t="s">
        <v>389</v>
      </c>
      <c r="Q2738" s="73">
        <v>7.5</v>
      </c>
      <c r="R2738" s="71" t="s">
        <v>388</v>
      </c>
      <c r="S2738" s="73">
        <v>0</v>
      </c>
      <c r="T2738" s="71" t="s">
        <v>390</v>
      </c>
      <c r="U2738" s="74">
        <v>1</v>
      </c>
      <c r="V2738" s="71" t="s">
        <v>427</v>
      </c>
      <c r="W2738" s="130">
        <v>46084.604166666664</v>
      </c>
      <c r="X2738" s="72">
        <v>46088.25</v>
      </c>
      <c r="Y2738" s="72">
        <v>46092.197916666664</v>
      </c>
      <c r="Z2738" s="104" t="s">
        <v>382</v>
      </c>
      <c r="AA2738" s="104" t="s">
        <v>414</v>
      </c>
      <c r="AB2738" s="105">
        <v>46088.38958333333</v>
      </c>
      <c r="AC2738" s="105">
        <v>46092.333333333336</v>
      </c>
    </row>
    <row r="2739" s="70" customFormat="1" ht="11.25" customHeight="1">
      <c r="A2739" s="87"/>
      <c r="C2739" s="43" t="s">
        <v>4542</v>
      </c>
      <c r="D2739" s="71" t="s">
        <v>382</v>
      </c>
      <c r="E2739" s="71" t="str">
        <f>MID(D2739,1,2)</f>
        <v>IL</v>
      </c>
      <c r="F2739" s="71" t="s">
        <v>383</v>
      </c>
      <c r="G2739" s="71" t="str">
        <f>MID(F2739,1,2)</f>
        <v>DE</v>
      </c>
      <c r="H2739" s="43" t="s">
        <v>4543</v>
      </c>
      <c r="I2739" s="71" t="s">
        <v>4544</v>
      </c>
      <c r="J2739" s="71" t="s">
        <v>386</v>
      </c>
      <c r="K2739" s="43"/>
      <c r="L2739" s="71" t="s">
        <v>107</v>
      </c>
      <c r="M2739" s="73">
        <v>2080</v>
      </c>
      <c r="N2739" s="71" t="s">
        <v>388</v>
      </c>
      <c r="O2739" s="73">
        <v>21.282</v>
      </c>
      <c r="P2739" s="71" t="s">
        <v>389</v>
      </c>
      <c r="Q2739" s="73">
        <v>3547</v>
      </c>
      <c r="R2739" s="71" t="s">
        <v>388</v>
      </c>
      <c r="S2739" s="73">
        <v>0</v>
      </c>
      <c r="T2739" s="71" t="s">
        <v>390</v>
      </c>
      <c r="U2739" s="74">
        <v>17</v>
      </c>
      <c r="V2739" s="71" t="s">
        <v>391</v>
      </c>
      <c r="W2739" s="130">
        <v>46085.659722222219</v>
      </c>
      <c r="X2739" s="72">
        <v>46092</v>
      </c>
      <c r="Y2739" s="72">
        <v>46101.484722222223</v>
      </c>
      <c r="Z2739" s="104" t="s">
        <v>382</v>
      </c>
      <c r="AA2739" s="104" t="s">
        <v>466</v>
      </c>
      <c r="AB2739" s="105">
        <v>46096.841666666667</v>
      </c>
      <c r="AC2739" s="105">
        <v>46096.992361111108</v>
      </c>
    </row>
    <row r="2740" s="70" customFormat="1" ht="11.25" customHeight="1">
      <c r="A2740" s="87"/>
      <c r="C2740" s="43" t="s">
        <v>4542</v>
      </c>
      <c r="D2740" s="71" t="s">
        <v>382</v>
      </c>
      <c r="E2740" s="71" t="str">
        <f>MID(D2740,1,2)</f>
        <v>IL</v>
      </c>
      <c r="F2740" s="71" t="s">
        <v>383</v>
      </c>
      <c r="G2740" s="71" t="str">
        <f>MID(F2740,1,2)</f>
        <v>DE</v>
      </c>
      <c r="H2740" s="43" t="s">
        <v>4543</v>
      </c>
      <c r="I2740" s="71" t="s">
        <v>4544</v>
      </c>
      <c r="J2740" s="71" t="s">
        <v>386</v>
      </c>
      <c r="K2740" s="43"/>
      <c r="L2740" s="71" t="s">
        <v>107</v>
      </c>
      <c r="M2740" s="73">
        <v>2080</v>
      </c>
      <c r="N2740" s="71" t="s">
        <v>388</v>
      </c>
      <c r="O2740" s="73">
        <v>21.282</v>
      </c>
      <c r="P2740" s="71" t="s">
        <v>389</v>
      </c>
      <c r="Q2740" s="73">
        <v>3547</v>
      </c>
      <c r="R2740" s="71" t="s">
        <v>388</v>
      </c>
      <c r="S2740" s="73">
        <v>0</v>
      </c>
      <c r="T2740" s="71" t="s">
        <v>390</v>
      </c>
      <c r="U2740" s="74">
        <v>17</v>
      </c>
      <c r="V2740" s="71" t="s">
        <v>391</v>
      </c>
      <c r="W2740" s="130">
        <v>46085.659722222219</v>
      </c>
      <c r="X2740" s="72">
        <v>46092</v>
      </c>
      <c r="Y2740" s="72">
        <v>46101.484722222223</v>
      </c>
      <c r="Z2740" s="104" t="s">
        <v>466</v>
      </c>
      <c r="AA2740" s="104" t="s">
        <v>383</v>
      </c>
      <c r="AB2740" s="105">
        <v>46100.682638888888</v>
      </c>
      <c r="AC2740" s="105">
        <v>46101.015972222223</v>
      </c>
    </row>
    <row r="2741" s="70" customFormat="1" ht="11.25" customHeight="1">
      <c r="A2741" s="87"/>
      <c r="C2741" s="43" t="s">
        <v>4545</v>
      </c>
      <c r="D2741" s="71" t="s">
        <v>382</v>
      </c>
      <c r="E2741" s="71" t="str">
        <f>MID(D2741,1,2)</f>
        <v>IL</v>
      </c>
      <c r="F2741" s="71" t="s">
        <v>414</v>
      </c>
      <c r="G2741" s="71" t="str">
        <f>MID(F2741,1,2)</f>
        <v>US</v>
      </c>
      <c r="H2741" s="43" t="s">
        <v>2791</v>
      </c>
      <c r="I2741" s="71" t="s">
        <v>4546</v>
      </c>
      <c r="J2741" s="71" t="s">
        <v>386</v>
      </c>
      <c r="K2741" s="43"/>
      <c r="L2741" s="71" t="s">
        <v>107</v>
      </c>
      <c r="M2741" s="73">
        <v>16</v>
      </c>
      <c r="N2741" s="71" t="s">
        <v>388</v>
      </c>
      <c r="O2741" s="73">
        <v>0.085</v>
      </c>
      <c r="P2741" s="71" t="s">
        <v>389</v>
      </c>
      <c r="Q2741" s="73">
        <v>16</v>
      </c>
      <c r="R2741" s="71" t="s">
        <v>388</v>
      </c>
      <c r="S2741" s="73">
        <v>0</v>
      </c>
      <c r="T2741" s="71" t="s">
        <v>390</v>
      </c>
      <c r="U2741" s="74">
        <v>1</v>
      </c>
      <c r="V2741" s="71" t="s">
        <v>446</v>
      </c>
      <c r="W2741" s="130">
        <v>46086.736805555556</v>
      </c>
      <c r="X2741" s="72">
        <v>46091.229166666664</v>
      </c>
      <c r="Y2741" s="72">
        <v>46096.291666666664</v>
      </c>
      <c r="Z2741" s="104" t="s">
        <v>382</v>
      </c>
      <c r="AA2741" s="104" t="s">
        <v>414</v>
      </c>
      <c r="AB2741" s="105">
        <v>46091.945833333331</v>
      </c>
      <c r="AC2741" s="105">
        <v>46092.136111111111</v>
      </c>
    </row>
    <row r="2742" s="70" customFormat="1" ht="11.25" customHeight="1">
      <c r="A2742" s="87"/>
      <c r="C2742" s="43" t="s">
        <v>4547</v>
      </c>
      <c r="D2742" s="71" t="s">
        <v>382</v>
      </c>
      <c r="E2742" s="71" t="str">
        <f>MID(D2742,1,2)</f>
        <v>IL</v>
      </c>
      <c r="F2742" s="71" t="s">
        <v>414</v>
      </c>
      <c r="G2742" s="71" t="str">
        <f>MID(F2742,1,2)</f>
        <v>US</v>
      </c>
      <c r="H2742" s="43" t="s">
        <v>2791</v>
      </c>
      <c r="I2742" s="71" t="s">
        <v>4548</v>
      </c>
      <c r="J2742" s="71" t="s">
        <v>386</v>
      </c>
      <c r="K2742" s="43"/>
      <c r="L2742" s="71" t="s">
        <v>107</v>
      </c>
      <c r="M2742" s="73">
        <v>20</v>
      </c>
      <c r="N2742" s="71" t="s">
        <v>388</v>
      </c>
      <c r="O2742" s="73">
        <v>0.09</v>
      </c>
      <c r="P2742" s="71" t="s">
        <v>389</v>
      </c>
      <c r="Q2742" s="73">
        <v>20</v>
      </c>
      <c r="R2742" s="71" t="s">
        <v>388</v>
      </c>
      <c r="S2742" s="73">
        <v>0</v>
      </c>
      <c r="T2742" s="71" t="s">
        <v>390</v>
      </c>
      <c r="U2742" s="74">
        <v>1</v>
      </c>
      <c r="V2742" s="71" t="s">
        <v>446</v>
      </c>
      <c r="W2742" s="130">
        <v>46086.722222222219</v>
      </c>
      <c r="X2742" s="72">
        <v>46091.229166666664</v>
      </c>
      <c r="Y2742" s="72">
        <v>46096.291666666664</v>
      </c>
      <c r="Z2742" s="104" t="s">
        <v>382</v>
      </c>
      <c r="AA2742" s="104" t="s">
        <v>414</v>
      </c>
      <c r="AB2742" s="105">
        <v>46091.945833333331</v>
      </c>
      <c r="AC2742" s="105">
        <v>46092.136111111111</v>
      </c>
    </row>
    <row r="2743" s="70" customFormat="1" ht="11.25" customHeight="1">
      <c r="A2743" s="87"/>
      <c r="C2743" s="43" t="s">
        <v>4549</v>
      </c>
      <c r="D2743" s="71" t="s">
        <v>382</v>
      </c>
      <c r="E2743" s="71" t="str">
        <f>MID(D2743,1,2)</f>
        <v>IL</v>
      </c>
      <c r="F2743" s="71" t="s">
        <v>774</v>
      </c>
      <c r="G2743" s="71" t="str">
        <f>MID(F2743,1,2)</f>
        <v>CN</v>
      </c>
      <c r="H2743" s="43" t="s">
        <v>3798</v>
      </c>
      <c r="I2743" s="71" t="s">
        <v>4550</v>
      </c>
      <c r="J2743" s="71" t="s">
        <v>454</v>
      </c>
      <c r="K2743" s="43"/>
      <c r="L2743" s="71" t="s">
        <v>107</v>
      </c>
      <c r="M2743" s="73">
        <v>25</v>
      </c>
      <c r="N2743" s="71" t="s">
        <v>388</v>
      </c>
      <c r="O2743" s="73">
        <v>0.298</v>
      </c>
      <c r="P2743" s="71" t="s">
        <v>389</v>
      </c>
      <c r="Q2743" s="73">
        <v>100</v>
      </c>
      <c r="R2743" s="71" t="s">
        <v>388</v>
      </c>
      <c r="S2743" s="73">
        <v>0</v>
      </c>
      <c r="T2743" s="71" t="s">
        <v>390</v>
      </c>
      <c r="U2743" s="74">
        <v>1</v>
      </c>
      <c r="V2743" s="71" t="s">
        <v>391</v>
      </c>
      <c r="W2743" s="130">
        <v>46086.576388888891</v>
      </c>
      <c r="X2743" s="72">
        <v>46089.75</v>
      </c>
      <c r="Y2743" s="72">
        <v>46092.75</v>
      </c>
      <c r="Z2743" s="104" t="s">
        <v>382</v>
      </c>
      <c r="AA2743" s="104" t="s">
        <v>403</v>
      </c>
      <c r="AB2743" s="105">
        <v>46089.829861111109</v>
      </c>
      <c r="AC2743" s="105">
        <v>46090.490277777775</v>
      </c>
    </row>
    <row r="2744" s="70" customFormat="1" ht="11.25" customHeight="1">
      <c r="A2744" s="87"/>
      <c r="C2744" s="43" t="s">
        <v>4549</v>
      </c>
      <c r="D2744" s="71" t="s">
        <v>382</v>
      </c>
      <c r="E2744" s="71" t="str">
        <f>MID(D2744,1,2)</f>
        <v>IL</v>
      </c>
      <c r="F2744" s="71" t="s">
        <v>774</v>
      </c>
      <c r="G2744" s="71" t="str">
        <f>MID(F2744,1,2)</f>
        <v>CN</v>
      </c>
      <c r="H2744" s="43" t="s">
        <v>3798</v>
      </c>
      <c r="I2744" s="71" t="s">
        <v>4550</v>
      </c>
      <c r="J2744" s="71" t="s">
        <v>454</v>
      </c>
      <c r="K2744" s="43"/>
      <c r="L2744" s="71" t="s">
        <v>107</v>
      </c>
      <c r="M2744" s="73">
        <v>25</v>
      </c>
      <c r="N2744" s="71" t="s">
        <v>388</v>
      </c>
      <c r="O2744" s="73">
        <v>0.298</v>
      </c>
      <c r="P2744" s="71" t="s">
        <v>389</v>
      </c>
      <c r="Q2744" s="73">
        <v>100</v>
      </c>
      <c r="R2744" s="71" t="s">
        <v>388</v>
      </c>
      <c r="S2744" s="73">
        <v>0</v>
      </c>
      <c r="T2744" s="71" t="s">
        <v>390</v>
      </c>
      <c r="U2744" s="74">
        <v>1</v>
      </c>
      <c r="V2744" s="71" t="s">
        <v>391</v>
      </c>
      <c r="W2744" s="130">
        <v>46086.576388888891</v>
      </c>
      <c r="X2744" s="72">
        <v>46089.75</v>
      </c>
      <c r="Y2744" s="72">
        <v>46092.75</v>
      </c>
      <c r="Z2744" s="104" t="s">
        <v>403</v>
      </c>
      <c r="AA2744" s="104" t="s">
        <v>774</v>
      </c>
      <c r="AB2744" s="105">
        <v>46091.991666666669</v>
      </c>
      <c r="AC2744" s="105">
        <v>46092.084027777775</v>
      </c>
    </row>
    <row r="2745" s="70" customFormat="1" ht="11.25" customHeight="1">
      <c r="A2745" s="87"/>
      <c r="C2745" s="43" t="s">
        <v>4551</v>
      </c>
      <c r="D2745" s="71" t="s">
        <v>382</v>
      </c>
      <c r="E2745" s="71" t="str">
        <f>MID(D2745,1,2)</f>
        <v>IL</v>
      </c>
      <c r="F2745" s="71" t="s">
        <v>684</v>
      </c>
      <c r="G2745" s="71" t="str">
        <f>MID(F2745,1,2)</f>
        <v>IT</v>
      </c>
      <c r="H2745" s="43" t="s">
        <v>4552</v>
      </c>
      <c r="I2745" s="71" t="s">
        <v>4553</v>
      </c>
      <c r="J2745" s="71" t="s">
        <v>386</v>
      </c>
      <c r="K2745" s="43"/>
      <c r="L2745" s="71" t="s">
        <v>107</v>
      </c>
      <c r="M2745" s="73">
        <v>336</v>
      </c>
      <c r="N2745" s="71" t="s">
        <v>388</v>
      </c>
      <c r="O2745" s="73">
        <v>1.594</v>
      </c>
      <c r="P2745" s="71" t="s">
        <v>389</v>
      </c>
      <c r="Q2745" s="73">
        <v>336</v>
      </c>
      <c r="R2745" s="71" t="s">
        <v>388</v>
      </c>
      <c r="S2745" s="73">
        <v>0</v>
      </c>
      <c r="T2745" s="71" t="s">
        <v>390</v>
      </c>
      <c r="U2745" s="74">
        <v>1</v>
      </c>
      <c r="V2745" s="71" t="s">
        <v>391</v>
      </c>
      <c r="W2745" s="130">
        <v>46085.556944444441</v>
      </c>
      <c r="X2745" s="72">
        <v>46090.756944444445</v>
      </c>
      <c r="Y2745" s="72">
        <v>46090.988194444442</v>
      </c>
      <c r="Z2745" s="104" t="s">
        <v>382</v>
      </c>
      <c r="AA2745" s="104" t="s">
        <v>684</v>
      </c>
      <c r="AB2745" s="105">
        <v>46090.84375</v>
      </c>
      <c r="AC2745" s="105">
        <v>46090.980555555558</v>
      </c>
    </row>
    <row r="2746" s="70" customFormat="1" ht="11.25" customHeight="1">
      <c r="A2746" s="87"/>
      <c r="C2746" s="43" t="s">
        <v>4554</v>
      </c>
      <c r="D2746" s="71" t="s">
        <v>382</v>
      </c>
      <c r="E2746" s="71" t="str">
        <f>MID(D2746,1,2)</f>
        <v>IL</v>
      </c>
      <c r="F2746" s="71" t="s">
        <v>4555</v>
      </c>
      <c r="G2746" s="71" t="str">
        <f>MID(F2746,1,2)</f>
        <v>US</v>
      </c>
      <c r="H2746" s="43" t="s">
        <v>4556</v>
      </c>
      <c r="I2746" s="71" t="s">
        <v>4557</v>
      </c>
      <c r="J2746" s="71" t="s">
        <v>426</v>
      </c>
      <c r="K2746" s="43"/>
      <c r="L2746" s="71" t="s">
        <v>105</v>
      </c>
      <c r="M2746" s="73">
        <v>132</v>
      </c>
      <c r="N2746" s="71" t="s">
        <v>388</v>
      </c>
      <c r="O2746" s="73">
        <v>3.083</v>
      </c>
      <c r="P2746" s="71" t="s">
        <v>389</v>
      </c>
      <c r="Q2746" s="73">
        <v>514</v>
      </c>
      <c r="R2746" s="71" t="s">
        <v>388</v>
      </c>
      <c r="S2746" s="73">
        <v>0</v>
      </c>
      <c r="T2746" s="71" t="s">
        <v>390</v>
      </c>
      <c r="U2746" s="74">
        <v>1</v>
      </c>
      <c r="V2746" s="71" t="s">
        <v>391</v>
      </c>
      <c r="W2746" s="130">
        <v>46085.354861111111</v>
      </c>
      <c r="X2746" s="72">
        <v>46096.1875</v>
      </c>
      <c r="Y2746" s="72">
        <v>46100.75</v>
      </c>
      <c r="Z2746" s="104" t="s">
        <v>382</v>
      </c>
      <c r="AA2746" s="104" t="s">
        <v>408</v>
      </c>
      <c r="AB2746" s="105">
        <v>46096.147916666669</v>
      </c>
      <c r="AC2746" s="105"/>
    </row>
    <row r="2747" s="70" customFormat="1" ht="11.25" customHeight="1">
      <c r="A2747" s="87"/>
      <c r="C2747" s="43" t="s">
        <v>4554</v>
      </c>
      <c r="D2747" s="71" t="s">
        <v>382</v>
      </c>
      <c r="E2747" s="71" t="str">
        <f>MID(D2747,1,2)</f>
        <v>IL</v>
      </c>
      <c r="F2747" s="71" t="s">
        <v>4555</v>
      </c>
      <c r="G2747" s="71" t="str">
        <f>MID(F2747,1,2)</f>
        <v>US</v>
      </c>
      <c r="H2747" s="43" t="s">
        <v>4556</v>
      </c>
      <c r="I2747" s="71" t="s">
        <v>4557</v>
      </c>
      <c r="J2747" s="71" t="s">
        <v>426</v>
      </c>
      <c r="K2747" s="43"/>
      <c r="L2747" s="71" t="s">
        <v>105</v>
      </c>
      <c r="M2747" s="73">
        <v>132</v>
      </c>
      <c r="N2747" s="71" t="s">
        <v>388</v>
      </c>
      <c r="O2747" s="73">
        <v>3.083</v>
      </c>
      <c r="P2747" s="71" t="s">
        <v>389</v>
      </c>
      <c r="Q2747" s="73">
        <v>514</v>
      </c>
      <c r="R2747" s="71" t="s">
        <v>388</v>
      </c>
      <c r="S2747" s="73">
        <v>0</v>
      </c>
      <c r="T2747" s="71" t="s">
        <v>390</v>
      </c>
      <c r="U2747" s="74">
        <v>1</v>
      </c>
      <c r="V2747" s="71" t="s">
        <v>391</v>
      </c>
      <c r="W2747" s="130">
        <v>46085.354861111111</v>
      </c>
      <c r="X2747" s="72">
        <v>46096.1875</v>
      </c>
      <c r="Y2747" s="72">
        <v>46100.75</v>
      </c>
      <c r="Z2747" s="104" t="s">
        <v>408</v>
      </c>
      <c r="AA2747" s="104" t="s">
        <v>405</v>
      </c>
      <c r="AB2747" s="105"/>
      <c r="AC2747" s="105"/>
    </row>
    <row r="2748" s="70" customFormat="1" ht="11.25" customHeight="1">
      <c r="A2748" s="87"/>
      <c r="C2748" s="43" t="s">
        <v>4554</v>
      </c>
      <c r="D2748" s="71" t="s">
        <v>382</v>
      </c>
      <c r="E2748" s="71" t="str">
        <f>MID(D2748,1,2)</f>
        <v>IL</v>
      </c>
      <c r="F2748" s="71" t="s">
        <v>4555</v>
      </c>
      <c r="G2748" s="71" t="str">
        <f>MID(F2748,1,2)</f>
        <v>US</v>
      </c>
      <c r="H2748" s="43" t="s">
        <v>4556</v>
      </c>
      <c r="I2748" s="71" t="s">
        <v>4557</v>
      </c>
      <c r="J2748" s="71" t="s">
        <v>426</v>
      </c>
      <c r="K2748" s="43"/>
      <c r="L2748" s="71" t="s">
        <v>105</v>
      </c>
      <c r="M2748" s="73">
        <v>132</v>
      </c>
      <c r="N2748" s="71" t="s">
        <v>388</v>
      </c>
      <c r="O2748" s="73">
        <v>3.083</v>
      </c>
      <c r="P2748" s="71" t="s">
        <v>389</v>
      </c>
      <c r="Q2748" s="73">
        <v>514</v>
      </c>
      <c r="R2748" s="71" t="s">
        <v>388</v>
      </c>
      <c r="S2748" s="73">
        <v>0</v>
      </c>
      <c r="T2748" s="71" t="s">
        <v>390</v>
      </c>
      <c r="U2748" s="74">
        <v>1</v>
      </c>
      <c r="V2748" s="71" t="s">
        <v>391</v>
      </c>
      <c r="W2748" s="130">
        <v>46085.354861111111</v>
      </c>
      <c r="X2748" s="72">
        <v>46096.1875</v>
      </c>
      <c r="Y2748" s="72">
        <v>46100.75</v>
      </c>
      <c r="Z2748" s="104" t="s">
        <v>405</v>
      </c>
      <c r="AA2748" s="104" t="s">
        <v>4555</v>
      </c>
      <c r="AB2748" s="105"/>
      <c r="AC2748" s="105"/>
    </row>
    <row r="2749" s="70" customFormat="1" ht="11.25" customHeight="1">
      <c r="A2749" s="87"/>
      <c r="C2749" s="43" t="s">
        <v>4558</v>
      </c>
      <c r="D2749" s="71" t="s">
        <v>382</v>
      </c>
      <c r="E2749" s="71" t="str">
        <f>MID(D2749,1,2)</f>
        <v>IL</v>
      </c>
      <c r="F2749" s="71" t="s">
        <v>414</v>
      </c>
      <c r="G2749" s="71" t="str">
        <f>MID(F2749,1,2)</f>
        <v>US</v>
      </c>
      <c r="H2749" s="43" t="s">
        <v>2791</v>
      </c>
      <c r="I2749" s="71" t="s">
        <v>4559</v>
      </c>
      <c r="J2749" s="71" t="s">
        <v>386</v>
      </c>
      <c r="K2749" s="43"/>
      <c r="L2749" s="71" t="s">
        <v>107</v>
      </c>
      <c r="M2749" s="73">
        <v>21</v>
      </c>
      <c r="N2749" s="71" t="s">
        <v>388</v>
      </c>
      <c r="O2749" s="73">
        <v>0.254</v>
      </c>
      <c r="P2749" s="71" t="s">
        <v>389</v>
      </c>
      <c r="Q2749" s="73">
        <v>42.5</v>
      </c>
      <c r="R2749" s="71" t="s">
        <v>388</v>
      </c>
      <c r="S2749" s="73">
        <v>0</v>
      </c>
      <c r="T2749" s="71" t="s">
        <v>390</v>
      </c>
      <c r="U2749" s="74">
        <v>1</v>
      </c>
      <c r="V2749" s="71" t="s">
        <v>446</v>
      </c>
      <c r="W2749" s="130">
        <v>46086.542361111111</v>
      </c>
      <c r="X2749" s="72">
        <v>46091.229166666664</v>
      </c>
      <c r="Y2749" s="72">
        <v>46096.291666666664</v>
      </c>
      <c r="Z2749" s="104" t="s">
        <v>382</v>
      </c>
      <c r="AA2749" s="104" t="s">
        <v>414</v>
      </c>
      <c r="AB2749" s="105">
        <v>46091.945833333331</v>
      </c>
      <c r="AC2749" s="105">
        <v>46092.136111111111</v>
      </c>
    </row>
    <row r="2750" s="70" customFormat="1" ht="11.25" customHeight="1">
      <c r="A2750" s="87"/>
      <c r="C2750" s="43" t="s">
        <v>4560</v>
      </c>
      <c r="D2750" s="71" t="s">
        <v>382</v>
      </c>
      <c r="E2750" s="71" t="str">
        <f>MID(D2750,1,2)</f>
        <v>IL</v>
      </c>
      <c r="F2750" s="71" t="s">
        <v>414</v>
      </c>
      <c r="G2750" s="71" t="str">
        <f>MID(F2750,1,2)</f>
        <v>US</v>
      </c>
      <c r="H2750" s="43" t="s">
        <v>2791</v>
      </c>
      <c r="I2750" s="71" t="s">
        <v>4561</v>
      </c>
      <c r="J2750" s="71" t="s">
        <v>386</v>
      </c>
      <c r="K2750" s="43"/>
      <c r="L2750" s="71" t="s">
        <v>107</v>
      </c>
      <c r="M2750" s="73">
        <v>35</v>
      </c>
      <c r="N2750" s="71" t="s">
        <v>388</v>
      </c>
      <c r="O2750" s="73">
        <v>0.409</v>
      </c>
      <c r="P2750" s="71" t="s">
        <v>389</v>
      </c>
      <c r="Q2750" s="73">
        <v>68.5</v>
      </c>
      <c r="R2750" s="71" t="s">
        <v>388</v>
      </c>
      <c r="S2750" s="73">
        <v>0</v>
      </c>
      <c r="T2750" s="71" t="s">
        <v>390</v>
      </c>
      <c r="U2750" s="74">
        <v>1</v>
      </c>
      <c r="V2750" s="71" t="s">
        <v>446</v>
      </c>
      <c r="W2750" s="130">
        <v>46086.74375</v>
      </c>
      <c r="X2750" s="72">
        <v>46091.229166666664</v>
      </c>
      <c r="Y2750" s="72">
        <v>46096.291666666664</v>
      </c>
      <c r="Z2750" s="104" t="s">
        <v>382</v>
      </c>
      <c r="AA2750" s="104" t="s">
        <v>414</v>
      </c>
      <c r="AB2750" s="105">
        <v>46091.945833333331</v>
      </c>
      <c r="AC2750" s="105">
        <v>46092.136111111111</v>
      </c>
    </row>
    <row r="2751" s="70" customFormat="1" ht="11.25" customHeight="1">
      <c r="A2751" s="87"/>
      <c r="C2751" s="43" t="s">
        <v>4562</v>
      </c>
      <c r="D2751" s="71" t="s">
        <v>382</v>
      </c>
      <c r="E2751" s="71" t="str">
        <f>MID(D2751,1,2)</f>
        <v>IL</v>
      </c>
      <c r="F2751" s="71" t="s">
        <v>422</v>
      </c>
      <c r="G2751" s="71" t="str">
        <f>MID(F2751,1,2)</f>
        <v>US</v>
      </c>
      <c r="H2751" s="43" t="s">
        <v>4368</v>
      </c>
      <c r="I2751" s="71" t="s">
        <v>4563</v>
      </c>
      <c r="J2751" s="71" t="s">
        <v>386</v>
      </c>
      <c r="K2751" s="43"/>
      <c r="L2751" s="71" t="s">
        <v>107</v>
      </c>
      <c r="M2751" s="73">
        <v>100</v>
      </c>
      <c r="N2751" s="71" t="s">
        <v>388</v>
      </c>
      <c r="O2751" s="73">
        <v>1.92</v>
      </c>
      <c r="P2751" s="71" t="s">
        <v>389</v>
      </c>
      <c r="Q2751" s="73">
        <v>320</v>
      </c>
      <c r="R2751" s="71" t="s">
        <v>388</v>
      </c>
      <c r="S2751" s="73">
        <v>0</v>
      </c>
      <c r="T2751" s="71" t="s">
        <v>390</v>
      </c>
      <c r="U2751" s="74">
        <v>1</v>
      </c>
      <c r="V2751" s="71" t="s">
        <v>391</v>
      </c>
      <c r="W2751" s="130">
        <v>46085.333333333336</v>
      </c>
      <c r="X2751" s="72">
        <v>46095.25</v>
      </c>
      <c r="Y2751" s="72">
        <v>46102.458333333336</v>
      </c>
      <c r="Z2751" s="104" t="s">
        <v>382</v>
      </c>
      <c r="AA2751" s="104" t="s">
        <v>471</v>
      </c>
      <c r="AB2751" s="105">
        <v>46098.510416666664</v>
      </c>
      <c r="AC2751" s="105"/>
    </row>
    <row r="2752" s="70" customFormat="1" ht="11.25" customHeight="1">
      <c r="A2752" s="87"/>
      <c r="C2752" s="43" t="s">
        <v>4562</v>
      </c>
      <c r="D2752" s="71" t="s">
        <v>382</v>
      </c>
      <c r="E2752" s="71" t="str">
        <f>MID(D2752,1,2)</f>
        <v>IL</v>
      </c>
      <c r="F2752" s="71" t="s">
        <v>422</v>
      </c>
      <c r="G2752" s="71" t="str">
        <f>MID(F2752,1,2)</f>
        <v>US</v>
      </c>
      <c r="H2752" s="43" t="s">
        <v>4368</v>
      </c>
      <c r="I2752" s="71" t="s">
        <v>4563</v>
      </c>
      <c r="J2752" s="71" t="s">
        <v>386</v>
      </c>
      <c r="K2752" s="43"/>
      <c r="L2752" s="71" t="s">
        <v>107</v>
      </c>
      <c r="M2752" s="73">
        <v>100</v>
      </c>
      <c r="N2752" s="71" t="s">
        <v>388</v>
      </c>
      <c r="O2752" s="73">
        <v>1.92</v>
      </c>
      <c r="P2752" s="71" t="s">
        <v>389</v>
      </c>
      <c r="Q2752" s="73">
        <v>320</v>
      </c>
      <c r="R2752" s="71" t="s">
        <v>388</v>
      </c>
      <c r="S2752" s="73">
        <v>0</v>
      </c>
      <c r="T2752" s="71" t="s">
        <v>390</v>
      </c>
      <c r="U2752" s="74">
        <v>1</v>
      </c>
      <c r="V2752" s="71" t="s">
        <v>391</v>
      </c>
      <c r="W2752" s="130">
        <v>46085.333333333336</v>
      </c>
      <c r="X2752" s="72">
        <v>46095.25</v>
      </c>
      <c r="Y2752" s="72">
        <v>46102.458333333336</v>
      </c>
      <c r="Z2752" s="104" t="s">
        <v>471</v>
      </c>
      <c r="AA2752" s="104" t="s">
        <v>422</v>
      </c>
      <c r="AB2752" s="105">
        <v>46101.779166666667</v>
      </c>
      <c r="AC2752" s="105">
        <v>46102.50625</v>
      </c>
    </row>
    <row r="2753" s="70" customFormat="1" ht="11.25" customHeight="1">
      <c r="A2753" s="87"/>
      <c r="C2753" s="43" t="s">
        <v>4564</v>
      </c>
      <c r="D2753" s="71" t="s">
        <v>382</v>
      </c>
      <c r="E2753" s="71" t="str">
        <f>MID(D2753,1,2)</f>
        <v>IL</v>
      </c>
      <c r="F2753" s="71" t="s">
        <v>414</v>
      </c>
      <c r="G2753" s="71" t="str">
        <f>MID(F2753,1,2)</f>
        <v>US</v>
      </c>
      <c r="H2753" s="43" t="s">
        <v>4414</v>
      </c>
      <c r="I2753" s="71" t="s">
        <v>4565</v>
      </c>
      <c r="J2753" s="71" t="s">
        <v>386</v>
      </c>
      <c r="K2753" s="43" t="s">
        <v>759</v>
      </c>
      <c r="L2753" s="71" t="s">
        <v>107</v>
      </c>
      <c r="M2753" s="73">
        <v>4</v>
      </c>
      <c r="N2753" s="71" t="s">
        <v>388</v>
      </c>
      <c r="O2753" s="73">
        <v>0.036</v>
      </c>
      <c r="P2753" s="71" t="s">
        <v>389</v>
      </c>
      <c r="Q2753" s="73">
        <v>6</v>
      </c>
      <c r="R2753" s="71" t="s">
        <v>388</v>
      </c>
      <c r="S2753" s="73">
        <v>0</v>
      </c>
      <c r="T2753" s="71" t="s">
        <v>390</v>
      </c>
      <c r="U2753" s="74">
        <v>1</v>
      </c>
      <c r="V2753" s="71" t="s">
        <v>427</v>
      </c>
      <c r="W2753" s="130">
        <v>46085.402777777781</v>
      </c>
      <c r="X2753" s="72">
        <v>46088.25</v>
      </c>
      <c r="Y2753" s="72">
        <v>46092.197916666664</v>
      </c>
      <c r="Z2753" s="104" t="s">
        <v>382</v>
      </c>
      <c r="AA2753" s="104" t="s">
        <v>414</v>
      </c>
      <c r="AB2753" s="105">
        <v>46088.38958333333</v>
      </c>
      <c r="AC2753" s="105">
        <v>46092.333333333336</v>
      </c>
    </row>
    <row r="2754" s="70" customFormat="1" ht="11.25" customHeight="1">
      <c r="A2754" s="87"/>
      <c r="C2754" s="43" t="s">
        <v>4566</v>
      </c>
      <c r="D2754" s="71" t="s">
        <v>382</v>
      </c>
      <c r="E2754" s="71" t="str">
        <f>MID(D2754,1,2)</f>
        <v>IL</v>
      </c>
      <c r="F2754" s="71" t="s">
        <v>419</v>
      </c>
      <c r="G2754" s="71" t="str">
        <f>MID(F2754,1,2)</f>
        <v>US</v>
      </c>
      <c r="H2754" s="43" t="s">
        <v>4567</v>
      </c>
      <c r="I2754" s="71" t="s">
        <v>4568</v>
      </c>
      <c r="J2754" s="71" t="s">
        <v>426</v>
      </c>
      <c r="K2754" s="43"/>
      <c r="L2754" s="71" t="s">
        <v>105</v>
      </c>
      <c r="M2754" s="73">
        <v>140</v>
      </c>
      <c r="N2754" s="71" t="s">
        <v>388</v>
      </c>
      <c r="O2754" s="73">
        <v>0.551</v>
      </c>
      <c r="P2754" s="71" t="s">
        <v>389</v>
      </c>
      <c r="Q2754" s="73">
        <v>140</v>
      </c>
      <c r="R2754" s="71" t="s">
        <v>388</v>
      </c>
      <c r="S2754" s="73">
        <v>0</v>
      </c>
      <c r="T2754" s="71" t="s">
        <v>390</v>
      </c>
      <c r="U2754" s="74">
        <v>1</v>
      </c>
      <c r="V2754" s="71" t="s">
        <v>391</v>
      </c>
      <c r="W2754" s="130">
        <v>46085.473611111112</v>
      </c>
      <c r="X2754" s="72">
        <v>46096.458333333336</v>
      </c>
      <c r="Y2754" s="72">
        <v>46110.194444444445</v>
      </c>
      <c r="Z2754" s="104" t="s">
        <v>382</v>
      </c>
      <c r="AA2754" s="104" t="s">
        <v>408</v>
      </c>
      <c r="AB2754" s="105">
        <v>46096.147916666669</v>
      </c>
      <c r="AC2754" s="105"/>
    </row>
    <row r="2755" s="70" customFormat="1" ht="11.25" customHeight="1">
      <c r="A2755" s="87"/>
      <c r="C2755" s="43" t="s">
        <v>4566</v>
      </c>
      <c r="D2755" s="71" t="s">
        <v>382</v>
      </c>
      <c r="E2755" s="71" t="str">
        <f>MID(D2755,1,2)</f>
        <v>IL</v>
      </c>
      <c r="F2755" s="71" t="s">
        <v>419</v>
      </c>
      <c r="G2755" s="71" t="str">
        <f>MID(F2755,1,2)</f>
        <v>US</v>
      </c>
      <c r="H2755" s="43" t="s">
        <v>4567</v>
      </c>
      <c r="I2755" s="71" t="s">
        <v>4568</v>
      </c>
      <c r="J2755" s="71" t="s">
        <v>426</v>
      </c>
      <c r="K2755" s="43"/>
      <c r="L2755" s="71" t="s">
        <v>105</v>
      </c>
      <c r="M2755" s="73">
        <v>140</v>
      </c>
      <c r="N2755" s="71" t="s">
        <v>388</v>
      </c>
      <c r="O2755" s="73">
        <v>0.551</v>
      </c>
      <c r="P2755" s="71" t="s">
        <v>389</v>
      </c>
      <c r="Q2755" s="73">
        <v>140</v>
      </c>
      <c r="R2755" s="71" t="s">
        <v>388</v>
      </c>
      <c r="S2755" s="73">
        <v>0</v>
      </c>
      <c r="T2755" s="71" t="s">
        <v>390</v>
      </c>
      <c r="U2755" s="74">
        <v>1</v>
      </c>
      <c r="V2755" s="71" t="s">
        <v>391</v>
      </c>
      <c r="W2755" s="130">
        <v>46085.473611111112</v>
      </c>
      <c r="X2755" s="72">
        <v>46096.458333333336</v>
      </c>
      <c r="Y2755" s="72">
        <v>46110.194444444445</v>
      </c>
      <c r="Z2755" s="104" t="s">
        <v>408</v>
      </c>
      <c r="AA2755" s="104" t="s">
        <v>405</v>
      </c>
      <c r="AB2755" s="105">
        <v>46102.511111111111</v>
      </c>
      <c r="AC2755" s="105">
        <v>46102.6875</v>
      </c>
    </row>
    <row r="2756" s="70" customFormat="1" ht="11.25" customHeight="1">
      <c r="A2756" s="87"/>
      <c r="C2756" s="43" t="s">
        <v>4566</v>
      </c>
      <c r="D2756" s="71" t="s">
        <v>382</v>
      </c>
      <c r="E2756" s="71" t="str">
        <f>MID(D2756,1,2)</f>
        <v>IL</v>
      </c>
      <c r="F2756" s="71" t="s">
        <v>419</v>
      </c>
      <c r="G2756" s="71" t="str">
        <f>MID(F2756,1,2)</f>
        <v>US</v>
      </c>
      <c r="H2756" s="43" t="s">
        <v>4567</v>
      </c>
      <c r="I2756" s="71" t="s">
        <v>4568</v>
      </c>
      <c r="J2756" s="71" t="s">
        <v>426</v>
      </c>
      <c r="K2756" s="43"/>
      <c r="L2756" s="71" t="s">
        <v>105</v>
      </c>
      <c r="M2756" s="73">
        <v>140</v>
      </c>
      <c r="N2756" s="71" t="s">
        <v>388</v>
      </c>
      <c r="O2756" s="73">
        <v>0.551</v>
      </c>
      <c r="P2756" s="71" t="s">
        <v>389</v>
      </c>
      <c r="Q2756" s="73">
        <v>140</v>
      </c>
      <c r="R2756" s="71" t="s">
        <v>388</v>
      </c>
      <c r="S2756" s="73">
        <v>0</v>
      </c>
      <c r="T2756" s="71" t="s">
        <v>390</v>
      </c>
      <c r="U2756" s="74">
        <v>1</v>
      </c>
      <c r="V2756" s="71" t="s">
        <v>391</v>
      </c>
      <c r="W2756" s="130">
        <v>46085.473611111112</v>
      </c>
      <c r="X2756" s="72">
        <v>46096.458333333336</v>
      </c>
      <c r="Y2756" s="72">
        <v>46110.194444444445</v>
      </c>
      <c r="Z2756" s="104" t="s">
        <v>405</v>
      </c>
      <c r="AA2756" s="104" t="s">
        <v>419</v>
      </c>
      <c r="AB2756" s="105"/>
      <c r="AC2756" s="105"/>
    </row>
    <row r="2757" s="70" customFormat="1" ht="11.25" customHeight="1">
      <c r="A2757" s="87"/>
      <c r="C2757" s="43" t="s">
        <v>4569</v>
      </c>
      <c r="D2757" s="71" t="s">
        <v>382</v>
      </c>
      <c r="E2757" s="71" t="str">
        <f>MID(D2757,1,2)</f>
        <v>IL</v>
      </c>
      <c r="F2757" s="71" t="s">
        <v>443</v>
      </c>
      <c r="G2757" s="71" t="str">
        <f>MID(F2757,1,2)</f>
        <v>US</v>
      </c>
      <c r="H2757" s="43" t="s">
        <v>4570</v>
      </c>
      <c r="I2757" s="71" t="s">
        <v>4571</v>
      </c>
      <c r="J2757" s="71" t="s">
        <v>386</v>
      </c>
      <c r="K2757" s="43"/>
      <c r="L2757" s="71" t="s">
        <v>107</v>
      </c>
      <c r="M2757" s="73">
        <v>68</v>
      </c>
      <c r="N2757" s="71" t="s">
        <v>388</v>
      </c>
      <c r="O2757" s="73">
        <v>0.9</v>
      </c>
      <c r="P2757" s="71" t="s">
        <v>389</v>
      </c>
      <c r="Q2757" s="73">
        <v>150</v>
      </c>
      <c r="R2757" s="71" t="s">
        <v>388</v>
      </c>
      <c r="S2757" s="73">
        <v>0</v>
      </c>
      <c r="T2757" s="71" t="s">
        <v>390</v>
      </c>
      <c r="U2757" s="74">
        <v>1</v>
      </c>
      <c r="V2757" s="71" t="s">
        <v>536</v>
      </c>
      <c r="W2757" s="130">
        <v>46086.520833333336</v>
      </c>
      <c r="X2757" s="72">
        <v>46091.229166666664</v>
      </c>
      <c r="Y2757" s="72">
        <v>46097.375</v>
      </c>
      <c r="Z2757" s="104" t="s">
        <v>382</v>
      </c>
      <c r="AA2757" s="104" t="s">
        <v>414</v>
      </c>
      <c r="AB2757" s="105">
        <v>46091.945833333331</v>
      </c>
      <c r="AC2757" s="105">
        <v>46092.136111111111</v>
      </c>
    </row>
    <row r="2758" s="70" customFormat="1" ht="11.25" customHeight="1">
      <c r="A2758" s="87"/>
      <c r="C2758" s="43" t="s">
        <v>4569</v>
      </c>
      <c r="D2758" s="71" t="s">
        <v>382</v>
      </c>
      <c r="E2758" s="71" t="str">
        <f>MID(D2758,1,2)</f>
        <v>IL</v>
      </c>
      <c r="F2758" s="71" t="s">
        <v>443</v>
      </c>
      <c r="G2758" s="71" t="str">
        <f>MID(F2758,1,2)</f>
        <v>US</v>
      </c>
      <c r="H2758" s="43" t="s">
        <v>4570</v>
      </c>
      <c r="I2758" s="71" t="s">
        <v>4571</v>
      </c>
      <c r="J2758" s="71" t="s">
        <v>386</v>
      </c>
      <c r="K2758" s="43"/>
      <c r="L2758" s="71" t="s">
        <v>107</v>
      </c>
      <c r="M2758" s="73">
        <v>68</v>
      </c>
      <c r="N2758" s="71" t="s">
        <v>388</v>
      </c>
      <c r="O2758" s="73">
        <v>0.9</v>
      </c>
      <c r="P2758" s="71" t="s">
        <v>389</v>
      </c>
      <c r="Q2758" s="73">
        <v>150</v>
      </c>
      <c r="R2758" s="71" t="s">
        <v>388</v>
      </c>
      <c r="S2758" s="73">
        <v>0</v>
      </c>
      <c r="T2758" s="71" t="s">
        <v>390</v>
      </c>
      <c r="U2758" s="74">
        <v>1</v>
      </c>
      <c r="V2758" s="71" t="s">
        <v>536</v>
      </c>
      <c r="W2758" s="130">
        <v>46086.520833333336</v>
      </c>
      <c r="X2758" s="72">
        <v>46091.229166666664</v>
      </c>
      <c r="Y2758" s="72">
        <v>46097.375</v>
      </c>
      <c r="Z2758" s="104" t="s">
        <v>414</v>
      </c>
      <c r="AA2758" s="104" t="s">
        <v>443</v>
      </c>
      <c r="AB2758" s="105">
        <v>46092.806944444441</v>
      </c>
      <c r="AC2758" s="105">
        <v>46097.375</v>
      </c>
    </row>
    <row r="2759" s="70" customFormat="1" ht="11.25" customHeight="1">
      <c r="A2759" s="87"/>
      <c r="C2759" s="43" t="s">
        <v>4572</v>
      </c>
      <c r="D2759" s="71" t="s">
        <v>382</v>
      </c>
      <c r="E2759" s="71" t="str">
        <f>MID(D2759,1,2)</f>
        <v>IL</v>
      </c>
      <c r="F2759" s="71" t="s">
        <v>667</v>
      </c>
      <c r="G2759" s="71" t="str">
        <f>MID(F2759,1,2)</f>
        <v>DE</v>
      </c>
      <c r="H2759" s="43" t="s">
        <v>4573</v>
      </c>
      <c r="I2759" s="71" t="s">
        <v>4574</v>
      </c>
      <c r="J2759" s="71" t="s">
        <v>559</v>
      </c>
      <c r="K2759" s="43"/>
      <c r="L2759" s="71" t="s">
        <v>107</v>
      </c>
      <c r="M2759" s="73">
        <v>78</v>
      </c>
      <c r="N2759" s="71" t="s">
        <v>388</v>
      </c>
      <c r="O2759" s="73">
        <v>0.325</v>
      </c>
      <c r="P2759" s="71" t="s">
        <v>389</v>
      </c>
      <c r="Q2759" s="73">
        <v>78</v>
      </c>
      <c r="R2759" s="71" t="s">
        <v>388</v>
      </c>
      <c r="S2759" s="73">
        <v>0</v>
      </c>
      <c r="T2759" s="71" t="s">
        <v>390</v>
      </c>
      <c r="U2759" s="74">
        <v>1</v>
      </c>
      <c r="V2759" s="71" t="s">
        <v>391</v>
      </c>
      <c r="W2759" s="130">
        <v>46085.636111111111</v>
      </c>
      <c r="X2759" s="72">
        <v>46090.253472222219</v>
      </c>
      <c r="Y2759" s="72">
        <v>46092.541666666664</v>
      </c>
      <c r="Z2759" s="104" t="s">
        <v>383</v>
      </c>
      <c r="AA2759" s="104" t="s">
        <v>667</v>
      </c>
      <c r="AB2759" s="105"/>
      <c r="AC2759" s="105"/>
    </row>
    <row r="2760" s="70" customFormat="1" ht="11.25" customHeight="1">
      <c r="A2760" s="87"/>
      <c r="C2760" s="43" t="s">
        <v>4572</v>
      </c>
      <c r="D2760" s="71" t="s">
        <v>382</v>
      </c>
      <c r="E2760" s="71" t="str">
        <f>MID(D2760,1,2)</f>
        <v>IL</v>
      </c>
      <c r="F2760" s="71" t="s">
        <v>667</v>
      </c>
      <c r="G2760" s="71" t="str">
        <f>MID(F2760,1,2)</f>
        <v>DE</v>
      </c>
      <c r="H2760" s="43" t="s">
        <v>4573</v>
      </c>
      <c r="I2760" s="71" t="s">
        <v>4574</v>
      </c>
      <c r="J2760" s="71" t="s">
        <v>559</v>
      </c>
      <c r="K2760" s="43"/>
      <c r="L2760" s="71" t="s">
        <v>107</v>
      </c>
      <c r="M2760" s="73">
        <v>78</v>
      </c>
      <c r="N2760" s="71" t="s">
        <v>388</v>
      </c>
      <c r="O2760" s="73">
        <v>0.325</v>
      </c>
      <c r="P2760" s="71" t="s">
        <v>389</v>
      </c>
      <c r="Q2760" s="73">
        <v>78</v>
      </c>
      <c r="R2760" s="71" t="s">
        <v>388</v>
      </c>
      <c r="S2760" s="73">
        <v>0</v>
      </c>
      <c r="T2760" s="71" t="s">
        <v>390</v>
      </c>
      <c r="U2760" s="74">
        <v>1</v>
      </c>
      <c r="V2760" s="71" t="s">
        <v>391</v>
      </c>
      <c r="W2760" s="130">
        <v>46085.636111111111</v>
      </c>
      <c r="X2760" s="72">
        <v>46090.253472222219</v>
      </c>
      <c r="Y2760" s="72">
        <v>46092.541666666664</v>
      </c>
      <c r="Z2760" s="104" t="s">
        <v>667</v>
      </c>
      <c r="AA2760" s="104" t="s">
        <v>1006</v>
      </c>
      <c r="AB2760" s="105">
        <v>46092.5</v>
      </c>
      <c r="AC2760" s="105">
        <v>46092.541666666664</v>
      </c>
    </row>
    <row r="2761" s="70" customFormat="1" ht="11.25" customHeight="1">
      <c r="A2761" s="87"/>
      <c r="C2761" s="43" t="s">
        <v>4572</v>
      </c>
      <c r="D2761" s="71" t="s">
        <v>382</v>
      </c>
      <c r="E2761" s="71" t="str">
        <f>MID(D2761,1,2)</f>
        <v>IL</v>
      </c>
      <c r="F2761" s="71" t="s">
        <v>667</v>
      </c>
      <c r="G2761" s="71" t="str">
        <f>MID(F2761,1,2)</f>
        <v>DE</v>
      </c>
      <c r="H2761" s="43" t="s">
        <v>4573</v>
      </c>
      <c r="I2761" s="71" t="s">
        <v>4574</v>
      </c>
      <c r="J2761" s="71" t="s">
        <v>559</v>
      </c>
      <c r="K2761" s="43"/>
      <c r="L2761" s="71" t="s">
        <v>107</v>
      </c>
      <c r="M2761" s="73">
        <v>78</v>
      </c>
      <c r="N2761" s="71" t="s">
        <v>388</v>
      </c>
      <c r="O2761" s="73">
        <v>0.325</v>
      </c>
      <c r="P2761" s="71" t="s">
        <v>389</v>
      </c>
      <c r="Q2761" s="73">
        <v>78</v>
      </c>
      <c r="R2761" s="71" t="s">
        <v>388</v>
      </c>
      <c r="S2761" s="73">
        <v>0</v>
      </c>
      <c r="T2761" s="71" t="s">
        <v>390</v>
      </c>
      <c r="U2761" s="74">
        <v>1</v>
      </c>
      <c r="V2761" s="71" t="s">
        <v>391</v>
      </c>
      <c r="W2761" s="130">
        <v>46085.636111111111</v>
      </c>
      <c r="X2761" s="72">
        <v>46090.253472222219</v>
      </c>
      <c r="Y2761" s="72">
        <v>46092.541666666664</v>
      </c>
      <c r="Z2761" s="104" t="s">
        <v>382</v>
      </c>
      <c r="AA2761" s="104" t="s">
        <v>383</v>
      </c>
      <c r="AB2761" s="105">
        <v>46090.321527777778</v>
      </c>
      <c r="AC2761" s="105">
        <v>46090.463888888888</v>
      </c>
    </row>
    <row r="2762" s="70" customFormat="1" ht="11.25" customHeight="1">
      <c r="A2762" s="87"/>
      <c r="C2762" s="43" t="s">
        <v>4575</v>
      </c>
      <c r="D2762" s="71" t="s">
        <v>382</v>
      </c>
      <c r="E2762" s="71" t="str">
        <f>MID(D2762,1,2)</f>
        <v>IL</v>
      </c>
      <c r="F2762" s="71" t="s">
        <v>978</v>
      </c>
      <c r="G2762" s="71" t="str">
        <f>MID(F2762,1,2)</f>
        <v>PL</v>
      </c>
      <c r="H2762" s="43" t="s">
        <v>4002</v>
      </c>
      <c r="I2762" s="71" t="s">
        <v>4576</v>
      </c>
      <c r="J2762" s="71" t="s">
        <v>386</v>
      </c>
      <c r="K2762" s="43" t="s">
        <v>3074</v>
      </c>
      <c r="L2762" s="71" t="s">
        <v>107</v>
      </c>
      <c r="M2762" s="73">
        <v>47</v>
      </c>
      <c r="N2762" s="71" t="s">
        <v>388</v>
      </c>
      <c r="O2762" s="73">
        <v>0.325</v>
      </c>
      <c r="P2762" s="71" t="s">
        <v>389</v>
      </c>
      <c r="Q2762" s="73">
        <v>100</v>
      </c>
      <c r="R2762" s="71" t="s">
        <v>388</v>
      </c>
      <c r="S2762" s="73">
        <v>0</v>
      </c>
      <c r="T2762" s="71" t="s">
        <v>390</v>
      </c>
      <c r="U2762" s="74">
        <v>1</v>
      </c>
      <c r="V2762" s="71" t="s">
        <v>391</v>
      </c>
      <c r="W2762" s="130">
        <v>46086.65902777778</v>
      </c>
      <c r="X2762" s="72">
        <v>46087.25</v>
      </c>
      <c r="Y2762" s="72">
        <v>46090.615972222222</v>
      </c>
      <c r="Z2762" s="104" t="s">
        <v>382</v>
      </c>
      <c r="AA2762" s="104" t="s">
        <v>466</v>
      </c>
      <c r="AB2762" s="105">
        <v>46088.06875</v>
      </c>
      <c r="AC2762" s="105">
        <v>46088.195833333331</v>
      </c>
    </row>
    <row r="2763" s="70" customFormat="1" ht="11.25" customHeight="1">
      <c r="A2763" s="87"/>
      <c r="C2763" s="43" t="s">
        <v>4575</v>
      </c>
      <c r="D2763" s="71" t="s">
        <v>382</v>
      </c>
      <c r="E2763" s="71" t="str">
        <f>MID(D2763,1,2)</f>
        <v>IL</v>
      </c>
      <c r="F2763" s="71" t="s">
        <v>978</v>
      </c>
      <c r="G2763" s="71" t="str">
        <f>MID(F2763,1,2)</f>
        <v>PL</v>
      </c>
      <c r="H2763" s="43" t="s">
        <v>4002</v>
      </c>
      <c r="I2763" s="71" t="s">
        <v>4576</v>
      </c>
      <c r="J2763" s="71" t="s">
        <v>386</v>
      </c>
      <c r="K2763" s="43" t="s">
        <v>3074</v>
      </c>
      <c r="L2763" s="71" t="s">
        <v>107</v>
      </c>
      <c r="M2763" s="73">
        <v>47</v>
      </c>
      <c r="N2763" s="71" t="s">
        <v>388</v>
      </c>
      <c r="O2763" s="73">
        <v>0.325</v>
      </c>
      <c r="P2763" s="71" t="s">
        <v>389</v>
      </c>
      <c r="Q2763" s="73">
        <v>100</v>
      </c>
      <c r="R2763" s="71" t="s">
        <v>388</v>
      </c>
      <c r="S2763" s="73">
        <v>0</v>
      </c>
      <c r="T2763" s="71" t="s">
        <v>390</v>
      </c>
      <c r="U2763" s="74">
        <v>1</v>
      </c>
      <c r="V2763" s="71" t="s">
        <v>391</v>
      </c>
      <c r="W2763" s="130">
        <v>46086.65902777778</v>
      </c>
      <c r="X2763" s="72">
        <v>46087.25</v>
      </c>
      <c r="Y2763" s="72">
        <v>46090.615972222222</v>
      </c>
      <c r="Z2763" s="104" t="s">
        <v>466</v>
      </c>
      <c r="AA2763" s="104" t="s">
        <v>383</v>
      </c>
      <c r="AB2763" s="105">
        <v>46089.086805555555</v>
      </c>
      <c r="AC2763" s="105">
        <v>46093.676388888889</v>
      </c>
    </row>
    <row r="2764" s="70" customFormat="1" ht="11.25" customHeight="1">
      <c r="A2764" s="87"/>
      <c r="C2764" s="43" t="s">
        <v>4575</v>
      </c>
      <c r="D2764" s="71" t="s">
        <v>382</v>
      </c>
      <c r="E2764" s="71" t="str">
        <f>MID(D2764,1,2)</f>
        <v>IL</v>
      </c>
      <c r="F2764" s="71" t="s">
        <v>978</v>
      </c>
      <c r="G2764" s="71" t="str">
        <f>MID(F2764,1,2)</f>
        <v>PL</v>
      </c>
      <c r="H2764" s="43" t="s">
        <v>4002</v>
      </c>
      <c r="I2764" s="71" t="s">
        <v>4576</v>
      </c>
      <c r="J2764" s="71" t="s">
        <v>386</v>
      </c>
      <c r="K2764" s="43" t="s">
        <v>3074</v>
      </c>
      <c r="L2764" s="71" t="s">
        <v>107</v>
      </c>
      <c r="M2764" s="73">
        <v>47</v>
      </c>
      <c r="N2764" s="71" t="s">
        <v>388</v>
      </c>
      <c r="O2764" s="73">
        <v>0.325</v>
      </c>
      <c r="P2764" s="71" t="s">
        <v>389</v>
      </c>
      <c r="Q2764" s="73">
        <v>100</v>
      </c>
      <c r="R2764" s="71" t="s">
        <v>388</v>
      </c>
      <c r="S2764" s="73">
        <v>0</v>
      </c>
      <c r="T2764" s="71" t="s">
        <v>390</v>
      </c>
      <c r="U2764" s="74">
        <v>1</v>
      </c>
      <c r="V2764" s="71" t="s">
        <v>391</v>
      </c>
      <c r="W2764" s="130">
        <v>46086.65902777778</v>
      </c>
      <c r="X2764" s="72">
        <v>46087.25</v>
      </c>
      <c r="Y2764" s="72">
        <v>46090.615972222222</v>
      </c>
      <c r="Z2764" s="104" t="s">
        <v>383</v>
      </c>
      <c r="AA2764" s="104" t="s">
        <v>4478</v>
      </c>
      <c r="AB2764" s="105">
        <v>46096.076388888891</v>
      </c>
      <c r="AC2764" s="105">
        <v>46097.5</v>
      </c>
    </row>
    <row r="2765" s="70" customFormat="1" ht="11.25" customHeight="1">
      <c r="A2765" s="87"/>
      <c r="C2765" s="43" t="s">
        <v>4577</v>
      </c>
      <c r="D2765" s="71" t="s">
        <v>382</v>
      </c>
      <c r="E2765" s="71" t="str">
        <f>MID(D2765,1,2)</f>
        <v>IL</v>
      </c>
      <c r="F2765" s="71" t="s">
        <v>496</v>
      </c>
      <c r="G2765" s="71" t="str">
        <f>MID(F2765,1,2)</f>
        <v>RO</v>
      </c>
      <c r="H2765" s="43" t="s">
        <v>4578</v>
      </c>
      <c r="I2765" s="71" t="s">
        <v>4579</v>
      </c>
      <c r="J2765" s="71" t="s">
        <v>400</v>
      </c>
      <c r="K2765" s="43"/>
      <c r="L2765" s="71" t="s">
        <v>105</v>
      </c>
      <c r="M2765" s="73">
        <v>9</v>
      </c>
      <c r="N2765" s="71" t="s">
        <v>388</v>
      </c>
      <c r="O2765" s="73">
        <v>0.045</v>
      </c>
      <c r="P2765" s="71" t="s">
        <v>389</v>
      </c>
      <c r="Q2765" s="73">
        <v>9</v>
      </c>
      <c r="R2765" s="71" t="s">
        <v>388</v>
      </c>
      <c r="S2765" s="73">
        <v>0</v>
      </c>
      <c r="T2765" s="71" t="s">
        <v>390</v>
      </c>
      <c r="U2765" s="74">
        <v>1</v>
      </c>
      <c r="V2765" s="71" t="s">
        <v>391</v>
      </c>
      <c r="W2765" s="130">
        <v>46090.44736111111</v>
      </c>
      <c r="X2765" s="72">
        <v>46092.225694444445</v>
      </c>
      <c r="Y2765" s="72">
        <v>46096.572916666664</v>
      </c>
      <c r="Z2765" s="104" t="s">
        <v>382</v>
      </c>
      <c r="AA2765" s="104" t="s">
        <v>496</v>
      </c>
      <c r="AB2765" s="105">
        <v>46096.452777777777</v>
      </c>
      <c r="AC2765" s="105">
        <v>46096.5625</v>
      </c>
    </row>
    <row r="2766" s="70" customFormat="1" ht="11.25" customHeight="1">
      <c r="A2766" s="87"/>
      <c r="C2766" s="43" t="s">
        <v>4580</v>
      </c>
      <c r="D2766" s="71" t="s">
        <v>382</v>
      </c>
      <c r="E2766" s="71" t="str">
        <f>MID(D2766,1,2)</f>
        <v>IL</v>
      </c>
      <c r="F2766" s="71" t="s">
        <v>414</v>
      </c>
      <c r="G2766" s="71" t="str">
        <f>MID(F2766,1,2)</f>
        <v>US</v>
      </c>
      <c r="H2766" s="43" t="s">
        <v>4414</v>
      </c>
      <c r="I2766" s="71" t="s">
        <v>4581</v>
      </c>
      <c r="J2766" s="71" t="s">
        <v>426</v>
      </c>
      <c r="K2766" s="43"/>
      <c r="L2766" s="71" t="s">
        <v>105</v>
      </c>
      <c r="M2766" s="73">
        <v>3</v>
      </c>
      <c r="N2766" s="71" t="s">
        <v>388</v>
      </c>
      <c r="O2766" s="73">
        <v>0.029</v>
      </c>
      <c r="P2766" s="71" t="s">
        <v>389</v>
      </c>
      <c r="Q2766" s="73">
        <v>5</v>
      </c>
      <c r="R2766" s="71" t="s">
        <v>388</v>
      </c>
      <c r="S2766" s="73">
        <v>0</v>
      </c>
      <c r="T2766" s="71" t="s">
        <v>390</v>
      </c>
      <c r="U2766" s="74">
        <v>1</v>
      </c>
      <c r="V2766" s="71" t="s">
        <v>427</v>
      </c>
      <c r="W2766" s="130">
        <v>46085.486111111109</v>
      </c>
      <c r="X2766" s="72">
        <v>46088.25</v>
      </c>
      <c r="Y2766" s="72">
        <v>46092.197916666664</v>
      </c>
      <c r="Z2766" s="104" t="s">
        <v>382</v>
      </c>
      <c r="AA2766" s="104" t="s">
        <v>414</v>
      </c>
      <c r="AB2766" s="105">
        <v>46088.38958333333</v>
      </c>
      <c r="AC2766" s="105">
        <v>46092.333333333336</v>
      </c>
    </row>
    <row r="2767" s="70" customFormat="1" ht="11.25" customHeight="1">
      <c r="A2767" s="87"/>
      <c r="C2767" s="43" t="s">
        <v>4582</v>
      </c>
      <c r="D2767" s="71" t="s">
        <v>382</v>
      </c>
      <c r="E2767" s="71" t="str">
        <f>MID(D2767,1,2)</f>
        <v>IL</v>
      </c>
      <c r="F2767" s="71" t="s">
        <v>414</v>
      </c>
      <c r="G2767" s="71" t="str">
        <f>MID(F2767,1,2)</f>
        <v>US</v>
      </c>
      <c r="H2767" s="43" t="s">
        <v>4414</v>
      </c>
      <c r="I2767" s="71" t="s">
        <v>4583</v>
      </c>
      <c r="J2767" s="71" t="s">
        <v>426</v>
      </c>
      <c r="K2767" s="43"/>
      <c r="L2767" s="71" t="s">
        <v>105</v>
      </c>
      <c r="M2767" s="73">
        <v>4</v>
      </c>
      <c r="N2767" s="71" t="s">
        <v>388</v>
      </c>
      <c r="O2767" s="73">
        <v>0.028</v>
      </c>
      <c r="P2767" s="71" t="s">
        <v>389</v>
      </c>
      <c r="Q2767" s="73">
        <v>5</v>
      </c>
      <c r="R2767" s="71" t="s">
        <v>388</v>
      </c>
      <c r="S2767" s="73">
        <v>0</v>
      </c>
      <c r="T2767" s="71" t="s">
        <v>390</v>
      </c>
      <c r="U2767" s="74">
        <v>1</v>
      </c>
      <c r="V2767" s="71" t="s">
        <v>427</v>
      </c>
      <c r="W2767" s="130">
        <v>46085.49375</v>
      </c>
      <c r="X2767" s="72">
        <v>46088.25</v>
      </c>
      <c r="Y2767" s="72">
        <v>46092.197916666664</v>
      </c>
      <c r="Z2767" s="104" t="s">
        <v>382</v>
      </c>
      <c r="AA2767" s="104" t="s">
        <v>414</v>
      </c>
      <c r="AB2767" s="105">
        <v>46088.38958333333</v>
      </c>
      <c r="AC2767" s="105">
        <v>46092.333333333336</v>
      </c>
    </row>
    <row r="2768" s="70" customFormat="1" ht="11.25" customHeight="1">
      <c r="A2768" s="87"/>
      <c r="C2768" s="43" t="s">
        <v>4584</v>
      </c>
      <c r="D2768" s="71" t="s">
        <v>382</v>
      </c>
      <c r="E2768" s="71" t="str">
        <f>MID(D2768,1,2)</f>
        <v>IL</v>
      </c>
      <c r="F2768" s="71" t="s">
        <v>414</v>
      </c>
      <c r="G2768" s="71" t="str">
        <f>MID(F2768,1,2)</f>
        <v>US</v>
      </c>
      <c r="H2768" s="43" t="s">
        <v>4414</v>
      </c>
      <c r="I2768" s="71" t="s">
        <v>4585</v>
      </c>
      <c r="J2768" s="71" t="s">
        <v>426</v>
      </c>
      <c r="K2768" s="43"/>
      <c r="L2768" s="71" t="s">
        <v>105</v>
      </c>
      <c r="M2768" s="73">
        <v>2</v>
      </c>
      <c r="N2768" s="71" t="s">
        <v>388</v>
      </c>
      <c r="O2768" s="73">
        <v>0.012</v>
      </c>
      <c r="P2768" s="71" t="s">
        <v>389</v>
      </c>
      <c r="Q2768" s="73">
        <v>2</v>
      </c>
      <c r="R2768" s="71" t="s">
        <v>388</v>
      </c>
      <c r="S2768" s="73">
        <v>0</v>
      </c>
      <c r="T2768" s="71" t="s">
        <v>390</v>
      </c>
      <c r="U2768" s="74">
        <v>1</v>
      </c>
      <c r="V2768" s="71" t="s">
        <v>427</v>
      </c>
      <c r="W2768" s="130">
        <v>46085.500694444447</v>
      </c>
      <c r="X2768" s="72">
        <v>46088.25</v>
      </c>
      <c r="Y2768" s="72">
        <v>46092.197916666664</v>
      </c>
      <c r="Z2768" s="104" t="s">
        <v>382</v>
      </c>
      <c r="AA2768" s="104" t="s">
        <v>414</v>
      </c>
      <c r="AB2768" s="105">
        <v>46088.38958333333</v>
      </c>
      <c r="AC2768" s="105">
        <v>46092.333333333336</v>
      </c>
    </row>
    <row r="2769" s="70" customFormat="1" ht="11.25" customHeight="1">
      <c r="A2769" s="87"/>
      <c r="C2769" s="43" t="s">
        <v>4586</v>
      </c>
      <c r="D2769" s="71" t="s">
        <v>382</v>
      </c>
      <c r="E2769" s="71" t="str">
        <f>MID(D2769,1,2)</f>
        <v>IL</v>
      </c>
      <c r="F2769" s="71" t="s">
        <v>414</v>
      </c>
      <c r="G2769" s="71" t="str">
        <f>MID(F2769,1,2)</f>
        <v>US</v>
      </c>
      <c r="H2769" s="43" t="s">
        <v>4414</v>
      </c>
      <c r="I2769" s="71" t="s">
        <v>4587</v>
      </c>
      <c r="J2769" s="71" t="s">
        <v>386</v>
      </c>
      <c r="K2769" s="43" t="s">
        <v>759</v>
      </c>
      <c r="L2769" s="71" t="s">
        <v>107</v>
      </c>
      <c r="M2769" s="73">
        <v>20</v>
      </c>
      <c r="N2769" s="71" t="s">
        <v>388</v>
      </c>
      <c r="O2769" s="73">
        <v>0.089</v>
      </c>
      <c r="P2769" s="71" t="s">
        <v>389</v>
      </c>
      <c r="Q2769" s="73">
        <v>20</v>
      </c>
      <c r="R2769" s="71" t="s">
        <v>388</v>
      </c>
      <c r="S2769" s="73">
        <v>0</v>
      </c>
      <c r="T2769" s="71" t="s">
        <v>390</v>
      </c>
      <c r="U2769" s="74">
        <v>1</v>
      </c>
      <c r="V2769" s="71" t="s">
        <v>391</v>
      </c>
      <c r="W2769" s="130">
        <v>46085.521527777775</v>
      </c>
      <c r="X2769" s="72">
        <v>46088.25</v>
      </c>
      <c r="Y2769" s="72">
        <v>46092.197916666664</v>
      </c>
      <c r="Z2769" s="104" t="s">
        <v>382</v>
      </c>
      <c r="AA2769" s="104" t="s">
        <v>414</v>
      </c>
      <c r="AB2769" s="105">
        <v>46088.38958333333</v>
      </c>
      <c r="AC2769" s="105">
        <v>46092.333333333336</v>
      </c>
    </row>
    <row r="2770" s="70" customFormat="1" ht="11.25" customHeight="1">
      <c r="A2770" s="87"/>
      <c r="C2770" s="43" t="s">
        <v>4588</v>
      </c>
      <c r="D2770" s="71" t="s">
        <v>382</v>
      </c>
      <c r="E2770" s="71" t="str">
        <f>MID(D2770,1,2)</f>
        <v>IL</v>
      </c>
      <c r="F2770" s="71" t="s">
        <v>414</v>
      </c>
      <c r="G2770" s="71" t="str">
        <f>MID(F2770,1,2)</f>
        <v>US</v>
      </c>
      <c r="H2770" s="43" t="s">
        <v>4414</v>
      </c>
      <c r="I2770" s="71" t="s">
        <v>4589</v>
      </c>
      <c r="J2770" s="71" t="s">
        <v>386</v>
      </c>
      <c r="K2770" s="43"/>
      <c r="L2770" s="71" t="s">
        <v>107</v>
      </c>
      <c r="M2770" s="73">
        <v>1</v>
      </c>
      <c r="N2770" s="71" t="s">
        <v>388</v>
      </c>
      <c r="O2770" s="73">
        <v>0.005</v>
      </c>
      <c r="P2770" s="71" t="s">
        <v>389</v>
      </c>
      <c r="Q2770" s="73">
        <v>1</v>
      </c>
      <c r="R2770" s="71" t="s">
        <v>388</v>
      </c>
      <c r="S2770" s="73">
        <v>0</v>
      </c>
      <c r="T2770" s="71" t="s">
        <v>390</v>
      </c>
      <c r="U2770" s="74">
        <v>1</v>
      </c>
      <c r="V2770" s="71" t="s">
        <v>427</v>
      </c>
      <c r="W2770" s="130">
        <v>46085.52847222222</v>
      </c>
      <c r="X2770" s="72">
        <v>46088.25</v>
      </c>
      <c r="Y2770" s="72">
        <v>46092.197916666664</v>
      </c>
      <c r="Z2770" s="104" t="s">
        <v>382</v>
      </c>
      <c r="AA2770" s="104" t="s">
        <v>414</v>
      </c>
      <c r="AB2770" s="105">
        <v>46088.38958333333</v>
      </c>
      <c r="AC2770" s="105">
        <v>46092.333333333336</v>
      </c>
    </row>
    <row r="2771" s="70" customFormat="1" ht="11.25" customHeight="1">
      <c r="A2771" s="87"/>
      <c r="C2771" s="43" t="s">
        <v>4590</v>
      </c>
      <c r="D2771" s="71" t="s">
        <v>382</v>
      </c>
      <c r="E2771" s="71" t="str">
        <f>MID(D2771,1,2)</f>
        <v>IL</v>
      </c>
      <c r="F2771" s="71" t="s">
        <v>774</v>
      </c>
      <c r="G2771" s="71" t="str">
        <f>MID(F2771,1,2)</f>
        <v>CN</v>
      </c>
      <c r="H2771" s="43" t="s">
        <v>3952</v>
      </c>
      <c r="I2771" s="71" t="s">
        <v>4591</v>
      </c>
      <c r="J2771" s="71" t="s">
        <v>755</v>
      </c>
      <c r="K2771" s="43"/>
      <c r="L2771" s="71" t="s">
        <v>105</v>
      </c>
      <c r="M2771" s="73">
        <v>15</v>
      </c>
      <c r="N2771" s="71" t="s">
        <v>388</v>
      </c>
      <c r="O2771" s="73">
        <v>0.314</v>
      </c>
      <c r="P2771" s="71" t="s">
        <v>389</v>
      </c>
      <c r="Q2771" s="73">
        <v>52.5</v>
      </c>
      <c r="R2771" s="71" t="s">
        <v>388</v>
      </c>
      <c r="S2771" s="73">
        <v>0</v>
      </c>
      <c r="T2771" s="71" t="s">
        <v>390</v>
      </c>
      <c r="U2771" s="74">
        <v>1</v>
      </c>
      <c r="V2771" s="71" t="s">
        <v>391</v>
      </c>
      <c r="W2771" s="130">
        <v>46085.693888888891</v>
      </c>
      <c r="X2771" s="72">
        <v>46086.454861111109</v>
      </c>
      <c r="Y2771" s="72">
        <v>46093.118055555555</v>
      </c>
      <c r="Z2771" s="104" t="s">
        <v>382</v>
      </c>
      <c r="AA2771" s="104" t="s">
        <v>1117</v>
      </c>
      <c r="AB2771" s="105">
        <v>46087.102083333331</v>
      </c>
      <c r="AC2771" s="105"/>
    </row>
    <row r="2772" s="70" customFormat="1" ht="11.25" customHeight="1">
      <c r="A2772" s="87"/>
      <c r="C2772" s="43" t="s">
        <v>4590</v>
      </c>
      <c r="D2772" s="71" t="s">
        <v>382</v>
      </c>
      <c r="E2772" s="71" t="str">
        <f>MID(D2772,1,2)</f>
        <v>IL</v>
      </c>
      <c r="F2772" s="71" t="s">
        <v>774</v>
      </c>
      <c r="G2772" s="71" t="str">
        <f>MID(F2772,1,2)</f>
        <v>CN</v>
      </c>
      <c r="H2772" s="43" t="s">
        <v>3952</v>
      </c>
      <c r="I2772" s="71" t="s">
        <v>4591</v>
      </c>
      <c r="J2772" s="71" t="s">
        <v>755</v>
      </c>
      <c r="K2772" s="43"/>
      <c r="L2772" s="71" t="s">
        <v>105</v>
      </c>
      <c r="M2772" s="73">
        <v>15</v>
      </c>
      <c r="N2772" s="71" t="s">
        <v>388</v>
      </c>
      <c r="O2772" s="73">
        <v>0.314</v>
      </c>
      <c r="P2772" s="71" t="s">
        <v>389</v>
      </c>
      <c r="Q2772" s="73">
        <v>52.5</v>
      </c>
      <c r="R2772" s="71" t="s">
        <v>388</v>
      </c>
      <c r="S2772" s="73">
        <v>0</v>
      </c>
      <c r="T2772" s="71" t="s">
        <v>390</v>
      </c>
      <c r="U2772" s="74">
        <v>1</v>
      </c>
      <c r="V2772" s="71" t="s">
        <v>391</v>
      </c>
      <c r="W2772" s="130">
        <v>46085.693888888891</v>
      </c>
      <c r="X2772" s="72">
        <v>46086.454861111109</v>
      </c>
      <c r="Y2772" s="72">
        <v>46093.118055555555</v>
      </c>
      <c r="Z2772" s="104" t="s">
        <v>1117</v>
      </c>
      <c r="AA2772" s="104" t="s">
        <v>1538</v>
      </c>
      <c r="AB2772" s="105">
        <v>46090.825694444444</v>
      </c>
      <c r="AC2772" s="105"/>
    </row>
    <row r="2773" s="70" customFormat="1" ht="11.25" customHeight="1">
      <c r="A2773" s="87"/>
      <c r="C2773" s="43" t="s">
        <v>4590</v>
      </c>
      <c r="D2773" s="71" t="s">
        <v>382</v>
      </c>
      <c r="E2773" s="71" t="str">
        <f>MID(D2773,1,2)</f>
        <v>IL</v>
      </c>
      <c r="F2773" s="71" t="s">
        <v>774</v>
      </c>
      <c r="G2773" s="71" t="str">
        <f>MID(F2773,1,2)</f>
        <v>CN</v>
      </c>
      <c r="H2773" s="43" t="s">
        <v>3952</v>
      </c>
      <c r="I2773" s="71" t="s">
        <v>4591</v>
      </c>
      <c r="J2773" s="71" t="s">
        <v>755</v>
      </c>
      <c r="K2773" s="43"/>
      <c r="L2773" s="71" t="s">
        <v>105</v>
      </c>
      <c r="M2773" s="73">
        <v>15</v>
      </c>
      <c r="N2773" s="71" t="s">
        <v>388</v>
      </c>
      <c r="O2773" s="73">
        <v>0.314</v>
      </c>
      <c r="P2773" s="71" t="s">
        <v>389</v>
      </c>
      <c r="Q2773" s="73">
        <v>52.5</v>
      </c>
      <c r="R2773" s="71" t="s">
        <v>388</v>
      </c>
      <c r="S2773" s="73">
        <v>0</v>
      </c>
      <c r="T2773" s="71" t="s">
        <v>390</v>
      </c>
      <c r="U2773" s="74">
        <v>1</v>
      </c>
      <c r="V2773" s="71" t="s">
        <v>391</v>
      </c>
      <c r="W2773" s="130">
        <v>46085.693888888891</v>
      </c>
      <c r="X2773" s="72">
        <v>46086.454861111109</v>
      </c>
      <c r="Y2773" s="72">
        <v>46093.118055555555</v>
      </c>
      <c r="Z2773" s="104" t="s">
        <v>1538</v>
      </c>
      <c r="AA2773" s="104" t="s">
        <v>774</v>
      </c>
      <c r="AB2773" s="105">
        <v>46092.026388888888</v>
      </c>
      <c r="AC2773" s="105">
        <v>46092.143055555556</v>
      </c>
    </row>
    <row r="2774" s="70" customFormat="1" ht="11.25" customHeight="1">
      <c r="A2774" s="87"/>
      <c r="C2774" s="43" t="s">
        <v>4592</v>
      </c>
      <c r="D2774" s="71" t="s">
        <v>382</v>
      </c>
      <c r="E2774" s="71" t="str">
        <f>MID(D2774,1,2)</f>
        <v>IL</v>
      </c>
      <c r="F2774" s="71" t="s">
        <v>414</v>
      </c>
      <c r="G2774" s="71" t="str">
        <f>MID(F2774,1,2)</f>
        <v>US</v>
      </c>
      <c r="H2774" s="43" t="s">
        <v>4414</v>
      </c>
      <c r="I2774" s="71" t="s">
        <v>4593</v>
      </c>
      <c r="J2774" s="71" t="s">
        <v>386</v>
      </c>
      <c r="K2774" s="43"/>
      <c r="L2774" s="71" t="s">
        <v>107</v>
      </c>
      <c r="M2774" s="73">
        <v>1</v>
      </c>
      <c r="N2774" s="71" t="s">
        <v>388</v>
      </c>
      <c r="O2774" s="73">
        <v>0.013</v>
      </c>
      <c r="P2774" s="71" t="s">
        <v>389</v>
      </c>
      <c r="Q2774" s="73">
        <v>2.5</v>
      </c>
      <c r="R2774" s="71" t="s">
        <v>388</v>
      </c>
      <c r="S2774" s="73">
        <v>0</v>
      </c>
      <c r="T2774" s="71" t="s">
        <v>390</v>
      </c>
      <c r="U2774" s="74">
        <v>1</v>
      </c>
      <c r="V2774" s="71" t="s">
        <v>427</v>
      </c>
      <c r="W2774" s="130">
        <v>46085.57708333333</v>
      </c>
      <c r="X2774" s="72">
        <v>46088.25</v>
      </c>
      <c r="Y2774" s="72">
        <v>46092.197916666664</v>
      </c>
      <c r="Z2774" s="104" t="s">
        <v>382</v>
      </c>
      <c r="AA2774" s="104" t="s">
        <v>414</v>
      </c>
      <c r="AB2774" s="105">
        <v>46088.38958333333</v>
      </c>
      <c r="AC2774" s="105">
        <v>46092.333333333336</v>
      </c>
    </row>
    <row r="2775" s="70" customFormat="1" ht="11.25" customHeight="1">
      <c r="A2775" s="87"/>
      <c r="C2775" s="43" t="s">
        <v>4594</v>
      </c>
      <c r="D2775" s="71" t="s">
        <v>382</v>
      </c>
      <c r="E2775" s="71" t="str">
        <f>MID(D2775,1,2)</f>
        <v>IL</v>
      </c>
      <c r="F2775" s="71" t="s">
        <v>496</v>
      </c>
      <c r="G2775" s="71" t="str">
        <f>MID(F2775,1,2)</f>
        <v>RO</v>
      </c>
      <c r="H2775" s="43" t="s">
        <v>4320</v>
      </c>
      <c r="I2775" s="71" t="s">
        <v>4595</v>
      </c>
      <c r="J2775" s="71" t="s">
        <v>400</v>
      </c>
      <c r="K2775" s="43"/>
      <c r="L2775" s="71" t="s">
        <v>105</v>
      </c>
      <c r="M2775" s="73">
        <v>35</v>
      </c>
      <c r="N2775" s="71" t="s">
        <v>388</v>
      </c>
      <c r="O2775" s="73">
        <v>0.708</v>
      </c>
      <c r="P2775" s="71" t="s">
        <v>389</v>
      </c>
      <c r="Q2775" s="73">
        <v>118</v>
      </c>
      <c r="R2775" s="71" t="s">
        <v>388</v>
      </c>
      <c r="S2775" s="73">
        <v>0</v>
      </c>
      <c r="T2775" s="71" t="s">
        <v>390</v>
      </c>
      <c r="U2775" s="74">
        <v>1</v>
      </c>
      <c r="V2775" s="71" t="s">
        <v>391</v>
      </c>
      <c r="W2775" s="130">
        <v>46085.61875</v>
      </c>
      <c r="X2775" s="72">
        <v>46089.229166666664</v>
      </c>
      <c r="Y2775" s="72">
        <v>46092.416666666664</v>
      </c>
      <c r="Z2775" s="104" t="s">
        <v>408</v>
      </c>
      <c r="AA2775" s="104" t="s">
        <v>496</v>
      </c>
      <c r="AB2775" s="105">
        <v>46092.350694444445</v>
      </c>
      <c r="AC2775" s="105">
        <v>46092.416666666664</v>
      </c>
    </row>
    <row r="2776" s="70" customFormat="1" ht="11.25" customHeight="1">
      <c r="A2776" s="87"/>
      <c r="C2776" s="43" t="s">
        <v>4594</v>
      </c>
      <c r="D2776" s="71" t="s">
        <v>382</v>
      </c>
      <c r="E2776" s="71" t="str">
        <f>MID(D2776,1,2)</f>
        <v>IL</v>
      </c>
      <c r="F2776" s="71" t="s">
        <v>496</v>
      </c>
      <c r="G2776" s="71" t="str">
        <f>MID(F2776,1,2)</f>
        <v>RO</v>
      </c>
      <c r="H2776" s="43" t="s">
        <v>4320</v>
      </c>
      <c r="I2776" s="71" t="s">
        <v>4595</v>
      </c>
      <c r="J2776" s="71" t="s">
        <v>400</v>
      </c>
      <c r="K2776" s="43"/>
      <c r="L2776" s="71" t="s">
        <v>105</v>
      </c>
      <c r="M2776" s="73">
        <v>35</v>
      </c>
      <c r="N2776" s="71" t="s">
        <v>388</v>
      </c>
      <c r="O2776" s="73">
        <v>0.708</v>
      </c>
      <c r="P2776" s="71" t="s">
        <v>389</v>
      </c>
      <c r="Q2776" s="73">
        <v>118</v>
      </c>
      <c r="R2776" s="71" t="s">
        <v>388</v>
      </c>
      <c r="S2776" s="73">
        <v>0</v>
      </c>
      <c r="T2776" s="71" t="s">
        <v>390</v>
      </c>
      <c r="U2776" s="74">
        <v>1</v>
      </c>
      <c r="V2776" s="71" t="s">
        <v>391</v>
      </c>
      <c r="W2776" s="130">
        <v>46085.61875</v>
      </c>
      <c r="X2776" s="72">
        <v>46089.229166666664</v>
      </c>
      <c r="Y2776" s="72">
        <v>46092.416666666664</v>
      </c>
      <c r="Z2776" s="104" t="s">
        <v>382</v>
      </c>
      <c r="AA2776" s="104" t="s">
        <v>408</v>
      </c>
      <c r="AB2776" s="105">
        <v>46089.215277777781</v>
      </c>
      <c r="AC2776" s="105">
        <v>46090.083333333336</v>
      </c>
    </row>
    <row r="2777" s="70" customFormat="1" ht="11.25" customHeight="1">
      <c r="A2777" s="87"/>
      <c r="C2777" s="43" t="s">
        <v>4596</v>
      </c>
      <c r="D2777" s="71" t="s">
        <v>382</v>
      </c>
      <c r="E2777" s="71" t="str">
        <f>MID(D2777,1,2)</f>
        <v>IL</v>
      </c>
      <c r="F2777" s="71" t="s">
        <v>496</v>
      </c>
      <c r="G2777" s="71" t="str">
        <f>MID(F2777,1,2)</f>
        <v>RO</v>
      </c>
      <c r="H2777" s="43" t="s">
        <v>4320</v>
      </c>
      <c r="I2777" s="71" t="s">
        <v>4597</v>
      </c>
      <c r="J2777" s="71" t="s">
        <v>400</v>
      </c>
      <c r="K2777" s="43"/>
      <c r="L2777" s="71" t="s">
        <v>105</v>
      </c>
      <c r="M2777" s="73">
        <v>25</v>
      </c>
      <c r="N2777" s="71" t="s">
        <v>388</v>
      </c>
      <c r="O2777" s="73">
        <v>0.506</v>
      </c>
      <c r="P2777" s="71" t="s">
        <v>389</v>
      </c>
      <c r="Q2777" s="73">
        <v>84.5</v>
      </c>
      <c r="R2777" s="71" t="s">
        <v>388</v>
      </c>
      <c r="S2777" s="73">
        <v>0</v>
      </c>
      <c r="T2777" s="71" t="s">
        <v>390</v>
      </c>
      <c r="U2777" s="74">
        <v>1</v>
      </c>
      <c r="V2777" s="71" t="s">
        <v>391</v>
      </c>
      <c r="W2777" s="130">
        <v>46085.625694444447</v>
      </c>
      <c r="X2777" s="72">
        <v>46089.229166666664</v>
      </c>
      <c r="Y2777" s="72">
        <v>46092.416666666664</v>
      </c>
      <c r="Z2777" s="104" t="s">
        <v>408</v>
      </c>
      <c r="AA2777" s="104" t="s">
        <v>496</v>
      </c>
      <c r="AB2777" s="105">
        <v>46092.350694444445</v>
      </c>
      <c r="AC2777" s="105">
        <v>46092.416666666664</v>
      </c>
    </row>
    <row r="2778" s="70" customFormat="1" ht="11.25" customHeight="1">
      <c r="A2778" s="87"/>
      <c r="C2778" s="43" t="s">
        <v>4596</v>
      </c>
      <c r="D2778" s="71" t="s">
        <v>382</v>
      </c>
      <c r="E2778" s="71" t="str">
        <f>MID(D2778,1,2)</f>
        <v>IL</v>
      </c>
      <c r="F2778" s="71" t="s">
        <v>496</v>
      </c>
      <c r="G2778" s="71" t="str">
        <f>MID(F2778,1,2)</f>
        <v>RO</v>
      </c>
      <c r="H2778" s="43" t="s">
        <v>4320</v>
      </c>
      <c r="I2778" s="71" t="s">
        <v>4597</v>
      </c>
      <c r="J2778" s="71" t="s">
        <v>400</v>
      </c>
      <c r="K2778" s="43"/>
      <c r="L2778" s="71" t="s">
        <v>105</v>
      </c>
      <c r="M2778" s="73">
        <v>25</v>
      </c>
      <c r="N2778" s="71" t="s">
        <v>388</v>
      </c>
      <c r="O2778" s="73">
        <v>0.506</v>
      </c>
      <c r="P2778" s="71" t="s">
        <v>389</v>
      </c>
      <c r="Q2778" s="73">
        <v>84.5</v>
      </c>
      <c r="R2778" s="71" t="s">
        <v>388</v>
      </c>
      <c r="S2778" s="73">
        <v>0</v>
      </c>
      <c r="T2778" s="71" t="s">
        <v>390</v>
      </c>
      <c r="U2778" s="74">
        <v>1</v>
      </c>
      <c r="V2778" s="71" t="s">
        <v>391</v>
      </c>
      <c r="W2778" s="130">
        <v>46085.625694444447</v>
      </c>
      <c r="X2778" s="72">
        <v>46089.229166666664</v>
      </c>
      <c r="Y2778" s="72">
        <v>46092.416666666664</v>
      </c>
      <c r="Z2778" s="104" t="s">
        <v>382</v>
      </c>
      <c r="AA2778" s="104" t="s">
        <v>408</v>
      </c>
      <c r="AB2778" s="105">
        <v>46089.215277777781</v>
      </c>
      <c r="AC2778" s="105">
        <v>46090.083333333336</v>
      </c>
    </row>
    <row r="2779" s="70" customFormat="1" ht="11.25" customHeight="1">
      <c r="A2779" s="87"/>
      <c r="C2779" s="43" t="s">
        <v>4598</v>
      </c>
      <c r="D2779" s="71" t="s">
        <v>382</v>
      </c>
      <c r="E2779" s="71" t="str">
        <f>MID(D2779,1,2)</f>
        <v>IL</v>
      </c>
      <c r="F2779" s="71" t="s">
        <v>963</v>
      </c>
      <c r="G2779" s="71" t="str">
        <f>MID(F2779,1,2)</f>
        <v>IN</v>
      </c>
      <c r="H2779" s="43" t="s">
        <v>4120</v>
      </c>
      <c r="I2779" s="71" t="s">
        <v>4599</v>
      </c>
      <c r="J2779" s="71" t="s">
        <v>426</v>
      </c>
      <c r="K2779" s="43"/>
      <c r="L2779" s="71" t="s">
        <v>105</v>
      </c>
      <c r="M2779" s="73">
        <v>18</v>
      </c>
      <c r="N2779" s="71" t="s">
        <v>388</v>
      </c>
      <c r="O2779" s="73">
        <v>0.1</v>
      </c>
      <c r="P2779" s="71" t="s">
        <v>389</v>
      </c>
      <c r="Q2779" s="73">
        <v>18</v>
      </c>
      <c r="R2779" s="71" t="s">
        <v>388</v>
      </c>
      <c r="S2779" s="73">
        <v>0</v>
      </c>
      <c r="T2779" s="71" t="s">
        <v>390</v>
      </c>
      <c r="U2779" s="74">
        <v>1</v>
      </c>
      <c r="V2779" s="71" t="s">
        <v>391</v>
      </c>
      <c r="W2779" s="130">
        <v>46091.40347222222</v>
      </c>
      <c r="X2779" s="72">
        <v>46093.371527777781</v>
      </c>
      <c r="Y2779" s="72">
        <v>46100.666666666664</v>
      </c>
      <c r="Z2779" s="104" t="s">
        <v>382</v>
      </c>
      <c r="AA2779" s="104" t="s">
        <v>402</v>
      </c>
      <c r="AB2779" s="105">
        <v>46093.429166666669</v>
      </c>
      <c r="AC2779" s="105">
        <v>46093.841666666667</v>
      </c>
    </row>
    <row r="2780" s="70" customFormat="1" ht="11.25" customHeight="1">
      <c r="A2780" s="87"/>
      <c r="C2780" s="43" t="s">
        <v>4598</v>
      </c>
      <c r="D2780" s="71" t="s">
        <v>382</v>
      </c>
      <c r="E2780" s="71" t="str">
        <f>MID(D2780,1,2)</f>
        <v>IL</v>
      </c>
      <c r="F2780" s="71" t="s">
        <v>963</v>
      </c>
      <c r="G2780" s="71" t="str">
        <f>MID(F2780,1,2)</f>
        <v>IN</v>
      </c>
      <c r="H2780" s="43" t="s">
        <v>4120</v>
      </c>
      <c r="I2780" s="71" t="s">
        <v>4599</v>
      </c>
      <c r="J2780" s="71" t="s">
        <v>426</v>
      </c>
      <c r="K2780" s="43"/>
      <c r="L2780" s="71" t="s">
        <v>105</v>
      </c>
      <c r="M2780" s="73">
        <v>18</v>
      </c>
      <c r="N2780" s="71" t="s">
        <v>388</v>
      </c>
      <c r="O2780" s="73">
        <v>0.1</v>
      </c>
      <c r="P2780" s="71" t="s">
        <v>389</v>
      </c>
      <c r="Q2780" s="73">
        <v>18</v>
      </c>
      <c r="R2780" s="71" t="s">
        <v>388</v>
      </c>
      <c r="S2780" s="73">
        <v>0</v>
      </c>
      <c r="T2780" s="71" t="s">
        <v>390</v>
      </c>
      <c r="U2780" s="74">
        <v>1</v>
      </c>
      <c r="V2780" s="71" t="s">
        <v>391</v>
      </c>
      <c r="W2780" s="130">
        <v>46091.40347222222</v>
      </c>
      <c r="X2780" s="72">
        <v>46093.371527777781</v>
      </c>
      <c r="Y2780" s="72">
        <v>46100.666666666664</v>
      </c>
      <c r="Z2780" s="104" t="s">
        <v>402</v>
      </c>
      <c r="AA2780" s="104" t="s">
        <v>809</v>
      </c>
      <c r="AB2780" s="105">
        <v>46093.888194444444</v>
      </c>
      <c r="AC2780" s="105">
        <v>46093.842361111114</v>
      </c>
    </row>
    <row r="2781" s="70" customFormat="1" ht="11.25" customHeight="1">
      <c r="A2781" s="87"/>
      <c r="C2781" s="43" t="s">
        <v>4598</v>
      </c>
      <c r="D2781" s="71" t="s">
        <v>382</v>
      </c>
      <c r="E2781" s="71" t="str">
        <f>MID(D2781,1,2)</f>
        <v>IL</v>
      </c>
      <c r="F2781" s="71" t="s">
        <v>963</v>
      </c>
      <c r="G2781" s="71" t="str">
        <f>MID(F2781,1,2)</f>
        <v>IN</v>
      </c>
      <c r="H2781" s="43" t="s">
        <v>4120</v>
      </c>
      <c r="I2781" s="71" t="s">
        <v>4599</v>
      </c>
      <c r="J2781" s="71" t="s">
        <v>426</v>
      </c>
      <c r="K2781" s="43"/>
      <c r="L2781" s="71" t="s">
        <v>105</v>
      </c>
      <c r="M2781" s="73">
        <v>18</v>
      </c>
      <c r="N2781" s="71" t="s">
        <v>388</v>
      </c>
      <c r="O2781" s="73">
        <v>0.1</v>
      </c>
      <c r="P2781" s="71" t="s">
        <v>389</v>
      </c>
      <c r="Q2781" s="73">
        <v>18</v>
      </c>
      <c r="R2781" s="71" t="s">
        <v>388</v>
      </c>
      <c r="S2781" s="73">
        <v>0</v>
      </c>
      <c r="T2781" s="71" t="s">
        <v>390</v>
      </c>
      <c r="U2781" s="74">
        <v>1</v>
      </c>
      <c r="V2781" s="71" t="s">
        <v>391</v>
      </c>
      <c r="W2781" s="130">
        <v>46091.40347222222</v>
      </c>
      <c r="X2781" s="72">
        <v>46093.371527777781</v>
      </c>
      <c r="Y2781" s="72">
        <v>46100.666666666664</v>
      </c>
      <c r="Z2781" s="104" t="s">
        <v>809</v>
      </c>
      <c r="AA2781" s="104" t="s">
        <v>963</v>
      </c>
      <c r="AB2781" s="105">
        <v>46098.365972222222</v>
      </c>
      <c r="AC2781" s="105">
        <v>46100.365972222222</v>
      </c>
    </row>
    <row r="2782" s="70" customFormat="1" ht="11.25" customHeight="1">
      <c r="A2782" s="87"/>
      <c r="C2782" s="43" t="s">
        <v>4600</v>
      </c>
      <c r="D2782" s="71" t="s">
        <v>382</v>
      </c>
      <c r="E2782" s="71" t="str">
        <f>MID(D2782,1,2)</f>
        <v>IL</v>
      </c>
      <c r="F2782" s="71" t="s">
        <v>414</v>
      </c>
      <c r="G2782" s="71" t="str">
        <f>MID(F2782,1,2)</f>
        <v>US</v>
      </c>
      <c r="H2782" s="43" t="s">
        <v>2791</v>
      </c>
      <c r="I2782" s="71" t="s">
        <v>4601</v>
      </c>
      <c r="J2782" s="71" t="s">
        <v>386</v>
      </c>
      <c r="K2782" s="43"/>
      <c r="L2782" s="71" t="s">
        <v>107</v>
      </c>
      <c r="M2782" s="73">
        <v>12</v>
      </c>
      <c r="N2782" s="71" t="s">
        <v>388</v>
      </c>
      <c r="O2782" s="73">
        <v>0.095</v>
      </c>
      <c r="P2782" s="71" t="s">
        <v>389</v>
      </c>
      <c r="Q2782" s="73">
        <v>16</v>
      </c>
      <c r="R2782" s="71" t="s">
        <v>388</v>
      </c>
      <c r="S2782" s="73">
        <v>0</v>
      </c>
      <c r="T2782" s="71" t="s">
        <v>390</v>
      </c>
      <c r="U2782" s="74">
        <v>1</v>
      </c>
      <c r="V2782" s="71" t="s">
        <v>446</v>
      </c>
      <c r="W2782" s="130">
        <v>46089.856006944443</v>
      </c>
      <c r="X2782" s="72">
        <v>46091.229166666664</v>
      </c>
      <c r="Y2782" s="72">
        <v>46096.291666666664</v>
      </c>
      <c r="Z2782" s="104" t="s">
        <v>382</v>
      </c>
      <c r="AA2782" s="104" t="s">
        <v>414</v>
      </c>
      <c r="AB2782" s="105">
        <v>46091.945833333331</v>
      </c>
      <c r="AC2782" s="105">
        <v>46092.136111111111</v>
      </c>
    </row>
    <row r="2783" s="70" customFormat="1" ht="11.25" customHeight="1">
      <c r="A2783" s="87"/>
      <c r="C2783" s="43" t="s">
        <v>4602</v>
      </c>
      <c r="D2783" s="71" t="s">
        <v>382</v>
      </c>
      <c r="E2783" s="71" t="str">
        <f>MID(D2783,1,2)</f>
        <v>IL</v>
      </c>
      <c r="F2783" s="71" t="s">
        <v>414</v>
      </c>
      <c r="G2783" s="71" t="str">
        <f>MID(F2783,1,2)</f>
        <v>US</v>
      </c>
      <c r="H2783" s="43" t="s">
        <v>2791</v>
      </c>
      <c r="I2783" s="71" t="s">
        <v>4603</v>
      </c>
      <c r="J2783" s="71" t="s">
        <v>386</v>
      </c>
      <c r="K2783" s="43"/>
      <c r="L2783" s="71" t="s">
        <v>107</v>
      </c>
      <c r="M2783" s="73">
        <v>12</v>
      </c>
      <c r="N2783" s="71" t="s">
        <v>388</v>
      </c>
      <c r="O2783" s="73">
        <v>0.095</v>
      </c>
      <c r="P2783" s="71" t="s">
        <v>389</v>
      </c>
      <c r="Q2783" s="73">
        <v>16</v>
      </c>
      <c r="R2783" s="71" t="s">
        <v>388</v>
      </c>
      <c r="S2783" s="73">
        <v>0</v>
      </c>
      <c r="T2783" s="71" t="s">
        <v>390</v>
      </c>
      <c r="U2783" s="74">
        <v>1</v>
      </c>
      <c r="V2783" s="71" t="s">
        <v>446</v>
      </c>
      <c r="W2783" s="130">
        <v>46089.856053240743</v>
      </c>
      <c r="X2783" s="72">
        <v>46091.229166666664</v>
      </c>
      <c r="Y2783" s="72">
        <v>46096.291666666664</v>
      </c>
      <c r="Z2783" s="104" t="s">
        <v>382</v>
      </c>
      <c r="AA2783" s="104" t="s">
        <v>414</v>
      </c>
      <c r="AB2783" s="105">
        <v>46091.945833333331</v>
      </c>
      <c r="AC2783" s="105">
        <v>46092.136111111111</v>
      </c>
    </row>
    <row r="2784" s="70" customFormat="1" ht="11.25" customHeight="1">
      <c r="A2784" s="87"/>
      <c r="C2784" s="43" t="s">
        <v>4604</v>
      </c>
      <c r="D2784" s="71" t="s">
        <v>382</v>
      </c>
      <c r="E2784" s="71" t="str">
        <f>MID(D2784,1,2)</f>
        <v>IL</v>
      </c>
      <c r="F2784" s="71" t="s">
        <v>414</v>
      </c>
      <c r="G2784" s="71" t="str">
        <f>MID(F2784,1,2)</f>
        <v>US</v>
      </c>
      <c r="H2784" s="43" t="s">
        <v>2791</v>
      </c>
      <c r="I2784" s="71" t="s">
        <v>4605</v>
      </c>
      <c r="J2784" s="71" t="s">
        <v>386</v>
      </c>
      <c r="K2784" s="43"/>
      <c r="L2784" s="71" t="s">
        <v>107</v>
      </c>
      <c r="M2784" s="73">
        <v>12</v>
      </c>
      <c r="N2784" s="71" t="s">
        <v>388</v>
      </c>
      <c r="O2784" s="73">
        <v>0.095</v>
      </c>
      <c r="P2784" s="71" t="s">
        <v>389</v>
      </c>
      <c r="Q2784" s="73">
        <v>16</v>
      </c>
      <c r="R2784" s="71" t="s">
        <v>388</v>
      </c>
      <c r="S2784" s="73">
        <v>0</v>
      </c>
      <c r="T2784" s="71" t="s">
        <v>390</v>
      </c>
      <c r="U2784" s="74">
        <v>1</v>
      </c>
      <c r="V2784" s="71" t="s">
        <v>446</v>
      </c>
      <c r="W2784" s="130">
        <v>46089.856006944443</v>
      </c>
      <c r="X2784" s="72">
        <v>46091.229166666664</v>
      </c>
      <c r="Y2784" s="72">
        <v>46096.291666666664</v>
      </c>
      <c r="Z2784" s="104" t="s">
        <v>382</v>
      </c>
      <c r="AA2784" s="104" t="s">
        <v>414</v>
      </c>
      <c r="AB2784" s="105">
        <v>46091.945833333331</v>
      </c>
      <c r="AC2784" s="105">
        <v>46092.136111111111</v>
      </c>
    </row>
    <row r="2785" s="70" customFormat="1" ht="11.25" customHeight="1">
      <c r="A2785" s="87"/>
      <c r="C2785" s="43" t="s">
        <v>4606</v>
      </c>
      <c r="D2785" s="71" t="s">
        <v>382</v>
      </c>
      <c r="E2785" s="71" t="str">
        <f>MID(D2785,1,2)</f>
        <v>IL</v>
      </c>
      <c r="F2785" s="71" t="s">
        <v>414</v>
      </c>
      <c r="G2785" s="71" t="str">
        <f>MID(F2785,1,2)</f>
        <v>US</v>
      </c>
      <c r="H2785" s="43" t="s">
        <v>2791</v>
      </c>
      <c r="I2785" s="71" t="s">
        <v>4607</v>
      </c>
      <c r="J2785" s="71" t="s">
        <v>386</v>
      </c>
      <c r="K2785" s="43"/>
      <c r="L2785" s="71" t="s">
        <v>107</v>
      </c>
      <c r="M2785" s="73">
        <v>12</v>
      </c>
      <c r="N2785" s="71" t="s">
        <v>388</v>
      </c>
      <c r="O2785" s="73">
        <v>0.095</v>
      </c>
      <c r="P2785" s="71" t="s">
        <v>389</v>
      </c>
      <c r="Q2785" s="73">
        <v>16</v>
      </c>
      <c r="R2785" s="71" t="s">
        <v>388</v>
      </c>
      <c r="S2785" s="73">
        <v>0</v>
      </c>
      <c r="T2785" s="71" t="s">
        <v>390</v>
      </c>
      <c r="U2785" s="74">
        <v>1</v>
      </c>
      <c r="V2785" s="71" t="s">
        <v>446</v>
      </c>
      <c r="W2785" s="130">
        <v>46086.542361111111</v>
      </c>
      <c r="X2785" s="72">
        <v>46091.229166666664</v>
      </c>
      <c r="Y2785" s="72">
        <v>46096.291666666664</v>
      </c>
      <c r="Z2785" s="104" t="s">
        <v>382</v>
      </c>
      <c r="AA2785" s="104" t="s">
        <v>414</v>
      </c>
      <c r="AB2785" s="105">
        <v>46091.945833333331</v>
      </c>
      <c r="AC2785" s="105">
        <v>46092.136111111111</v>
      </c>
    </row>
    <row r="2786" s="70" customFormat="1" ht="11.25" customHeight="1">
      <c r="A2786" s="87"/>
      <c r="C2786" s="43" t="s">
        <v>4608</v>
      </c>
      <c r="D2786" s="71" t="s">
        <v>382</v>
      </c>
      <c r="E2786" s="71" t="str">
        <f>MID(D2786,1,2)</f>
        <v>IL</v>
      </c>
      <c r="F2786" s="71" t="s">
        <v>978</v>
      </c>
      <c r="G2786" s="71" t="str">
        <f>MID(F2786,1,2)</f>
        <v>PL</v>
      </c>
      <c r="H2786" s="43"/>
      <c r="I2786" s="71" t="s">
        <v>4609</v>
      </c>
      <c r="J2786" s="71" t="s">
        <v>386</v>
      </c>
      <c r="K2786" s="43" t="s">
        <v>1019</v>
      </c>
      <c r="L2786" s="71" t="s">
        <v>107</v>
      </c>
      <c r="M2786" s="73">
        <v>45</v>
      </c>
      <c r="N2786" s="71" t="s">
        <v>388</v>
      </c>
      <c r="O2786" s="73">
        <v>0.253</v>
      </c>
      <c r="P2786" s="71" t="s">
        <v>389</v>
      </c>
      <c r="Q2786" s="73">
        <v>45</v>
      </c>
      <c r="R2786" s="71" t="s">
        <v>388</v>
      </c>
      <c r="S2786" s="73">
        <v>0</v>
      </c>
      <c r="T2786" s="71" t="s">
        <v>390</v>
      </c>
      <c r="U2786" s="74">
        <v>1</v>
      </c>
      <c r="V2786" s="71" t="s">
        <v>391</v>
      </c>
      <c r="W2786" s="130"/>
      <c r="X2786" s="72">
        <v>46087.25</v>
      </c>
      <c r="Y2786" s="72">
        <v>46090.615972222222</v>
      </c>
      <c r="Z2786" s="104"/>
      <c r="AA2786" s="104"/>
      <c r="AB2786" s="105"/>
      <c r="AC2786" s="105"/>
    </row>
    <row r="2787" s="70" customFormat="1" ht="11.25" customHeight="1">
      <c r="A2787" s="87"/>
      <c r="C2787" s="43" t="s">
        <v>4610</v>
      </c>
      <c r="D2787" s="71" t="s">
        <v>382</v>
      </c>
      <c r="E2787" s="71" t="str">
        <f>MID(D2787,1,2)</f>
        <v>IL</v>
      </c>
      <c r="F2787" s="71" t="s">
        <v>405</v>
      </c>
      <c r="G2787" s="71" t="str">
        <f>MID(F2787,1,2)</f>
        <v>CA</v>
      </c>
      <c r="H2787" s="43" t="s">
        <v>4611</v>
      </c>
      <c r="I2787" s="71" t="s">
        <v>4612</v>
      </c>
      <c r="J2787" s="71" t="s">
        <v>435</v>
      </c>
      <c r="K2787" s="43"/>
      <c r="L2787" s="71" t="s">
        <v>105</v>
      </c>
      <c r="M2787" s="73">
        <v>206</v>
      </c>
      <c r="N2787" s="71" t="s">
        <v>388</v>
      </c>
      <c r="O2787" s="73">
        <v>0.701</v>
      </c>
      <c r="P2787" s="71" t="s">
        <v>389</v>
      </c>
      <c r="Q2787" s="73">
        <v>206</v>
      </c>
      <c r="R2787" s="71" t="s">
        <v>388</v>
      </c>
      <c r="S2787" s="73">
        <v>0</v>
      </c>
      <c r="T2787" s="71" t="s">
        <v>390</v>
      </c>
      <c r="U2787" s="74">
        <v>1</v>
      </c>
      <c r="V2787" s="71" t="s">
        <v>391</v>
      </c>
      <c r="W2787" s="130">
        <v>46085.834027777775</v>
      </c>
      <c r="X2787" s="72">
        <v>46087.539583333331</v>
      </c>
      <c r="Y2787" s="72">
        <v>46091.791666666664</v>
      </c>
      <c r="Z2787" s="104" t="s">
        <v>382</v>
      </c>
      <c r="AA2787" s="104" t="s">
        <v>408</v>
      </c>
      <c r="AB2787" s="105">
        <v>46089.215277777781</v>
      </c>
      <c r="AC2787" s="105">
        <v>46089.309027777781</v>
      </c>
    </row>
    <row r="2788" s="70" customFormat="1" ht="11.25" customHeight="1">
      <c r="A2788" s="87"/>
      <c r="C2788" s="43" t="s">
        <v>4610</v>
      </c>
      <c r="D2788" s="71" t="s">
        <v>382</v>
      </c>
      <c r="E2788" s="71" t="str">
        <f>MID(D2788,1,2)</f>
        <v>IL</v>
      </c>
      <c r="F2788" s="71" t="s">
        <v>405</v>
      </c>
      <c r="G2788" s="71" t="str">
        <f>MID(F2788,1,2)</f>
        <v>CA</v>
      </c>
      <c r="H2788" s="43" t="s">
        <v>4611</v>
      </c>
      <c r="I2788" s="71" t="s">
        <v>4612</v>
      </c>
      <c r="J2788" s="71" t="s">
        <v>435</v>
      </c>
      <c r="K2788" s="43"/>
      <c r="L2788" s="71" t="s">
        <v>105</v>
      </c>
      <c r="M2788" s="73">
        <v>206</v>
      </c>
      <c r="N2788" s="71" t="s">
        <v>388</v>
      </c>
      <c r="O2788" s="73">
        <v>0.701</v>
      </c>
      <c r="P2788" s="71" t="s">
        <v>389</v>
      </c>
      <c r="Q2788" s="73">
        <v>206</v>
      </c>
      <c r="R2788" s="71" t="s">
        <v>388</v>
      </c>
      <c r="S2788" s="73">
        <v>0</v>
      </c>
      <c r="T2788" s="71" t="s">
        <v>390</v>
      </c>
      <c r="U2788" s="74">
        <v>1</v>
      </c>
      <c r="V2788" s="71" t="s">
        <v>391</v>
      </c>
      <c r="W2788" s="130">
        <v>46085.834027777775</v>
      </c>
      <c r="X2788" s="72">
        <v>46087.539583333331</v>
      </c>
      <c r="Y2788" s="72">
        <v>46091.791666666664</v>
      </c>
      <c r="Z2788" s="104" t="s">
        <v>408</v>
      </c>
      <c r="AA2788" s="104" t="s">
        <v>405</v>
      </c>
      <c r="AB2788" s="105">
        <v>46091.54791666667</v>
      </c>
      <c r="AC2788" s="105">
        <v>46091.740972222222</v>
      </c>
    </row>
    <row r="2789" s="70" customFormat="1" ht="11.25" customHeight="1">
      <c r="A2789" s="87"/>
      <c r="C2789" s="43" t="s">
        <v>4613</v>
      </c>
      <c r="D2789" s="71" t="s">
        <v>382</v>
      </c>
      <c r="E2789" s="71" t="str">
        <f>MID(D2789,1,2)</f>
        <v>IL</v>
      </c>
      <c r="F2789" s="71" t="s">
        <v>383</v>
      </c>
      <c r="G2789" s="71" t="str">
        <f>MID(F2789,1,2)</f>
        <v>DE</v>
      </c>
      <c r="H2789" s="43" t="s">
        <v>4614</v>
      </c>
      <c r="I2789" s="71"/>
      <c r="J2789" s="71" t="s">
        <v>435</v>
      </c>
      <c r="K2789" s="43"/>
      <c r="L2789" s="71" t="s">
        <v>105</v>
      </c>
      <c r="M2789" s="73">
        <v>120</v>
      </c>
      <c r="N2789" s="71" t="s">
        <v>388</v>
      </c>
      <c r="O2789" s="73">
        <v>1.442</v>
      </c>
      <c r="P2789" s="71" t="s">
        <v>389</v>
      </c>
      <c r="Q2789" s="73">
        <v>240.5</v>
      </c>
      <c r="R2789" s="71" t="s">
        <v>388</v>
      </c>
      <c r="S2789" s="73">
        <v>0</v>
      </c>
      <c r="T2789" s="71" t="s">
        <v>390</v>
      </c>
      <c r="U2789" s="74">
        <v>1</v>
      </c>
      <c r="V2789" s="71" t="s">
        <v>391</v>
      </c>
      <c r="W2789" s="130">
        <v>46086.32708333333</v>
      </c>
      <c r="X2789" s="72">
        <v>46091</v>
      </c>
      <c r="Y2789" s="72">
        <v>46091.443055555559</v>
      </c>
      <c r="Z2789" s="104" t="s">
        <v>382</v>
      </c>
      <c r="AA2789" s="104" t="s">
        <v>383</v>
      </c>
      <c r="AB2789" s="105">
        <v>46091.292361111111</v>
      </c>
      <c r="AC2789" s="105">
        <v>46091.435416666667</v>
      </c>
    </row>
    <row r="2790" s="70" customFormat="1" ht="11.25" customHeight="1">
      <c r="A2790" s="87"/>
      <c r="C2790" s="43" t="s">
        <v>4615</v>
      </c>
      <c r="D2790" s="71" t="s">
        <v>382</v>
      </c>
      <c r="E2790" s="71" t="str">
        <f>MID(D2790,1,2)</f>
        <v>IL</v>
      </c>
      <c r="F2790" s="71" t="s">
        <v>480</v>
      </c>
      <c r="G2790" s="71" t="str">
        <f>MID(F2790,1,2)</f>
        <v>CA</v>
      </c>
      <c r="H2790" s="43" t="s">
        <v>4616</v>
      </c>
      <c r="I2790" s="71" t="s">
        <v>4617</v>
      </c>
      <c r="J2790" s="71" t="s">
        <v>386</v>
      </c>
      <c r="K2790" s="43"/>
      <c r="L2790" s="71" t="s">
        <v>107</v>
      </c>
      <c r="M2790" s="73">
        <v>444</v>
      </c>
      <c r="N2790" s="71" t="s">
        <v>388</v>
      </c>
      <c r="O2790" s="73">
        <v>4.883</v>
      </c>
      <c r="P2790" s="71" t="s">
        <v>389</v>
      </c>
      <c r="Q2790" s="73">
        <v>814</v>
      </c>
      <c r="R2790" s="71" t="s">
        <v>388</v>
      </c>
      <c r="S2790" s="73">
        <v>0</v>
      </c>
      <c r="T2790" s="71" t="s">
        <v>390</v>
      </c>
      <c r="U2790" s="74">
        <v>4</v>
      </c>
      <c r="V2790" s="71" t="s">
        <v>417</v>
      </c>
      <c r="W2790" s="130">
        <v>46086.4375</v>
      </c>
      <c r="X2790" s="72">
        <v>46091.708333333336</v>
      </c>
      <c r="Y2790" s="72">
        <v>46097.6875</v>
      </c>
      <c r="Z2790" s="104" t="s">
        <v>1102</v>
      </c>
      <c r="AA2790" s="104" t="s">
        <v>1103</v>
      </c>
      <c r="AB2790" s="105"/>
      <c r="AC2790" s="105"/>
    </row>
    <row r="2791" s="70" customFormat="1" ht="11.25" customHeight="1">
      <c r="A2791" s="87"/>
      <c r="C2791" s="43" t="s">
        <v>4615</v>
      </c>
      <c r="D2791" s="71" t="s">
        <v>382</v>
      </c>
      <c r="E2791" s="71" t="str">
        <f>MID(D2791,1,2)</f>
        <v>IL</v>
      </c>
      <c r="F2791" s="71" t="s">
        <v>480</v>
      </c>
      <c r="G2791" s="71" t="str">
        <f>MID(F2791,1,2)</f>
        <v>CA</v>
      </c>
      <c r="H2791" s="43" t="s">
        <v>4616</v>
      </c>
      <c r="I2791" s="71" t="s">
        <v>4617</v>
      </c>
      <c r="J2791" s="71" t="s">
        <v>386</v>
      </c>
      <c r="K2791" s="43"/>
      <c r="L2791" s="71" t="s">
        <v>107</v>
      </c>
      <c r="M2791" s="73">
        <v>444</v>
      </c>
      <c r="N2791" s="71" t="s">
        <v>388</v>
      </c>
      <c r="O2791" s="73">
        <v>4.883</v>
      </c>
      <c r="P2791" s="71" t="s">
        <v>389</v>
      </c>
      <c r="Q2791" s="73">
        <v>814</v>
      </c>
      <c r="R2791" s="71" t="s">
        <v>388</v>
      </c>
      <c r="S2791" s="73">
        <v>0</v>
      </c>
      <c r="T2791" s="71" t="s">
        <v>390</v>
      </c>
      <c r="U2791" s="74">
        <v>4</v>
      </c>
      <c r="V2791" s="71" t="s">
        <v>417</v>
      </c>
      <c r="W2791" s="130">
        <v>46086.4375</v>
      </c>
      <c r="X2791" s="72">
        <v>46091.708333333336</v>
      </c>
      <c r="Y2791" s="72">
        <v>46097.6875</v>
      </c>
      <c r="Z2791" s="104" t="s">
        <v>382</v>
      </c>
      <c r="AA2791" s="104" t="s">
        <v>408</v>
      </c>
      <c r="AB2791" s="105">
        <v>46091.788194444445</v>
      </c>
      <c r="AC2791" s="105">
        <v>46091.802083333336</v>
      </c>
    </row>
    <row r="2792" s="70" customFormat="1" ht="11.25" customHeight="1">
      <c r="A2792" s="87"/>
      <c r="C2792" s="43" t="s">
        <v>4615</v>
      </c>
      <c r="D2792" s="71" t="s">
        <v>382</v>
      </c>
      <c r="E2792" s="71" t="str">
        <f>MID(D2792,1,2)</f>
        <v>IL</v>
      </c>
      <c r="F2792" s="71" t="s">
        <v>480</v>
      </c>
      <c r="G2792" s="71" t="str">
        <f>MID(F2792,1,2)</f>
        <v>CA</v>
      </c>
      <c r="H2792" s="43" t="s">
        <v>4616</v>
      </c>
      <c r="I2792" s="71" t="s">
        <v>4617</v>
      </c>
      <c r="J2792" s="71" t="s">
        <v>386</v>
      </c>
      <c r="K2792" s="43"/>
      <c r="L2792" s="71" t="s">
        <v>107</v>
      </c>
      <c r="M2792" s="73">
        <v>444</v>
      </c>
      <c r="N2792" s="71" t="s">
        <v>388</v>
      </c>
      <c r="O2792" s="73">
        <v>4.883</v>
      </c>
      <c r="P2792" s="71" t="s">
        <v>389</v>
      </c>
      <c r="Q2792" s="73">
        <v>814</v>
      </c>
      <c r="R2792" s="71" t="s">
        <v>388</v>
      </c>
      <c r="S2792" s="73">
        <v>0</v>
      </c>
      <c r="T2792" s="71" t="s">
        <v>390</v>
      </c>
      <c r="U2792" s="74">
        <v>4</v>
      </c>
      <c r="V2792" s="71" t="s">
        <v>417</v>
      </c>
      <c r="W2792" s="130">
        <v>46086.4375</v>
      </c>
      <c r="X2792" s="72">
        <v>46091.708333333336</v>
      </c>
      <c r="Y2792" s="72">
        <v>46097.6875</v>
      </c>
      <c r="Z2792" s="104" t="s">
        <v>408</v>
      </c>
      <c r="AA2792" s="104" t="s">
        <v>480</v>
      </c>
      <c r="AB2792" s="105">
        <v>46094.461805555555</v>
      </c>
      <c r="AC2792" s="105">
        <v>46094.62777777778</v>
      </c>
    </row>
    <row r="2793" s="70" customFormat="1" ht="11.25" customHeight="1">
      <c r="A2793" s="87"/>
      <c r="C2793" s="43" t="s">
        <v>4618</v>
      </c>
      <c r="D2793" s="71" t="s">
        <v>382</v>
      </c>
      <c r="E2793" s="71" t="str">
        <f>MID(D2793,1,2)</f>
        <v>IL</v>
      </c>
      <c r="F2793" s="71" t="s">
        <v>405</v>
      </c>
      <c r="G2793" s="71" t="str">
        <f>MID(F2793,1,2)</f>
        <v>CA</v>
      </c>
      <c r="H2793" s="43" t="s">
        <v>4619</v>
      </c>
      <c r="I2793" s="71" t="s">
        <v>4620</v>
      </c>
      <c r="J2793" s="71" t="s">
        <v>386</v>
      </c>
      <c r="K2793" s="43"/>
      <c r="L2793" s="71" t="s">
        <v>107</v>
      </c>
      <c r="M2793" s="73">
        <v>29</v>
      </c>
      <c r="N2793" s="71" t="s">
        <v>388</v>
      </c>
      <c r="O2793" s="73">
        <v>0.376</v>
      </c>
      <c r="P2793" s="71" t="s">
        <v>389</v>
      </c>
      <c r="Q2793" s="73">
        <v>100</v>
      </c>
      <c r="R2793" s="71" t="s">
        <v>388</v>
      </c>
      <c r="S2793" s="73">
        <v>0</v>
      </c>
      <c r="T2793" s="71" t="s">
        <v>390</v>
      </c>
      <c r="U2793" s="74">
        <v>1</v>
      </c>
      <c r="V2793" s="71" t="s">
        <v>417</v>
      </c>
      <c r="W2793" s="130">
        <v>46086.4375</v>
      </c>
      <c r="X2793" s="72">
        <v>46089.543055555558</v>
      </c>
      <c r="Y2793" s="72">
        <v>46091.916666666664</v>
      </c>
      <c r="Z2793" s="104" t="s">
        <v>382</v>
      </c>
      <c r="AA2793" s="104" t="s">
        <v>408</v>
      </c>
      <c r="AB2793" s="105">
        <v>46089.215277777781</v>
      </c>
      <c r="AC2793" s="105">
        <v>46089.309027777781</v>
      </c>
    </row>
    <row r="2794" s="70" customFormat="1" ht="11.25" customHeight="1">
      <c r="A2794" s="87"/>
      <c r="C2794" s="43" t="s">
        <v>4618</v>
      </c>
      <c r="D2794" s="71" t="s">
        <v>382</v>
      </c>
      <c r="E2794" s="71" t="str">
        <f>MID(D2794,1,2)</f>
        <v>IL</v>
      </c>
      <c r="F2794" s="71" t="s">
        <v>405</v>
      </c>
      <c r="G2794" s="71" t="str">
        <f>MID(F2794,1,2)</f>
        <v>CA</v>
      </c>
      <c r="H2794" s="43" t="s">
        <v>4619</v>
      </c>
      <c r="I2794" s="71" t="s">
        <v>4620</v>
      </c>
      <c r="J2794" s="71" t="s">
        <v>386</v>
      </c>
      <c r="K2794" s="43"/>
      <c r="L2794" s="71" t="s">
        <v>107</v>
      </c>
      <c r="M2794" s="73">
        <v>29</v>
      </c>
      <c r="N2794" s="71" t="s">
        <v>388</v>
      </c>
      <c r="O2794" s="73">
        <v>0.376</v>
      </c>
      <c r="P2794" s="71" t="s">
        <v>389</v>
      </c>
      <c r="Q2794" s="73">
        <v>100</v>
      </c>
      <c r="R2794" s="71" t="s">
        <v>388</v>
      </c>
      <c r="S2794" s="73">
        <v>0</v>
      </c>
      <c r="T2794" s="71" t="s">
        <v>390</v>
      </c>
      <c r="U2794" s="74">
        <v>1</v>
      </c>
      <c r="V2794" s="71" t="s">
        <v>417</v>
      </c>
      <c r="W2794" s="130">
        <v>46086.4375</v>
      </c>
      <c r="X2794" s="72">
        <v>46089.543055555558</v>
      </c>
      <c r="Y2794" s="72">
        <v>46091.916666666664</v>
      </c>
      <c r="Z2794" s="104" t="s">
        <v>408</v>
      </c>
      <c r="AA2794" s="104" t="s">
        <v>405</v>
      </c>
      <c r="AB2794" s="105">
        <v>46091.54791666667</v>
      </c>
      <c r="AC2794" s="105">
        <v>46091.740972222222</v>
      </c>
    </row>
    <row r="2795" s="70" customFormat="1" ht="11.25" customHeight="1">
      <c r="A2795" s="87"/>
      <c r="C2795" s="43" t="s">
        <v>4621</v>
      </c>
      <c r="D2795" s="71" t="s">
        <v>382</v>
      </c>
      <c r="E2795" s="71" t="str">
        <f>MID(D2795,1,2)</f>
        <v>IL</v>
      </c>
      <c r="F2795" s="71" t="s">
        <v>414</v>
      </c>
      <c r="G2795" s="71" t="str">
        <f>MID(F2795,1,2)</f>
        <v>US</v>
      </c>
      <c r="H2795" s="43" t="s">
        <v>4414</v>
      </c>
      <c r="I2795" s="71" t="s">
        <v>4622</v>
      </c>
      <c r="J2795" s="71" t="s">
        <v>386</v>
      </c>
      <c r="K2795" s="43" t="s">
        <v>759</v>
      </c>
      <c r="L2795" s="71" t="s">
        <v>107</v>
      </c>
      <c r="M2795" s="73">
        <v>2</v>
      </c>
      <c r="N2795" s="71" t="s">
        <v>388</v>
      </c>
      <c r="O2795" s="73">
        <v>0.022</v>
      </c>
      <c r="P2795" s="71" t="s">
        <v>389</v>
      </c>
      <c r="Q2795" s="73">
        <v>4</v>
      </c>
      <c r="R2795" s="71" t="s">
        <v>388</v>
      </c>
      <c r="S2795" s="73">
        <v>0</v>
      </c>
      <c r="T2795" s="71" t="s">
        <v>390</v>
      </c>
      <c r="U2795" s="74">
        <v>1</v>
      </c>
      <c r="V2795" s="71" t="s">
        <v>427</v>
      </c>
      <c r="W2795" s="130">
        <v>46086.913229166668</v>
      </c>
      <c r="X2795" s="72">
        <v>46088.25</v>
      </c>
      <c r="Y2795" s="72">
        <v>46092.197916666664</v>
      </c>
      <c r="Z2795" s="104" t="s">
        <v>382</v>
      </c>
      <c r="AA2795" s="104" t="s">
        <v>414</v>
      </c>
      <c r="AB2795" s="105">
        <v>46088.38958333333</v>
      </c>
      <c r="AC2795" s="105">
        <v>46092.333333333336</v>
      </c>
    </row>
    <row r="2796" s="70" customFormat="1" ht="11.25" customHeight="1">
      <c r="A2796" s="87"/>
      <c r="C2796" s="43" t="s">
        <v>4623</v>
      </c>
      <c r="D2796" s="71" t="s">
        <v>382</v>
      </c>
      <c r="E2796" s="71" t="str">
        <f>MID(D2796,1,2)</f>
        <v>IL</v>
      </c>
      <c r="F2796" s="71" t="s">
        <v>414</v>
      </c>
      <c r="G2796" s="71" t="str">
        <f>MID(F2796,1,2)</f>
        <v>US</v>
      </c>
      <c r="H2796" s="43" t="s">
        <v>4624</v>
      </c>
      <c r="I2796" s="71" t="s">
        <v>4625</v>
      </c>
      <c r="J2796" s="71" t="s">
        <v>386</v>
      </c>
      <c r="K2796" s="43" t="s">
        <v>431</v>
      </c>
      <c r="L2796" s="71" t="s">
        <v>107</v>
      </c>
      <c r="M2796" s="73">
        <v>140</v>
      </c>
      <c r="N2796" s="71" t="s">
        <v>388</v>
      </c>
      <c r="O2796" s="73">
        <v>0.629</v>
      </c>
      <c r="P2796" s="71" t="s">
        <v>389</v>
      </c>
      <c r="Q2796" s="73">
        <v>140</v>
      </c>
      <c r="R2796" s="71" t="s">
        <v>388</v>
      </c>
      <c r="S2796" s="73">
        <v>0</v>
      </c>
      <c r="T2796" s="71" t="s">
        <v>390</v>
      </c>
      <c r="U2796" s="74">
        <v>1</v>
      </c>
      <c r="V2796" s="71" t="s">
        <v>391</v>
      </c>
      <c r="W2796" s="130">
        <v>46086.430555555555</v>
      </c>
      <c r="X2796" s="72">
        <v>46088.25</v>
      </c>
      <c r="Y2796" s="72">
        <v>46088.447916666664</v>
      </c>
      <c r="Z2796" s="104" t="s">
        <v>382</v>
      </c>
      <c r="AA2796" s="104" t="s">
        <v>414</v>
      </c>
      <c r="AB2796" s="105">
        <v>46088.38958333333</v>
      </c>
      <c r="AC2796" s="105">
        <v>46088.58125</v>
      </c>
    </row>
    <row r="2797" s="70" customFormat="1" ht="11.25" customHeight="1">
      <c r="A2797" s="87"/>
      <c r="C2797" s="43" t="s">
        <v>4626</v>
      </c>
      <c r="D2797" s="71" t="s">
        <v>382</v>
      </c>
      <c r="E2797" s="71" t="str">
        <f>MID(D2797,1,2)</f>
        <v>IL</v>
      </c>
      <c r="F2797" s="71" t="s">
        <v>963</v>
      </c>
      <c r="G2797" s="71" t="str">
        <f>MID(F2797,1,2)</f>
        <v>IN</v>
      </c>
      <c r="H2797" s="43" t="s">
        <v>4120</v>
      </c>
      <c r="I2797" s="71" t="s">
        <v>4627</v>
      </c>
      <c r="J2797" s="71" t="s">
        <v>426</v>
      </c>
      <c r="K2797" s="43"/>
      <c r="L2797" s="71" t="s">
        <v>105</v>
      </c>
      <c r="M2797" s="73">
        <v>93</v>
      </c>
      <c r="N2797" s="71" t="s">
        <v>388</v>
      </c>
      <c r="O2797" s="73">
        <v>1.059</v>
      </c>
      <c r="P2797" s="71" t="s">
        <v>389</v>
      </c>
      <c r="Q2797" s="73">
        <v>176.5</v>
      </c>
      <c r="R2797" s="71" t="s">
        <v>388</v>
      </c>
      <c r="S2797" s="73">
        <v>0</v>
      </c>
      <c r="T2797" s="71" t="s">
        <v>390</v>
      </c>
      <c r="U2797" s="74">
        <v>1</v>
      </c>
      <c r="V2797" s="71" t="s">
        <v>391</v>
      </c>
      <c r="W2797" s="130">
        <v>46091.409722222219</v>
      </c>
      <c r="X2797" s="72">
        <v>46093.371527777781</v>
      </c>
      <c r="Y2797" s="72">
        <v>46100.666666666664</v>
      </c>
      <c r="Z2797" s="104" t="s">
        <v>382</v>
      </c>
      <c r="AA2797" s="104" t="s">
        <v>402</v>
      </c>
      <c r="AB2797" s="105">
        <v>46093.429166666669</v>
      </c>
      <c r="AC2797" s="105">
        <v>46093.841666666667</v>
      </c>
    </row>
    <row r="2798" s="70" customFormat="1" ht="11.25" customHeight="1">
      <c r="A2798" s="87"/>
      <c r="C2798" s="43" t="s">
        <v>4626</v>
      </c>
      <c r="D2798" s="71" t="s">
        <v>382</v>
      </c>
      <c r="E2798" s="71" t="str">
        <f>MID(D2798,1,2)</f>
        <v>IL</v>
      </c>
      <c r="F2798" s="71" t="s">
        <v>963</v>
      </c>
      <c r="G2798" s="71" t="str">
        <f>MID(F2798,1,2)</f>
        <v>IN</v>
      </c>
      <c r="H2798" s="43" t="s">
        <v>4120</v>
      </c>
      <c r="I2798" s="71" t="s">
        <v>4627</v>
      </c>
      <c r="J2798" s="71" t="s">
        <v>426</v>
      </c>
      <c r="K2798" s="43"/>
      <c r="L2798" s="71" t="s">
        <v>105</v>
      </c>
      <c r="M2798" s="73">
        <v>93</v>
      </c>
      <c r="N2798" s="71" t="s">
        <v>388</v>
      </c>
      <c r="O2798" s="73">
        <v>1.059</v>
      </c>
      <c r="P2798" s="71" t="s">
        <v>389</v>
      </c>
      <c r="Q2798" s="73">
        <v>176.5</v>
      </c>
      <c r="R2798" s="71" t="s">
        <v>388</v>
      </c>
      <c r="S2798" s="73">
        <v>0</v>
      </c>
      <c r="T2798" s="71" t="s">
        <v>390</v>
      </c>
      <c r="U2798" s="74">
        <v>1</v>
      </c>
      <c r="V2798" s="71" t="s">
        <v>391</v>
      </c>
      <c r="W2798" s="130">
        <v>46091.409722222219</v>
      </c>
      <c r="X2798" s="72">
        <v>46093.371527777781</v>
      </c>
      <c r="Y2798" s="72">
        <v>46100.666666666664</v>
      </c>
      <c r="Z2798" s="104" t="s">
        <v>402</v>
      </c>
      <c r="AA2798" s="104" t="s">
        <v>809</v>
      </c>
      <c r="AB2798" s="105">
        <v>46093.888194444444</v>
      </c>
      <c r="AC2798" s="105">
        <v>46093.842361111114</v>
      </c>
    </row>
    <row r="2799" s="70" customFormat="1" ht="11.25" customHeight="1">
      <c r="A2799" s="87"/>
      <c r="C2799" s="43" t="s">
        <v>4626</v>
      </c>
      <c r="D2799" s="71" t="s">
        <v>382</v>
      </c>
      <c r="E2799" s="71" t="str">
        <f>MID(D2799,1,2)</f>
        <v>IL</v>
      </c>
      <c r="F2799" s="71" t="s">
        <v>963</v>
      </c>
      <c r="G2799" s="71" t="str">
        <f>MID(F2799,1,2)</f>
        <v>IN</v>
      </c>
      <c r="H2799" s="43" t="s">
        <v>4120</v>
      </c>
      <c r="I2799" s="71" t="s">
        <v>4627</v>
      </c>
      <c r="J2799" s="71" t="s">
        <v>426</v>
      </c>
      <c r="K2799" s="43"/>
      <c r="L2799" s="71" t="s">
        <v>105</v>
      </c>
      <c r="M2799" s="73">
        <v>93</v>
      </c>
      <c r="N2799" s="71" t="s">
        <v>388</v>
      </c>
      <c r="O2799" s="73">
        <v>1.059</v>
      </c>
      <c r="P2799" s="71" t="s">
        <v>389</v>
      </c>
      <c r="Q2799" s="73">
        <v>176.5</v>
      </c>
      <c r="R2799" s="71" t="s">
        <v>388</v>
      </c>
      <c r="S2799" s="73">
        <v>0</v>
      </c>
      <c r="T2799" s="71" t="s">
        <v>390</v>
      </c>
      <c r="U2799" s="74">
        <v>1</v>
      </c>
      <c r="V2799" s="71" t="s">
        <v>391</v>
      </c>
      <c r="W2799" s="130">
        <v>46091.409722222219</v>
      </c>
      <c r="X2799" s="72">
        <v>46093.371527777781</v>
      </c>
      <c r="Y2799" s="72">
        <v>46100.666666666664</v>
      </c>
      <c r="Z2799" s="104" t="s">
        <v>809</v>
      </c>
      <c r="AA2799" s="104" t="s">
        <v>963</v>
      </c>
      <c r="AB2799" s="105">
        <v>46098.365972222222</v>
      </c>
      <c r="AC2799" s="105">
        <v>46100.365972222222</v>
      </c>
    </row>
    <row r="2800" s="70" customFormat="1" ht="11.25" customHeight="1">
      <c r="A2800" s="87"/>
      <c r="C2800" s="43" t="s">
        <v>4628</v>
      </c>
      <c r="D2800" s="71" t="s">
        <v>382</v>
      </c>
      <c r="E2800" s="71" t="str">
        <f>MID(D2800,1,2)</f>
        <v>IL</v>
      </c>
      <c r="F2800" s="71" t="s">
        <v>383</v>
      </c>
      <c r="G2800" s="71" t="str">
        <f>MID(F2800,1,2)</f>
        <v>DE</v>
      </c>
      <c r="H2800" s="43" t="s">
        <v>3495</v>
      </c>
      <c r="I2800" s="71" t="s">
        <v>4629</v>
      </c>
      <c r="J2800" s="71" t="s">
        <v>386</v>
      </c>
      <c r="K2800" s="43"/>
      <c r="L2800" s="71" t="s">
        <v>107</v>
      </c>
      <c r="M2800" s="73">
        <v>44</v>
      </c>
      <c r="N2800" s="71" t="s">
        <v>388</v>
      </c>
      <c r="O2800" s="73">
        <v>0.328</v>
      </c>
      <c r="P2800" s="71" t="s">
        <v>389</v>
      </c>
      <c r="Q2800" s="73">
        <v>55</v>
      </c>
      <c r="R2800" s="71" t="s">
        <v>388</v>
      </c>
      <c r="S2800" s="73">
        <v>0</v>
      </c>
      <c r="T2800" s="71" t="s">
        <v>390</v>
      </c>
      <c r="U2800" s="74">
        <v>1</v>
      </c>
      <c r="V2800" s="71" t="s">
        <v>391</v>
      </c>
      <c r="W2800" s="130">
        <v>46090.395833333336</v>
      </c>
      <c r="X2800" s="72">
        <v>46092.496527777781</v>
      </c>
      <c r="Y2800" s="72">
        <v>46104.25</v>
      </c>
      <c r="Z2800" s="104" t="s">
        <v>383</v>
      </c>
      <c r="AA2800" s="104" t="s">
        <v>667</v>
      </c>
      <c r="AB2800" s="105"/>
      <c r="AC2800" s="105"/>
    </row>
    <row r="2801" s="70" customFormat="1" ht="11.25" customHeight="1">
      <c r="A2801" s="87"/>
      <c r="C2801" s="43" t="s">
        <v>4628</v>
      </c>
      <c r="D2801" s="71" t="s">
        <v>382</v>
      </c>
      <c r="E2801" s="71" t="str">
        <f>MID(D2801,1,2)</f>
        <v>IL</v>
      </c>
      <c r="F2801" s="71" t="s">
        <v>383</v>
      </c>
      <c r="G2801" s="71" t="str">
        <f>MID(F2801,1,2)</f>
        <v>DE</v>
      </c>
      <c r="H2801" s="43" t="s">
        <v>3495</v>
      </c>
      <c r="I2801" s="71" t="s">
        <v>4629</v>
      </c>
      <c r="J2801" s="71" t="s">
        <v>386</v>
      </c>
      <c r="K2801" s="43"/>
      <c r="L2801" s="71" t="s">
        <v>107</v>
      </c>
      <c r="M2801" s="73">
        <v>44</v>
      </c>
      <c r="N2801" s="71" t="s">
        <v>388</v>
      </c>
      <c r="O2801" s="73">
        <v>0.328</v>
      </c>
      <c r="P2801" s="71" t="s">
        <v>389</v>
      </c>
      <c r="Q2801" s="73">
        <v>55</v>
      </c>
      <c r="R2801" s="71" t="s">
        <v>388</v>
      </c>
      <c r="S2801" s="73">
        <v>0</v>
      </c>
      <c r="T2801" s="71" t="s">
        <v>390</v>
      </c>
      <c r="U2801" s="74">
        <v>1</v>
      </c>
      <c r="V2801" s="71" t="s">
        <v>391</v>
      </c>
      <c r="W2801" s="130">
        <v>46090.395833333336</v>
      </c>
      <c r="X2801" s="72">
        <v>46092.496527777781</v>
      </c>
      <c r="Y2801" s="72">
        <v>46104.25</v>
      </c>
      <c r="Z2801" s="104" t="s">
        <v>382</v>
      </c>
      <c r="AA2801" s="104" t="s">
        <v>383</v>
      </c>
      <c r="AB2801" s="105">
        <v>46100.42291666667</v>
      </c>
      <c r="AC2801" s="105">
        <v>46100.552777777775</v>
      </c>
    </row>
    <row r="2802" s="70" customFormat="1" ht="11.25" customHeight="1">
      <c r="A2802" s="87"/>
      <c r="C2802" s="43" t="s">
        <v>4630</v>
      </c>
      <c r="D2802" s="71" t="s">
        <v>382</v>
      </c>
      <c r="E2802" s="71" t="str">
        <f>MID(D2802,1,2)</f>
        <v>IL</v>
      </c>
      <c r="F2802" s="71" t="s">
        <v>414</v>
      </c>
      <c r="G2802" s="71" t="str">
        <f>MID(F2802,1,2)</f>
        <v>US</v>
      </c>
      <c r="H2802" s="43" t="s">
        <v>2791</v>
      </c>
      <c r="I2802" s="71" t="s">
        <v>4631</v>
      </c>
      <c r="J2802" s="71" t="s">
        <v>386</v>
      </c>
      <c r="K2802" s="43"/>
      <c r="L2802" s="71" t="s">
        <v>107</v>
      </c>
      <c r="M2802" s="73">
        <v>15</v>
      </c>
      <c r="N2802" s="71" t="s">
        <v>388</v>
      </c>
      <c r="O2802" s="73">
        <v>0.414</v>
      </c>
      <c r="P2802" s="71" t="s">
        <v>389</v>
      </c>
      <c r="Q2802" s="73">
        <v>69</v>
      </c>
      <c r="R2802" s="71" t="s">
        <v>388</v>
      </c>
      <c r="S2802" s="73">
        <v>0</v>
      </c>
      <c r="T2802" s="71" t="s">
        <v>390</v>
      </c>
      <c r="U2802" s="74">
        <v>1</v>
      </c>
      <c r="V2802" s="71" t="s">
        <v>391</v>
      </c>
      <c r="W2802" s="130">
        <v>46089.668391203704</v>
      </c>
      <c r="X2802" s="72">
        <v>46091.229166666664</v>
      </c>
      <c r="Y2802" s="72">
        <v>46096.291666666664</v>
      </c>
      <c r="Z2802" s="104" t="s">
        <v>382</v>
      </c>
      <c r="AA2802" s="104" t="s">
        <v>414</v>
      </c>
      <c r="AB2802" s="105">
        <v>46091.945833333331</v>
      </c>
      <c r="AC2802" s="105">
        <v>46092.136111111111</v>
      </c>
    </row>
    <row r="2803" s="70" customFormat="1" ht="11.25" customHeight="1">
      <c r="A2803" s="87"/>
      <c r="C2803" s="43" t="s">
        <v>4632</v>
      </c>
      <c r="D2803" s="71" t="s">
        <v>382</v>
      </c>
      <c r="E2803" s="71" t="str">
        <f>MID(D2803,1,2)</f>
        <v>IL</v>
      </c>
      <c r="F2803" s="71" t="s">
        <v>414</v>
      </c>
      <c r="G2803" s="71" t="str">
        <f>MID(F2803,1,2)</f>
        <v>US</v>
      </c>
      <c r="H2803" s="43" t="s">
        <v>4414</v>
      </c>
      <c r="I2803" s="71" t="s">
        <v>4633</v>
      </c>
      <c r="J2803" s="71" t="s">
        <v>386</v>
      </c>
      <c r="K2803" s="43" t="s">
        <v>759</v>
      </c>
      <c r="L2803" s="71" t="s">
        <v>107</v>
      </c>
      <c r="M2803" s="73">
        <v>353</v>
      </c>
      <c r="N2803" s="71" t="s">
        <v>388</v>
      </c>
      <c r="O2803" s="73">
        <v>4.223</v>
      </c>
      <c r="P2803" s="71" t="s">
        <v>389</v>
      </c>
      <c r="Q2803" s="73">
        <v>704</v>
      </c>
      <c r="R2803" s="71" t="s">
        <v>388</v>
      </c>
      <c r="S2803" s="73">
        <v>0</v>
      </c>
      <c r="T2803" s="71" t="s">
        <v>390</v>
      </c>
      <c r="U2803" s="74">
        <v>1</v>
      </c>
      <c r="V2803" s="71" t="s">
        <v>391</v>
      </c>
      <c r="W2803" s="130">
        <v>46086.445138888892</v>
      </c>
      <c r="X2803" s="72">
        <v>46088.25</v>
      </c>
      <c r="Y2803" s="72">
        <v>46092.197916666664</v>
      </c>
      <c r="Z2803" s="104" t="s">
        <v>382</v>
      </c>
      <c r="AA2803" s="104" t="s">
        <v>414</v>
      </c>
      <c r="AB2803" s="105">
        <v>46088.38958333333</v>
      </c>
      <c r="AC2803" s="105">
        <v>46092.333333333336</v>
      </c>
    </row>
    <row r="2804" s="70" customFormat="1" ht="11.25" customHeight="1">
      <c r="A2804" s="87"/>
      <c r="C2804" s="43" t="s">
        <v>4634</v>
      </c>
      <c r="D2804" s="71" t="s">
        <v>382</v>
      </c>
      <c r="E2804" s="71" t="str">
        <f>MID(D2804,1,2)</f>
        <v>IL</v>
      </c>
      <c r="F2804" s="71" t="s">
        <v>471</v>
      </c>
      <c r="G2804" s="71" t="str">
        <f>MID(F2804,1,2)</f>
        <v>US</v>
      </c>
      <c r="H2804" s="43" t="s">
        <v>4343</v>
      </c>
      <c r="I2804" s="71" t="s">
        <v>4635</v>
      </c>
      <c r="J2804" s="71" t="s">
        <v>386</v>
      </c>
      <c r="K2804" s="43"/>
      <c r="L2804" s="71" t="s">
        <v>107</v>
      </c>
      <c r="M2804" s="73">
        <v>878</v>
      </c>
      <c r="N2804" s="71" t="s">
        <v>388</v>
      </c>
      <c r="O2804" s="73">
        <v>3.487</v>
      </c>
      <c r="P2804" s="71" t="s">
        <v>389</v>
      </c>
      <c r="Q2804" s="73">
        <v>878</v>
      </c>
      <c r="R2804" s="71" t="s">
        <v>388</v>
      </c>
      <c r="S2804" s="73">
        <v>0</v>
      </c>
      <c r="T2804" s="71" t="s">
        <v>390</v>
      </c>
      <c r="U2804" s="74">
        <v>6</v>
      </c>
      <c r="V2804" s="71" t="s">
        <v>391</v>
      </c>
      <c r="W2804" s="130">
        <v>46086.646527777775</v>
      </c>
      <c r="X2804" s="72">
        <v>46089.401388888888</v>
      </c>
      <c r="Y2804" s="72">
        <v>46103.25</v>
      </c>
      <c r="Z2804" s="104" t="s">
        <v>382</v>
      </c>
      <c r="AA2804" s="104" t="s">
        <v>471</v>
      </c>
      <c r="AB2804" s="105">
        <v>46098.508333333331</v>
      </c>
      <c r="AC2804" s="105">
        <v>46098.666666666664</v>
      </c>
    </row>
    <row r="2805" s="70" customFormat="1" ht="11.25" customHeight="1">
      <c r="A2805" s="87"/>
      <c r="C2805" s="43" t="s">
        <v>4636</v>
      </c>
      <c r="D2805" s="71" t="s">
        <v>382</v>
      </c>
      <c r="E2805" s="71" t="str">
        <f>MID(D2805,1,2)</f>
        <v>IL</v>
      </c>
      <c r="F2805" s="71" t="s">
        <v>480</v>
      </c>
      <c r="G2805" s="71" t="str">
        <f>MID(F2805,1,2)</f>
        <v>CA</v>
      </c>
      <c r="H2805" s="43" t="s">
        <v>4637</v>
      </c>
      <c r="I2805" s="71" t="s">
        <v>4638</v>
      </c>
      <c r="J2805" s="71" t="s">
        <v>386</v>
      </c>
      <c r="K2805" s="43"/>
      <c r="L2805" s="71" t="s">
        <v>107</v>
      </c>
      <c r="M2805" s="73">
        <v>445</v>
      </c>
      <c r="N2805" s="71" t="s">
        <v>388</v>
      </c>
      <c r="O2805" s="73">
        <v>0.471</v>
      </c>
      <c r="P2805" s="71" t="s">
        <v>389</v>
      </c>
      <c r="Q2805" s="73">
        <v>445</v>
      </c>
      <c r="R2805" s="71" t="s">
        <v>388</v>
      </c>
      <c r="S2805" s="73">
        <v>0</v>
      </c>
      <c r="T2805" s="71" t="s">
        <v>390</v>
      </c>
      <c r="U2805" s="74">
        <v>4</v>
      </c>
      <c r="V2805" s="71" t="s">
        <v>417</v>
      </c>
      <c r="W2805" s="130">
        <v>46086.500694444447</v>
      </c>
      <c r="X2805" s="72">
        <v>46097.5</v>
      </c>
      <c r="Y2805" s="72">
        <v>46103.479166666664</v>
      </c>
      <c r="Z2805" s="104" t="s">
        <v>382</v>
      </c>
      <c r="AA2805" s="104" t="s">
        <v>471</v>
      </c>
      <c r="AB2805" s="105">
        <v>46098.474305555559</v>
      </c>
      <c r="AC2805" s="105">
        <v>46098.625</v>
      </c>
    </row>
    <row r="2806" s="70" customFormat="1" ht="11.25" customHeight="1">
      <c r="A2806" s="87"/>
      <c r="C2806" s="43" t="s">
        <v>4636</v>
      </c>
      <c r="D2806" s="71" t="s">
        <v>382</v>
      </c>
      <c r="E2806" s="71" t="str">
        <f>MID(D2806,1,2)</f>
        <v>IL</v>
      </c>
      <c r="F2806" s="71" t="s">
        <v>480</v>
      </c>
      <c r="G2806" s="71" t="str">
        <f>MID(F2806,1,2)</f>
        <v>CA</v>
      </c>
      <c r="H2806" s="43" t="s">
        <v>4637</v>
      </c>
      <c r="I2806" s="71" t="s">
        <v>4638</v>
      </c>
      <c r="J2806" s="71" t="s">
        <v>386</v>
      </c>
      <c r="K2806" s="43"/>
      <c r="L2806" s="71" t="s">
        <v>107</v>
      </c>
      <c r="M2806" s="73">
        <v>445</v>
      </c>
      <c r="N2806" s="71" t="s">
        <v>388</v>
      </c>
      <c r="O2806" s="73">
        <v>0.471</v>
      </c>
      <c r="P2806" s="71" t="s">
        <v>389</v>
      </c>
      <c r="Q2806" s="73">
        <v>445</v>
      </c>
      <c r="R2806" s="71" t="s">
        <v>388</v>
      </c>
      <c r="S2806" s="73">
        <v>0</v>
      </c>
      <c r="T2806" s="71" t="s">
        <v>390</v>
      </c>
      <c r="U2806" s="74">
        <v>4</v>
      </c>
      <c r="V2806" s="71" t="s">
        <v>417</v>
      </c>
      <c r="W2806" s="130">
        <v>46086.500694444447</v>
      </c>
      <c r="X2806" s="72">
        <v>46097.5</v>
      </c>
      <c r="Y2806" s="72">
        <v>46103.479166666664</v>
      </c>
      <c r="Z2806" s="104" t="s">
        <v>471</v>
      </c>
      <c r="AA2806" s="104" t="s">
        <v>480</v>
      </c>
      <c r="AB2806" s="105">
        <v>46100.61875</v>
      </c>
      <c r="AC2806" s="105">
        <v>46102.604166666664</v>
      </c>
    </row>
    <row r="2807" s="70" customFormat="1" ht="11.25" customHeight="1">
      <c r="A2807" s="87"/>
      <c r="C2807" s="43" t="s">
        <v>4639</v>
      </c>
      <c r="D2807" s="71" t="s">
        <v>382</v>
      </c>
      <c r="E2807" s="71" t="str">
        <f>MID(D2807,1,2)</f>
        <v>IL</v>
      </c>
      <c r="F2807" s="71" t="s">
        <v>496</v>
      </c>
      <c r="G2807" s="71" t="str">
        <f>MID(F2807,1,2)</f>
        <v>RO</v>
      </c>
      <c r="H2807" s="43" t="s">
        <v>4320</v>
      </c>
      <c r="I2807" s="71" t="s">
        <v>4640</v>
      </c>
      <c r="J2807" s="71" t="s">
        <v>400</v>
      </c>
      <c r="K2807" s="43"/>
      <c r="L2807" s="71" t="s">
        <v>105</v>
      </c>
      <c r="M2807" s="73">
        <v>4</v>
      </c>
      <c r="N2807" s="71" t="s">
        <v>388</v>
      </c>
      <c r="O2807" s="73">
        <v>0.036</v>
      </c>
      <c r="P2807" s="71" t="s">
        <v>389</v>
      </c>
      <c r="Q2807" s="73">
        <v>6</v>
      </c>
      <c r="R2807" s="71" t="s">
        <v>388</v>
      </c>
      <c r="S2807" s="73">
        <v>0</v>
      </c>
      <c r="T2807" s="71" t="s">
        <v>390</v>
      </c>
      <c r="U2807" s="74">
        <v>1</v>
      </c>
      <c r="V2807" s="71" t="s">
        <v>391</v>
      </c>
      <c r="W2807" s="130">
        <v>46086.459027777775</v>
      </c>
      <c r="X2807" s="72">
        <v>46089.229166666664</v>
      </c>
      <c r="Y2807" s="72">
        <v>46092.416666666664</v>
      </c>
      <c r="Z2807" s="104" t="s">
        <v>408</v>
      </c>
      <c r="AA2807" s="104" t="s">
        <v>496</v>
      </c>
      <c r="AB2807" s="105">
        <v>46092.350694444445</v>
      </c>
      <c r="AC2807" s="105">
        <v>46092.416666666664</v>
      </c>
    </row>
    <row r="2808" s="70" customFormat="1" ht="11.25" customHeight="1">
      <c r="A2808" s="87"/>
      <c r="C2808" s="43" t="s">
        <v>4639</v>
      </c>
      <c r="D2808" s="71" t="s">
        <v>382</v>
      </c>
      <c r="E2808" s="71" t="str">
        <f>MID(D2808,1,2)</f>
        <v>IL</v>
      </c>
      <c r="F2808" s="71" t="s">
        <v>496</v>
      </c>
      <c r="G2808" s="71" t="str">
        <f>MID(F2808,1,2)</f>
        <v>RO</v>
      </c>
      <c r="H2808" s="43" t="s">
        <v>4320</v>
      </c>
      <c r="I2808" s="71" t="s">
        <v>4640</v>
      </c>
      <c r="J2808" s="71" t="s">
        <v>400</v>
      </c>
      <c r="K2808" s="43"/>
      <c r="L2808" s="71" t="s">
        <v>105</v>
      </c>
      <c r="M2808" s="73">
        <v>4</v>
      </c>
      <c r="N2808" s="71" t="s">
        <v>388</v>
      </c>
      <c r="O2808" s="73">
        <v>0.036</v>
      </c>
      <c r="P2808" s="71" t="s">
        <v>389</v>
      </c>
      <c r="Q2808" s="73">
        <v>6</v>
      </c>
      <c r="R2808" s="71" t="s">
        <v>388</v>
      </c>
      <c r="S2808" s="73">
        <v>0</v>
      </c>
      <c r="T2808" s="71" t="s">
        <v>390</v>
      </c>
      <c r="U2808" s="74">
        <v>1</v>
      </c>
      <c r="V2808" s="71" t="s">
        <v>391</v>
      </c>
      <c r="W2808" s="130">
        <v>46086.459027777775</v>
      </c>
      <c r="X2808" s="72">
        <v>46089.229166666664</v>
      </c>
      <c r="Y2808" s="72">
        <v>46092.416666666664</v>
      </c>
      <c r="Z2808" s="104" t="s">
        <v>382</v>
      </c>
      <c r="AA2808" s="104" t="s">
        <v>408</v>
      </c>
      <c r="AB2808" s="105">
        <v>46089.215277777781</v>
      </c>
      <c r="AC2808" s="105">
        <v>46090.083333333336</v>
      </c>
    </row>
    <row r="2809" s="70" customFormat="1" ht="11.25" customHeight="1">
      <c r="A2809" s="87"/>
      <c r="C2809" s="43" t="s">
        <v>4641</v>
      </c>
      <c r="D2809" s="71" t="s">
        <v>382</v>
      </c>
      <c r="E2809" s="71" t="str">
        <f>MID(D2809,1,2)</f>
        <v>IL</v>
      </c>
      <c r="F2809" s="71" t="s">
        <v>414</v>
      </c>
      <c r="G2809" s="71" t="str">
        <f>MID(F2809,1,2)</f>
        <v>US</v>
      </c>
      <c r="H2809" s="43" t="s">
        <v>2791</v>
      </c>
      <c r="I2809" s="71" t="s">
        <v>4642</v>
      </c>
      <c r="J2809" s="71" t="s">
        <v>386</v>
      </c>
      <c r="K2809" s="43"/>
      <c r="L2809" s="71" t="s">
        <v>107</v>
      </c>
      <c r="M2809" s="73">
        <v>45</v>
      </c>
      <c r="N2809" s="71" t="s">
        <v>388</v>
      </c>
      <c r="O2809" s="73">
        <v>0.836</v>
      </c>
      <c r="P2809" s="71" t="s">
        <v>389</v>
      </c>
      <c r="Q2809" s="73">
        <v>139.5</v>
      </c>
      <c r="R2809" s="71" t="s">
        <v>388</v>
      </c>
      <c r="S2809" s="73">
        <v>0</v>
      </c>
      <c r="T2809" s="71" t="s">
        <v>390</v>
      </c>
      <c r="U2809" s="74">
        <v>1</v>
      </c>
      <c r="V2809" s="71" t="s">
        <v>391</v>
      </c>
      <c r="W2809" s="130">
        <v>46086.465277777781</v>
      </c>
      <c r="X2809" s="72">
        <v>46091.229166666664</v>
      </c>
      <c r="Y2809" s="72">
        <v>46096.291666666664</v>
      </c>
      <c r="Z2809" s="104" t="s">
        <v>382</v>
      </c>
      <c r="AA2809" s="104" t="s">
        <v>414</v>
      </c>
      <c r="AB2809" s="105">
        <v>46091.945833333331</v>
      </c>
      <c r="AC2809" s="105">
        <v>46092.136111111111</v>
      </c>
    </row>
    <row r="2810" s="70" customFormat="1" ht="11.25" customHeight="1">
      <c r="A2810" s="87"/>
      <c r="C2810" s="43" t="s">
        <v>4643</v>
      </c>
      <c r="D2810" s="71" t="s">
        <v>382</v>
      </c>
      <c r="E2810" s="71" t="str">
        <f>MID(D2810,1,2)</f>
        <v>IL</v>
      </c>
      <c r="F2810" s="71" t="s">
        <v>496</v>
      </c>
      <c r="G2810" s="71" t="str">
        <f>MID(F2810,1,2)</f>
        <v>RO</v>
      </c>
      <c r="H2810" s="43" t="s">
        <v>4320</v>
      </c>
      <c r="I2810" s="71" t="s">
        <v>4644</v>
      </c>
      <c r="J2810" s="71" t="s">
        <v>400</v>
      </c>
      <c r="K2810" s="43"/>
      <c r="L2810" s="71" t="s">
        <v>105</v>
      </c>
      <c r="M2810" s="73">
        <v>1</v>
      </c>
      <c r="N2810" s="71" t="s">
        <v>388</v>
      </c>
      <c r="O2810" s="73">
        <v>0.036</v>
      </c>
      <c r="P2810" s="71" t="s">
        <v>389</v>
      </c>
      <c r="Q2810" s="73">
        <v>6</v>
      </c>
      <c r="R2810" s="71" t="s">
        <v>388</v>
      </c>
      <c r="S2810" s="73">
        <v>0</v>
      </c>
      <c r="T2810" s="71" t="s">
        <v>390</v>
      </c>
      <c r="U2810" s="74">
        <v>1</v>
      </c>
      <c r="V2810" s="71" t="s">
        <v>391</v>
      </c>
      <c r="W2810" s="130">
        <v>46086.611805555556</v>
      </c>
      <c r="X2810" s="72">
        <v>46089.229166666664</v>
      </c>
      <c r="Y2810" s="72">
        <v>46092.416666666664</v>
      </c>
      <c r="Z2810" s="104" t="s">
        <v>408</v>
      </c>
      <c r="AA2810" s="104" t="s">
        <v>496</v>
      </c>
      <c r="AB2810" s="105">
        <v>46092.350694444445</v>
      </c>
      <c r="AC2810" s="105">
        <v>46092.416666666664</v>
      </c>
    </row>
    <row r="2811" s="70" customFormat="1" ht="11.25" customHeight="1">
      <c r="A2811" s="87"/>
      <c r="C2811" s="43" t="s">
        <v>4643</v>
      </c>
      <c r="D2811" s="71" t="s">
        <v>382</v>
      </c>
      <c r="E2811" s="71" t="str">
        <f>MID(D2811,1,2)</f>
        <v>IL</v>
      </c>
      <c r="F2811" s="71" t="s">
        <v>496</v>
      </c>
      <c r="G2811" s="71" t="str">
        <f>MID(F2811,1,2)</f>
        <v>RO</v>
      </c>
      <c r="H2811" s="43" t="s">
        <v>4320</v>
      </c>
      <c r="I2811" s="71" t="s">
        <v>4644</v>
      </c>
      <c r="J2811" s="71" t="s">
        <v>400</v>
      </c>
      <c r="K2811" s="43"/>
      <c r="L2811" s="71" t="s">
        <v>105</v>
      </c>
      <c r="M2811" s="73">
        <v>1</v>
      </c>
      <c r="N2811" s="71" t="s">
        <v>388</v>
      </c>
      <c r="O2811" s="73">
        <v>0.036</v>
      </c>
      <c r="P2811" s="71" t="s">
        <v>389</v>
      </c>
      <c r="Q2811" s="73">
        <v>6</v>
      </c>
      <c r="R2811" s="71" t="s">
        <v>388</v>
      </c>
      <c r="S2811" s="73">
        <v>0</v>
      </c>
      <c r="T2811" s="71" t="s">
        <v>390</v>
      </c>
      <c r="U2811" s="74">
        <v>1</v>
      </c>
      <c r="V2811" s="71" t="s">
        <v>391</v>
      </c>
      <c r="W2811" s="130">
        <v>46086.611805555556</v>
      </c>
      <c r="X2811" s="72">
        <v>46089.229166666664</v>
      </c>
      <c r="Y2811" s="72">
        <v>46092.416666666664</v>
      </c>
      <c r="Z2811" s="104" t="s">
        <v>382</v>
      </c>
      <c r="AA2811" s="104" t="s">
        <v>408</v>
      </c>
      <c r="AB2811" s="105">
        <v>46089.215277777781</v>
      </c>
      <c r="AC2811" s="105">
        <v>46090.083333333336</v>
      </c>
    </row>
    <row r="2812" s="70" customFormat="1" ht="11.25" customHeight="1">
      <c r="A2812" s="87"/>
      <c r="C2812" s="43" t="s">
        <v>4645</v>
      </c>
      <c r="D2812" s="71" t="s">
        <v>382</v>
      </c>
      <c r="E2812" s="71" t="str">
        <f>MID(D2812,1,2)</f>
        <v>IL</v>
      </c>
      <c r="F2812" s="71" t="s">
        <v>414</v>
      </c>
      <c r="G2812" s="71" t="str">
        <f>MID(F2812,1,2)</f>
        <v>US</v>
      </c>
      <c r="H2812" s="43" t="s">
        <v>2791</v>
      </c>
      <c r="I2812" s="71" t="s">
        <v>4646</v>
      </c>
      <c r="J2812" s="71" t="s">
        <v>386</v>
      </c>
      <c r="K2812" s="43"/>
      <c r="L2812" s="71" t="s">
        <v>107</v>
      </c>
      <c r="M2812" s="73">
        <v>40</v>
      </c>
      <c r="N2812" s="71" t="s">
        <v>388</v>
      </c>
      <c r="O2812" s="73">
        <v>0.768</v>
      </c>
      <c r="P2812" s="71" t="s">
        <v>389</v>
      </c>
      <c r="Q2812" s="73">
        <v>128</v>
      </c>
      <c r="R2812" s="71" t="s">
        <v>388</v>
      </c>
      <c r="S2812" s="73">
        <v>0</v>
      </c>
      <c r="T2812" s="71" t="s">
        <v>390</v>
      </c>
      <c r="U2812" s="74">
        <v>1</v>
      </c>
      <c r="V2812" s="71" t="s">
        <v>391</v>
      </c>
      <c r="W2812" s="130">
        <v>46086.479861111111</v>
      </c>
      <c r="X2812" s="72">
        <v>46091.229166666664</v>
      </c>
      <c r="Y2812" s="72">
        <v>46096.291666666664</v>
      </c>
      <c r="Z2812" s="104" t="s">
        <v>382</v>
      </c>
      <c r="AA2812" s="104" t="s">
        <v>414</v>
      </c>
      <c r="AB2812" s="105">
        <v>46091.945833333331</v>
      </c>
      <c r="AC2812" s="105">
        <v>46092.136111111111</v>
      </c>
    </row>
    <row r="2813" s="70" customFormat="1" ht="11.25" customHeight="1">
      <c r="A2813" s="87"/>
      <c r="C2813" s="43" t="s">
        <v>4647</v>
      </c>
      <c r="D2813" s="71" t="s">
        <v>382</v>
      </c>
      <c r="E2813" s="71" t="str">
        <f>MID(D2813,1,2)</f>
        <v>IL</v>
      </c>
      <c r="F2813" s="71" t="s">
        <v>496</v>
      </c>
      <c r="G2813" s="71" t="str">
        <f>MID(F2813,1,2)</f>
        <v>RO</v>
      </c>
      <c r="H2813" s="43" t="s">
        <v>3999</v>
      </c>
      <c r="I2813" s="71" t="s">
        <v>4648</v>
      </c>
      <c r="J2813" s="71" t="s">
        <v>386</v>
      </c>
      <c r="K2813" s="43"/>
      <c r="L2813" s="71" t="s">
        <v>107</v>
      </c>
      <c r="M2813" s="73">
        <v>7</v>
      </c>
      <c r="N2813" s="71" t="s">
        <v>388</v>
      </c>
      <c r="O2813" s="73">
        <v>0.124</v>
      </c>
      <c r="P2813" s="71" t="s">
        <v>389</v>
      </c>
      <c r="Q2813" s="73">
        <v>21</v>
      </c>
      <c r="R2813" s="71" t="s">
        <v>388</v>
      </c>
      <c r="S2813" s="73">
        <v>0</v>
      </c>
      <c r="T2813" s="71" t="s">
        <v>390</v>
      </c>
      <c r="U2813" s="74">
        <v>3</v>
      </c>
      <c r="V2813" s="71" t="s">
        <v>391</v>
      </c>
      <c r="W2813" s="130">
        <v>46086.912928240738</v>
      </c>
      <c r="X2813" s="72">
        <v>46093</v>
      </c>
      <c r="Y2813" s="72">
        <v>46097.083333333336</v>
      </c>
      <c r="Z2813" s="104" t="s">
        <v>382</v>
      </c>
      <c r="AA2813" s="104" t="s">
        <v>496</v>
      </c>
      <c r="AB2813" s="105">
        <v>46096.452777777777</v>
      </c>
      <c r="AC2813" s="105">
        <v>46096.5625</v>
      </c>
    </row>
    <row r="2814" s="70" customFormat="1" ht="11.25" customHeight="1">
      <c r="A2814" s="87"/>
      <c r="C2814" s="43" t="s">
        <v>4649</v>
      </c>
      <c r="D2814" s="71" t="s">
        <v>382</v>
      </c>
      <c r="E2814" s="71" t="str">
        <f>MID(D2814,1,2)</f>
        <v>IL</v>
      </c>
      <c r="F2814" s="71" t="s">
        <v>471</v>
      </c>
      <c r="G2814" s="71" t="str">
        <f>MID(F2814,1,2)</f>
        <v>US</v>
      </c>
      <c r="H2814" s="43" t="s">
        <v>4343</v>
      </c>
      <c r="I2814" s="71" t="s">
        <v>4650</v>
      </c>
      <c r="J2814" s="71" t="s">
        <v>386</v>
      </c>
      <c r="K2814" s="43"/>
      <c r="L2814" s="71" t="s">
        <v>107</v>
      </c>
      <c r="M2814" s="73">
        <v>203</v>
      </c>
      <c r="N2814" s="71" t="s">
        <v>388</v>
      </c>
      <c r="O2814" s="73">
        <v>0.794</v>
      </c>
      <c r="P2814" s="71" t="s">
        <v>389</v>
      </c>
      <c r="Q2814" s="73">
        <v>203</v>
      </c>
      <c r="R2814" s="71" t="s">
        <v>388</v>
      </c>
      <c r="S2814" s="73">
        <v>0</v>
      </c>
      <c r="T2814" s="71" t="s">
        <v>390</v>
      </c>
      <c r="U2814" s="74">
        <v>2</v>
      </c>
      <c r="V2814" s="71" t="s">
        <v>391</v>
      </c>
      <c r="W2814" s="130">
        <v>46086.725752314815</v>
      </c>
      <c r="X2814" s="72">
        <v>46089.401388888888</v>
      </c>
      <c r="Y2814" s="72">
        <v>46103.25</v>
      </c>
      <c r="Z2814" s="104" t="s">
        <v>382</v>
      </c>
      <c r="AA2814" s="104" t="s">
        <v>471</v>
      </c>
      <c r="AB2814" s="105">
        <v>46098.508333333331</v>
      </c>
      <c r="AC2814" s="105">
        <v>46098.666666666664</v>
      </c>
    </row>
    <row r="2815" s="70" customFormat="1" ht="11.25" customHeight="1">
      <c r="A2815" s="87"/>
      <c r="C2815" s="43" t="s">
        <v>4651</v>
      </c>
      <c r="D2815" s="71" t="s">
        <v>382</v>
      </c>
      <c r="E2815" s="71" t="str">
        <f>MID(D2815,1,2)</f>
        <v>IL</v>
      </c>
      <c r="F2815" s="71" t="s">
        <v>414</v>
      </c>
      <c r="G2815" s="71" t="str">
        <f>MID(F2815,1,2)</f>
        <v>US</v>
      </c>
      <c r="H2815" s="43" t="s">
        <v>4414</v>
      </c>
      <c r="I2815" s="71" t="s">
        <v>4652</v>
      </c>
      <c r="J2815" s="71" t="s">
        <v>483</v>
      </c>
      <c r="K2815" s="43"/>
      <c r="L2815" s="71" t="s">
        <v>105</v>
      </c>
      <c r="M2815" s="73">
        <v>2</v>
      </c>
      <c r="N2815" s="71" t="s">
        <v>388</v>
      </c>
      <c r="O2815" s="73">
        <v>0.016</v>
      </c>
      <c r="P2815" s="71" t="s">
        <v>389</v>
      </c>
      <c r="Q2815" s="73">
        <v>3</v>
      </c>
      <c r="R2815" s="71" t="s">
        <v>388</v>
      </c>
      <c r="S2815" s="73">
        <v>0</v>
      </c>
      <c r="T2815" s="71" t="s">
        <v>390</v>
      </c>
      <c r="U2815" s="74">
        <v>1</v>
      </c>
      <c r="V2815" s="71" t="s">
        <v>427</v>
      </c>
      <c r="W2815" s="130">
        <v>46086.500694444447</v>
      </c>
      <c r="X2815" s="72">
        <v>46088.25</v>
      </c>
      <c r="Y2815" s="72">
        <v>46092.197916666664</v>
      </c>
      <c r="Z2815" s="104" t="s">
        <v>382</v>
      </c>
      <c r="AA2815" s="104" t="s">
        <v>414</v>
      </c>
      <c r="AB2815" s="105">
        <v>46088.38958333333</v>
      </c>
      <c r="AC2815" s="105">
        <v>46092.333333333336</v>
      </c>
    </row>
    <row r="2816" s="70" customFormat="1" ht="11.25" customHeight="1">
      <c r="A2816" s="87"/>
      <c r="C2816" s="43" t="s">
        <v>4653</v>
      </c>
      <c r="D2816" s="71" t="s">
        <v>382</v>
      </c>
      <c r="E2816" s="71" t="str">
        <f>MID(D2816,1,2)</f>
        <v>IL</v>
      </c>
      <c r="F2816" s="71" t="s">
        <v>702</v>
      </c>
      <c r="G2816" s="71" t="str">
        <f>MID(F2816,1,2)</f>
        <v>JP</v>
      </c>
      <c r="H2816" s="43" t="s">
        <v>4115</v>
      </c>
      <c r="I2816" s="71" t="s">
        <v>4654</v>
      </c>
      <c r="J2816" s="71" t="s">
        <v>386</v>
      </c>
      <c r="K2816" s="43"/>
      <c r="L2816" s="71" t="s">
        <v>107</v>
      </c>
      <c r="M2816" s="73">
        <v>21</v>
      </c>
      <c r="N2816" s="71" t="s">
        <v>388</v>
      </c>
      <c r="O2816" s="73">
        <v>0.178</v>
      </c>
      <c r="P2816" s="71" t="s">
        <v>389</v>
      </c>
      <c r="Q2816" s="73">
        <v>30</v>
      </c>
      <c r="R2816" s="71" t="s">
        <v>388</v>
      </c>
      <c r="S2816" s="73">
        <v>0</v>
      </c>
      <c r="T2816" s="71" t="s">
        <v>390</v>
      </c>
      <c r="U2816" s="74">
        <v>3</v>
      </c>
      <c r="V2816" s="71" t="s">
        <v>391</v>
      </c>
      <c r="W2816" s="130">
        <v>46089.68125</v>
      </c>
      <c r="X2816" s="72">
        <v>46091.25</v>
      </c>
      <c r="Y2816" s="72">
        <v>46095.270833333336</v>
      </c>
      <c r="Z2816" s="104" t="s">
        <v>382</v>
      </c>
      <c r="AA2816" s="104" t="s">
        <v>383</v>
      </c>
      <c r="AB2816" s="105">
        <v>46091.299305555556</v>
      </c>
      <c r="AC2816" s="105">
        <v>46091.435416666667</v>
      </c>
    </row>
    <row r="2817" s="70" customFormat="1" ht="11.25" customHeight="1">
      <c r="A2817" s="87"/>
      <c r="C2817" s="43" t="s">
        <v>4653</v>
      </c>
      <c r="D2817" s="71" t="s">
        <v>382</v>
      </c>
      <c r="E2817" s="71" t="str">
        <f>MID(D2817,1,2)</f>
        <v>IL</v>
      </c>
      <c r="F2817" s="71" t="s">
        <v>702</v>
      </c>
      <c r="G2817" s="71" t="str">
        <f>MID(F2817,1,2)</f>
        <v>JP</v>
      </c>
      <c r="H2817" s="43" t="s">
        <v>4115</v>
      </c>
      <c r="I2817" s="71" t="s">
        <v>4654</v>
      </c>
      <c r="J2817" s="71" t="s">
        <v>386</v>
      </c>
      <c r="K2817" s="43"/>
      <c r="L2817" s="71" t="s">
        <v>107</v>
      </c>
      <c r="M2817" s="73">
        <v>21</v>
      </c>
      <c r="N2817" s="71" t="s">
        <v>388</v>
      </c>
      <c r="O2817" s="73">
        <v>0.178</v>
      </c>
      <c r="P2817" s="71" t="s">
        <v>389</v>
      </c>
      <c r="Q2817" s="73">
        <v>30</v>
      </c>
      <c r="R2817" s="71" t="s">
        <v>388</v>
      </c>
      <c r="S2817" s="73">
        <v>0</v>
      </c>
      <c r="T2817" s="71" t="s">
        <v>390</v>
      </c>
      <c r="U2817" s="74">
        <v>3</v>
      </c>
      <c r="V2817" s="71" t="s">
        <v>391</v>
      </c>
      <c r="W2817" s="130">
        <v>46089.68125</v>
      </c>
      <c r="X2817" s="72">
        <v>46091.25</v>
      </c>
      <c r="Y2817" s="72">
        <v>46095.270833333336</v>
      </c>
      <c r="Z2817" s="104" t="s">
        <v>383</v>
      </c>
      <c r="AA2817" s="104" t="s">
        <v>403</v>
      </c>
      <c r="AB2817" s="105">
        <v>46093.503472222219</v>
      </c>
      <c r="AC2817" s="105">
        <v>46094.292361111111</v>
      </c>
    </row>
    <row r="2818" s="70" customFormat="1" ht="11.25" customHeight="1">
      <c r="A2818" s="87"/>
      <c r="C2818" s="43" t="s">
        <v>4653</v>
      </c>
      <c r="D2818" s="71" t="s">
        <v>382</v>
      </c>
      <c r="E2818" s="71" t="str">
        <f>MID(D2818,1,2)</f>
        <v>IL</v>
      </c>
      <c r="F2818" s="71" t="s">
        <v>702</v>
      </c>
      <c r="G2818" s="71" t="str">
        <f>MID(F2818,1,2)</f>
        <v>JP</v>
      </c>
      <c r="H2818" s="43" t="s">
        <v>4115</v>
      </c>
      <c r="I2818" s="71" t="s">
        <v>4654</v>
      </c>
      <c r="J2818" s="71" t="s">
        <v>386</v>
      </c>
      <c r="K2818" s="43"/>
      <c r="L2818" s="71" t="s">
        <v>107</v>
      </c>
      <c r="M2818" s="73">
        <v>21</v>
      </c>
      <c r="N2818" s="71" t="s">
        <v>388</v>
      </c>
      <c r="O2818" s="73">
        <v>0.178</v>
      </c>
      <c r="P2818" s="71" t="s">
        <v>389</v>
      </c>
      <c r="Q2818" s="73">
        <v>30</v>
      </c>
      <c r="R2818" s="71" t="s">
        <v>388</v>
      </c>
      <c r="S2818" s="73">
        <v>0</v>
      </c>
      <c r="T2818" s="71" t="s">
        <v>390</v>
      </c>
      <c r="U2818" s="74">
        <v>3</v>
      </c>
      <c r="V2818" s="71" t="s">
        <v>391</v>
      </c>
      <c r="W2818" s="130">
        <v>46089.68125</v>
      </c>
      <c r="X2818" s="72">
        <v>46091.25</v>
      </c>
      <c r="Y2818" s="72">
        <v>46095.270833333336</v>
      </c>
      <c r="Z2818" s="104" t="s">
        <v>403</v>
      </c>
      <c r="AA2818" s="104" t="s">
        <v>702</v>
      </c>
      <c r="AB2818" s="105">
        <v>46095.05972222222</v>
      </c>
      <c r="AC2818" s="105">
        <v>46095.270138888889</v>
      </c>
    </row>
    <row r="2819" s="70" customFormat="1" ht="11.25" customHeight="1">
      <c r="A2819" s="87"/>
      <c r="C2819" s="43" t="s">
        <v>4655</v>
      </c>
      <c r="D2819" s="71" t="s">
        <v>382</v>
      </c>
      <c r="E2819" s="71" t="str">
        <f>MID(D2819,1,2)</f>
        <v>IL</v>
      </c>
      <c r="F2819" s="71" t="s">
        <v>414</v>
      </c>
      <c r="G2819" s="71" t="str">
        <f>MID(F2819,1,2)</f>
        <v>US</v>
      </c>
      <c r="H2819" s="43" t="s">
        <v>4187</v>
      </c>
      <c r="I2819" s="71" t="s">
        <v>4656</v>
      </c>
      <c r="J2819" s="71" t="s">
        <v>400</v>
      </c>
      <c r="K2819" s="43"/>
      <c r="L2819" s="71" t="s">
        <v>105</v>
      </c>
      <c r="M2819" s="73">
        <v>104</v>
      </c>
      <c r="N2819" s="71" t="s">
        <v>388</v>
      </c>
      <c r="O2819" s="73">
        <v>0.48</v>
      </c>
      <c r="P2819" s="71" t="s">
        <v>389</v>
      </c>
      <c r="Q2819" s="73">
        <v>104</v>
      </c>
      <c r="R2819" s="71" t="s">
        <v>388</v>
      </c>
      <c r="S2819" s="73">
        <v>0</v>
      </c>
      <c r="T2819" s="71" t="s">
        <v>390</v>
      </c>
      <c r="U2819" s="74">
        <v>1</v>
      </c>
      <c r="V2819" s="71" t="s">
        <v>391</v>
      </c>
      <c r="W2819" s="130">
        <v>46086.507638888892</v>
      </c>
      <c r="X2819" s="72">
        <v>46091.875</v>
      </c>
      <c r="Y2819" s="72">
        <v>46094.458333333336</v>
      </c>
      <c r="Z2819" s="104" t="s">
        <v>382</v>
      </c>
      <c r="AA2819" s="104" t="s">
        <v>414</v>
      </c>
      <c r="AB2819" s="105">
        <v>46091.955555555556</v>
      </c>
      <c r="AC2819" s="105">
        <v>46094.475</v>
      </c>
    </row>
    <row r="2820" s="70" customFormat="1" ht="11.25" customHeight="1">
      <c r="A2820" s="87"/>
      <c r="C2820" s="43" t="s">
        <v>4657</v>
      </c>
      <c r="D2820" s="71" t="s">
        <v>382</v>
      </c>
      <c r="E2820" s="71" t="str">
        <f>MID(D2820,1,2)</f>
        <v>IL</v>
      </c>
      <c r="F2820" s="71" t="s">
        <v>443</v>
      </c>
      <c r="G2820" s="71" t="str">
        <f>MID(F2820,1,2)</f>
        <v>US</v>
      </c>
      <c r="H2820" s="43" t="s">
        <v>4570</v>
      </c>
      <c r="I2820" s="71" t="s">
        <v>4658</v>
      </c>
      <c r="J2820" s="71" t="s">
        <v>386</v>
      </c>
      <c r="K2820" s="43"/>
      <c r="L2820" s="71" t="s">
        <v>107</v>
      </c>
      <c r="M2820" s="73">
        <v>156</v>
      </c>
      <c r="N2820" s="71" t="s">
        <v>388</v>
      </c>
      <c r="O2820" s="73">
        <v>1.8</v>
      </c>
      <c r="P2820" s="71" t="s">
        <v>389</v>
      </c>
      <c r="Q2820" s="73">
        <v>300</v>
      </c>
      <c r="R2820" s="71" t="s">
        <v>388</v>
      </c>
      <c r="S2820" s="73">
        <v>0</v>
      </c>
      <c r="T2820" s="71" t="s">
        <v>390</v>
      </c>
      <c r="U2820" s="74">
        <v>2</v>
      </c>
      <c r="V2820" s="71" t="s">
        <v>536</v>
      </c>
      <c r="W2820" s="130">
        <v>46086.991666666669</v>
      </c>
      <c r="X2820" s="72">
        <v>46091.229166666664</v>
      </c>
      <c r="Y2820" s="72">
        <v>46097.375</v>
      </c>
      <c r="Z2820" s="104" t="s">
        <v>382</v>
      </c>
      <c r="AA2820" s="104" t="s">
        <v>414</v>
      </c>
      <c r="AB2820" s="105">
        <v>46091.945833333331</v>
      </c>
      <c r="AC2820" s="105">
        <v>46092.136111111111</v>
      </c>
    </row>
    <row r="2821" s="70" customFormat="1" ht="11.25" customHeight="1">
      <c r="A2821" s="87"/>
      <c r="C2821" s="43" t="s">
        <v>4657</v>
      </c>
      <c r="D2821" s="71" t="s">
        <v>382</v>
      </c>
      <c r="E2821" s="71" t="str">
        <f>MID(D2821,1,2)</f>
        <v>IL</v>
      </c>
      <c r="F2821" s="71" t="s">
        <v>443</v>
      </c>
      <c r="G2821" s="71" t="str">
        <f>MID(F2821,1,2)</f>
        <v>US</v>
      </c>
      <c r="H2821" s="43" t="s">
        <v>4570</v>
      </c>
      <c r="I2821" s="71" t="s">
        <v>4658</v>
      </c>
      <c r="J2821" s="71" t="s">
        <v>386</v>
      </c>
      <c r="K2821" s="43"/>
      <c r="L2821" s="71" t="s">
        <v>107</v>
      </c>
      <c r="M2821" s="73">
        <v>156</v>
      </c>
      <c r="N2821" s="71" t="s">
        <v>388</v>
      </c>
      <c r="O2821" s="73">
        <v>1.8</v>
      </c>
      <c r="P2821" s="71" t="s">
        <v>389</v>
      </c>
      <c r="Q2821" s="73">
        <v>300</v>
      </c>
      <c r="R2821" s="71" t="s">
        <v>388</v>
      </c>
      <c r="S2821" s="73">
        <v>0</v>
      </c>
      <c r="T2821" s="71" t="s">
        <v>390</v>
      </c>
      <c r="U2821" s="74">
        <v>2</v>
      </c>
      <c r="V2821" s="71" t="s">
        <v>536</v>
      </c>
      <c r="W2821" s="130">
        <v>46086.991666666669</v>
      </c>
      <c r="X2821" s="72">
        <v>46091.229166666664</v>
      </c>
      <c r="Y2821" s="72">
        <v>46097.375</v>
      </c>
      <c r="Z2821" s="104" t="s">
        <v>414</v>
      </c>
      <c r="AA2821" s="104" t="s">
        <v>443</v>
      </c>
      <c r="AB2821" s="105">
        <v>46092.806944444441</v>
      </c>
      <c r="AC2821" s="105">
        <v>46097.375</v>
      </c>
    </row>
    <row r="2822" s="70" customFormat="1" ht="11.25" customHeight="1">
      <c r="A2822" s="87"/>
      <c r="C2822" s="43" t="s">
        <v>4659</v>
      </c>
      <c r="D2822" s="71" t="s">
        <v>382</v>
      </c>
      <c r="E2822" s="71" t="str">
        <f>MID(D2822,1,2)</f>
        <v>IL</v>
      </c>
      <c r="F2822" s="71" t="s">
        <v>414</v>
      </c>
      <c r="G2822" s="71" t="str">
        <f>MID(F2822,1,2)</f>
        <v>US</v>
      </c>
      <c r="H2822" s="43" t="s">
        <v>4414</v>
      </c>
      <c r="I2822" s="71" t="s">
        <v>4660</v>
      </c>
      <c r="J2822" s="71" t="s">
        <v>386</v>
      </c>
      <c r="K2822" s="43"/>
      <c r="L2822" s="71" t="s">
        <v>107</v>
      </c>
      <c r="M2822" s="73">
        <v>10</v>
      </c>
      <c r="N2822" s="71" t="s">
        <v>388</v>
      </c>
      <c r="O2822" s="73">
        <v>0.048</v>
      </c>
      <c r="P2822" s="71" t="s">
        <v>389</v>
      </c>
      <c r="Q2822" s="73">
        <v>10</v>
      </c>
      <c r="R2822" s="71" t="s">
        <v>388</v>
      </c>
      <c r="S2822" s="73">
        <v>0</v>
      </c>
      <c r="T2822" s="71" t="s">
        <v>390</v>
      </c>
      <c r="U2822" s="74">
        <v>1</v>
      </c>
      <c r="V2822" s="71" t="s">
        <v>427</v>
      </c>
      <c r="W2822" s="130">
        <v>46086.920185185183</v>
      </c>
      <c r="X2822" s="72">
        <v>46088.25</v>
      </c>
      <c r="Y2822" s="72">
        <v>46092.197916666664</v>
      </c>
      <c r="Z2822" s="104" t="s">
        <v>382</v>
      </c>
      <c r="AA2822" s="104" t="s">
        <v>414</v>
      </c>
      <c r="AB2822" s="105">
        <v>46088.38958333333</v>
      </c>
      <c r="AC2822" s="105">
        <v>46092.333333333336</v>
      </c>
    </row>
    <row r="2823" s="70" customFormat="1" ht="11.25" customHeight="1">
      <c r="A2823" s="87"/>
      <c r="C2823" s="43" t="s">
        <v>4661</v>
      </c>
      <c r="D2823" s="71" t="s">
        <v>382</v>
      </c>
      <c r="E2823" s="71" t="str">
        <f>MID(D2823,1,2)</f>
        <v>IL</v>
      </c>
      <c r="F2823" s="71" t="s">
        <v>443</v>
      </c>
      <c r="G2823" s="71" t="str">
        <f>MID(F2823,1,2)</f>
        <v>US</v>
      </c>
      <c r="H2823" s="43" t="s">
        <v>4570</v>
      </c>
      <c r="I2823" s="71" t="s">
        <v>4662</v>
      </c>
      <c r="J2823" s="71" t="s">
        <v>386</v>
      </c>
      <c r="K2823" s="43"/>
      <c r="L2823" s="71" t="s">
        <v>107</v>
      </c>
      <c r="M2823" s="73">
        <v>74</v>
      </c>
      <c r="N2823" s="71" t="s">
        <v>388</v>
      </c>
      <c r="O2823" s="73">
        <v>0.9</v>
      </c>
      <c r="P2823" s="71" t="s">
        <v>389</v>
      </c>
      <c r="Q2823" s="73">
        <v>150</v>
      </c>
      <c r="R2823" s="71" t="s">
        <v>388</v>
      </c>
      <c r="S2823" s="73">
        <v>0</v>
      </c>
      <c r="T2823" s="71" t="s">
        <v>390</v>
      </c>
      <c r="U2823" s="74">
        <v>1</v>
      </c>
      <c r="V2823" s="71" t="s">
        <v>536</v>
      </c>
      <c r="W2823" s="130">
        <v>46086.52847222222</v>
      </c>
      <c r="X2823" s="72">
        <v>46091.229166666664</v>
      </c>
      <c r="Y2823" s="72">
        <v>46097.375</v>
      </c>
      <c r="Z2823" s="104" t="s">
        <v>382</v>
      </c>
      <c r="AA2823" s="104" t="s">
        <v>414</v>
      </c>
      <c r="AB2823" s="105">
        <v>46091.945833333331</v>
      </c>
      <c r="AC2823" s="105">
        <v>46092.136111111111</v>
      </c>
    </row>
    <row r="2824" s="70" customFormat="1" ht="11.25" customHeight="1">
      <c r="A2824" s="87"/>
      <c r="C2824" s="43" t="s">
        <v>4661</v>
      </c>
      <c r="D2824" s="71" t="s">
        <v>382</v>
      </c>
      <c r="E2824" s="71" t="str">
        <f>MID(D2824,1,2)</f>
        <v>IL</v>
      </c>
      <c r="F2824" s="71" t="s">
        <v>443</v>
      </c>
      <c r="G2824" s="71" t="str">
        <f>MID(F2824,1,2)</f>
        <v>US</v>
      </c>
      <c r="H2824" s="43" t="s">
        <v>4570</v>
      </c>
      <c r="I2824" s="71" t="s">
        <v>4662</v>
      </c>
      <c r="J2824" s="71" t="s">
        <v>386</v>
      </c>
      <c r="K2824" s="43"/>
      <c r="L2824" s="71" t="s">
        <v>107</v>
      </c>
      <c r="M2824" s="73">
        <v>74</v>
      </c>
      <c r="N2824" s="71" t="s">
        <v>388</v>
      </c>
      <c r="O2824" s="73">
        <v>0.9</v>
      </c>
      <c r="P2824" s="71" t="s">
        <v>389</v>
      </c>
      <c r="Q2824" s="73">
        <v>150</v>
      </c>
      <c r="R2824" s="71" t="s">
        <v>388</v>
      </c>
      <c r="S2824" s="73">
        <v>0</v>
      </c>
      <c r="T2824" s="71" t="s">
        <v>390</v>
      </c>
      <c r="U2824" s="74">
        <v>1</v>
      </c>
      <c r="V2824" s="71" t="s">
        <v>536</v>
      </c>
      <c r="W2824" s="130">
        <v>46086.52847222222</v>
      </c>
      <c r="X2824" s="72">
        <v>46091.229166666664</v>
      </c>
      <c r="Y2824" s="72">
        <v>46097.375</v>
      </c>
      <c r="Z2824" s="104" t="s">
        <v>414</v>
      </c>
      <c r="AA2824" s="104" t="s">
        <v>443</v>
      </c>
      <c r="AB2824" s="105">
        <v>46092.806944444441</v>
      </c>
      <c r="AC2824" s="105">
        <v>46097.375</v>
      </c>
    </row>
    <row r="2825" s="70" customFormat="1" ht="11.25" customHeight="1">
      <c r="A2825" s="87"/>
      <c r="C2825" s="43" t="s">
        <v>4663</v>
      </c>
      <c r="D2825" s="71" t="s">
        <v>382</v>
      </c>
      <c r="E2825" s="71" t="str">
        <f>MID(D2825,1,2)</f>
        <v>IL</v>
      </c>
      <c r="F2825" s="71" t="s">
        <v>383</v>
      </c>
      <c r="G2825" s="71" t="str">
        <f>MID(F2825,1,2)</f>
        <v>DE</v>
      </c>
      <c r="H2825" s="43" t="s">
        <v>3495</v>
      </c>
      <c r="I2825" s="71" t="s">
        <v>4664</v>
      </c>
      <c r="J2825" s="71" t="s">
        <v>426</v>
      </c>
      <c r="K2825" s="43"/>
      <c r="L2825" s="71" t="s">
        <v>105</v>
      </c>
      <c r="M2825" s="73">
        <v>144</v>
      </c>
      <c r="N2825" s="71" t="s">
        <v>388</v>
      </c>
      <c r="O2825" s="73">
        <v>0.432</v>
      </c>
      <c r="P2825" s="71" t="s">
        <v>389</v>
      </c>
      <c r="Q2825" s="73">
        <v>144</v>
      </c>
      <c r="R2825" s="71" t="s">
        <v>388</v>
      </c>
      <c r="S2825" s="73">
        <v>0</v>
      </c>
      <c r="T2825" s="71" t="s">
        <v>390</v>
      </c>
      <c r="U2825" s="74">
        <v>1</v>
      </c>
      <c r="V2825" s="71" t="s">
        <v>391</v>
      </c>
      <c r="W2825" s="130">
        <v>46086.55625</v>
      </c>
      <c r="X2825" s="72">
        <v>46090.253472222219</v>
      </c>
      <c r="Y2825" s="72">
        <v>46100.496527777781</v>
      </c>
      <c r="Z2825" s="104" t="s">
        <v>382</v>
      </c>
      <c r="AA2825" s="104" t="s">
        <v>383</v>
      </c>
      <c r="AB2825" s="105">
        <v>46100.42291666667</v>
      </c>
      <c r="AC2825" s="105">
        <v>46100.552777777775</v>
      </c>
    </row>
    <row r="2826" s="70" customFormat="1" ht="11.25" customHeight="1">
      <c r="A2826" s="87"/>
      <c r="C2826" s="43" t="s">
        <v>4665</v>
      </c>
      <c r="D2826" s="71" t="s">
        <v>382</v>
      </c>
      <c r="E2826" s="71" t="str">
        <f>MID(D2826,1,2)</f>
        <v>IL</v>
      </c>
      <c r="F2826" s="71" t="s">
        <v>443</v>
      </c>
      <c r="G2826" s="71" t="str">
        <f>MID(F2826,1,2)</f>
        <v>US</v>
      </c>
      <c r="H2826" s="43" t="s">
        <v>4570</v>
      </c>
      <c r="I2826" s="71" t="s">
        <v>4666</v>
      </c>
      <c r="J2826" s="71" t="s">
        <v>386</v>
      </c>
      <c r="K2826" s="43"/>
      <c r="L2826" s="71" t="s">
        <v>107</v>
      </c>
      <c r="M2826" s="73">
        <v>66</v>
      </c>
      <c r="N2826" s="71" t="s">
        <v>388</v>
      </c>
      <c r="O2826" s="73">
        <v>0.9</v>
      </c>
      <c r="P2826" s="71" t="s">
        <v>389</v>
      </c>
      <c r="Q2826" s="73">
        <v>150</v>
      </c>
      <c r="R2826" s="71" t="s">
        <v>388</v>
      </c>
      <c r="S2826" s="73">
        <v>0</v>
      </c>
      <c r="T2826" s="71" t="s">
        <v>390</v>
      </c>
      <c r="U2826" s="74">
        <v>1</v>
      </c>
      <c r="V2826" s="71" t="s">
        <v>536</v>
      </c>
      <c r="W2826" s="130">
        <v>46086.52847222222</v>
      </c>
      <c r="X2826" s="72">
        <v>46091.229166666664</v>
      </c>
      <c r="Y2826" s="72">
        <v>46097.375</v>
      </c>
      <c r="Z2826" s="104" t="s">
        <v>382</v>
      </c>
      <c r="AA2826" s="104" t="s">
        <v>414</v>
      </c>
      <c r="AB2826" s="105">
        <v>46091.945833333331</v>
      </c>
      <c r="AC2826" s="105">
        <v>46092.136111111111</v>
      </c>
    </row>
    <row r="2827" s="70" customFormat="1" ht="11.25" customHeight="1">
      <c r="A2827" s="87"/>
      <c r="C2827" s="43" t="s">
        <v>4665</v>
      </c>
      <c r="D2827" s="71" t="s">
        <v>382</v>
      </c>
      <c r="E2827" s="71" t="str">
        <f>MID(D2827,1,2)</f>
        <v>IL</v>
      </c>
      <c r="F2827" s="71" t="s">
        <v>443</v>
      </c>
      <c r="G2827" s="71" t="str">
        <f>MID(F2827,1,2)</f>
        <v>US</v>
      </c>
      <c r="H2827" s="43" t="s">
        <v>4570</v>
      </c>
      <c r="I2827" s="71" t="s">
        <v>4666</v>
      </c>
      <c r="J2827" s="71" t="s">
        <v>386</v>
      </c>
      <c r="K2827" s="43"/>
      <c r="L2827" s="71" t="s">
        <v>107</v>
      </c>
      <c r="M2827" s="73">
        <v>66</v>
      </c>
      <c r="N2827" s="71" t="s">
        <v>388</v>
      </c>
      <c r="O2827" s="73">
        <v>0.9</v>
      </c>
      <c r="P2827" s="71" t="s">
        <v>389</v>
      </c>
      <c r="Q2827" s="73">
        <v>150</v>
      </c>
      <c r="R2827" s="71" t="s">
        <v>388</v>
      </c>
      <c r="S2827" s="73">
        <v>0</v>
      </c>
      <c r="T2827" s="71" t="s">
        <v>390</v>
      </c>
      <c r="U2827" s="74">
        <v>1</v>
      </c>
      <c r="V2827" s="71" t="s">
        <v>536</v>
      </c>
      <c r="W2827" s="130">
        <v>46086.52847222222</v>
      </c>
      <c r="X2827" s="72">
        <v>46091.229166666664</v>
      </c>
      <c r="Y2827" s="72">
        <v>46097.375</v>
      </c>
      <c r="Z2827" s="104" t="s">
        <v>414</v>
      </c>
      <c r="AA2827" s="104" t="s">
        <v>443</v>
      </c>
      <c r="AB2827" s="105">
        <v>46092.806944444441</v>
      </c>
      <c r="AC2827" s="105">
        <v>46097.375</v>
      </c>
    </row>
    <row r="2828" s="70" customFormat="1" ht="11.25" customHeight="1">
      <c r="A2828" s="87"/>
      <c r="C2828" s="43" t="s">
        <v>4667</v>
      </c>
      <c r="D2828" s="71" t="s">
        <v>382</v>
      </c>
      <c r="E2828" s="71" t="str">
        <f>MID(D2828,1,2)</f>
        <v>IL</v>
      </c>
      <c r="F2828" s="71" t="s">
        <v>496</v>
      </c>
      <c r="G2828" s="71" t="str">
        <f>MID(F2828,1,2)</f>
        <v>RO</v>
      </c>
      <c r="H2828" s="43" t="s">
        <v>4320</v>
      </c>
      <c r="I2828" s="71" t="s">
        <v>4668</v>
      </c>
      <c r="J2828" s="71" t="s">
        <v>400</v>
      </c>
      <c r="K2828" s="43"/>
      <c r="L2828" s="71" t="s">
        <v>105</v>
      </c>
      <c r="M2828" s="73">
        <v>3</v>
      </c>
      <c r="N2828" s="71" t="s">
        <v>388</v>
      </c>
      <c r="O2828" s="73">
        <v>0.036</v>
      </c>
      <c r="P2828" s="71" t="s">
        <v>389</v>
      </c>
      <c r="Q2828" s="73">
        <v>6</v>
      </c>
      <c r="R2828" s="71" t="s">
        <v>388</v>
      </c>
      <c r="S2828" s="73">
        <v>0</v>
      </c>
      <c r="T2828" s="71" t="s">
        <v>390</v>
      </c>
      <c r="U2828" s="74">
        <v>1</v>
      </c>
      <c r="V2828" s="71" t="s">
        <v>391</v>
      </c>
      <c r="W2828" s="130">
        <v>46086.813194444447</v>
      </c>
      <c r="X2828" s="72">
        <v>46089.229166666664</v>
      </c>
      <c r="Y2828" s="72">
        <v>46092.416666666664</v>
      </c>
      <c r="Z2828" s="104" t="s">
        <v>408</v>
      </c>
      <c r="AA2828" s="104" t="s">
        <v>496</v>
      </c>
      <c r="AB2828" s="105">
        <v>46092.350694444445</v>
      </c>
      <c r="AC2828" s="105">
        <v>46092.416666666664</v>
      </c>
    </row>
    <row r="2829" s="70" customFormat="1" ht="11.25" customHeight="1">
      <c r="A2829" s="87"/>
      <c r="C2829" s="43" t="s">
        <v>4667</v>
      </c>
      <c r="D2829" s="71" t="s">
        <v>382</v>
      </c>
      <c r="E2829" s="71" t="str">
        <f>MID(D2829,1,2)</f>
        <v>IL</v>
      </c>
      <c r="F2829" s="71" t="s">
        <v>496</v>
      </c>
      <c r="G2829" s="71" t="str">
        <f>MID(F2829,1,2)</f>
        <v>RO</v>
      </c>
      <c r="H2829" s="43" t="s">
        <v>4320</v>
      </c>
      <c r="I2829" s="71" t="s">
        <v>4668</v>
      </c>
      <c r="J2829" s="71" t="s">
        <v>400</v>
      </c>
      <c r="K2829" s="43"/>
      <c r="L2829" s="71" t="s">
        <v>105</v>
      </c>
      <c r="M2829" s="73">
        <v>3</v>
      </c>
      <c r="N2829" s="71" t="s">
        <v>388</v>
      </c>
      <c r="O2829" s="73">
        <v>0.036</v>
      </c>
      <c r="P2829" s="71" t="s">
        <v>389</v>
      </c>
      <c r="Q2829" s="73">
        <v>6</v>
      </c>
      <c r="R2829" s="71" t="s">
        <v>388</v>
      </c>
      <c r="S2829" s="73">
        <v>0</v>
      </c>
      <c r="T2829" s="71" t="s">
        <v>390</v>
      </c>
      <c r="U2829" s="74">
        <v>1</v>
      </c>
      <c r="V2829" s="71" t="s">
        <v>391</v>
      </c>
      <c r="W2829" s="130">
        <v>46086.813194444447</v>
      </c>
      <c r="X2829" s="72">
        <v>46089.229166666664</v>
      </c>
      <c r="Y2829" s="72">
        <v>46092.416666666664</v>
      </c>
      <c r="Z2829" s="104" t="s">
        <v>382</v>
      </c>
      <c r="AA2829" s="104" t="s">
        <v>408</v>
      </c>
      <c r="AB2829" s="105">
        <v>46089.215277777781</v>
      </c>
      <c r="AC2829" s="105">
        <v>46090.083333333336</v>
      </c>
    </row>
    <row r="2830" s="70" customFormat="1" ht="11.25" customHeight="1">
      <c r="A2830" s="87"/>
      <c r="C2830" s="43" t="s">
        <v>4669</v>
      </c>
      <c r="D2830" s="71" t="s">
        <v>382</v>
      </c>
      <c r="E2830" s="71" t="str">
        <f>MID(D2830,1,2)</f>
        <v>IL</v>
      </c>
      <c r="F2830" s="71" t="s">
        <v>496</v>
      </c>
      <c r="G2830" s="71" t="str">
        <f>MID(F2830,1,2)</f>
        <v>RO</v>
      </c>
      <c r="H2830" s="43" t="s">
        <v>4320</v>
      </c>
      <c r="I2830" s="71" t="s">
        <v>4670</v>
      </c>
      <c r="J2830" s="71" t="s">
        <v>400</v>
      </c>
      <c r="K2830" s="43"/>
      <c r="L2830" s="71" t="s">
        <v>105</v>
      </c>
      <c r="M2830" s="73">
        <v>6</v>
      </c>
      <c r="N2830" s="71" t="s">
        <v>388</v>
      </c>
      <c r="O2830" s="73">
        <v>0.092</v>
      </c>
      <c r="P2830" s="71" t="s">
        <v>389</v>
      </c>
      <c r="Q2830" s="73">
        <v>15.5</v>
      </c>
      <c r="R2830" s="71" t="s">
        <v>388</v>
      </c>
      <c r="S2830" s="73">
        <v>0</v>
      </c>
      <c r="T2830" s="71" t="s">
        <v>390</v>
      </c>
      <c r="U2830" s="74">
        <v>1</v>
      </c>
      <c r="V2830" s="71" t="s">
        <v>391</v>
      </c>
      <c r="W2830" s="130">
        <v>46086.913472222222</v>
      </c>
      <c r="X2830" s="72">
        <v>46089.229166666664</v>
      </c>
      <c r="Y2830" s="72">
        <v>46092.416666666664</v>
      </c>
      <c r="Z2830" s="104" t="s">
        <v>408</v>
      </c>
      <c r="AA2830" s="104" t="s">
        <v>496</v>
      </c>
      <c r="AB2830" s="105">
        <v>46092.350694444445</v>
      </c>
      <c r="AC2830" s="105">
        <v>46092.416666666664</v>
      </c>
    </row>
    <row r="2831" s="70" customFormat="1" ht="11.25" customHeight="1">
      <c r="A2831" s="87"/>
      <c r="C2831" s="43" t="s">
        <v>4669</v>
      </c>
      <c r="D2831" s="71" t="s">
        <v>382</v>
      </c>
      <c r="E2831" s="71" t="str">
        <f>MID(D2831,1,2)</f>
        <v>IL</v>
      </c>
      <c r="F2831" s="71" t="s">
        <v>496</v>
      </c>
      <c r="G2831" s="71" t="str">
        <f>MID(F2831,1,2)</f>
        <v>RO</v>
      </c>
      <c r="H2831" s="43" t="s">
        <v>4320</v>
      </c>
      <c r="I2831" s="71" t="s">
        <v>4670</v>
      </c>
      <c r="J2831" s="71" t="s">
        <v>400</v>
      </c>
      <c r="K2831" s="43"/>
      <c r="L2831" s="71" t="s">
        <v>105</v>
      </c>
      <c r="M2831" s="73">
        <v>6</v>
      </c>
      <c r="N2831" s="71" t="s">
        <v>388</v>
      </c>
      <c r="O2831" s="73">
        <v>0.092</v>
      </c>
      <c r="P2831" s="71" t="s">
        <v>389</v>
      </c>
      <c r="Q2831" s="73">
        <v>15.5</v>
      </c>
      <c r="R2831" s="71" t="s">
        <v>388</v>
      </c>
      <c r="S2831" s="73">
        <v>0</v>
      </c>
      <c r="T2831" s="71" t="s">
        <v>390</v>
      </c>
      <c r="U2831" s="74">
        <v>1</v>
      </c>
      <c r="V2831" s="71" t="s">
        <v>391</v>
      </c>
      <c r="W2831" s="130">
        <v>46086.913472222222</v>
      </c>
      <c r="X2831" s="72">
        <v>46089.229166666664</v>
      </c>
      <c r="Y2831" s="72">
        <v>46092.416666666664</v>
      </c>
      <c r="Z2831" s="104" t="s">
        <v>382</v>
      </c>
      <c r="AA2831" s="104" t="s">
        <v>408</v>
      </c>
      <c r="AB2831" s="105">
        <v>46089.215277777781</v>
      </c>
      <c r="AC2831" s="105">
        <v>46090.083333333336</v>
      </c>
    </row>
    <row r="2832" s="70" customFormat="1" ht="11.25" customHeight="1">
      <c r="A2832" s="87"/>
      <c r="C2832" s="43" t="s">
        <v>4671</v>
      </c>
      <c r="D2832" s="71" t="s">
        <v>382</v>
      </c>
      <c r="E2832" s="71" t="str">
        <f>MID(D2832,1,2)</f>
        <v>IL</v>
      </c>
      <c r="F2832" s="71" t="s">
        <v>496</v>
      </c>
      <c r="G2832" s="71" t="str">
        <f>MID(F2832,1,2)</f>
        <v>RO</v>
      </c>
      <c r="H2832" s="43" t="s">
        <v>4320</v>
      </c>
      <c r="I2832" s="71" t="s">
        <v>4672</v>
      </c>
      <c r="J2832" s="71" t="s">
        <v>400</v>
      </c>
      <c r="K2832" s="43"/>
      <c r="L2832" s="71" t="s">
        <v>105</v>
      </c>
      <c r="M2832" s="73">
        <v>207</v>
      </c>
      <c r="N2832" s="71" t="s">
        <v>388</v>
      </c>
      <c r="O2832" s="73">
        <v>2.631</v>
      </c>
      <c r="P2832" s="71" t="s">
        <v>389</v>
      </c>
      <c r="Q2832" s="73">
        <v>438.5</v>
      </c>
      <c r="R2832" s="71" t="s">
        <v>388</v>
      </c>
      <c r="S2832" s="73">
        <v>0</v>
      </c>
      <c r="T2832" s="71" t="s">
        <v>390</v>
      </c>
      <c r="U2832" s="74">
        <v>4</v>
      </c>
      <c r="V2832" s="71" t="s">
        <v>391</v>
      </c>
      <c r="W2832" s="130">
        <v>46086.604861111111</v>
      </c>
      <c r="X2832" s="72">
        <v>46089.229166666664</v>
      </c>
      <c r="Y2832" s="72">
        <v>46092.416666666664</v>
      </c>
      <c r="Z2832" s="104" t="s">
        <v>408</v>
      </c>
      <c r="AA2832" s="104" t="s">
        <v>496</v>
      </c>
      <c r="AB2832" s="105">
        <v>46092.350694444445</v>
      </c>
      <c r="AC2832" s="105">
        <v>46092.416666666664</v>
      </c>
    </row>
    <row r="2833" s="70" customFormat="1" ht="11.25" customHeight="1">
      <c r="A2833" s="87"/>
      <c r="C2833" s="43" t="s">
        <v>4671</v>
      </c>
      <c r="D2833" s="71" t="s">
        <v>382</v>
      </c>
      <c r="E2833" s="71" t="str">
        <f>MID(D2833,1,2)</f>
        <v>IL</v>
      </c>
      <c r="F2833" s="71" t="s">
        <v>496</v>
      </c>
      <c r="G2833" s="71" t="str">
        <f>MID(F2833,1,2)</f>
        <v>RO</v>
      </c>
      <c r="H2833" s="43" t="s">
        <v>4320</v>
      </c>
      <c r="I2833" s="71" t="s">
        <v>4672</v>
      </c>
      <c r="J2833" s="71" t="s">
        <v>400</v>
      </c>
      <c r="K2833" s="43"/>
      <c r="L2833" s="71" t="s">
        <v>105</v>
      </c>
      <c r="M2833" s="73">
        <v>207</v>
      </c>
      <c r="N2833" s="71" t="s">
        <v>388</v>
      </c>
      <c r="O2833" s="73">
        <v>2.631</v>
      </c>
      <c r="P2833" s="71" t="s">
        <v>389</v>
      </c>
      <c r="Q2833" s="73">
        <v>438.5</v>
      </c>
      <c r="R2833" s="71" t="s">
        <v>388</v>
      </c>
      <c r="S2833" s="73">
        <v>0</v>
      </c>
      <c r="T2833" s="71" t="s">
        <v>390</v>
      </c>
      <c r="U2833" s="74">
        <v>4</v>
      </c>
      <c r="V2833" s="71" t="s">
        <v>391</v>
      </c>
      <c r="W2833" s="130">
        <v>46086.604861111111</v>
      </c>
      <c r="X2833" s="72">
        <v>46089.229166666664</v>
      </c>
      <c r="Y2833" s="72">
        <v>46092.416666666664</v>
      </c>
      <c r="Z2833" s="104" t="s">
        <v>382</v>
      </c>
      <c r="AA2833" s="104" t="s">
        <v>408</v>
      </c>
      <c r="AB2833" s="105">
        <v>46089.215277777781</v>
      </c>
      <c r="AC2833" s="105">
        <v>46090.083333333336</v>
      </c>
    </row>
    <row r="2834" s="70" customFormat="1" ht="11.25" customHeight="1">
      <c r="A2834" s="87"/>
      <c r="C2834" s="43" t="s">
        <v>4673</v>
      </c>
      <c r="D2834" s="71" t="s">
        <v>382</v>
      </c>
      <c r="E2834" s="71" t="str">
        <f>MID(D2834,1,2)</f>
        <v>IL</v>
      </c>
      <c r="F2834" s="71" t="s">
        <v>496</v>
      </c>
      <c r="G2834" s="71" t="str">
        <f>MID(F2834,1,2)</f>
        <v>RO</v>
      </c>
      <c r="H2834" s="43" t="s">
        <v>4320</v>
      </c>
      <c r="I2834" s="71" t="s">
        <v>4674</v>
      </c>
      <c r="J2834" s="71" t="s">
        <v>400</v>
      </c>
      <c r="K2834" s="43"/>
      <c r="L2834" s="71" t="s">
        <v>105</v>
      </c>
      <c r="M2834" s="73">
        <v>46</v>
      </c>
      <c r="N2834" s="71" t="s">
        <v>388</v>
      </c>
      <c r="O2834" s="73">
        <v>0.708</v>
      </c>
      <c r="P2834" s="71" t="s">
        <v>389</v>
      </c>
      <c r="Q2834" s="73">
        <v>118</v>
      </c>
      <c r="R2834" s="71" t="s">
        <v>388</v>
      </c>
      <c r="S2834" s="73">
        <v>0</v>
      </c>
      <c r="T2834" s="71" t="s">
        <v>390</v>
      </c>
      <c r="U2834" s="74">
        <v>1</v>
      </c>
      <c r="V2834" s="71" t="s">
        <v>391</v>
      </c>
      <c r="W2834" s="130">
        <v>46086.618055555555</v>
      </c>
      <c r="X2834" s="72">
        <v>46089.229166666664</v>
      </c>
      <c r="Y2834" s="72">
        <v>46092.416666666664</v>
      </c>
      <c r="Z2834" s="104" t="s">
        <v>408</v>
      </c>
      <c r="AA2834" s="104" t="s">
        <v>496</v>
      </c>
      <c r="AB2834" s="105">
        <v>46092.350694444445</v>
      </c>
      <c r="AC2834" s="105">
        <v>46092.416666666664</v>
      </c>
    </row>
    <row r="2835" s="70" customFormat="1" ht="11.25" customHeight="1">
      <c r="A2835" s="87"/>
      <c r="C2835" s="43" t="s">
        <v>4673</v>
      </c>
      <c r="D2835" s="71" t="s">
        <v>382</v>
      </c>
      <c r="E2835" s="71" t="str">
        <f>MID(D2835,1,2)</f>
        <v>IL</v>
      </c>
      <c r="F2835" s="71" t="s">
        <v>496</v>
      </c>
      <c r="G2835" s="71" t="str">
        <f>MID(F2835,1,2)</f>
        <v>RO</v>
      </c>
      <c r="H2835" s="43" t="s">
        <v>4320</v>
      </c>
      <c r="I2835" s="71" t="s">
        <v>4674</v>
      </c>
      <c r="J2835" s="71" t="s">
        <v>400</v>
      </c>
      <c r="K2835" s="43"/>
      <c r="L2835" s="71" t="s">
        <v>105</v>
      </c>
      <c r="M2835" s="73">
        <v>46</v>
      </c>
      <c r="N2835" s="71" t="s">
        <v>388</v>
      </c>
      <c r="O2835" s="73">
        <v>0.708</v>
      </c>
      <c r="P2835" s="71" t="s">
        <v>389</v>
      </c>
      <c r="Q2835" s="73">
        <v>118</v>
      </c>
      <c r="R2835" s="71" t="s">
        <v>388</v>
      </c>
      <c r="S2835" s="73">
        <v>0</v>
      </c>
      <c r="T2835" s="71" t="s">
        <v>390</v>
      </c>
      <c r="U2835" s="74">
        <v>1</v>
      </c>
      <c r="V2835" s="71" t="s">
        <v>391</v>
      </c>
      <c r="W2835" s="130">
        <v>46086.618055555555</v>
      </c>
      <c r="X2835" s="72">
        <v>46089.229166666664</v>
      </c>
      <c r="Y2835" s="72">
        <v>46092.416666666664</v>
      </c>
      <c r="Z2835" s="104" t="s">
        <v>382</v>
      </c>
      <c r="AA2835" s="104" t="s">
        <v>408</v>
      </c>
      <c r="AB2835" s="105">
        <v>46089.215277777781</v>
      </c>
      <c r="AC2835" s="105">
        <v>46090.083333333336</v>
      </c>
    </row>
    <row r="2836" s="70" customFormat="1" ht="11.25" customHeight="1">
      <c r="A2836" s="87"/>
      <c r="C2836" s="43" t="s">
        <v>4675</v>
      </c>
      <c r="D2836" s="71" t="s">
        <v>382</v>
      </c>
      <c r="E2836" s="71" t="str">
        <f>MID(D2836,1,2)</f>
        <v>IL</v>
      </c>
      <c r="F2836" s="71" t="s">
        <v>651</v>
      </c>
      <c r="G2836" s="71" t="str">
        <f>MID(F2836,1,2)</f>
        <v>BR</v>
      </c>
      <c r="H2836" s="43" t="s">
        <v>4226</v>
      </c>
      <c r="I2836" s="71" t="s">
        <v>4676</v>
      </c>
      <c r="J2836" s="71" t="s">
        <v>386</v>
      </c>
      <c r="K2836" s="43"/>
      <c r="L2836" s="71" t="s">
        <v>107</v>
      </c>
      <c r="M2836" s="73">
        <v>16</v>
      </c>
      <c r="N2836" s="71" t="s">
        <v>388</v>
      </c>
      <c r="O2836" s="73">
        <v>0.072</v>
      </c>
      <c r="P2836" s="71" t="s">
        <v>389</v>
      </c>
      <c r="Q2836" s="73">
        <v>16</v>
      </c>
      <c r="R2836" s="71" t="s">
        <v>388</v>
      </c>
      <c r="S2836" s="73">
        <v>0</v>
      </c>
      <c r="T2836" s="71" t="s">
        <v>390</v>
      </c>
      <c r="U2836" s="74">
        <v>1</v>
      </c>
      <c r="V2836" s="71" t="s">
        <v>391</v>
      </c>
      <c r="W2836" s="130">
        <v>46089.38958333333</v>
      </c>
      <c r="X2836" s="72">
        <v>46093.979166666664</v>
      </c>
      <c r="Y2836" s="72">
        <v>46101.375</v>
      </c>
      <c r="Z2836" s="104" t="s">
        <v>382</v>
      </c>
      <c r="AA2836" s="104" t="s">
        <v>408</v>
      </c>
      <c r="AB2836" s="105">
        <v>46096.902083333334</v>
      </c>
      <c r="AC2836" s="105"/>
    </row>
    <row r="2837" s="70" customFormat="1" ht="11.25" customHeight="1">
      <c r="A2837" s="87"/>
      <c r="C2837" s="43" t="s">
        <v>4675</v>
      </c>
      <c r="D2837" s="71" t="s">
        <v>382</v>
      </c>
      <c r="E2837" s="71" t="str">
        <f>MID(D2837,1,2)</f>
        <v>IL</v>
      </c>
      <c r="F2837" s="71" t="s">
        <v>651</v>
      </c>
      <c r="G2837" s="71" t="str">
        <f>MID(F2837,1,2)</f>
        <v>BR</v>
      </c>
      <c r="H2837" s="43" t="s">
        <v>4226</v>
      </c>
      <c r="I2837" s="71" t="s">
        <v>4676</v>
      </c>
      <c r="J2837" s="71" t="s">
        <v>386</v>
      </c>
      <c r="K2837" s="43"/>
      <c r="L2837" s="71" t="s">
        <v>107</v>
      </c>
      <c r="M2837" s="73">
        <v>16</v>
      </c>
      <c r="N2837" s="71" t="s">
        <v>388</v>
      </c>
      <c r="O2837" s="73">
        <v>0.072</v>
      </c>
      <c r="P2837" s="71" t="s">
        <v>389</v>
      </c>
      <c r="Q2837" s="73">
        <v>16</v>
      </c>
      <c r="R2837" s="71" t="s">
        <v>388</v>
      </c>
      <c r="S2837" s="73">
        <v>0</v>
      </c>
      <c r="T2837" s="71" t="s">
        <v>390</v>
      </c>
      <c r="U2837" s="74">
        <v>1</v>
      </c>
      <c r="V2837" s="71" t="s">
        <v>391</v>
      </c>
      <c r="W2837" s="130">
        <v>46089.38958333333</v>
      </c>
      <c r="X2837" s="72">
        <v>46093.979166666664</v>
      </c>
      <c r="Y2837" s="72">
        <v>46101.375</v>
      </c>
      <c r="Z2837" s="104" t="s">
        <v>408</v>
      </c>
      <c r="AA2837" s="104" t="s">
        <v>480</v>
      </c>
      <c r="AB2837" s="105">
        <v>46099.482638888891</v>
      </c>
      <c r="AC2837" s="105">
        <v>46099.616666666669</v>
      </c>
    </row>
    <row r="2838" s="70" customFormat="1" ht="11.25" customHeight="1">
      <c r="A2838" s="87"/>
      <c r="C2838" s="43" t="s">
        <v>4675</v>
      </c>
      <c r="D2838" s="71" t="s">
        <v>382</v>
      </c>
      <c r="E2838" s="71" t="str">
        <f>MID(D2838,1,2)</f>
        <v>IL</v>
      </c>
      <c r="F2838" s="71" t="s">
        <v>651</v>
      </c>
      <c r="G2838" s="71" t="str">
        <f>MID(F2838,1,2)</f>
        <v>BR</v>
      </c>
      <c r="H2838" s="43" t="s">
        <v>4226</v>
      </c>
      <c r="I2838" s="71" t="s">
        <v>4676</v>
      </c>
      <c r="J2838" s="71" t="s">
        <v>386</v>
      </c>
      <c r="K2838" s="43"/>
      <c r="L2838" s="71" t="s">
        <v>107</v>
      </c>
      <c r="M2838" s="73">
        <v>16</v>
      </c>
      <c r="N2838" s="71" t="s">
        <v>388</v>
      </c>
      <c r="O2838" s="73">
        <v>0.072</v>
      </c>
      <c r="P2838" s="71" t="s">
        <v>389</v>
      </c>
      <c r="Q2838" s="73">
        <v>16</v>
      </c>
      <c r="R2838" s="71" t="s">
        <v>388</v>
      </c>
      <c r="S2838" s="73">
        <v>0</v>
      </c>
      <c r="T2838" s="71" t="s">
        <v>390</v>
      </c>
      <c r="U2838" s="74">
        <v>1</v>
      </c>
      <c r="V2838" s="71" t="s">
        <v>391</v>
      </c>
      <c r="W2838" s="130">
        <v>46089.38958333333</v>
      </c>
      <c r="X2838" s="72">
        <v>46093.979166666664</v>
      </c>
      <c r="Y2838" s="72">
        <v>46101.375</v>
      </c>
      <c r="Z2838" s="104" t="s">
        <v>405</v>
      </c>
      <c r="AA2838" s="104" t="s">
        <v>651</v>
      </c>
      <c r="AB2838" s="105">
        <v>46100.909722222219</v>
      </c>
      <c r="AC2838" s="105">
        <v>46101.381944444445</v>
      </c>
    </row>
    <row r="2839" s="70" customFormat="1" ht="11.25" customHeight="1">
      <c r="A2839" s="87"/>
      <c r="C2839" s="43" t="s">
        <v>4677</v>
      </c>
      <c r="D2839" s="71" t="s">
        <v>382</v>
      </c>
      <c r="E2839" s="71" t="str">
        <f>MID(D2839,1,2)</f>
        <v>IL</v>
      </c>
      <c r="F2839" s="71" t="s">
        <v>471</v>
      </c>
      <c r="G2839" s="71" t="str">
        <f>MID(F2839,1,2)</f>
        <v>US</v>
      </c>
      <c r="H2839" s="43" t="s">
        <v>4343</v>
      </c>
      <c r="I2839" s="71" t="s">
        <v>4678</v>
      </c>
      <c r="J2839" s="71" t="s">
        <v>400</v>
      </c>
      <c r="K2839" s="43"/>
      <c r="L2839" s="71" t="s">
        <v>105</v>
      </c>
      <c r="M2839" s="73">
        <v>222</v>
      </c>
      <c r="N2839" s="71" t="s">
        <v>388</v>
      </c>
      <c r="O2839" s="73">
        <v>0.985</v>
      </c>
      <c r="P2839" s="71" t="s">
        <v>389</v>
      </c>
      <c r="Q2839" s="73">
        <v>222</v>
      </c>
      <c r="R2839" s="71" t="s">
        <v>388</v>
      </c>
      <c r="S2839" s="73">
        <v>0</v>
      </c>
      <c r="T2839" s="71" t="s">
        <v>390</v>
      </c>
      <c r="U2839" s="74">
        <v>1</v>
      </c>
      <c r="V2839" s="71" t="s">
        <v>391</v>
      </c>
      <c r="W2839" s="130">
        <v>46089.652777777781</v>
      </c>
      <c r="X2839" s="72">
        <v>46095.003472222219</v>
      </c>
      <c r="Y2839" s="72">
        <v>46103.25</v>
      </c>
      <c r="Z2839" s="104" t="s">
        <v>382</v>
      </c>
      <c r="AA2839" s="104" t="s">
        <v>471</v>
      </c>
      <c r="AB2839" s="105">
        <v>46098.508333333331</v>
      </c>
      <c r="AC2839" s="105">
        <v>46098.666666666664</v>
      </c>
    </row>
    <row r="2840" s="70" customFormat="1" ht="11.25" customHeight="1">
      <c r="A2840" s="87"/>
      <c r="C2840" s="43" t="s">
        <v>4679</v>
      </c>
      <c r="D2840" s="71" t="s">
        <v>382</v>
      </c>
      <c r="E2840" s="71" t="str">
        <f>MID(D2840,1,2)</f>
        <v>IL</v>
      </c>
      <c r="F2840" s="71" t="s">
        <v>414</v>
      </c>
      <c r="G2840" s="71" t="str">
        <f>MID(F2840,1,2)</f>
        <v>US</v>
      </c>
      <c r="H2840" s="43" t="s">
        <v>4414</v>
      </c>
      <c r="I2840" s="71" t="s">
        <v>4680</v>
      </c>
      <c r="J2840" s="71" t="s">
        <v>386</v>
      </c>
      <c r="K2840" s="43"/>
      <c r="L2840" s="71" t="s">
        <v>107</v>
      </c>
      <c r="M2840" s="73">
        <v>2</v>
      </c>
      <c r="N2840" s="71" t="s">
        <v>388</v>
      </c>
      <c r="O2840" s="73">
        <v>0.022</v>
      </c>
      <c r="P2840" s="71" t="s">
        <v>389</v>
      </c>
      <c r="Q2840" s="73">
        <v>4</v>
      </c>
      <c r="R2840" s="71" t="s">
        <v>388</v>
      </c>
      <c r="S2840" s="73">
        <v>0</v>
      </c>
      <c r="T2840" s="71" t="s">
        <v>390</v>
      </c>
      <c r="U2840" s="74">
        <v>1</v>
      </c>
      <c r="V2840" s="71" t="s">
        <v>427</v>
      </c>
      <c r="W2840" s="130">
        <v>46086.570138888892</v>
      </c>
      <c r="X2840" s="72">
        <v>46088.25</v>
      </c>
      <c r="Y2840" s="72">
        <v>46092.197916666664</v>
      </c>
      <c r="Z2840" s="104" t="s">
        <v>382</v>
      </c>
      <c r="AA2840" s="104" t="s">
        <v>414</v>
      </c>
      <c r="AB2840" s="105">
        <v>46088.38958333333</v>
      </c>
      <c r="AC2840" s="105">
        <v>46092.333333333336</v>
      </c>
    </row>
    <row r="2841" s="70" customFormat="1" ht="11.25" customHeight="1">
      <c r="A2841" s="87"/>
      <c r="C2841" s="43" t="s">
        <v>4681</v>
      </c>
      <c r="D2841" s="71" t="s">
        <v>382</v>
      </c>
      <c r="E2841" s="71" t="str">
        <f>MID(D2841,1,2)</f>
        <v>IL</v>
      </c>
      <c r="F2841" s="71" t="s">
        <v>774</v>
      </c>
      <c r="G2841" s="71" t="str">
        <f>MID(F2841,1,2)</f>
        <v>CN</v>
      </c>
      <c r="H2841" s="43" t="s">
        <v>3798</v>
      </c>
      <c r="I2841" s="71" t="s">
        <v>4682</v>
      </c>
      <c r="J2841" s="71" t="s">
        <v>454</v>
      </c>
      <c r="K2841" s="43"/>
      <c r="L2841" s="71" t="s">
        <v>107</v>
      </c>
      <c r="M2841" s="73">
        <v>172</v>
      </c>
      <c r="N2841" s="71" t="s">
        <v>388</v>
      </c>
      <c r="O2841" s="73">
        <v>1.09</v>
      </c>
      <c r="P2841" s="71" t="s">
        <v>389</v>
      </c>
      <c r="Q2841" s="73">
        <v>182</v>
      </c>
      <c r="R2841" s="71" t="s">
        <v>388</v>
      </c>
      <c r="S2841" s="73">
        <v>0</v>
      </c>
      <c r="T2841" s="71" t="s">
        <v>390</v>
      </c>
      <c r="U2841" s="74">
        <v>1</v>
      </c>
      <c r="V2841" s="71" t="s">
        <v>391</v>
      </c>
      <c r="W2841" s="130">
        <v>46086.590277777781</v>
      </c>
      <c r="X2841" s="72">
        <v>46089.75</v>
      </c>
      <c r="Y2841" s="72">
        <v>46092.75</v>
      </c>
      <c r="Z2841" s="104" t="s">
        <v>382</v>
      </c>
      <c r="AA2841" s="104" t="s">
        <v>403</v>
      </c>
      <c r="AB2841" s="105">
        <v>46089.829861111109</v>
      </c>
      <c r="AC2841" s="105">
        <v>46090.490277777775</v>
      </c>
    </row>
    <row r="2842" s="70" customFormat="1" ht="11.25" customHeight="1">
      <c r="A2842" s="87"/>
      <c r="C2842" s="43" t="s">
        <v>4681</v>
      </c>
      <c r="D2842" s="71" t="s">
        <v>382</v>
      </c>
      <c r="E2842" s="71" t="str">
        <f>MID(D2842,1,2)</f>
        <v>IL</v>
      </c>
      <c r="F2842" s="71" t="s">
        <v>774</v>
      </c>
      <c r="G2842" s="71" t="str">
        <f>MID(F2842,1,2)</f>
        <v>CN</v>
      </c>
      <c r="H2842" s="43" t="s">
        <v>3798</v>
      </c>
      <c r="I2842" s="71" t="s">
        <v>4682</v>
      </c>
      <c r="J2842" s="71" t="s">
        <v>454</v>
      </c>
      <c r="K2842" s="43"/>
      <c r="L2842" s="71" t="s">
        <v>107</v>
      </c>
      <c r="M2842" s="73">
        <v>172</v>
      </c>
      <c r="N2842" s="71" t="s">
        <v>388</v>
      </c>
      <c r="O2842" s="73">
        <v>1.09</v>
      </c>
      <c r="P2842" s="71" t="s">
        <v>389</v>
      </c>
      <c r="Q2842" s="73">
        <v>182</v>
      </c>
      <c r="R2842" s="71" t="s">
        <v>388</v>
      </c>
      <c r="S2842" s="73">
        <v>0</v>
      </c>
      <c r="T2842" s="71" t="s">
        <v>390</v>
      </c>
      <c r="U2842" s="74">
        <v>1</v>
      </c>
      <c r="V2842" s="71" t="s">
        <v>391</v>
      </c>
      <c r="W2842" s="130">
        <v>46086.590277777781</v>
      </c>
      <c r="X2842" s="72">
        <v>46089.75</v>
      </c>
      <c r="Y2842" s="72">
        <v>46092.75</v>
      </c>
      <c r="Z2842" s="104" t="s">
        <v>403</v>
      </c>
      <c r="AA2842" s="104" t="s">
        <v>774</v>
      </c>
      <c r="AB2842" s="105">
        <v>46091.991666666669</v>
      </c>
      <c r="AC2842" s="105">
        <v>46092.084027777775</v>
      </c>
    </row>
    <row r="2843" s="70" customFormat="1" ht="11.25" customHeight="1">
      <c r="A2843" s="87"/>
      <c r="C2843" s="43" t="s">
        <v>4683</v>
      </c>
      <c r="D2843" s="71" t="s">
        <v>382</v>
      </c>
      <c r="E2843" s="71" t="str">
        <f>MID(D2843,1,2)</f>
        <v>IL</v>
      </c>
      <c r="F2843" s="71" t="s">
        <v>414</v>
      </c>
      <c r="G2843" s="71" t="str">
        <f>MID(F2843,1,2)</f>
        <v>US</v>
      </c>
      <c r="H2843" s="43" t="s">
        <v>2791</v>
      </c>
      <c r="I2843" s="71" t="s">
        <v>4684</v>
      </c>
      <c r="J2843" s="71" t="s">
        <v>386</v>
      </c>
      <c r="K2843" s="43"/>
      <c r="L2843" s="71" t="s">
        <v>107</v>
      </c>
      <c r="M2843" s="73">
        <v>46</v>
      </c>
      <c r="N2843" s="71" t="s">
        <v>388</v>
      </c>
      <c r="O2843" s="73">
        <v>0.836</v>
      </c>
      <c r="P2843" s="71" t="s">
        <v>389</v>
      </c>
      <c r="Q2843" s="73">
        <v>139.5</v>
      </c>
      <c r="R2843" s="71" t="s">
        <v>388</v>
      </c>
      <c r="S2843" s="73">
        <v>0</v>
      </c>
      <c r="T2843" s="71" t="s">
        <v>390</v>
      </c>
      <c r="U2843" s="74">
        <v>1</v>
      </c>
      <c r="V2843" s="71" t="s">
        <v>391</v>
      </c>
      <c r="W2843" s="130">
        <v>46086.597916666666</v>
      </c>
      <c r="X2843" s="72">
        <v>46091.229166666664</v>
      </c>
      <c r="Y2843" s="72">
        <v>46096.291666666664</v>
      </c>
      <c r="Z2843" s="104" t="s">
        <v>382</v>
      </c>
      <c r="AA2843" s="104" t="s">
        <v>414</v>
      </c>
      <c r="AB2843" s="105">
        <v>46091.945833333331</v>
      </c>
      <c r="AC2843" s="105">
        <v>46092.136111111111</v>
      </c>
    </row>
    <row r="2844" s="70" customFormat="1" ht="11.25" customHeight="1">
      <c r="A2844" s="87"/>
      <c r="C2844" s="43" t="s">
        <v>4685</v>
      </c>
      <c r="D2844" s="71" t="s">
        <v>382</v>
      </c>
      <c r="E2844" s="71" t="str">
        <f>MID(D2844,1,2)</f>
        <v>IL</v>
      </c>
      <c r="F2844" s="71" t="s">
        <v>496</v>
      </c>
      <c r="G2844" s="71" t="str">
        <f>MID(F2844,1,2)</f>
        <v>RO</v>
      </c>
      <c r="H2844" s="43" t="s">
        <v>4320</v>
      </c>
      <c r="I2844" s="71" t="s">
        <v>4686</v>
      </c>
      <c r="J2844" s="71" t="s">
        <v>400</v>
      </c>
      <c r="K2844" s="43"/>
      <c r="L2844" s="71" t="s">
        <v>105</v>
      </c>
      <c r="M2844" s="73">
        <v>12</v>
      </c>
      <c r="N2844" s="71" t="s">
        <v>388</v>
      </c>
      <c r="O2844" s="73">
        <v>0.074</v>
      </c>
      <c r="P2844" s="71" t="s">
        <v>389</v>
      </c>
      <c r="Q2844" s="73">
        <v>12.5</v>
      </c>
      <c r="R2844" s="71" t="s">
        <v>388</v>
      </c>
      <c r="S2844" s="73">
        <v>0</v>
      </c>
      <c r="T2844" s="71" t="s">
        <v>390</v>
      </c>
      <c r="U2844" s="74">
        <v>1</v>
      </c>
      <c r="V2844" s="71" t="s">
        <v>391</v>
      </c>
      <c r="W2844" s="130">
        <v>46086.913321759261</v>
      </c>
      <c r="X2844" s="72">
        <v>46089.229166666664</v>
      </c>
      <c r="Y2844" s="72">
        <v>46092.416666666664</v>
      </c>
      <c r="Z2844" s="104" t="s">
        <v>408</v>
      </c>
      <c r="AA2844" s="104" t="s">
        <v>496</v>
      </c>
      <c r="AB2844" s="105">
        <v>46092.350694444445</v>
      </c>
      <c r="AC2844" s="105">
        <v>46092.416666666664</v>
      </c>
    </row>
    <row r="2845" s="70" customFormat="1" ht="11.25" customHeight="1">
      <c r="A2845" s="87"/>
      <c r="C2845" s="43" t="s">
        <v>4685</v>
      </c>
      <c r="D2845" s="71" t="s">
        <v>382</v>
      </c>
      <c r="E2845" s="71" t="str">
        <f>MID(D2845,1,2)</f>
        <v>IL</v>
      </c>
      <c r="F2845" s="71" t="s">
        <v>496</v>
      </c>
      <c r="G2845" s="71" t="str">
        <f>MID(F2845,1,2)</f>
        <v>RO</v>
      </c>
      <c r="H2845" s="43" t="s">
        <v>4320</v>
      </c>
      <c r="I2845" s="71" t="s">
        <v>4686</v>
      </c>
      <c r="J2845" s="71" t="s">
        <v>400</v>
      </c>
      <c r="K2845" s="43"/>
      <c r="L2845" s="71" t="s">
        <v>105</v>
      </c>
      <c r="M2845" s="73">
        <v>12</v>
      </c>
      <c r="N2845" s="71" t="s">
        <v>388</v>
      </c>
      <c r="O2845" s="73">
        <v>0.074</v>
      </c>
      <c r="P2845" s="71" t="s">
        <v>389</v>
      </c>
      <c r="Q2845" s="73">
        <v>12.5</v>
      </c>
      <c r="R2845" s="71" t="s">
        <v>388</v>
      </c>
      <c r="S2845" s="73">
        <v>0</v>
      </c>
      <c r="T2845" s="71" t="s">
        <v>390</v>
      </c>
      <c r="U2845" s="74">
        <v>1</v>
      </c>
      <c r="V2845" s="71" t="s">
        <v>391</v>
      </c>
      <c r="W2845" s="130">
        <v>46086.913321759261</v>
      </c>
      <c r="X2845" s="72">
        <v>46089.229166666664</v>
      </c>
      <c r="Y2845" s="72">
        <v>46092.416666666664</v>
      </c>
      <c r="Z2845" s="104" t="s">
        <v>382</v>
      </c>
      <c r="AA2845" s="104" t="s">
        <v>408</v>
      </c>
      <c r="AB2845" s="105">
        <v>46089.215277777781</v>
      </c>
      <c r="AC2845" s="105">
        <v>46090.083333333336</v>
      </c>
    </row>
    <row r="2846" s="70" customFormat="1" ht="11.25" customHeight="1">
      <c r="A2846" s="87"/>
      <c r="C2846" s="43" t="s">
        <v>4687</v>
      </c>
      <c r="D2846" s="71" t="s">
        <v>382</v>
      </c>
      <c r="E2846" s="71" t="str">
        <f>MID(D2846,1,2)</f>
        <v>IL</v>
      </c>
      <c r="F2846" s="71" t="s">
        <v>1538</v>
      </c>
      <c r="G2846" s="71" t="str">
        <f>MID(F2846,1,2)</f>
        <v>KR</v>
      </c>
      <c r="H2846" s="43"/>
      <c r="I2846" s="71" t="s">
        <v>4688</v>
      </c>
      <c r="J2846" s="71" t="s">
        <v>426</v>
      </c>
      <c r="K2846" s="43"/>
      <c r="L2846" s="71" t="s">
        <v>105</v>
      </c>
      <c r="M2846" s="73">
        <v>286</v>
      </c>
      <c r="N2846" s="71" t="s">
        <v>388</v>
      </c>
      <c r="O2846" s="73">
        <v>0.864</v>
      </c>
      <c r="P2846" s="71" t="s">
        <v>389</v>
      </c>
      <c r="Q2846" s="73">
        <v>286</v>
      </c>
      <c r="R2846" s="71" t="s">
        <v>388</v>
      </c>
      <c r="S2846" s="73">
        <v>0</v>
      </c>
      <c r="T2846" s="71" t="s">
        <v>390</v>
      </c>
      <c r="U2846" s="74">
        <v>1</v>
      </c>
      <c r="V2846" s="71" t="s">
        <v>391</v>
      </c>
      <c r="W2846" s="130">
        <v>46089.720451388886</v>
      </c>
      <c r="X2846" s="72">
        <v>46090.552083333336</v>
      </c>
      <c r="Y2846" s="72">
        <v>46112.458333333336</v>
      </c>
      <c r="Z2846" s="104"/>
      <c r="AA2846" s="104"/>
      <c r="AB2846" s="105"/>
      <c r="AC2846" s="105"/>
    </row>
    <row r="2847" s="70" customFormat="1" ht="11.25" customHeight="1">
      <c r="A2847" s="87"/>
      <c r="C2847" s="43" t="s">
        <v>4689</v>
      </c>
      <c r="D2847" s="71" t="s">
        <v>382</v>
      </c>
      <c r="E2847" s="71" t="str">
        <f>MID(D2847,1,2)</f>
        <v>IL</v>
      </c>
      <c r="F2847" s="71" t="s">
        <v>2090</v>
      </c>
      <c r="G2847" s="71" t="str">
        <f>MID(F2847,1,2)</f>
        <v>NO</v>
      </c>
      <c r="H2847" s="43" t="s">
        <v>4690</v>
      </c>
      <c r="I2847" s="71" t="s">
        <v>4691</v>
      </c>
      <c r="J2847" s="71" t="s">
        <v>386</v>
      </c>
      <c r="K2847" s="43"/>
      <c r="L2847" s="71" t="s">
        <v>107</v>
      </c>
      <c r="M2847" s="73">
        <v>510</v>
      </c>
      <c r="N2847" s="71" t="s">
        <v>388</v>
      </c>
      <c r="O2847" s="73">
        <v>2.401</v>
      </c>
      <c r="P2847" s="71" t="s">
        <v>389</v>
      </c>
      <c r="Q2847" s="73">
        <v>510</v>
      </c>
      <c r="R2847" s="71" t="s">
        <v>388</v>
      </c>
      <c r="S2847" s="73">
        <v>0</v>
      </c>
      <c r="T2847" s="71" t="s">
        <v>390</v>
      </c>
      <c r="U2847" s="74">
        <v>3</v>
      </c>
      <c r="V2847" s="71" t="s">
        <v>391</v>
      </c>
      <c r="W2847" s="130">
        <v>46090.878182870372</v>
      </c>
      <c r="X2847" s="72">
        <v>46103.645833333336</v>
      </c>
      <c r="Y2847" s="72">
        <v>46108.909722222219</v>
      </c>
      <c r="Z2847" s="104" t="s">
        <v>382</v>
      </c>
      <c r="AA2847" s="104" t="s">
        <v>4692</v>
      </c>
      <c r="AB2847" s="105"/>
      <c r="AC2847" s="105"/>
    </row>
    <row r="2848" s="70" customFormat="1" ht="11.25" customHeight="1">
      <c r="A2848" s="87"/>
      <c r="C2848" s="43" t="s">
        <v>4689</v>
      </c>
      <c r="D2848" s="71" t="s">
        <v>382</v>
      </c>
      <c r="E2848" s="71" t="str">
        <f>MID(D2848,1,2)</f>
        <v>IL</v>
      </c>
      <c r="F2848" s="71" t="s">
        <v>2090</v>
      </c>
      <c r="G2848" s="71" t="str">
        <f>MID(F2848,1,2)</f>
        <v>NO</v>
      </c>
      <c r="H2848" s="43" t="s">
        <v>4690</v>
      </c>
      <c r="I2848" s="71" t="s">
        <v>4691</v>
      </c>
      <c r="J2848" s="71" t="s">
        <v>386</v>
      </c>
      <c r="K2848" s="43"/>
      <c r="L2848" s="71" t="s">
        <v>107</v>
      </c>
      <c r="M2848" s="73">
        <v>510</v>
      </c>
      <c r="N2848" s="71" t="s">
        <v>388</v>
      </c>
      <c r="O2848" s="73">
        <v>2.401</v>
      </c>
      <c r="P2848" s="71" t="s">
        <v>389</v>
      </c>
      <c r="Q2848" s="73">
        <v>510</v>
      </c>
      <c r="R2848" s="71" t="s">
        <v>388</v>
      </c>
      <c r="S2848" s="73">
        <v>0</v>
      </c>
      <c r="T2848" s="71" t="s">
        <v>390</v>
      </c>
      <c r="U2848" s="74">
        <v>3</v>
      </c>
      <c r="V2848" s="71" t="s">
        <v>391</v>
      </c>
      <c r="W2848" s="130">
        <v>46090.878182870372</v>
      </c>
      <c r="X2848" s="72">
        <v>46103.645833333336</v>
      </c>
      <c r="Y2848" s="72">
        <v>46108.909722222219</v>
      </c>
      <c r="Z2848" s="104" t="s">
        <v>4692</v>
      </c>
      <c r="AA2848" s="104" t="s">
        <v>2090</v>
      </c>
      <c r="AB2848" s="105"/>
      <c r="AC2848" s="105"/>
    </row>
    <row r="2849" s="70" customFormat="1" ht="11.25" customHeight="1">
      <c r="A2849" s="87"/>
      <c r="C2849" s="43" t="s">
        <v>4693</v>
      </c>
      <c r="D2849" s="71" t="s">
        <v>382</v>
      </c>
      <c r="E2849" s="71" t="str">
        <f>MID(D2849,1,2)</f>
        <v>IL</v>
      </c>
      <c r="F2849" s="71" t="s">
        <v>414</v>
      </c>
      <c r="G2849" s="71" t="str">
        <f>MID(F2849,1,2)</f>
        <v>US</v>
      </c>
      <c r="H2849" s="43" t="s">
        <v>4694</v>
      </c>
      <c r="I2849" s="71" t="s">
        <v>4695</v>
      </c>
      <c r="J2849" s="71" t="s">
        <v>386</v>
      </c>
      <c r="K2849" s="43"/>
      <c r="L2849" s="71" t="s">
        <v>107</v>
      </c>
      <c r="M2849" s="73">
        <v>83</v>
      </c>
      <c r="N2849" s="71" t="s">
        <v>388</v>
      </c>
      <c r="O2849" s="73">
        <v>0.708</v>
      </c>
      <c r="P2849" s="71" t="s">
        <v>389</v>
      </c>
      <c r="Q2849" s="73">
        <v>118</v>
      </c>
      <c r="R2849" s="71" t="s">
        <v>388</v>
      </c>
      <c r="S2849" s="73">
        <v>0</v>
      </c>
      <c r="T2849" s="71" t="s">
        <v>390</v>
      </c>
      <c r="U2849" s="74">
        <v>1</v>
      </c>
      <c r="V2849" s="71" t="s">
        <v>391</v>
      </c>
      <c r="W2849" s="130">
        <v>46089.678472222222</v>
      </c>
      <c r="X2849" s="72">
        <v>46091.229166666664</v>
      </c>
      <c r="Y2849" s="72">
        <v>46100.503472222219</v>
      </c>
      <c r="Z2849" s="104" t="s">
        <v>382</v>
      </c>
      <c r="AA2849" s="104" t="s">
        <v>414</v>
      </c>
      <c r="AB2849" s="105">
        <v>46091.945833333331</v>
      </c>
      <c r="AC2849" s="105">
        <v>46092.136111111111</v>
      </c>
    </row>
    <row r="2850" s="70" customFormat="1" ht="11.25" customHeight="1">
      <c r="A2850" s="87"/>
      <c r="C2850" s="43" t="s">
        <v>4693</v>
      </c>
      <c r="D2850" s="71" t="s">
        <v>382</v>
      </c>
      <c r="E2850" s="71" t="str">
        <f>MID(D2850,1,2)</f>
        <v>IL</v>
      </c>
      <c r="F2850" s="71" t="s">
        <v>414</v>
      </c>
      <c r="G2850" s="71" t="str">
        <f>MID(F2850,1,2)</f>
        <v>US</v>
      </c>
      <c r="H2850" s="43" t="s">
        <v>4694</v>
      </c>
      <c r="I2850" s="71" t="s">
        <v>4695</v>
      </c>
      <c r="J2850" s="71" t="s">
        <v>386</v>
      </c>
      <c r="K2850" s="43"/>
      <c r="L2850" s="71" t="s">
        <v>107</v>
      </c>
      <c r="M2850" s="73">
        <v>83</v>
      </c>
      <c r="N2850" s="71" t="s">
        <v>388</v>
      </c>
      <c r="O2850" s="73">
        <v>0.708</v>
      </c>
      <c r="P2850" s="71" t="s">
        <v>389</v>
      </c>
      <c r="Q2850" s="73">
        <v>118</v>
      </c>
      <c r="R2850" s="71" t="s">
        <v>388</v>
      </c>
      <c r="S2850" s="73">
        <v>0</v>
      </c>
      <c r="T2850" s="71" t="s">
        <v>390</v>
      </c>
      <c r="U2850" s="74">
        <v>1</v>
      </c>
      <c r="V2850" s="71" t="s">
        <v>391</v>
      </c>
      <c r="W2850" s="130">
        <v>46089.678472222222</v>
      </c>
      <c r="X2850" s="72">
        <v>46091.229166666664</v>
      </c>
      <c r="Y2850" s="72">
        <v>46100.503472222219</v>
      </c>
      <c r="Z2850" s="104" t="s">
        <v>414</v>
      </c>
      <c r="AA2850" s="104" t="s">
        <v>468</v>
      </c>
      <c r="AB2850" s="105">
        <v>46095.683333333334</v>
      </c>
      <c r="AC2850" s="105">
        <v>46095.798611111109</v>
      </c>
    </row>
    <row r="2851" s="70" customFormat="1" ht="11.25" customHeight="1">
      <c r="A2851" s="87"/>
      <c r="C2851" s="43" t="s">
        <v>4696</v>
      </c>
      <c r="D2851" s="71" t="s">
        <v>382</v>
      </c>
      <c r="E2851" s="71" t="str">
        <f>MID(D2851,1,2)</f>
        <v>IL</v>
      </c>
      <c r="F2851" s="71" t="s">
        <v>414</v>
      </c>
      <c r="G2851" s="71" t="str">
        <f>MID(F2851,1,2)</f>
        <v>US</v>
      </c>
      <c r="H2851" s="43" t="s">
        <v>4697</v>
      </c>
      <c r="I2851" s="71" t="s">
        <v>4698</v>
      </c>
      <c r="J2851" s="71" t="s">
        <v>386</v>
      </c>
      <c r="K2851" s="43"/>
      <c r="L2851" s="71" t="s">
        <v>107</v>
      </c>
      <c r="M2851" s="73">
        <v>32</v>
      </c>
      <c r="N2851" s="71" t="s">
        <v>388</v>
      </c>
      <c r="O2851" s="73">
        <v>0.329</v>
      </c>
      <c r="P2851" s="71" t="s">
        <v>389</v>
      </c>
      <c r="Q2851" s="73">
        <v>55</v>
      </c>
      <c r="R2851" s="71" t="s">
        <v>388</v>
      </c>
      <c r="S2851" s="73">
        <v>0</v>
      </c>
      <c r="T2851" s="71" t="s">
        <v>390</v>
      </c>
      <c r="U2851" s="74">
        <v>1</v>
      </c>
      <c r="V2851" s="71" t="s">
        <v>446</v>
      </c>
      <c r="W2851" s="130">
        <v>46092.656608796293</v>
      </c>
      <c r="X2851" s="72">
        <v>46099.854166666664</v>
      </c>
      <c r="Y2851" s="72">
        <v>46102.791666666664</v>
      </c>
      <c r="Z2851" s="104" t="s">
        <v>382</v>
      </c>
      <c r="AA2851" s="104" t="s">
        <v>414</v>
      </c>
      <c r="AB2851" s="105">
        <v>46100.102083333331</v>
      </c>
      <c r="AC2851" s="105">
        <v>46100.31527777778</v>
      </c>
    </row>
    <row r="2852" s="70" customFormat="1" ht="11.25" customHeight="1">
      <c r="A2852" s="87"/>
      <c r="C2852" s="43" t="s">
        <v>4699</v>
      </c>
      <c r="D2852" s="71" t="s">
        <v>382</v>
      </c>
      <c r="E2852" s="71" t="str">
        <f>MID(D2852,1,2)</f>
        <v>IL</v>
      </c>
      <c r="F2852" s="71" t="s">
        <v>414</v>
      </c>
      <c r="G2852" s="71" t="str">
        <f>MID(F2852,1,2)</f>
        <v>US</v>
      </c>
      <c r="H2852" s="43" t="s">
        <v>4700</v>
      </c>
      <c r="I2852" s="71" t="s">
        <v>4701</v>
      </c>
      <c r="J2852" s="71" t="s">
        <v>386</v>
      </c>
      <c r="K2852" s="43"/>
      <c r="L2852" s="71" t="s">
        <v>107</v>
      </c>
      <c r="M2852" s="73">
        <v>6</v>
      </c>
      <c r="N2852" s="71" t="s">
        <v>388</v>
      </c>
      <c r="O2852" s="73">
        <v>0.061</v>
      </c>
      <c r="P2852" s="71" t="s">
        <v>389</v>
      </c>
      <c r="Q2852" s="73">
        <v>10.5</v>
      </c>
      <c r="R2852" s="71" t="s">
        <v>388</v>
      </c>
      <c r="S2852" s="73">
        <v>0</v>
      </c>
      <c r="T2852" s="71" t="s">
        <v>390</v>
      </c>
      <c r="U2852" s="74">
        <v>1</v>
      </c>
      <c r="V2852" s="71" t="s">
        <v>446</v>
      </c>
      <c r="W2852" s="130">
        <v>46091.63958333333</v>
      </c>
      <c r="X2852" s="72">
        <v>46094.197916666664</v>
      </c>
      <c r="Y2852" s="72">
        <v>46095.569444444445</v>
      </c>
      <c r="Z2852" s="104" t="s">
        <v>382</v>
      </c>
      <c r="AA2852" s="104" t="s">
        <v>414</v>
      </c>
      <c r="AB2852" s="105">
        <v>46094.24722222222</v>
      </c>
      <c r="AC2852" s="105">
        <v>46094.475</v>
      </c>
    </row>
    <row r="2853" s="70" customFormat="1" ht="11.25" customHeight="1">
      <c r="A2853" s="87"/>
      <c r="C2853" s="43" t="s">
        <v>4702</v>
      </c>
      <c r="D2853" s="71" t="s">
        <v>382</v>
      </c>
      <c r="E2853" s="71" t="str">
        <f>MID(D2853,1,2)</f>
        <v>IL</v>
      </c>
      <c r="F2853" s="71" t="s">
        <v>414</v>
      </c>
      <c r="G2853" s="71" t="str">
        <f>MID(F2853,1,2)</f>
        <v>US</v>
      </c>
      <c r="H2853" s="43" t="s">
        <v>4414</v>
      </c>
      <c r="I2853" s="71" t="s">
        <v>4703</v>
      </c>
      <c r="J2853" s="71" t="s">
        <v>386</v>
      </c>
      <c r="K2853" s="43" t="s">
        <v>759</v>
      </c>
      <c r="L2853" s="71" t="s">
        <v>107</v>
      </c>
      <c r="M2853" s="73">
        <v>27</v>
      </c>
      <c r="N2853" s="71" t="s">
        <v>388</v>
      </c>
      <c r="O2853" s="73">
        <v>0.209</v>
      </c>
      <c r="P2853" s="71" t="s">
        <v>389</v>
      </c>
      <c r="Q2853" s="73">
        <v>35</v>
      </c>
      <c r="R2853" s="71" t="s">
        <v>388</v>
      </c>
      <c r="S2853" s="73">
        <v>0</v>
      </c>
      <c r="T2853" s="71" t="s">
        <v>390</v>
      </c>
      <c r="U2853" s="74">
        <v>1</v>
      </c>
      <c r="V2853" s="71" t="s">
        <v>391</v>
      </c>
      <c r="W2853" s="130">
        <v>46086.688888888886</v>
      </c>
      <c r="X2853" s="72">
        <v>46088.25</v>
      </c>
      <c r="Y2853" s="72">
        <v>46092.197916666664</v>
      </c>
      <c r="Z2853" s="104" t="s">
        <v>382</v>
      </c>
      <c r="AA2853" s="104" t="s">
        <v>414</v>
      </c>
      <c r="AB2853" s="105">
        <v>46088.38958333333</v>
      </c>
      <c r="AC2853" s="105">
        <v>46092.333333333336</v>
      </c>
    </row>
    <row r="2854" s="70" customFormat="1" ht="11.25" customHeight="1">
      <c r="A2854" s="87"/>
      <c r="C2854" s="43" t="s">
        <v>4704</v>
      </c>
      <c r="D2854" s="71" t="s">
        <v>382</v>
      </c>
      <c r="E2854" s="71" t="str">
        <f>MID(D2854,1,2)</f>
        <v>IL</v>
      </c>
      <c r="F2854" s="71" t="s">
        <v>414</v>
      </c>
      <c r="G2854" s="71" t="str">
        <f>MID(F2854,1,2)</f>
        <v>US</v>
      </c>
      <c r="H2854" s="43" t="s">
        <v>2791</v>
      </c>
      <c r="I2854" s="71" t="s">
        <v>4705</v>
      </c>
      <c r="J2854" s="71" t="s">
        <v>386</v>
      </c>
      <c r="K2854" s="43"/>
      <c r="L2854" s="71" t="s">
        <v>107</v>
      </c>
      <c r="M2854" s="73">
        <v>3</v>
      </c>
      <c r="N2854" s="71" t="s">
        <v>388</v>
      </c>
      <c r="O2854" s="73">
        <v>0.078</v>
      </c>
      <c r="P2854" s="71" t="s">
        <v>389</v>
      </c>
      <c r="Q2854" s="73">
        <v>13</v>
      </c>
      <c r="R2854" s="71" t="s">
        <v>388</v>
      </c>
      <c r="S2854" s="73">
        <v>0</v>
      </c>
      <c r="T2854" s="71" t="s">
        <v>390</v>
      </c>
      <c r="U2854" s="74">
        <v>1</v>
      </c>
      <c r="V2854" s="71" t="s">
        <v>446</v>
      </c>
      <c r="W2854" s="130">
        <v>46086.695138888892</v>
      </c>
      <c r="X2854" s="72">
        <v>46091.229166666664</v>
      </c>
      <c r="Y2854" s="72">
        <v>46096.291666666664</v>
      </c>
      <c r="Z2854" s="104" t="s">
        <v>382</v>
      </c>
      <c r="AA2854" s="104" t="s">
        <v>414</v>
      </c>
      <c r="AB2854" s="105">
        <v>46091.945833333331</v>
      </c>
      <c r="AC2854" s="105">
        <v>46092.136111111111</v>
      </c>
    </row>
    <row r="2855" s="70" customFormat="1" ht="11.25" customHeight="1">
      <c r="A2855" s="87"/>
      <c r="C2855" s="43" t="s">
        <v>4706</v>
      </c>
      <c r="D2855" s="71" t="s">
        <v>382</v>
      </c>
      <c r="E2855" s="71" t="str">
        <f>MID(D2855,1,2)</f>
        <v>IL</v>
      </c>
      <c r="F2855" s="71" t="s">
        <v>414</v>
      </c>
      <c r="G2855" s="71" t="str">
        <f>MID(F2855,1,2)</f>
        <v>US</v>
      </c>
      <c r="H2855" s="43" t="s">
        <v>4707</v>
      </c>
      <c r="I2855" s="71" t="s">
        <v>4708</v>
      </c>
      <c r="J2855" s="71" t="s">
        <v>386</v>
      </c>
      <c r="K2855" s="43"/>
      <c r="L2855" s="71" t="s">
        <v>107</v>
      </c>
      <c r="M2855" s="73">
        <v>373</v>
      </c>
      <c r="N2855" s="71" t="s">
        <v>388</v>
      </c>
      <c r="O2855" s="73">
        <v>4.372</v>
      </c>
      <c r="P2855" s="71" t="s">
        <v>389</v>
      </c>
      <c r="Q2855" s="73">
        <v>2200</v>
      </c>
      <c r="R2855" s="71" t="s">
        <v>388</v>
      </c>
      <c r="S2855" s="73">
        <v>0</v>
      </c>
      <c r="T2855" s="71" t="s">
        <v>390</v>
      </c>
      <c r="U2855" s="74">
        <v>1</v>
      </c>
      <c r="V2855" s="71" t="s">
        <v>391</v>
      </c>
      <c r="W2855" s="130">
        <v>46086.76458333333</v>
      </c>
      <c r="X2855" s="72">
        <v>46091.229166666664</v>
      </c>
      <c r="Y2855" s="72">
        <v>46092.072916666664</v>
      </c>
      <c r="Z2855" s="104" t="s">
        <v>382</v>
      </c>
      <c r="AA2855" s="104" t="s">
        <v>414</v>
      </c>
      <c r="AB2855" s="105">
        <v>46091.945833333331</v>
      </c>
      <c r="AC2855" s="105">
        <v>46092.136111111111</v>
      </c>
    </row>
    <row r="2856" s="70" customFormat="1" ht="11.25" customHeight="1">
      <c r="A2856" s="87"/>
      <c r="C2856" s="43" t="s">
        <v>4709</v>
      </c>
      <c r="D2856" s="71" t="s">
        <v>382</v>
      </c>
      <c r="E2856" s="71" t="str">
        <f>MID(D2856,1,2)</f>
        <v>IL</v>
      </c>
      <c r="F2856" s="71" t="s">
        <v>414</v>
      </c>
      <c r="G2856" s="71" t="str">
        <f>MID(F2856,1,2)</f>
        <v>US</v>
      </c>
      <c r="H2856" s="43" t="s">
        <v>4187</v>
      </c>
      <c r="I2856" s="71" t="s">
        <v>4710</v>
      </c>
      <c r="J2856" s="71" t="s">
        <v>426</v>
      </c>
      <c r="K2856" s="43"/>
      <c r="L2856" s="71" t="s">
        <v>105</v>
      </c>
      <c r="M2856" s="73">
        <v>172</v>
      </c>
      <c r="N2856" s="71" t="s">
        <v>388</v>
      </c>
      <c r="O2856" s="73">
        <v>0.827</v>
      </c>
      <c r="P2856" s="71" t="s">
        <v>389</v>
      </c>
      <c r="Q2856" s="73">
        <v>172</v>
      </c>
      <c r="R2856" s="71" t="s">
        <v>388</v>
      </c>
      <c r="S2856" s="73">
        <v>0</v>
      </c>
      <c r="T2856" s="71" t="s">
        <v>390</v>
      </c>
      <c r="U2856" s="74">
        <v>1</v>
      </c>
      <c r="V2856" s="71" t="s">
        <v>391</v>
      </c>
      <c r="W2856" s="130">
        <v>46086.777777777781</v>
      </c>
      <c r="X2856" s="72">
        <v>46088</v>
      </c>
      <c r="Y2856" s="72">
        <v>46095.541666666664</v>
      </c>
      <c r="Z2856" s="104" t="s">
        <v>382</v>
      </c>
      <c r="AA2856" s="104" t="s">
        <v>414</v>
      </c>
      <c r="AB2856" s="105">
        <v>46091.955555555556</v>
      </c>
      <c r="AC2856" s="105">
        <v>46094.475</v>
      </c>
    </row>
    <row r="2857" s="70" customFormat="1" ht="11.25" customHeight="1">
      <c r="A2857" s="87"/>
      <c r="C2857" s="43" t="s">
        <v>4711</v>
      </c>
      <c r="D2857" s="71" t="s">
        <v>382</v>
      </c>
      <c r="E2857" s="71" t="str">
        <f>MID(D2857,1,2)</f>
        <v>IL</v>
      </c>
      <c r="F2857" s="71" t="s">
        <v>667</v>
      </c>
      <c r="G2857" s="71" t="str">
        <f>MID(F2857,1,2)</f>
        <v>DE</v>
      </c>
      <c r="H2857" s="43" t="s">
        <v>4480</v>
      </c>
      <c r="I2857" s="71" t="s">
        <v>4712</v>
      </c>
      <c r="J2857" s="71" t="s">
        <v>400</v>
      </c>
      <c r="K2857" s="43"/>
      <c r="L2857" s="71" t="s">
        <v>105</v>
      </c>
      <c r="M2857" s="73">
        <v>16</v>
      </c>
      <c r="N2857" s="71" t="s">
        <v>388</v>
      </c>
      <c r="O2857" s="73">
        <v>0.159</v>
      </c>
      <c r="P2857" s="71" t="s">
        <v>389</v>
      </c>
      <c r="Q2857" s="73">
        <v>100</v>
      </c>
      <c r="R2857" s="71" t="s">
        <v>388</v>
      </c>
      <c r="S2857" s="73">
        <v>0</v>
      </c>
      <c r="T2857" s="71" t="s">
        <v>390</v>
      </c>
      <c r="U2857" s="74">
        <v>1</v>
      </c>
      <c r="V2857" s="71" t="s">
        <v>391</v>
      </c>
      <c r="W2857" s="130">
        <v>46093.660439814812</v>
      </c>
      <c r="X2857" s="72">
        <v>46096.166666666664</v>
      </c>
      <c r="Y2857" s="72">
        <v>46099.753472222219</v>
      </c>
      <c r="Z2857" s="104" t="s">
        <v>382</v>
      </c>
      <c r="AA2857" s="104" t="s">
        <v>408</v>
      </c>
      <c r="AB2857" s="105">
        <v>46096.517361111109</v>
      </c>
      <c r="AC2857" s="105"/>
    </row>
    <row r="2858" s="70" customFormat="1" ht="11.25" customHeight="1">
      <c r="A2858" s="87"/>
      <c r="C2858" s="43" t="s">
        <v>4711</v>
      </c>
      <c r="D2858" s="71" t="s">
        <v>382</v>
      </c>
      <c r="E2858" s="71" t="str">
        <f>MID(D2858,1,2)</f>
        <v>IL</v>
      </c>
      <c r="F2858" s="71" t="s">
        <v>667</v>
      </c>
      <c r="G2858" s="71" t="str">
        <f>MID(F2858,1,2)</f>
        <v>DE</v>
      </c>
      <c r="H2858" s="43" t="s">
        <v>4480</v>
      </c>
      <c r="I2858" s="71" t="s">
        <v>4712</v>
      </c>
      <c r="J2858" s="71" t="s">
        <v>400</v>
      </c>
      <c r="K2858" s="43"/>
      <c r="L2858" s="71" t="s">
        <v>105</v>
      </c>
      <c r="M2858" s="73">
        <v>16</v>
      </c>
      <c r="N2858" s="71" t="s">
        <v>388</v>
      </c>
      <c r="O2858" s="73">
        <v>0.159</v>
      </c>
      <c r="P2858" s="71" t="s">
        <v>389</v>
      </c>
      <c r="Q2858" s="73">
        <v>100</v>
      </c>
      <c r="R2858" s="71" t="s">
        <v>388</v>
      </c>
      <c r="S2858" s="73">
        <v>0</v>
      </c>
      <c r="T2858" s="71" t="s">
        <v>390</v>
      </c>
      <c r="U2858" s="74">
        <v>1</v>
      </c>
      <c r="V2858" s="71" t="s">
        <v>391</v>
      </c>
      <c r="W2858" s="130">
        <v>46093.660439814812</v>
      </c>
      <c r="X2858" s="72">
        <v>46096.166666666664</v>
      </c>
      <c r="Y2858" s="72">
        <v>46099.753472222219</v>
      </c>
      <c r="Z2858" s="104" t="s">
        <v>408</v>
      </c>
      <c r="AA2858" s="104" t="s">
        <v>3173</v>
      </c>
      <c r="AB2858" s="105">
        <v>46098.791666666664</v>
      </c>
      <c r="AC2858" s="105"/>
    </row>
    <row r="2859" s="70" customFormat="1" ht="11.25" customHeight="1">
      <c r="A2859" s="87"/>
      <c r="C2859" s="43" t="s">
        <v>4711</v>
      </c>
      <c r="D2859" s="71" t="s">
        <v>382</v>
      </c>
      <c r="E2859" s="71" t="str">
        <f>MID(D2859,1,2)</f>
        <v>IL</v>
      </c>
      <c r="F2859" s="71" t="s">
        <v>667</v>
      </c>
      <c r="G2859" s="71" t="str">
        <f>MID(F2859,1,2)</f>
        <v>DE</v>
      </c>
      <c r="H2859" s="43" t="s">
        <v>4480</v>
      </c>
      <c r="I2859" s="71" t="s">
        <v>4712</v>
      </c>
      <c r="J2859" s="71" t="s">
        <v>400</v>
      </c>
      <c r="K2859" s="43"/>
      <c r="L2859" s="71" t="s">
        <v>105</v>
      </c>
      <c r="M2859" s="73">
        <v>16</v>
      </c>
      <c r="N2859" s="71" t="s">
        <v>388</v>
      </c>
      <c r="O2859" s="73">
        <v>0.159</v>
      </c>
      <c r="P2859" s="71" t="s">
        <v>389</v>
      </c>
      <c r="Q2859" s="73">
        <v>100</v>
      </c>
      <c r="R2859" s="71" t="s">
        <v>388</v>
      </c>
      <c r="S2859" s="73">
        <v>0</v>
      </c>
      <c r="T2859" s="71" t="s">
        <v>390</v>
      </c>
      <c r="U2859" s="74">
        <v>1</v>
      </c>
      <c r="V2859" s="71" t="s">
        <v>391</v>
      </c>
      <c r="W2859" s="130">
        <v>46093.660439814812</v>
      </c>
      <c r="X2859" s="72">
        <v>46096.166666666664</v>
      </c>
      <c r="Y2859" s="72">
        <v>46099.753472222219</v>
      </c>
      <c r="Z2859" s="104" t="s">
        <v>3173</v>
      </c>
      <c r="AA2859" s="104" t="s">
        <v>667</v>
      </c>
      <c r="AB2859" s="105">
        <v>46099.209027777775</v>
      </c>
      <c r="AC2859" s="105">
        <v>46099.625</v>
      </c>
    </row>
    <row r="2860" s="70" customFormat="1" ht="11.25" customHeight="1">
      <c r="A2860" s="87"/>
      <c r="C2860" s="43" t="s">
        <v>4713</v>
      </c>
      <c r="D2860" s="71" t="s">
        <v>382</v>
      </c>
      <c r="E2860" s="71" t="str">
        <f>MID(D2860,1,2)</f>
        <v>IL</v>
      </c>
      <c r="F2860" s="71" t="s">
        <v>2090</v>
      </c>
      <c r="G2860" s="71" t="str">
        <f>MID(F2860,1,2)</f>
        <v>NO</v>
      </c>
      <c r="H2860" s="43" t="s">
        <v>4714</v>
      </c>
      <c r="I2860" s="71" t="s">
        <v>4715</v>
      </c>
      <c r="J2860" s="71" t="s">
        <v>386</v>
      </c>
      <c r="K2860" s="43"/>
      <c r="L2860" s="71" t="s">
        <v>107</v>
      </c>
      <c r="M2860" s="73">
        <v>969</v>
      </c>
      <c r="N2860" s="71" t="s">
        <v>388</v>
      </c>
      <c r="O2860" s="73">
        <v>4.464</v>
      </c>
      <c r="P2860" s="71" t="s">
        <v>389</v>
      </c>
      <c r="Q2860" s="73">
        <v>1000</v>
      </c>
      <c r="R2860" s="71" t="s">
        <v>388</v>
      </c>
      <c r="S2860" s="73">
        <v>0</v>
      </c>
      <c r="T2860" s="71" t="s">
        <v>390</v>
      </c>
      <c r="U2860" s="74">
        <v>3</v>
      </c>
      <c r="V2860" s="71" t="s">
        <v>391</v>
      </c>
      <c r="W2860" s="130">
        <v>46089.592199074075</v>
      </c>
      <c r="X2860" s="72">
        <v>46092.552083333336</v>
      </c>
      <c r="Y2860" s="72">
        <v>46108.909722222219</v>
      </c>
      <c r="Z2860" s="104" t="s">
        <v>382</v>
      </c>
      <c r="AA2860" s="104" t="s">
        <v>4692</v>
      </c>
      <c r="AB2860" s="105">
        <v>46101.996527777781</v>
      </c>
      <c r="AC2860" s="105">
        <v>46102.125</v>
      </c>
    </row>
    <row r="2861" s="70" customFormat="1" ht="11.25" customHeight="1">
      <c r="A2861" s="87"/>
      <c r="C2861" s="43" t="s">
        <v>4713</v>
      </c>
      <c r="D2861" s="71" t="s">
        <v>382</v>
      </c>
      <c r="E2861" s="71" t="str">
        <f>MID(D2861,1,2)</f>
        <v>IL</v>
      </c>
      <c r="F2861" s="71" t="s">
        <v>2090</v>
      </c>
      <c r="G2861" s="71" t="str">
        <f>MID(F2861,1,2)</f>
        <v>NO</v>
      </c>
      <c r="H2861" s="43" t="s">
        <v>4714</v>
      </c>
      <c r="I2861" s="71" t="s">
        <v>4715</v>
      </c>
      <c r="J2861" s="71" t="s">
        <v>386</v>
      </c>
      <c r="K2861" s="43"/>
      <c r="L2861" s="71" t="s">
        <v>107</v>
      </c>
      <c r="M2861" s="73">
        <v>969</v>
      </c>
      <c r="N2861" s="71" t="s">
        <v>388</v>
      </c>
      <c r="O2861" s="73">
        <v>4.464</v>
      </c>
      <c r="P2861" s="71" t="s">
        <v>389</v>
      </c>
      <c r="Q2861" s="73">
        <v>1000</v>
      </c>
      <c r="R2861" s="71" t="s">
        <v>388</v>
      </c>
      <c r="S2861" s="73">
        <v>0</v>
      </c>
      <c r="T2861" s="71" t="s">
        <v>390</v>
      </c>
      <c r="U2861" s="74">
        <v>3</v>
      </c>
      <c r="V2861" s="71" t="s">
        <v>391</v>
      </c>
      <c r="W2861" s="130">
        <v>46089.592199074075</v>
      </c>
      <c r="X2861" s="72">
        <v>46092.552083333336</v>
      </c>
      <c r="Y2861" s="72">
        <v>46108.909722222219</v>
      </c>
      <c r="Z2861" s="104" t="s">
        <v>4692</v>
      </c>
      <c r="AA2861" s="104" t="s">
        <v>2090</v>
      </c>
      <c r="AB2861" s="105"/>
      <c r="AC2861" s="105"/>
    </row>
    <row r="2862" s="70" customFormat="1" ht="11.25" customHeight="1">
      <c r="A2862" s="87"/>
      <c r="C2862" s="43" t="s">
        <v>4716</v>
      </c>
      <c r="D2862" s="71" t="s">
        <v>382</v>
      </c>
      <c r="E2862" s="71" t="str">
        <f>MID(D2862,1,2)</f>
        <v>IL</v>
      </c>
      <c r="F2862" s="71" t="s">
        <v>522</v>
      </c>
      <c r="G2862" s="71" t="str">
        <f>MID(F2862,1,2)</f>
        <v>CZ</v>
      </c>
      <c r="H2862" s="43" t="s">
        <v>4717</v>
      </c>
      <c r="I2862" s="71" t="s">
        <v>4718</v>
      </c>
      <c r="J2862" s="71" t="s">
        <v>400</v>
      </c>
      <c r="K2862" s="43"/>
      <c r="L2862" s="71" t="s">
        <v>105</v>
      </c>
      <c r="M2862" s="73">
        <v>573</v>
      </c>
      <c r="N2862" s="71" t="s">
        <v>388</v>
      </c>
      <c r="O2862" s="73">
        <v>5.857</v>
      </c>
      <c r="P2862" s="71" t="s">
        <v>389</v>
      </c>
      <c r="Q2862" s="73">
        <v>976.5</v>
      </c>
      <c r="R2862" s="71" t="s">
        <v>388</v>
      </c>
      <c r="S2862" s="73">
        <v>0</v>
      </c>
      <c r="T2862" s="71" t="s">
        <v>390</v>
      </c>
      <c r="U2862" s="74">
        <v>6</v>
      </c>
      <c r="V2862" s="71" t="s">
        <v>391</v>
      </c>
      <c r="W2862" s="130">
        <v>46089.487754629627</v>
      </c>
      <c r="X2862" s="72">
        <v>46095.770833333336</v>
      </c>
      <c r="Y2862" s="72">
        <v>46099.875</v>
      </c>
      <c r="Z2862" s="104" t="s">
        <v>382</v>
      </c>
      <c r="AA2862" s="104" t="s">
        <v>466</v>
      </c>
      <c r="AB2862" s="105">
        <v>46095.770833333336</v>
      </c>
      <c r="AC2862" s="105">
        <v>46095.89166666667</v>
      </c>
    </row>
    <row r="2863" s="70" customFormat="1" ht="11.25" customHeight="1">
      <c r="A2863" s="87"/>
      <c r="C2863" s="43" t="s">
        <v>4716</v>
      </c>
      <c r="D2863" s="71" t="s">
        <v>382</v>
      </c>
      <c r="E2863" s="71" t="str">
        <f>MID(D2863,1,2)</f>
        <v>IL</v>
      </c>
      <c r="F2863" s="71" t="s">
        <v>522</v>
      </c>
      <c r="G2863" s="71" t="str">
        <f>MID(F2863,1,2)</f>
        <v>CZ</v>
      </c>
      <c r="H2863" s="43" t="s">
        <v>4717</v>
      </c>
      <c r="I2863" s="71" t="s">
        <v>4718</v>
      </c>
      <c r="J2863" s="71" t="s">
        <v>400</v>
      </c>
      <c r="K2863" s="43"/>
      <c r="L2863" s="71" t="s">
        <v>105</v>
      </c>
      <c r="M2863" s="73">
        <v>573</v>
      </c>
      <c r="N2863" s="71" t="s">
        <v>388</v>
      </c>
      <c r="O2863" s="73">
        <v>5.857</v>
      </c>
      <c r="P2863" s="71" t="s">
        <v>389</v>
      </c>
      <c r="Q2863" s="73">
        <v>976.5</v>
      </c>
      <c r="R2863" s="71" t="s">
        <v>388</v>
      </c>
      <c r="S2863" s="73">
        <v>0</v>
      </c>
      <c r="T2863" s="71" t="s">
        <v>390</v>
      </c>
      <c r="U2863" s="74">
        <v>6</v>
      </c>
      <c r="V2863" s="71" t="s">
        <v>391</v>
      </c>
      <c r="W2863" s="130">
        <v>46089.487754629627</v>
      </c>
      <c r="X2863" s="72">
        <v>46095.770833333336</v>
      </c>
      <c r="Y2863" s="72">
        <v>46099.875</v>
      </c>
      <c r="Z2863" s="104" t="s">
        <v>466</v>
      </c>
      <c r="AA2863" s="104" t="s">
        <v>522</v>
      </c>
      <c r="AB2863" s="105">
        <v>46097.992361111108</v>
      </c>
      <c r="AC2863" s="105">
        <v>46099.984722222223</v>
      </c>
    </row>
    <row r="2864" s="70" customFormat="1" ht="11.25" customHeight="1">
      <c r="A2864" s="87"/>
      <c r="C2864" s="43" t="s">
        <v>4719</v>
      </c>
      <c r="D2864" s="71" t="s">
        <v>382</v>
      </c>
      <c r="E2864" s="71" t="str">
        <f>MID(D2864,1,2)</f>
        <v>IL</v>
      </c>
      <c r="F2864" s="71" t="s">
        <v>383</v>
      </c>
      <c r="G2864" s="71" t="str">
        <f>MID(F2864,1,2)</f>
        <v>DE</v>
      </c>
      <c r="H2864" s="43" t="s">
        <v>3495</v>
      </c>
      <c r="I2864" s="71" t="s">
        <v>4720</v>
      </c>
      <c r="J2864" s="71" t="s">
        <v>400</v>
      </c>
      <c r="K2864" s="43"/>
      <c r="L2864" s="71" t="s">
        <v>105</v>
      </c>
      <c r="M2864" s="73">
        <v>8</v>
      </c>
      <c r="N2864" s="71" t="s">
        <v>388</v>
      </c>
      <c r="O2864" s="73">
        <v>0.098</v>
      </c>
      <c r="P2864" s="71" t="s">
        <v>389</v>
      </c>
      <c r="Q2864" s="73">
        <v>16.5</v>
      </c>
      <c r="R2864" s="71" t="s">
        <v>388</v>
      </c>
      <c r="S2864" s="73">
        <v>0</v>
      </c>
      <c r="T2864" s="71" t="s">
        <v>390</v>
      </c>
      <c r="U2864" s="74">
        <v>1</v>
      </c>
      <c r="V2864" s="71" t="s">
        <v>391</v>
      </c>
      <c r="W2864" s="130">
        <v>46087.638888888891</v>
      </c>
      <c r="X2864" s="72">
        <v>46092</v>
      </c>
      <c r="Y2864" s="72">
        <v>46100.496527777781</v>
      </c>
      <c r="Z2864" s="104" t="s">
        <v>382</v>
      </c>
      <c r="AA2864" s="104" t="s">
        <v>383</v>
      </c>
      <c r="AB2864" s="105">
        <v>46100.42291666667</v>
      </c>
      <c r="AC2864" s="105">
        <v>46100.552777777775</v>
      </c>
    </row>
    <row r="2865" s="70" customFormat="1" ht="11.25" customHeight="1">
      <c r="A2865" s="87"/>
      <c r="C2865" s="43" t="s">
        <v>4721</v>
      </c>
      <c r="D2865" s="71" t="s">
        <v>382</v>
      </c>
      <c r="E2865" s="71" t="str">
        <f>MID(D2865,1,2)</f>
        <v>IL</v>
      </c>
      <c r="F2865" s="71" t="s">
        <v>414</v>
      </c>
      <c r="G2865" s="71" t="str">
        <f>MID(F2865,1,2)</f>
        <v>US</v>
      </c>
      <c r="H2865" s="43" t="s">
        <v>4697</v>
      </c>
      <c r="I2865" s="71" t="s">
        <v>4722</v>
      </c>
      <c r="J2865" s="71" t="s">
        <v>386</v>
      </c>
      <c r="K2865" s="43"/>
      <c r="L2865" s="71" t="s">
        <v>107</v>
      </c>
      <c r="M2865" s="73">
        <v>18</v>
      </c>
      <c r="N2865" s="71" t="s">
        <v>388</v>
      </c>
      <c r="O2865" s="73">
        <v>0.07</v>
      </c>
      <c r="P2865" s="71" t="s">
        <v>389</v>
      </c>
      <c r="Q2865" s="73">
        <v>18</v>
      </c>
      <c r="R2865" s="71" t="s">
        <v>388</v>
      </c>
      <c r="S2865" s="73">
        <v>0</v>
      </c>
      <c r="T2865" s="71" t="s">
        <v>390</v>
      </c>
      <c r="U2865" s="74">
        <v>1</v>
      </c>
      <c r="V2865" s="71" t="s">
        <v>446</v>
      </c>
      <c r="W2865" s="130">
        <v>46091.542361111111</v>
      </c>
      <c r="X2865" s="72">
        <v>46099.854166666664</v>
      </c>
      <c r="Y2865" s="72">
        <v>46102.791666666664</v>
      </c>
      <c r="Z2865" s="104" t="s">
        <v>382</v>
      </c>
      <c r="AA2865" s="104" t="s">
        <v>414</v>
      </c>
      <c r="AB2865" s="105">
        <v>46100.102083333331</v>
      </c>
      <c r="AC2865" s="105">
        <v>46100.31527777778</v>
      </c>
    </row>
    <row r="2866" s="70" customFormat="1" ht="11.25" customHeight="1">
      <c r="A2866" s="87"/>
      <c r="C2866" s="43" t="s">
        <v>4723</v>
      </c>
      <c r="D2866" s="71" t="s">
        <v>382</v>
      </c>
      <c r="E2866" s="71" t="str">
        <f>MID(D2866,1,2)</f>
        <v>IL</v>
      </c>
      <c r="F2866" s="71" t="s">
        <v>1163</v>
      </c>
      <c r="G2866" s="71" t="str">
        <f>MID(F2866,1,2)</f>
        <v>AR</v>
      </c>
      <c r="H2866" s="43" t="s">
        <v>4724</v>
      </c>
      <c r="I2866" s="71" t="s">
        <v>4725</v>
      </c>
      <c r="J2866" s="71" t="s">
        <v>811</v>
      </c>
      <c r="K2866" s="43"/>
      <c r="L2866" s="71" t="s">
        <v>105</v>
      </c>
      <c r="M2866" s="73">
        <v>182</v>
      </c>
      <c r="N2866" s="71" t="s">
        <v>388</v>
      </c>
      <c r="O2866" s="73">
        <v>0.371</v>
      </c>
      <c r="P2866" s="71" t="s">
        <v>389</v>
      </c>
      <c r="Q2866" s="73">
        <v>182</v>
      </c>
      <c r="R2866" s="71" t="s">
        <v>388</v>
      </c>
      <c r="S2866" s="73">
        <v>0</v>
      </c>
      <c r="T2866" s="71" t="s">
        <v>390</v>
      </c>
      <c r="U2866" s="74">
        <v>6</v>
      </c>
      <c r="V2866" s="71" t="s">
        <v>391</v>
      </c>
      <c r="W2866" s="130">
        <v>46089.438194444447</v>
      </c>
      <c r="X2866" s="72">
        <v>46090.78125</v>
      </c>
      <c r="Y2866" s="72">
        <v>46095.431944444441</v>
      </c>
      <c r="Z2866" s="104" t="s">
        <v>382</v>
      </c>
      <c r="AA2866" s="104" t="s">
        <v>684</v>
      </c>
      <c r="AB2866" s="105">
        <v>46090.84375</v>
      </c>
      <c r="AC2866" s="105">
        <v>46090.980555555558</v>
      </c>
    </row>
    <row r="2867" s="70" customFormat="1" ht="11.25" customHeight="1">
      <c r="A2867" s="87"/>
      <c r="C2867" s="43" t="s">
        <v>4723</v>
      </c>
      <c r="D2867" s="71" t="s">
        <v>382</v>
      </c>
      <c r="E2867" s="71" t="str">
        <f>MID(D2867,1,2)</f>
        <v>IL</v>
      </c>
      <c r="F2867" s="71" t="s">
        <v>1163</v>
      </c>
      <c r="G2867" s="71" t="str">
        <f>MID(F2867,1,2)</f>
        <v>AR</v>
      </c>
      <c r="H2867" s="43" t="s">
        <v>4724</v>
      </c>
      <c r="I2867" s="71" t="s">
        <v>4725</v>
      </c>
      <c r="J2867" s="71" t="s">
        <v>811</v>
      </c>
      <c r="K2867" s="43"/>
      <c r="L2867" s="71" t="s">
        <v>105</v>
      </c>
      <c r="M2867" s="73">
        <v>182</v>
      </c>
      <c r="N2867" s="71" t="s">
        <v>388</v>
      </c>
      <c r="O2867" s="73">
        <v>0.371</v>
      </c>
      <c r="P2867" s="71" t="s">
        <v>389</v>
      </c>
      <c r="Q2867" s="73">
        <v>182</v>
      </c>
      <c r="R2867" s="71" t="s">
        <v>388</v>
      </c>
      <c r="S2867" s="73">
        <v>0</v>
      </c>
      <c r="T2867" s="71" t="s">
        <v>390</v>
      </c>
      <c r="U2867" s="74">
        <v>6</v>
      </c>
      <c r="V2867" s="71" t="s">
        <v>391</v>
      </c>
      <c r="W2867" s="130">
        <v>46089.438194444447</v>
      </c>
      <c r="X2867" s="72">
        <v>46090.78125</v>
      </c>
      <c r="Y2867" s="72">
        <v>46095.431944444441</v>
      </c>
      <c r="Z2867" s="104" t="s">
        <v>684</v>
      </c>
      <c r="AA2867" s="104" t="s">
        <v>590</v>
      </c>
      <c r="AB2867" s="105">
        <v>46092.461111111108</v>
      </c>
      <c r="AC2867" s="105">
        <v>46092.545138888891</v>
      </c>
    </row>
    <row r="2868" s="70" customFormat="1" ht="11.25" customHeight="1">
      <c r="A2868" s="87"/>
      <c r="C2868" s="43" t="s">
        <v>4723</v>
      </c>
      <c r="D2868" s="71" t="s">
        <v>382</v>
      </c>
      <c r="E2868" s="71" t="str">
        <f>MID(D2868,1,2)</f>
        <v>IL</v>
      </c>
      <c r="F2868" s="71" t="s">
        <v>1163</v>
      </c>
      <c r="G2868" s="71" t="str">
        <f>MID(F2868,1,2)</f>
        <v>AR</v>
      </c>
      <c r="H2868" s="43" t="s">
        <v>4724</v>
      </c>
      <c r="I2868" s="71" t="s">
        <v>4725</v>
      </c>
      <c r="J2868" s="71" t="s">
        <v>811</v>
      </c>
      <c r="K2868" s="43"/>
      <c r="L2868" s="71" t="s">
        <v>105</v>
      </c>
      <c r="M2868" s="73">
        <v>182</v>
      </c>
      <c r="N2868" s="71" t="s">
        <v>388</v>
      </c>
      <c r="O2868" s="73">
        <v>0.371</v>
      </c>
      <c r="P2868" s="71" t="s">
        <v>389</v>
      </c>
      <c r="Q2868" s="73">
        <v>182</v>
      </c>
      <c r="R2868" s="71" t="s">
        <v>388</v>
      </c>
      <c r="S2868" s="73">
        <v>0</v>
      </c>
      <c r="T2868" s="71" t="s">
        <v>390</v>
      </c>
      <c r="U2868" s="74">
        <v>6</v>
      </c>
      <c r="V2868" s="71" t="s">
        <v>391</v>
      </c>
      <c r="W2868" s="130">
        <v>46089.438194444447</v>
      </c>
      <c r="X2868" s="72">
        <v>46090.78125</v>
      </c>
      <c r="Y2868" s="72">
        <v>46095.431944444441</v>
      </c>
      <c r="Z2868" s="104" t="s">
        <v>590</v>
      </c>
      <c r="AA2868" s="104" t="s">
        <v>1163</v>
      </c>
      <c r="AB2868" s="105">
        <v>46093</v>
      </c>
      <c r="AC2868" s="105">
        <v>46093.35625</v>
      </c>
    </row>
    <row r="2869" s="70" customFormat="1" ht="11.25" customHeight="1">
      <c r="A2869" s="87"/>
      <c r="C2869" s="43" t="s">
        <v>4726</v>
      </c>
      <c r="D2869" s="71" t="s">
        <v>382</v>
      </c>
      <c r="E2869" s="71" t="str">
        <f>MID(D2869,1,2)</f>
        <v>IL</v>
      </c>
      <c r="F2869" s="71" t="s">
        <v>978</v>
      </c>
      <c r="G2869" s="71" t="str">
        <f>MID(F2869,1,2)</f>
        <v>PL</v>
      </c>
      <c r="H2869" s="43"/>
      <c r="I2869" s="71" t="s">
        <v>4727</v>
      </c>
      <c r="J2869" s="71" t="s">
        <v>811</v>
      </c>
      <c r="K2869" s="43"/>
      <c r="L2869" s="71" t="s">
        <v>105</v>
      </c>
      <c r="M2869" s="73">
        <v>180</v>
      </c>
      <c r="N2869" s="71" t="s">
        <v>388</v>
      </c>
      <c r="O2869" s="73">
        <v>0.967</v>
      </c>
      <c r="P2869" s="71" t="s">
        <v>389</v>
      </c>
      <c r="Q2869" s="73">
        <v>180</v>
      </c>
      <c r="R2869" s="71" t="s">
        <v>388</v>
      </c>
      <c r="S2869" s="73">
        <v>0</v>
      </c>
      <c r="T2869" s="71" t="s">
        <v>390</v>
      </c>
      <c r="U2869" s="74">
        <v>1</v>
      </c>
      <c r="V2869" s="71" t="s">
        <v>391</v>
      </c>
      <c r="W2869" s="130">
        <v>46089.762129629627</v>
      </c>
      <c r="X2869" s="72">
        <v>46090.552083333336</v>
      </c>
      <c r="Y2869" s="72">
        <v>46091.236111111109</v>
      </c>
      <c r="Z2869" s="104"/>
      <c r="AA2869" s="104"/>
      <c r="AB2869" s="105"/>
      <c r="AC2869" s="105"/>
    </row>
    <row r="2870" s="70" customFormat="1" ht="11.25" customHeight="1">
      <c r="A2870" s="87"/>
      <c r="C2870" s="43" t="s">
        <v>4728</v>
      </c>
      <c r="D2870" s="71" t="s">
        <v>382</v>
      </c>
      <c r="E2870" s="71" t="str">
        <f>MID(D2870,1,2)</f>
        <v>IL</v>
      </c>
      <c r="F2870" s="71" t="s">
        <v>414</v>
      </c>
      <c r="G2870" s="71" t="str">
        <f>MID(F2870,1,2)</f>
        <v>US</v>
      </c>
      <c r="H2870" s="43" t="s">
        <v>4187</v>
      </c>
      <c r="I2870" s="71" t="s">
        <v>4729</v>
      </c>
      <c r="J2870" s="71" t="s">
        <v>426</v>
      </c>
      <c r="K2870" s="43"/>
      <c r="L2870" s="71" t="s">
        <v>105</v>
      </c>
      <c r="M2870" s="73">
        <v>9</v>
      </c>
      <c r="N2870" s="71" t="s">
        <v>388</v>
      </c>
      <c r="O2870" s="73">
        <v>0.044</v>
      </c>
      <c r="P2870" s="71" t="s">
        <v>389</v>
      </c>
      <c r="Q2870" s="73">
        <v>9</v>
      </c>
      <c r="R2870" s="71" t="s">
        <v>388</v>
      </c>
      <c r="S2870" s="73">
        <v>0</v>
      </c>
      <c r="T2870" s="71" t="s">
        <v>390</v>
      </c>
      <c r="U2870" s="74">
        <v>1</v>
      </c>
      <c r="V2870" s="71" t="s">
        <v>427</v>
      </c>
      <c r="W2870" s="130">
        <v>46089.354166666664</v>
      </c>
      <c r="X2870" s="72">
        <v>46091.875</v>
      </c>
      <c r="Y2870" s="72">
        <v>46094.458333333336</v>
      </c>
      <c r="Z2870" s="104" t="s">
        <v>382</v>
      </c>
      <c r="AA2870" s="104" t="s">
        <v>414</v>
      </c>
      <c r="AB2870" s="105">
        <v>46091.955555555556</v>
      </c>
      <c r="AC2870" s="105">
        <v>46094.475</v>
      </c>
    </row>
    <row r="2871" s="70" customFormat="1" ht="11.25" customHeight="1">
      <c r="A2871" s="87"/>
      <c r="C2871" s="43" t="s">
        <v>4730</v>
      </c>
      <c r="D2871" s="71" t="s">
        <v>382</v>
      </c>
      <c r="E2871" s="71" t="str">
        <f>MID(D2871,1,2)</f>
        <v>IL</v>
      </c>
      <c r="F2871" s="71" t="s">
        <v>414</v>
      </c>
      <c r="G2871" s="71" t="str">
        <f>MID(F2871,1,2)</f>
        <v>US</v>
      </c>
      <c r="H2871" s="43" t="s">
        <v>4187</v>
      </c>
      <c r="I2871" s="71" t="s">
        <v>4731</v>
      </c>
      <c r="J2871" s="71" t="s">
        <v>426</v>
      </c>
      <c r="K2871" s="43"/>
      <c r="L2871" s="71" t="s">
        <v>105</v>
      </c>
      <c r="M2871" s="73">
        <v>6</v>
      </c>
      <c r="N2871" s="71" t="s">
        <v>388</v>
      </c>
      <c r="O2871" s="73">
        <v>0.033</v>
      </c>
      <c r="P2871" s="71" t="s">
        <v>389</v>
      </c>
      <c r="Q2871" s="73">
        <v>6</v>
      </c>
      <c r="R2871" s="71" t="s">
        <v>388</v>
      </c>
      <c r="S2871" s="73">
        <v>0</v>
      </c>
      <c r="T2871" s="71" t="s">
        <v>390</v>
      </c>
      <c r="U2871" s="74">
        <v>1</v>
      </c>
      <c r="V2871" s="71" t="s">
        <v>427</v>
      </c>
      <c r="W2871" s="130">
        <v>46089.381944444445</v>
      </c>
      <c r="X2871" s="72">
        <v>46091.875</v>
      </c>
      <c r="Y2871" s="72">
        <v>46094.458333333336</v>
      </c>
      <c r="Z2871" s="104" t="s">
        <v>382</v>
      </c>
      <c r="AA2871" s="104" t="s">
        <v>414</v>
      </c>
      <c r="AB2871" s="105">
        <v>46091.955555555556</v>
      </c>
      <c r="AC2871" s="105">
        <v>46094.475</v>
      </c>
    </row>
    <row r="2872" s="70" customFormat="1" ht="11.25" customHeight="1">
      <c r="A2872" s="87"/>
      <c r="C2872" s="43" t="s">
        <v>4732</v>
      </c>
      <c r="D2872" s="71" t="s">
        <v>382</v>
      </c>
      <c r="E2872" s="71" t="str">
        <f>MID(D2872,1,2)</f>
        <v>IL</v>
      </c>
      <c r="F2872" s="71" t="s">
        <v>684</v>
      </c>
      <c r="G2872" s="71" t="str">
        <f>MID(F2872,1,2)</f>
        <v>IT</v>
      </c>
      <c r="H2872" s="43" t="s">
        <v>4733</v>
      </c>
      <c r="I2872" s="71" t="s">
        <v>4734</v>
      </c>
      <c r="J2872" s="71" t="s">
        <v>386</v>
      </c>
      <c r="K2872" s="43"/>
      <c r="L2872" s="71" t="s">
        <v>107</v>
      </c>
      <c r="M2872" s="73">
        <v>316</v>
      </c>
      <c r="N2872" s="71" t="s">
        <v>388</v>
      </c>
      <c r="O2872" s="73">
        <v>1.671</v>
      </c>
      <c r="P2872" s="71" t="s">
        <v>389</v>
      </c>
      <c r="Q2872" s="73">
        <v>316</v>
      </c>
      <c r="R2872" s="71" t="s">
        <v>388</v>
      </c>
      <c r="S2872" s="73">
        <v>0</v>
      </c>
      <c r="T2872" s="71" t="s">
        <v>390</v>
      </c>
      <c r="U2872" s="74">
        <v>2</v>
      </c>
      <c r="V2872" s="71" t="s">
        <v>391</v>
      </c>
      <c r="W2872" s="130">
        <v>46090.878113425926</v>
      </c>
      <c r="X2872" s="72">
        <v>46097</v>
      </c>
      <c r="Y2872" s="72">
        <v>46098.997916666667</v>
      </c>
      <c r="Z2872" s="104" t="s">
        <v>382</v>
      </c>
      <c r="AA2872" s="104" t="s">
        <v>684</v>
      </c>
      <c r="AB2872" s="105">
        <v>46098.85833333333</v>
      </c>
      <c r="AC2872" s="105">
        <v>46098.991666666669</v>
      </c>
    </row>
    <row r="2873" s="70" customFormat="1" ht="11.25" customHeight="1">
      <c r="A2873" s="87"/>
      <c r="C2873" s="43" t="s">
        <v>4735</v>
      </c>
      <c r="D2873" s="71" t="s">
        <v>382</v>
      </c>
      <c r="E2873" s="71" t="str">
        <f>MID(D2873,1,2)</f>
        <v>IL</v>
      </c>
      <c r="F2873" s="71" t="s">
        <v>651</v>
      </c>
      <c r="G2873" s="71" t="str">
        <f>MID(F2873,1,2)</f>
        <v>BR</v>
      </c>
      <c r="H2873" s="43" t="s">
        <v>4226</v>
      </c>
      <c r="I2873" s="71" t="s">
        <v>4736</v>
      </c>
      <c r="J2873" s="71" t="s">
        <v>386</v>
      </c>
      <c r="K2873" s="43"/>
      <c r="L2873" s="71" t="s">
        <v>107</v>
      </c>
      <c r="M2873" s="73">
        <v>20</v>
      </c>
      <c r="N2873" s="71" t="s">
        <v>388</v>
      </c>
      <c r="O2873" s="73">
        <v>0.211</v>
      </c>
      <c r="P2873" s="71" t="s">
        <v>389</v>
      </c>
      <c r="Q2873" s="73">
        <v>35.5</v>
      </c>
      <c r="R2873" s="71" t="s">
        <v>388</v>
      </c>
      <c r="S2873" s="73">
        <v>0</v>
      </c>
      <c r="T2873" s="71" t="s">
        <v>390</v>
      </c>
      <c r="U2873" s="74">
        <v>1</v>
      </c>
      <c r="V2873" s="71" t="s">
        <v>391</v>
      </c>
      <c r="W2873" s="130">
        <v>46089.396527777775</v>
      </c>
      <c r="X2873" s="72">
        <v>46093.979166666664</v>
      </c>
      <c r="Y2873" s="72">
        <v>46101.375</v>
      </c>
      <c r="Z2873" s="104" t="s">
        <v>382</v>
      </c>
      <c r="AA2873" s="104" t="s">
        <v>408</v>
      </c>
      <c r="AB2873" s="105">
        <v>46096.902083333334</v>
      </c>
      <c r="AC2873" s="105"/>
    </row>
    <row r="2874" s="70" customFormat="1" ht="11.25" customHeight="1">
      <c r="A2874" s="87"/>
      <c r="C2874" s="43" t="s">
        <v>4735</v>
      </c>
      <c r="D2874" s="71" t="s">
        <v>382</v>
      </c>
      <c r="E2874" s="71" t="str">
        <f>MID(D2874,1,2)</f>
        <v>IL</v>
      </c>
      <c r="F2874" s="71" t="s">
        <v>651</v>
      </c>
      <c r="G2874" s="71" t="str">
        <f>MID(F2874,1,2)</f>
        <v>BR</v>
      </c>
      <c r="H2874" s="43" t="s">
        <v>4226</v>
      </c>
      <c r="I2874" s="71" t="s">
        <v>4736</v>
      </c>
      <c r="J2874" s="71" t="s">
        <v>386</v>
      </c>
      <c r="K2874" s="43"/>
      <c r="L2874" s="71" t="s">
        <v>107</v>
      </c>
      <c r="M2874" s="73">
        <v>20</v>
      </c>
      <c r="N2874" s="71" t="s">
        <v>388</v>
      </c>
      <c r="O2874" s="73">
        <v>0.211</v>
      </c>
      <c r="P2874" s="71" t="s">
        <v>389</v>
      </c>
      <c r="Q2874" s="73">
        <v>35.5</v>
      </c>
      <c r="R2874" s="71" t="s">
        <v>388</v>
      </c>
      <c r="S2874" s="73">
        <v>0</v>
      </c>
      <c r="T2874" s="71" t="s">
        <v>390</v>
      </c>
      <c r="U2874" s="74">
        <v>1</v>
      </c>
      <c r="V2874" s="71" t="s">
        <v>391</v>
      </c>
      <c r="W2874" s="130">
        <v>46089.396527777775</v>
      </c>
      <c r="X2874" s="72">
        <v>46093.979166666664</v>
      </c>
      <c r="Y2874" s="72">
        <v>46101.375</v>
      </c>
      <c r="Z2874" s="104" t="s">
        <v>408</v>
      </c>
      <c r="AA2874" s="104" t="s">
        <v>480</v>
      </c>
      <c r="AB2874" s="105">
        <v>46099.482638888891</v>
      </c>
      <c r="AC2874" s="105">
        <v>46099.616666666669</v>
      </c>
    </row>
    <row r="2875" s="70" customFormat="1" ht="11.25" customHeight="1">
      <c r="A2875" s="87"/>
      <c r="C2875" s="43" t="s">
        <v>4735</v>
      </c>
      <c r="D2875" s="71" t="s">
        <v>382</v>
      </c>
      <c r="E2875" s="71" t="str">
        <f>MID(D2875,1,2)</f>
        <v>IL</v>
      </c>
      <c r="F2875" s="71" t="s">
        <v>651</v>
      </c>
      <c r="G2875" s="71" t="str">
        <f>MID(F2875,1,2)</f>
        <v>BR</v>
      </c>
      <c r="H2875" s="43" t="s">
        <v>4226</v>
      </c>
      <c r="I2875" s="71" t="s">
        <v>4736</v>
      </c>
      <c r="J2875" s="71" t="s">
        <v>386</v>
      </c>
      <c r="K2875" s="43"/>
      <c r="L2875" s="71" t="s">
        <v>107</v>
      </c>
      <c r="M2875" s="73">
        <v>20</v>
      </c>
      <c r="N2875" s="71" t="s">
        <v>388</v>
      </c>
      <c r="O2875" s="73">
        <v>0.211</v>
      </c>
      <c r="P2875" s="71" t="s">
        <v>389</v>
      </c>
      <c r="Q2875" s="73">
        <v>35.5</v>
      </c>
      <c r="R2875" s="71" t="s">
        <v>388</v>
      </c>
      <c r="S2875" s="73">
        <v>0</v>
      </c>
      <c r="T2875" s="71" t="s">
        <v>390</v>
      </c>
      <c r="U2875" s="74">
        <v>1</v>
      </c>
      <c r="V2875" s="71" t="s">
        <v>391</v>
      </c>
      <c r="W2875" s="130">
        <v>46089.396527777775</v>
      </c>
      <c r="X2875" s="72">
        <v>46093.979166666664</v>
      </c>
      <c r="Y2875" s="72">
        <v>46101.375</v>
      </c>
      <c r="Z2875" s="104" t="s">
        <v>405</v>
      </c>
      <c r="AA2875" s="104" t="s">
        <v>651</v>
      </c>
      <c r="AB2875" s="105">
        <v>46100.909722222219</v>
      </c>
      <c r="AC2875" s="105">
        <v>46101.381944444445</v>
      </c>
    </row>
    <row r="2876" s="70" customFormat="1" ht="11.25" customHeight="1">
      <c r="A2876" s="87"/>
      <c r="C2876" s="43" t="s">
        <v>4737</v>
      </c>
      <c r="D2876" s="71" t="s">
        <v>382</v>
      </c>
      <c r="E2876" s="71" t="str">
        <f>MID(D2876,1,2)</f>
        <v>IL</v>
      </c>
      <c r="F2876" s="71" t="s">
        <v>414</v>
      </c>
      <c r="G2876" s="71" t="str">
        <f>MID(F2876,1,2)</f>
        <v>US</v>
      </c>
      <c r="H2876" s="43" t="s">
        <v>4187</v>
      </c>
      <c r="I2876" s="71" t="s">
        <v>4738</v>
      </c>
      <c r="J2876" s="71" t="s">
        <v>454</v>
      </c>
      <c r="K2876" s="43"/>
      <c r="L2876" s="71" t="s">
        <v>107</v>
      </c>
      <c r="M2876" s="73">
        <v>1</v>
      </c>
      <c r="N2876" s="71" t="s">
        <v>388</v>
      </c>
      <c r="O2876" s="73">
        <v>0.006</v>
      </c>
      <c r="P2876" s="71" t="s">
        <v>389</v>
      </c>
      <c r="Q2876" s="73">
        <v>1</v>
      </c>
      <c r="R2876" s="71" t="s">
        <v>388</v>
      </c>
      <c r="S2876" s="73">
        <v>0</v>
      </c>
      <c r="T2876" s="71" t="s">
        <v>390</v>
      </c>
      <c r="U2876" s="74">
        <v>1</v>
      </c>
      <c r="V2876" s="71" t="s">
        <v>427</v>
      </c>
      <c r="W2876" s="130">
        <v>46089.43125</v>
      </c>
      <c r="X2876" s="72">
        <v>46091.875</v>
      </c>
      <c r="Y2876" s="72">
        <v>46094.458333333336</v>
      </c>
      <c r="Z2876" s="104" t="s">
        <v>382</v>
      </c>
      <c r="AA2876" s="104" t="s">
        <v>414</v>
      </c>
      <c r="AB2876" s="105">
        <v>46091.955555555556</v>
      </c>
      <c r="AC2876" s="105">
        <v>46094.475</v>
      </c>
    </row>
    <row r="2877" s="70" customFormat="1" ht="11.25" customHeight="1">
      <c r="A2877" s="87"/>
      <c r="C2877" s="43" t="s">
        <v>4739</v>
      </c>
      <c r="D2877" s="71" t="s">
        <v>382</v>
      </c>
      <c r="E2877" s="71" t="str">
        <f>MID(D2877,1,2)</f>
        <v>IL</v>
      </c>
      <c r="F2877" s="71" t="s">
        <v>1538</v>
      </c>
      <c r="G2877" s="71" t="str">
        <f>MID(F2877,1,2)</f>
        <v>KR</v>
      </c>
      <c r="H2877" s="43" t="s">
        <v>4740</v>
      </c>
      <c r="I2877" s="71" t="s">
        <v>4741</v>
      </c>
      <c r="J2877" s="71" t="s">
        <v>755</v>
      </c>
      <c r="K2877" s="43"/>
      <c r="L2877" s="71" t="s">
        <v>105</v>
      </c>
      <c r="M2877" s="73">
        <v>118</v>
      </c>
      <c r="N2877" s="71" t="s">
        <v>388</v>
      </c>
      <c r="O2877" s="73">
        <v>1.104</v>
      </c>
      <c r="P2877" s="71" t="s">
        <v>389</v>
      </c>
      <c r="Q2877" s="73">
        <v>184</v>
      </c>
      <c r="R2877" s="71" t="s">
        <v>388</v>
      </c>
      <c r="S2877" s="73">
        <v>0</v>
      </c>
      <c r="T2877" s="71" t="s">
        <v>390</v>
      </c>
      <c r="U2877" s="74">
        <v>1</v>
      </c>
      <c r="V2877" s="71" t="s">
        <v>391</v>
      </c>
      <c r="W2877" s="130">
        <v>46089.637083333335</v>
      </c>
      <c r="X2877" s="72">
        <v>46093.353472222225</v>
      </c>
      <c r="Y2877" s="72">
        <v>46098.579861111109</v>
      </c>
      <c r="Z2877" s="104" t="s">
        <v>382</v>
      </c>
      <c r="AA2877" s="104" t="s">
        <v>403</v>
      </c>
      <c r="AB2877" s="105">
        <v>46093.134722222225</v>
      </c>
      <c r="AC2877" s="105">
        <v>46093.914583333331</v>
      </c>
    </row>
    <row r="2878" s="70" customFormat="1" ht="11.25" customHeight="1">
      <c r="A2878" s="87"/>
      <c r="C2878" s="43" t="s">
        <v>4739</v>
      </c>
      <c r="D2878" s="71" t="s">
        <v>382</v>
      </c>
      <c r="E2878" s="71" t="str">
        <f>MID(D2878,1,2)</f>
        <v>IL</v>
      </c>
      <c r="F2878" s="71" t="s">
        <v>1538</v>
      </c>
      <c r="G2878" s="71" t="str">
        <f>MID(F2878,1,2)</f>
        <v>KR</v>
      </c>
      <c r="H2878" s="43" t="s">
        <v>4740</v>
      </c>
      <c r="I2878" s="71" t="s">
        <v>4741</v>
      </c>
      <c r="J2878" s="71" t="s">
        <v>755</v>
      </c>
      <c r="K2878" s="43"/>
      <c r="L2878" s="71" t="s">
        <v>105</v>
      </c>
      <c r="M2878" s="73">
        <v>118</v>
      </c>
      <c r="N2878" s="71" t="s">
        <v>388</v>
      </c>
      <c r="O2878" s="73">
        <v>1.104</v>
      </c>
      <c r="P2878" s="71" t="s">
        <v>389</v>
      </c>
      <c r="Q2878" s="73">
        <v>184</v>
      </c>
      <c r="R2878" s="71" t="s">
        <v>388</v>
      </c>
      <c r="S2878" s="73">
        <v>0</v>
      </c>
      <c r="T2878" s="71" t="s">
        <v>390</v>
      </c>
      <c r="U2878" s="74">
        <v>1</v>
      </c>
      <c r="V2878" s="71" t="s">
        <v>391</v>
      </c>
      <c r="W2878" s="130">
        <v>46089.637083333335</v>
      </c>
      <c r="X2878" s="72">
        <v>46093.353472222225</v>
      </c>
      <c r="Y2878" s="72">
        <v>46098.579861111109</v>
      </c>
      <c r="Z2878" s="104" t="s">
        <v>403</v>
      </c>
      <c r="AA2878" s="104" t="s">
        <v>1538</v>
      </c>
      <c r="AB2878" s="105">
        <v>46098.38958333333</v>
      </c>
      <c r="AC2878" s="105">
        <v>46098.569444444445</v>
      </c>
    </row>
    <row r="2879" s="70" customFormat="1" ht="11.25" customHeight="1">
      <c r="A2879" s="87"/>
      <c r="C2879" s="43" t="s">
        <v>4742</v>
      </c>
      <c r="D2879" s="71" t="s">
        <v>382</v>
      </c>
      <c r="E2879" s="71" t="str">
        <f>MID(D2879,1,2)</f>
        <v>IL</v>
      </c>
      <c r="F2879" s="71" t="s">
        <v>414</v>
      </c>
      <c r="G2879" s="71" t="str">
        <f>MID(F2879,1,2)</f>
        <v>US</v>
      </c>
      <c r="H2879" s="43" t="s">
        <v>4187</v>
      </c>
      <c r="I2879" s="71" t="s">
        <v>4743</v>
      </c>
      <c r="J2879" s="71" t="s">
        <v>386</v>
      </c>
      <c r="K2879" s="43" t="s">
        <v>431</v>
      </c>
      <c r="L2879" s="71" t="s">
        <v>107</v>
      </c>
      <c r="M2879" s="73">
        <v>12</v>
      </c>
      <c r="N2879" s="71" t="s">
        <v>388</v>
      </c>
      <c r="O2879" s="73">
        <v>0.298</v>
      </c>
      <c r="P2879" s="71" t="s">
        <v>389</v>
      </c>
      <c r="Q2879" s="73">
        <v>50</v>
      </c>
      <c r="R2879" s="71" t="s">
        <v>388</v>
      </c>
      <c r="S2879" s="73">
        <v>0</v>
      </c>
      <c r="T2879" s="71" t="s">
        <v>390</v>
      </c>
      <c r="U2879" s="74">
        <v>1</v>
      </c>
      <c r="V2879" s="71" t="s">
        <v>427</v>
      </c>
      <c r="W2879" s="130">
        <v>46089.479166666664</v>
      </c>
      <c r="X2879" s="72">
        <v>46091.875</v>
      </c>
      <c r="Y2879" s="72">
        <v>46094.458333333336</v>
      </c>
      <c r="Z2879" s="104" t="s">
        <v>382</v>
      </c>
      <c r="AA2879" s="104" t="s">
        <v>414</v>
      </c>
      <c r="AB2879" s="105">
        <v>46091.955555555556</v>
      </c>
      <c r="AC2879" s="105">
        <v>46094.475</v>
      </c>
    </row>
    <row r="2880" s="70" customFormat="1" ht="11.25" customHeight="1">
      <c r="A2880" s="87"/>
      <c r="C2880" s="43" t="s">
        <v>4744</v>
      </c>
      <c r="D2880" s="71" t="s">
        <v>382</v>
      </c>
      <c r="E2880" s="71" t="str">
        <f>MID(D2880,1,2)</f>
        <v>IL</v>
      </c>
      <c r="F2880" s="71" t="s">
        <v>978</v>
      </c>
      <c r="G2880" s="71" t="str">
        <f>MID(F2880,1,2)</f>
        <v>PL</v>
      </c>
      <c r="H2880" s="43" t="s">
        <v>4745</v>
      </c>
      <c r="I2880" s="71" t="s">
        <v>4746</v>
      </c>
      <c r="J2880" s="71" t="s">
        <v>426</v>
      </c>
      <c r="K2880" s="43"/>
      <c r="L2880" s="71" t="s">
        <v>105</v>
      </c>
      <c r="M2880" s="73">
        <v>168</v>
      </c>
      <c r="N2880" s="71" t="s">
        <v>388</v>
      </c>
      <c r="O2880" s="73">
        <v>2.184</v>
      </c>
      <c r="P2880" s="71" t="s">
        <v>389</v>
      </c>
      <c r="Q2880" s="73">
        <v>364</v>
      </c>
      <c r="R2880" s="71" t="s">
        <v>388</v>
      </c>
      <c r="S2880" s="73">
        <v>0</v>
      </c>
      <c r="T2880" s="71" t="s">
        <v>390</v>
      </c>
      <c r="U2880" s="74">
        <v>1</v>
      </c>
      <c r="V2880" s="71" t="s">
        <v>391</v>
      </c>
      <c r="W2880" s="130">
        <v>46096.431493055556</v>
      </c>
      <c r="X2880" s="72">
        <v>46099.6875</v>
      </c>
      <c r="Y2880" s="72">
        <v>46106.791666666664</v>
      </c>
      <c r="Z2880" s="104" t="s">
        <v>382</v>
      </c>
      <c r="AA2880" s="104" t="s">
        <v>466</v>
      </c>
      <c r="AB2880" s="105"/>
      <c r="AC2880" s="105"/>
    </row>
    <row r="2881" s="70" customFormat="1" ht="11.25" customHeight="1">
      <c r="A2881" s="87"/>
      <c r="C2881" s="43" t="s">
        <v>4744</v>
      </c>
      <c r="D2881" s="71" t="s">
        <v>382</v>
      </c>
      <c r="E2881" s="71" t="str">
        <f>MID(D2881,1,2)</f>
        <v>IL</v>
      </c>
      <c r="F2881" s="71" t="s">
        <v>978</v>
      </c>
      <c r="G2881" s="71" t="str">
        <f>MID(F2881,1,2)</f>
        <v>PL</v>
      </c>
      <c r="H2881" s="43" t="s">
        <v>4745</v>
      </c>
      <c r="I2881" s="71" t="s">
        <v>4746</v>
      </c>
      <c r="J2881" s="71" t="s">
        <v>426</v>
      </c>
      <c r="K2881" s="43"/>
      <c r="L2881" s="71" t="s">
        <v>105</v>
      </c>
      <c r="M2881" s="73">
        <v>168</v>
      </c>
      <c r="N2881" s="71" t="s">
        <v>388</v>
      </c>
      <c r="O2881" s="73">
        <v>2.184</v>
      </c>
      <c r="P2881" s="71" t="s">
        <v>389</v>
      </c>
      <c r="Q2881" s="73">
        <v>364</v>
      </c>
      <c r="R2881" s="71" t="s">
        <v>388</v>
      </c>
      <c r="S2881" s="73">
        <v>0</v>
      </c>
      <c r="T2881" s="71" t="s">
        <v>390</v>
      </c>
      <c r="U2881" s="74">
        <v>1</v>
      </c>
      <c r="V2881" s="71" t="s">
        <v>391</v>
      </c>
      <c r="W2881" s="130">
        <v>46096.431493055556</v>
      </c>
      <c r="X2881" s="72">
        <v>46099.6875</v>
      </c>
      <c r="Y2881" s="72">
        <v>46106.791666666664</v>
      </c>
      <c r="Z2881" s="104" t="s">
        <v>466</v>
      </c>
      <c r="AA2881" s="104" t="s">
        <v>978</v>
      </c>
      <c r="AB2881" s="105"/>
      <c r="AC2881" s="105"/>
    </row>
    <row r="2882" s="70" customFormat="1" ht="11.25" customHeight="1">
      <c r="A2882" s="87"/>
      <c r="C2882" s="43" t="s">
        <v>4747</v>
      </c>
      <c r="D2882" s="71" t="s">
        <v>382</v>
      </c>
      <c r="E2882" s="71" t="str">
        <f>MID(D2882,1,2)</f>
        <v>IL</v>
      </c>
      <c r="F2882" s="71" t="s">
        <v>4748</v>
      </c>
      <c r="G2882" s="71" t="str">
        <f>MID(F2882,1,2)</f>
        <v>CR</v>
      </c>
      <c r="H2882" s="43" t="s">
        <v>4749</v>
      </c>
      <c r="I2882" s="71" t="s">
        <v>4750</v>
      </c>
      <c r="J2882" s="71" t="s">
        <v>426</v>
      </c>
      <c r="K2882" s="43"/>
      <c r="L2882" s="71" t="s">
        <v>105</v>
      </c>
      <c r="M2882" s="73">
        <v>77</v>
      </c>
      <c r="N2882" s="71" t="s">
        <v>388</v>
      </c>
      <c r="O2882" s="73">
        <v>0.25</v>
      </c>
      <c r="P2882" s="71" t="s">
        <v>389</v>
      </c>
      <c r="Q2882" s="73">
        <v>100</v>
      </c>
      <c r="R2882" s="71" t="s">
        <v>388</v>
      </c>
      <c r="S2882" s="73">
        <v>0</v>
      </c>
      <c r="T2882" s="71" t="s">
        <v>390</v>
      </c>
      <c r="U2882" s="74">
        <v>1</v>
      </c>
      <c r="V2882" s="71" t="s">
        <v>391</v>
      </c>
      <c r="W2882" s="130">
        <v>46093.524930555555</v>
      </c>
      <c r="X2882" s="72">
        <v>46093.979166666664</v>
      </c>
      <c r="Y2882" s="72">
        <v>46103.229166666664</v>
      </c>
      <c r="Z2882" s="104" t="s">
        <v>382</v>
      </c>
      <c r="AA2882" s="104" t="s">
        <v>408</v>
      </c>
      <c r="AB2882" s="105">
        <v>46096.898611111108</v>
      </c>
      <c r="AC2882" s="105">
        <v>46096.982638888891</v>
      </c>
    </row>
    <row r="2883" s="70" customFormat="1" ht="11.25" customHeight="1">
      <c r="A2883" s="87"/>
      <c r="C2883" s="43" t="s">
        <v>4747</v>
      </c>
      <c r="D2883" s="71" t="s">
        <v>382</v>
      </c>
      <c r="E2883" s="71" t="str">
        <f>MID(D2883,1,2)</f>
        <v>IL</v>
      </c>
      <c r="F2883" s="71" t="s">
        <v>4748</v>
      </c>
      <c r="G2883" s="71" t="str">
        <f>MID(F2883,1,2)</f>
        <v>CR</v>
      </c>
      <c r="H2883" s="43" t="s">
        <v>4749</v>
      </c>
      <c r="I2883" s="71" t="s">
        <v>4750</v>
      </c>
      <c r="J2883" s="71" t="s">
        <v>426</v>
      </c>
      <c r="K2883" s="43"/>
      <c r="L2883" s="71" t="s">
        <v>105</v>
      </c>
      <c r="M2883" s="73">
        <v>77</v>
      </c>
      <c r="N2883" s="71" t="s">
        <v>388</v>
      </c>
      <c r="O2883" s="73">
        <v>0.25</v>
      </c>
      <c r="P2883" s="71" t="s">
        <v>389</v>
      </c>
      <c r="Q2883" s="73">
        <v>100</v>
      </c>
      <c r="R2883" s="71" t="s">
        <v>388</v>
      </c>
      <c r="S2883" s="73">
        <v>0</v>
      </c>
      <c r="T2883" s="71" t="s">
        <v>390</v>
      </c>
      <c r="U2883" s="74">
        <v>1</v>
      </c>
      <c r="V2883" s="71" t="s">
        <v>391</v>
      </c>
      <c r="W2883" s="130">
        <v>46093.524930555555</v>
      </c>
      <c r="X2883" s="72">
        <v>46093.979166666664</v>
      </c>
      <c r="Y2883" s="72">
        <v>46103.229166666664</v>
      </c>
      <c r="Z2883" s="104" t="s">
        <v>408</v>
      </c>
      <c r="AA2883" s="104" t="s">
        <v>405</v>
      </c>
      <c r="AB2883" s="105">
        <v>46100.503472222219</v>
      </c>
      <c r="AC2883" s="105">
        <v>46100.6875</v>
      </c>
    </row>
    <row r="2884" s="70" customFormat="1" ht="11.25" customHeight="1">
      <c r="A2884" s="87"/>
      <c r="C2884" s="43" t="s">
        <v>4747</v>
      </c>
      <c r="D2884" s="71" t="s">
        <v>382</v>
      </c>
      <c r="E2884" s="71" t="str">
        <f>MID(D2884,1,2)</f>
        <v>IL</v>
      </c>
      <c r="F2884" s="71" t="s">
        <v>4748</v>
      </c>
      <c r="G2884" s="71" t="str">
        <f>MID(F2884,1,2)</f>
        <v>CR</v>
      </c>
      <c r="H2884" s="43" t="s">
        <v>4749</v>
      </c>
      <c r="I2884" s="71" t="s">
        <v>4750</v>
      </c>
      <c r="J2884" s="71" t="s">
        <v>426</v>
      </c>
      <c r="K2884" s="43"/>
      <c r="L2884" s="71" t="s">
        <v>105</v>
      </c>
      <c r="M2884" s="73">
        <v>77</v>
      </c>
      <c r="N2884" s="71" t="s">
        <v>388</v>
      </c>
      <c r="O2884" s="73">
        <v>0.25</v>
      </c>
      <c r="P2884" s="71" t="s">
        <v>389</v>
      </c>
      <c r="Q2884" s="73">
        <v>100</v>
      </c>
      <c r="R2884" s="71" t="s">
        <v>388</v>
      </c>
      <c r="S2884" s="73">
        <v>0</v>
      </c>
      <c r="T2884" s="71" t="s">
        <v>390</v>
      </c>
      <c r="U2884" s="74">
        <v>1</v>
      </c>
      <c r="V2884" s="71" t="s">
        <v>391</v>
      </c>
      <c r="W2884" s="130">
        <v>46093.524930555555</v>
      </c>
      <c r="X2884" s="72">
        <v>46093.979166666664</v>
      </c>
      <c r="Y2884" s="72">
        <v>46103.229166666664</v>
      </c>
      <c r="Z2884" s="104" t="s">
        <v>405</v>
      </c>
      <c r="AA2884" s="104" t="s">
        <v>4748</v>
      </c>
      <c r="AB2884" s="105"/>
      <c r="AC2884" s="105"/>
    </row>
    <row r="2885" s="70" customFormat="1" ht="11.25" customHeight="1">
      <c r="A2885" s="87"/>
      <c r="C2885" s="43" t="s">
        <v>4751</v>
      </c>
      <c r="D2885" s="71" t="s">
        <v>382</v>
      </c>
      <c r="E2885" s="71" t="str">
        <f>MID(D2885,1,2)</f>
        <v>IL</v>
      </c>
      <c r="F2885" s="71" t="s">
        <v>4140</v>
      </c>
      <c r="G2885" s="71" t="str">
        <f>MID(F2885,1,2)</f>
        <v>CA</v>
      </c>
      <c r="H2885" s="43" t="s">
        <v>4752</v>
      </c>
      <c r="I2885" s="71" t="s">
        <v>4753</v>
      </c>
      <c r="J2885" s="71" t="s">
        <v>483</v>
      </c>
      <c r="K2885" s="43"/>
      <c r="L2885" s="71" t="s">
        <v>105</v>
      </c>
      <c r="M2885" s="73">
        <v>148</v>
      </c>
      <c r="N2885" s="71" t="s">
        <v>388</v>
      </c>
      <c r="O2885" s="73">
        <v>0.704</v>
      </c>
      <c r="P2885" s="71" t="s">
        <v>389</v>
      </c>
      <c r="Q2885" s="73">
        <v>148</v>
      </c>
      <c r="R2885" s="71" t="s">
        <v>388</v>
      </c>
      <c r="S2885" s="73">
        <v>0</v>
      </c>
      <c r="T2885" s="71" t="s">
        <v>390</v>
      </c>
      <c r="U2885" s="74">
        <v>1</v>
      </c>
      <c r="V2885" s="71" t="s">
        <v>391</v>
      </c>
      <c r="W2885" s="130">
        <v>46089.625</v>
      </c>
      <c r="X2885" s="72">
        <v>46096.979166666664</v>
      </c>
      <c r="Y2885" s="72">
        <v>46103.833333333336</v>
      </c>
      <c r="Z2885" s="104" t="s">
        <v>382</v>
      </c>
      <c r="AA2885" s="104" t="s">
        <v>408</v>
      </c>
      <c r="AB2885" s="105">
        <v>46096.147916666669</v>
      </c>
      <c r="AC2885" s="105"/>
    </row>
    <row r="2886" s="70" customFormat="1" ht="11.25" customHeight="1">
      <c r="A2886" s="87"/>
      <c r="C2886" s="43" t="s">
        <v>4751</v>
      </c>
      <c r="D2886" s="71" t="s">
        <v>382</v>
      </c>
      <c r="E2886" s="71" t="str">
        <f>MID(D2886,1,2)</f>
        <v>IL</v>
      </c>
      <c r="F2886" s="71" t="s">
        <v>4140</v>
      </c>
      <c r="G2886" s="71" t="str">
        <f>MID(F2886,1,2)</f>
        <v>CA</v>
      </c>
      <c r="H2886" s="43" t="s">
        <v>4752</v>
      </c>
      <c r="I2886" s="71" t="s">
        <v>4753</v>
      </c>
      <c r="J2886" s="71" t="s">
        <v>483</v>
      </c>
      <c r="K2886" s="43"/>
      <c r="L2886" s="71" t="s">
        <v>105</v>
      </c>
      <c r="M2886" s="73">
        <v>148</v>
      </c>
      <c r="N2886" s="71" t="s">
        <v>388</v>
      </c>
      <c r="O2886" s="73">
        <v>0.704</v>
      </c>
      <c r="P2886" s="71" t="s">
        <v>389</v>
      </c>
      <c r="Q2886" s="73">
        <v>148</v>
      </c>
      <c r="R2886" s="71" t="s">
        <v>388</v>
      </c>
      <c r="S2886" s="73">
        <v>0</v>
      </c>
      <c r="T2886" s="71" t="s">
        <v>390</v>
      </c>
      <c r="U2886" s="74">
        <v>1</v>
      </c>
      <c r="V2886" s="71" t="s">
        <v>391</v>
      </c>
      <c r="W2886" s="130">
        <v>46089.625</v>
      </c>
      <c r="X2886" s="72">
        <v>46096.979166666664</v>
      </c>
      <c r="Y2886" s="72">
        <v>46103.833333333336</v>
      </c>
      <c r="Z2886" s="104" t="s">
        <v>408</v>
      </c>
      <c r="AA2886" s="104" t="s">
        <v>480</v>
      </c>
      <c r="AB2886" s="105">
        <v>46099.450694444444</v>
      </c>
      <c r="AC2886" s="105">
        <v>46099.616666666669</v>
      </c>
    </row>
    <row r="2887" s="70" customFormat="1" ht="11.25" customHeight="1">
      <c r="A2887" s="87"/>
      <c r="C2887" s="43" t="s">
        <v>4751</v>
      </c>
      <c r="D2887" s="71" t="s">
        <v>382</v>
      </c>
      <c r="E2887" s="71" t="str">
        <f>MID(D2887,1,2)</f>
        <v>IL</v>
      </c>
      <c r="F2887" s="71" t="s">
        <v>4140</v>
      </c>
      <c r="G2887" s="71" t="str">
        <f>MID(F2887,1,2)</f>
        <v>CA</v>
      </c>
      <c r="H2887" s="43" t="s">
        <v>4752</v>
      </c>
      <c r="I2887" s="71" t="s">
        <v>4753</v>
      </c>
      <c r="J2887" s="71" t="s">
        <v>483</v>
      </c>
      <c r="K2887" s="43"/>
      <c r="L2887" s="71" t="s">
        <v>105</v>
      </c>
      <c r="M2887" s="73">
        <v>148</v>
      </c>
      <c r="N2887" s="71" t="s">
        <v>388</v>
      </c>
      <c r="O2887" s="73">
        <v>0.704</v>
      </c>
      <c r="P2887" s="71" t="s">
        <v>389</v>
      </c>
      <c r="Q2887" s="73">
        <v>148</v>
      </c>
      <c r="R2887" s="71" t="s">
        <v>388</v>
      </c>
      <c r="S2887" s="73">
        <v>0</v>
      </c>
      <c r="T2887" s="71" t="s">
        <v>390</v>
      </c>
      <c r="U2887" s="74">
        <v>1</v>
      </c>
      <c r="V2887" s="71" t="s">
        <v>391</v>
      </c>
      <c r="W2887" s="130">
        <v>46089.625</v>
      </c>
      <c r="X2887" s="72">
        <v>46096.979166666664</v>
      </c>
      <c r="Y2887" s="72">
        <v>46103.833333333336</v>
      </c>
      <c r="Z2887" s="104" t="s">
        <v>480</v>
      </c>
      <c r="AA2887" s="104" t="s">
        <v>4140</v>
      </c>
      <c r="AB2887" s="105">
        <v>46101.679166666669</v>
      </c>
      <c r="AC2887" s="105"/>
    </row>
    <row r="2888" s="70" customFormat="1" ht="11.25" customHeight="1">
      <c r="A2888" s="87"/>
      <c r="C2888" s="43" t="s">
        <v>4754</v>
      </c>
      <c r="D2888" s="71" t="s">
        <v>382</v>
      </c>
      <c r="E2888" s="71" t="str">
        <f>MID(D2888,1,2)</f>
        <v>IL</v>
      </c>
      <c r="F2888" s="71" t="s">
        <v>405</v>
      </c>
      <c r="G2888" s="71" t="str">
        <f>MID(F2888,1,2)</f>
        <v>CA</v>
      </c>
      <c r="H2888" s="43" t="s">
        <v>4755</v>
      </c>
      <c r="I2888" s="71" t="s">
        <v>4756</v>
      </c>
      <c r="J2888" s="71" t="s">
        <v>1135</v>
      </c>
      <c r="K2888" s="43"/>
      <c r="L2888" s="71" t="s">
        <v>107</v>
      </c>
      <c r="M2888" s="73">
        <v>78</v>
      </c>
      <c r="N2888" s="71" t="s">
        <v>388</v>
      </c>
      <c r="O2888" s="73">
        <v>0.523</v>
      </c>
      <c r="P2888" s="71" t="s">
        <v>389</v>
      </c>
      <c r="Q2888" s="73">
        <v>87.5</v>
      </c>
      <c r="R2888" s="71" t="s">
        <v>388</v>
      </c>
      <c r="S2888" s="73">
        <v>0</v>
      </c>
      <c r="T2888" s="71" t="s">
        <v>390</v>
      </c>
      <c r="U2888" s="74">
        <v>1</v>
      </c>
      <c r="V2888" s="71" t="s">
        <v>391</v>
      </c>
      <c r="W2888" s="130">
        <v>46090.417361111111</v>
      </c>
      <c r="X2888" s="72">
        <v>46096.979166666664</v>
      </c>
      <c r="Y2888" s="72">
        <v>46104.708333333336</v>
      </c>
      <c r="Z2888" s="104" t="s">
        <v>382</v>
      </c>
      <c r="AA2888" s="104" t="s">
        <v>408</v>
      </c>
      <c r="AB2888" s="105">
        <v>46101.17083333333</v>
      </c>
      <c r="AC2888" s="105"/>
    </row>
    <row r="2889" s="70" customFormat="1" ht="11.25" customHeight="1">
      <c r="A2889" s="87"/>
      <c r="C2889" s="43" t="s">
        <v>4754</v>
      </c>
      <c r="D2889" s="71" t="s">
        <v>382</v>
      </c>
      <c r="E2889" s="71" t="str">
        <f>MID(D2889,1,2)</f>
        <v>IL</v>
      </c>
      <c r="F2889" s="71" t="s">
        <v>405</v>
      </c>
      <c r="G2889" s="71" t="str">
        <f>MID(F2889,1,2)</f>
        <v>CA</v>
      </c>
      <c r="H2889" s="43" t="s">
        <v>4755</v>
      </c>
      <c r="I2889" s="71" t="s">
        <v>4756</v>
      </c>
      <c r="J2889" s="71" t="s">
        <v>1135</v>
      </c>
      <c r="K2889" s="43"/>
      <c r="L2889" s="71" t="s">
        <v>107</v>
      </c>
      <c r="M2889" s="73">
        <v>78</v>
      </c>
      <c r="N2889" s="71" t="s">
        <v>388</v>
      </c>
      <c r="O2889" s="73">
        <v>0.523</v>
      </c>
      <c r="P2889" s="71" t="s">
        <v>389</v>
      </c>
      <c r="Q2889" s="73">
        <v>87.5</v>
      </c>
      <c r="R2889" s="71" t="s">
        <v>388</v>
      </c>
      <c r="S2889" s="73">
        <v>0</v>
      </c>
      <c r="T2889" s="71" t="s">
        <v>390</v>
      </c>
      <c r="U2889" s="74">
        <v>1</v>
      </c>
      <c r="V2889" s="71" t="s">
        <v>391</v>
      </c>
      <c r="W2889" s="130">
        <v>46090.417361111111</v>
      </c>
      <c r="X2889" s="72">
        <v>46096.979166666664</v>
      </c>
      <c r="Y2889" s="72">
        <v>46104.708333333336</v>
      </c>
      <c r="Z2889" s="104" t="s">
        <v>408</v>
      </c>
      <c r="AA2889" s="104" t="s">
        <v>405</v>
      </c>
      <c r="AB2889" s="105"/>
      <c r="AC2889" s="105"/>
    </row>
    <row r="2890" s="70" customFormat="1" ht="11.25" customHeight="1">
      <c r="A2890" s="87"/>
      <c r="C2890" s="43" t="s">
        <v>4757</v>
      </c>
      <c r="D2890" s="71" t="s">
        <v>382</v>
      </c>
      <c r="E2890" s="71" t="str">
        <f>MID(D2890,1,2)</f>
        <v>IL</v>
      </c>
      <c r="F2890" s="71" t="s">
        <v>546</v>
      </c>
      <c r="G2890" s="71" t="str">
        <f>MID(F2890,1,2)</f>
        <v>GB</v>
      </c>
      <c r="H2890" s="43" t="s">
        <v>4758</v>
      </c>
      <c r="I2890" s="71" t="s">
        <v>4759</v>
      </c>
      <c r="J2890" s="71" t="s">
        <v>426</v>
      </c>
      <c r="K2890" s="43"/>
      <c r="L2890" s="71" t="s">
        <v>105</v>
      </c>
      <c r="M2890" s="73">
        <v>142</v>
      </c>
      <c r="N2890" s="71" t="s">
        <v>388</v>
      </c>
      <c r="O2890" s="73">
        <v>0.759</v>
      </c>
      <c r="P2890" s="71" t="s">
        <v>389</v>
      </c>
      <c r="Q2890" s="73">
        <v>142</v>
      </c>
      <c r="R2890" s="71" t="s">
        <v>388</v>
      </c>
      <c r="S2890" s="73">
        <v>0</v>
      </c>
      <c r="T2890" s="71" t="s">
        <v>390</v>
      </c>
      <c r="U2890" s="74">
        <v>1</v>
      </c>
      <c r="V2890" s="71" t="s">
        <v>391</v>
      </c>
      <c r="W2890" s="130">
        <v>46090.568888888891</v>
      </c>
      <c r="X2890" s="72">
        <v>46098.65347222222</v>
      </c>
      <c r="Y2890" s="72">
        <v>46105.5</v>
      </c>
      <c r="Z2890" s="104" t="s">
        <v>382</v>
      </c>
      <c r="AA2890" s="104" t="s">
        <v>4692</v>
      </c>
      <c r="AB2890" s="105">
        <v>46101.996527777781</v>
      </c>
      <c r="AC2890" s="105">
        <v>46102.125</v>
      </c>
    </row>
    <row r="2891" s="70" customFormat="1" ht="11.25" customHeight="1">
      <c r="A2891" s="87"/>
      <c r="C2891" s="43" t="s">
        <v>4757</v>
      </c>
      <c r="D2891" s="71" t="s">
        <v>382</v>
      </c>
      <c r="E2891" s="71" t="str">
        <f>MID(D2891,1,2)</f>
        <v>IL</v>
      </c>
      <c r="F2891" s="71" t="s">
        <v>546</v>
      </c>
      <c r="G2891" s="71" t="str">
        <f>MID(F2891,1,2)</f>
        <v>GB</v>
      </c>
      <c r="H2891" s="43" t="s">
        <v>4758</v>
      </c>
      <c r="I2891" s="71" t="s">
        <v>4759</v>
      </c>
      <c r="J2891" s="71" t="s">
        <v>426</v>
      </c>
      <c r="K2891" s="43"/>
      <c r="L2891" s="71" t="s">
        <v>105</v>
      </c>
      <c r="M2891" s="73">
        <v>142</v>
      </c>
      <c r="N2891" s="71" t="s">
        <v>388</v>
      </c>
      <c r="O2891" s="73">
        <v>0.759</v>
      </c>
      <c r="P2891" s="71" t="s">
        <v>389</v>
      </c>
      <c r="Q2891" s="73">
        <v>142</v>
      </c>
      <c r="R2891" s="71" t="s">
        <v>388</v>
      </c>
      <c r="S2891" s="73">
        <v>0</v>
      </c>
      <c r="T2891" s="71" t="s">
        <v>390</v>
      </c>
      <c r="U2891" s="74">
        <v>1</v>
      </c>
      <c r="V2891" s="71" t="s">
        <v>391</v>
      </c>
      <c r="W2891" s="130">
        <v>46090.568888888891</v>
      </c>
      <c r="X2891" s="72">
        <v>46098.65347222222</v>
      </c>
      <c r="Y2891" s="72">
        <v>46105.5</v>
      </c>
      <c r="Z2891" s="104" t="s">
        <v>4692</v>
      </c>
      <c r="AA2891" s="104" t="s">
        <v>546</v>
      </c>
      <c r="AB2891" s="105"/>
      <c r="AC2891" s="105"/>
    </row>
    <row r="2892" s="70" customFormat="1" ht="11.25" customHeight="1">
      <c r="A2892" s="87"/>
      <c r="C2892" s="43" t="s">
        <v>4760</v>
      </c>
      <c r="D2892" s="71" t="s">
        <v>382</v>
      </c>
      <c r="E2892" s="71" t="str">
        <f>MID(D2892,1,2)</f>
        <v>IL</v>
      </c>
      <c r="F2892" s="71" t="s">
        <v>963</v>
      </c>
      <c r="G2892" s="71" t="str">
        <f>MID(F2892,1,2)</f>
        <v>IN</v>
      </c>
      <c r="H2892" s="43" t="s">
        <v>4120</v>
      </c>
      <c r="I2892" s="71" t="s">
        <v>4761</v>
      </c>
      <c r="J2892" s="71" t="s">
        <v>426</v>
      </c>
      <c r="K2892" s="43"/>
      <c r="L2892" s="71" t="s">
        <v>105</v>
      </c>
      <c r="M2892" s="73">
        <v>2</v>
      </c>
      <c r="N2892" s="71" t="s">
        <v>388</v>
      </c>
      <c r="O2892" s="73">
        <v>0.023</v>
      </c>
      <c r="P2892" s="71" t="s">
        <v>389</v>
      </c>
      <c r="Q2892" s="73">
        <v>4</v>
      </c>
      <c r="R2892" s="71" t="s">
        <v>388</v>
      </c>
      <c r="S2892" s="73">
        <v>0</v>
      </c>
      <c r="T2892" s="71" t="s">
        <v>390</v>
      </c>
      <c r="U2892" s="74">
        <v>1</v>
      </c>
      <c r="V2892" s="71" t="s">
        <v>391</v>
      </c>
      <c r="W2892" s="130">
        <v>46091.725601851853</v>
      </c>
      <c r="X2892" s="72">
        <v>46093.371527777781</v>
      </c>
      <c r="Y2892" s="72">
        <v>46100.666666666664</v>
      </c>
      <c r="Z2892" s="104" t="s">
        <v>382</v>
      </c>
      <c r="AA2892" s="104" t="s">
        <v>402</v>
      </c>
      <c r="AB2892" s="105">
        <v>46093.429166666669</v>
      </c>
      <c r="AC2892" s="105">
        <v>46093.841666666667</v>
      </c>
    </row>
    <row r="2893" s="70" customFormat="1" ht="11.25" customHeight="1">
      <c r="A2893" s="87"/>
      <c r="C2893" s="43" t="s">
        <v>4760</v>
      </c>
      <c r="D2893" s="71" t="s">
        <v>382</v>
      </c>
      <c r="E2893" s="71" t="str">
        <f>MID(D2893,1,2)</f>
        <v>IL</v>
      </c>
      <c r="F2893" s="71" t="s">
        <v>963</v>
      </c>
      <c r="G2893" s="71" t="str">
        <f>MID(F2893,1,2)</f>
        <v>IN</v>
      </c>
      <c r="H2893" s="43" t="s">
        <v>4120</v>
      </c>
      <c r="I2893" s="71" t="s">
        <v>4761</v>
      </c>
      <c r="J2893" s="71" t="s">
        <v>426</v>
      </c>
      <c r="K2893" s="43"/>
      <c r="L2893" s="71" t="s">
        <v>105</v>
      </c>
      <c r="M2893" s="73">
        <v>2</v>
      </c>
      <c r="N2893" s="71" t="s">
        <v>388</v>
      </c>
      <c r="O2893" s="73">
        <v>0.023</v>
      </c>
      <c r="P2893" s="71" t="s">
        <v>389</v>
      </c>
      <c r="Q2893" s="73">
        <v>4</v>
      </c>
      <c r="R2893" s="71" t="s">
        <v>388</v>
      </c>
      <c r="S2893" s="73">
        <v>0</v>
      </c>
      <c r="T2893" s="71" t="s">
        <v>390</v>
      </c>
      <c r="U2893" s="74">
        <v>1</v>
      </c>
      <c r="V2893" s="71" t="s">
        <v>391</v>
      </c>
      <c r="W2893" s="130">
        <v>46091.725601851853</v>
      </c>
      <c r="X2893" s="72">
        <v>46093.371527777781</v>
      </c>
      <c r="Y2893" s="72">
        <v>46100.666666666664</v>
      </c>
      <c r="Z2893" s="104" t="s">
        <v>402</v>
      </c>
      <c r="AA2893" s="104" t="s">
        <v>809</v>
      </c>
      <c r="AB2893" s="105">
        <v>46093.888194444444</v>
      </c>
      <c r="AC2893" s="105">
        <v>46093.842361111114</v>
      </c>
    </row>
    <row r="2894" s="70" customFormat="1" ht="11.25" customHeight="1">
      <c r="A2894" s="87"/>
      <c r="C2894" s="43" t="s">
        <v>4760</v>
      </c>
      <c r="D2894" s="71" t="s">
        <v>382</v>
      </c>
      <c r="E2894" s="71" t="str">
        <f>MID(D2894,1,2)</f>
        <v>IL</v>
      </c>
      <c r="F2894" s="71" t="s">
        <v>963</v>
      </c>
      <c r="G2894" s="71" t="str">
        <f>MID(F2894,1,2)</f>
        <v>IN</v>
      </c>
      <c r="H2894" s="43" t="s">
        <v>4120</v>
      </c>
      <c r="I2894" s="71" t="s">
        <v>4761</v>
      </c>
      <c r="J2894" s="71" t="s">
        <v>426</v>
      </c>
      <c r="K2894" s="43"/>
      <c r="L2894" s="71" t="s">
        <v>105</v>
      </c>
      <c r="M2894" s="73">
        <v>2</v>
      </c>
      <c r="N2894" s="71" t="s">
        <v>388</v>
      </c>
      <c r="O2894" s="73">
        <v>0.023</v>
      </c>
      <c r="P2894" s="71" t="s">
        <v>389</v>
      </c>
      <c r="Q2894" s="73">
        <v>4</v>
      </c>
      <c r="R2894" s="71" t="s">
        <v>388</v>
      </c>
      <c r="S2894" s="73">
        <v>0</v>
      </c>
      <c r="T2894" s="71" t="s">
        <v>390</v>
      </c>
      <c r="U2894" s="74">
        <v>1</v>
      </c>
      <c r="V2894" s="71" t="s">
        <v>391</v>
      </c>
      <c r="W2894" s="130">
        <v>46091.725601851853</v>
      </c>
      <c r="X2894" s="72">
        <v>46093.371527777781</v>
      </c>
      <c r="Y2894" s="72">
        <v>46100.666666666664</v>
      </c>
      <c r="Z2894" s="104" t="s">
        <v>809</v>
      </c>
      <c r="AA2894" s="104" t="s">
        <v>963</v>
      </c>
      <c r="AB2894" s="105">
        <v>46098.365972222222</v>
      </c>
      <c r="AC2894" s="105">
        <v>46100.365972222222</v>
      </c>
    </row>
    <row r="2895" s="70" customFormat="1" ht="11.25" customHeight="1">
      <c r="A2895" s="87"/>
      <c r="C2895" s="43" t="s">
        <v>4762</v>
      </c>
      <c r="D2895" s="71" t="s">
        <v>382</v>
      </c>
      <c r="E2895" s="71" t="str">
        <f>MID(D2895,1,2)</f>
        <v>IL</v>
      </c>
      <c r="F2895" s="71" t="s">
        <v>667</v>
      </c>
      <c r="G2895" s="71" t="str">
        <f>MID(F2895,1,2)</f>
        <v>DE</v>
      </c>
      <c r="H2895" s="43" t="s">
        <v>4763</v>
      </c>
      <c r="I2895" s="71" t="s">
        <v>4764</v>
      </c>
      <c r="J2895" s="71" t="s">
        <v>386</v>
      </c>
      <c r="K2895" s="43"/>
      <c r="L2895" s="71" t="s">
        <v>107</v>
      </c>
      <c r="M2895" s="73">
        <v>296</v>
      </c>
      <c r="N2895" s="71" t="s">
        <v>388</v>
      </c>
      <c r="O2895" s="73">
        <v>3.072</v>
      </c>
      <c r="P2895" s="71" t="s">
        <v>389</v>
      </c>
      <c r="Q2895" s="73">
        <v>512</v>
      </c>
      <c r="R2895" s="71" t="s">
        <v>388</v>
      </c>
      <c r="S2895" s="73">
        <v>0</v>
      </c>
      <c r="T2895" s="71" t="s">
        <v>390</v>
      </c>
      <c r="U2895" s="74">
        <v>2</v>
      </c>
      <c r="V2895" s="71" t="s">
        <v>391</v>
      </c>
      <c r="W2895" s="130">
        <v>46092.625347222223</v>
      </c>
      <c r="X2895" s="72">
        <v>46094.576388888891</v>
      </c>
      <c r="Y2895" s="72">
        <v>46099.51666666667</v>
      </c>
      <c r="Z2895" s="104" t="s">
        <v>667</v>
      </c>
      <c r="AA2895" s="104" t="s">
        <v>677</v>
      </c>
      <c r="AB2895" s="105">
        <v>46099.51666666667</v>
      </c>
      <c r="AC2895" s="105">
        <v>46099.51666666667</v>
      </c>
    </row>
    <row r="2896" s="70" customFormat="1" ht="11.25" customHeight="1">
      <c r="A2896" s="87"/>
      <c r="C2896" s="43" t="s">
        <v>4762</v>
      </c>
      <c r="D2896" s="71" t="s">
        <v>382</v>
      </c>
      <c r="E2896" s="71" t="str">
        <f>MID(D2896,1,2)</f>
        <v>IL</v>
      </c>
      <c r="F2896" s="71" t="s">
        <v>667</v>
      </c>
      <c r="G2896" s="71" t="str">
        <f>MID(F2896,1,2)</f>
        <v>DE</v>
      </c>
      <c r="H2896" s="43" t="s">
        <v>4763</v>
      </c>
      <c r="I2896" s="71" t="s">
        <v>4764</v>
      </c>
      <c r="J2896" s="71" t="s">
        <v>386</v>
      </c>
      <c r="K2896" s="43"/>
      <c r="L2896" s="71" t="s">
        <v>107</v>
      </c>
      <c r="M2896" s="73">
        <v>296</v>
      </c>
      <c r="N2896" s="71" t="s">
        <v>388</v>
      </c>
      <c r="O2896" s="73">
        <v>3.072</v>
      </c>
      <c r="P2896" s="71" t="s">
        <v>389</v>
      </c>
      <c r="Q2896" s="73">
        <v>512</v>
      </c>
      <c r="R2896" s="71" t="s">
        <v>388</v>
      </c>
      <c r="S2896" s="73">
        <v>0</v>
      </c>
      <c r="T2896" s="71" t="s">
        <v>390</v>
      </c>
      <c r="U2896" s="74">
        <v>2</v>
      </c>
      <c r="V2896" s="71" t="s">
        <v>391</v>
      </c>
      <c r="W2896" s="130">
        <v>46092.625347222223</v>
      </c>
      <c r="X2896" s="72">
        <v>46094.576388888891</v>
      </c>
      <c r="Y2896" s="72">
        <v>46099.51666666667</v>
      </c>
      <c r="Z2896" s="104" t="s">
        <v>382</v>
      </c>
      <c r="AA2896" s="104" t="s">
        <v>466</v>
      </c>
      <c r="AB2896" s="105">
        <v>46095.015972222223</v>
      </c>
      <c r="AC2896" s="105">
        <v>46095.138888888891</v>
      </c>
    </row>
    <row r="2897" s="70" customFormat="1" ht="11.25" customHeight="1">
      <c r="A2897" s="87"/>
      <c r="C2897" s="43" t="s">
        <v>4762</v>
      </c>
      <c r="D2897" s="71" t="s">
        <v>382</v>
      </c>
      <c r="E2897" s="71" t="str">
        <f>MID(D2897,1,2)</f>
        <v>IL</v>
      </c>
      <c r="F2897" s="71" t="s">
        <v>667</v>
      </c>
      <c r="G2897" s="71" t="str">
        <f>MID(F2897,1,2)</f>
        <v>DE</v>
      </c>
      <c r="H2897" s="43" t="s">
        <v>4763</v>
      </c>
      <c r="I2897" s="71" t="s">
        <v>4764</v>
      </c>
      <c r="J2897" s="71" t="s">
        <v>386</v>
      </c>
      <c r="K2897" s="43"/>
      <c r="L2897" s="71" t="s">
        <v>107</v>
      </c>
      <c r="M2897" s="73">
        <v>296</v>
      </c>
      <c r="N2897" s="71" t="s">
        <v>388</v>
      </c>
      <c r="O2897" s="73">
        <v>3.072</v>
      </c>
      <c r="P2897" s="71" t="s">
        <v>389</v>
      </c>
      <c r="Q2897" s="73">
        <v>512</v>
      </c>
      <c r="R2897" s="71" t="s">
        <v>388</v>
      </c>
      <c r="S2897" s="73">
        <v>0</v>
      </c>
      <c r="T2897" s="71" t="s">
        <v>390</v>
      </c>
      <c r="U2897" s="74">
        <v>2</v>
      </c>
      <c r="V2897" s="71" t="s">
        <v>391</v>
      </c>
      <c r="W2897" s="130">
        <v>46092.625347222223</v>
      </c>
      <c r="X2897" s="72">
        <v>46094.576388888891</v>
      </c>
      <c r="Y2897" s="72">
        <v>46099.51666666667</v>
      </c>
      <c r="Z2897" s="104" t="s">
        <v>466</v>
      </c>
      <c r="AA2897" s="104" t="s">
        <v>667</v>
      </c>
      <c r="AB2897" s="105">
        <v>46095.854861111111</v>
      </c>
      <c r="AC2897" s="105">
        <v>46096.56875</v>
      </c>
    </row>
    <row r="2898" s="70" customFormat="1" ht="11.25" customHeight="1">
      <c r="A2898" s="87"/>
      <c r="C2898" s="43" t="s">
        <v>4765</v>
      </c>
      <c r="D2898" s="71" t="s">
        <v>382</v>
      </c>
      <c r="E2898" s="71" t="str">
        <f>MID(D2898,1,2)</f>
        <v>IL</v>
      </c>
      <c r="F2898" s="71" t="s">
        <v>414</v>
      </c>
      <c r="G2898" s="71" t="str">
        <f>MID(F2898,1,2)</f>
        <v>US</v>
      </c>
      <c r="H2898" s="43" t="s">
        <v>4187</v>
      </c>
      <c r="I2898" s="71" t="s">
        <v>4766</v>
      </c>
      <c r="J2898" s="71" t="s">
        <v>386</v>
      </c>
      <c r="K2898" s="43"/>
      <c r="L2898" s="71" t="s">
        <v>107</v>
      </c>
      <c r="M2898" s="73">
        <v>3</v>
      </c>
      <c r="N2898" s="71" t="s">
        <v>388</v>
      </c>
      <c r="O2898" s="73">
        <v>0.029</v>
      </c>
      <c r="P2898" s="71" t="s">
        <v>389</v>
      </c>
      <c r="Q2898" s="73">
        <v>5</v>
      </c>
      <c r="R2898" s="71" t="s">
        <v>388</v>
      </c>
      <c r="S2898" s="73">
        <v>0</v>
      </c>
      <c r="T2898" s="71" t="s">
        <v>390</v>
      </c>
      <c r="U2898" s="74">
        <v>1</v>
      </c>
      <c r="V2898" s="71" t="s">
        <v>427</v>
      </c>
      <c r="W2898" s="130">
        <v>46089.597916666666</v>
      </c>
      <c r="X2898" s="72">
        <v>46091.875</v>
      </c>
      <c r="Y2898" s="72">
        <v>46094.458333333336</v>
      </c>
      <c r="Z2898" s="104" t="s">
        <v>382</v>
      </c>
      <c r="AA2898" s="104" t="s">
        <v>414</v>
      </c>
      <c r="AB2898" s="105">
        <v>46091.955555555556</v>
      </c>
      <c r="AC2898" s="105">
        <v>46094.475</v>
      </c>
    </row>
    <row r="2899" s="70" customFormat="1" ht="11.25" customHeight="1">
      <c r="A2899" s="87"/>
      <c r="C2899" s="43" t="s">
        <v>4767</v>
      </c>
      <c r="D2899" s="71" t="s">
        <v>382</v>
      </c>
      <c r="E2899" s="71" t="str">
        <f>MID(D2899,1,2)</f>
        <v>IL</v>
      </c>
      <c r="F2899" s="71" t="s">
        <v>414</v>
      </c>
      <c r="G2899" s="71" t="str">
        <f>MID(F2899,1,2)</f>
        <v>US</v>
      </c>
      <c r="H2899" s="43" t="s">
        <v>4187</v>
      </c>
      <c r="I2899" s="71" t="s">
        <v>4768</v>
      </c>
      <c r="J2899" s="71" t="s">
        <v>386</v>
      </c>
      <c r="K2899" s="43"/>
      <c r="L2899" s="71" t="s">
        <v>107</v>
      </c>
      <c r="M2899" s="73">
        <v>3</v>
      </c>
      <c r="N2899" s="71" t="s">
        <v>388</v>
      </c>
      <c r="O2899" s="73">
        <v>0.029</v>
      </c>
      <c r="P2899" s="71" t="s">
        <v>389</v>
      </c>
      <c r="Q2899" s="73">
        <v>5</v>
      </c>
      <c r="R2899" s="71" t="s">
        <v>388</v>
      </c>
      <c r="S2899" s="73">
        <v>0</v>
      </c>
      <c r="T2899" s="71" t="s">
        <v>390</v>
      </c>
      <c r="U2899" s="74">
        <v>1</v>
      </c>
      <c r="V2899" s="71" t="s">
        <v>427</v>
      </c>
      <c r="W2899" s="130">
        <v>46089.604861111111</v>
      </c>
      <c r="X2899" s="72">
        <v>46091.875</v>
      </c>
      <c r="Y2899" s="72">
        <v>46094.458333333336</v>
      </c>
      <c r="Z2899" s="104" t="s">
        <v>382</v>
      </c>
      <c r="AA2899" s="104" t="s">
        <v>414</v>
      </c>
      <c r="AB2899" s="105">
        <v>46091.955555555556</v>
      </c>
      <c r="AC2899" s="105">
        <v>46094.475</v>
      </c>
    </row>
    <row r="2900" s="70" customFormat="1" ht="11.25" customHeight="1">
      <c r="A2900" s="87"/>
      <c r="C2900" s="43" t="s">
        <v>4769</v>
      </c>
      <c r="D2900" s="71" t="s">
        <v>382</v>
      </c>
      <c r="E2900" s="71" t="str">
        <f>MID(D2900,1,2)</f>
        <v>IL</v>
      </c>
      <c r="F2900" s="71" t="s">
        <v>414</v>
      </c>
      <c r="G2900" s="71" t="str">
        <f>MID(F2900,1,2)</f>
        <v>US</v>
      </c>
      <c r="H2900" s="43" t="s">
        <v>4187</v>
      </c>
      <c r="I2900" s="71" t="s">
        <v>4770</v>
      </c>
      <c r="J2900" s="71" t="s">
        <v>386</v>
      </c>
      <c r="K2900" s="43" t="s">
        <v>431</v>
      </c>
      <c r="L2900" s="71" t="s">
        <v>107</v>
      </c>
      <c r="M2900" s="73">
        <v>3</v>
      </c>
      <c r="N2900" s="71" t="s">
        <v>388</v>
      </c>
      <c r="O2900" s="73">
        <v>0.029</v>
      </c>
      <c r="P2900" s="71" t="s">
        <v>389</v>
      </c>
      <c r="Q2900" s="73">
        <v>5</v>
      </c>
      <c r="R2900" s="71" t="s">
        <v>388</v>
      </c>
      <c r="S2900" s="73">
        <v>0</v>
      </c>
      <c r="T2900" s="71" t="s">
        <v>390</v>
      </c>
      <c r="U2900" s="74">
        <v>1</v>
      </c>
      <c r="V2900" s="71" t="s">
        <v>427</v>
      </c>
      <c r="W2900" s="130">
        <v>46089.83520833333</v>
      </c>
      <c r="X2900" s="72">
        <v>46091.875</v>
      </c>
      <c r="Y2900" s="72">
        <v>46094.458333333336</v>
      </c>
      <c r="Z2900" s="104" t="s">
        <v>382</v>
      </c>
      <c r="AA2900" s="104" t="s">
        <v>414</v>
      </c>
      <c r="AB2900" s="105">
        <v>46091.955555555556</v>
      </c>
      <c r="AC2900" s="105">
        <v>46094.475</v>
      </c>
    </row>
    <row r="2901" s="70" customFormat="1" ht="11.25" customHeight="1">
      <c r="A2901" s="87"/>
      <c r="C2901" s="43" t="s">
        <v>4771</v>
      </c>
      <c r="D2901" s="71" t="s">
        <v>382</v>
      </c>
      <c r="E2901" s="71" t="str">
        <f>MID(D2901,1,2)</f>
        <v>IL</v>
      </c>
      <c r="F2901" s="71" t="s">
        <v>667</v>
      </c>
      <c r="G2901" s="71" t="str">
        <f>MID(F2901,1,2)</f>
        <v>DE</v>
      </c>
      <c r="H2901" s="43" t="s">
        <v>4480</v>
      </c>
      <c r="I2901" s="71" t="s">
        <v>4772</v>
      </c>
      <c r="J2901" s="71" t="s">
        <v>426</v>
      </c>
      <c r="K2901" s="43"/>
      <c r="L2901" s="71" t="s">
        <v>105</v>
      </c>
      <c r="M2901" s="73">
        <v>2</v>
      </c>
      <c r="N2901" s="71" t="s">
        <v>388</v>
      </c>
      <c r="O2901" s="73">
        <v>0.042</v>
      </c>
      <c r="P2901" s="71" t="s">
        <v>389</v>
      </c>
      <c r="Q2901" s="73">
        <v>7</v>
      </c>
      <c r="R2901" s="71" t="s">
        <v>388</v>
      </c>
      <c r="S2901" s="73">
        <v>0</v>
      </c>
      <c r="T2901" s="71" t="s">
        <v>390</v>
      </c>
      <c r="U2901" s="74">
        <v>1</v>
      </c>
      <c r="V2901" s="71" t="s">
        <v>391</v>
      </c>
      <c r="W2901" s="130">
        <v>46093.618726851855</v>
      </c>
      <c r="X2901" s="72">
        <v>46095.979166666664</v>
      </c>
      <c r="Y2901" s="72">
        <v>46099.753472222219</v>
      </c>
      <c r="Z2901" s="104" t="s">
        <v>382</v>
      </c>
      <c r="AA2901" s="104" t="s">
        <v>408</v>
      </c>
      <c r="AB2901" s="105">
        <v>46096.517361111109</v>
      </c>
      <c r="AC2901" s="105"/>
    </row>
    <row r="2902" s="70" customFormat="1" ht="11.25" customHeight="1">
      <c r="A2902" s="87"/>
      <c r="C2902" s="43" t="s">
        <v>4771</v>
      </c>
      <c r="D2902" s="71" t="s">
        <v>382</v>
      </c>
      <c r="E2902" s="71" t="str">
        <f>MID(D2902,1,2)</f>
        <v>IL</v>
      </c>
      <c r="F2902" s="71" t="s">
        <v>667</v>
      </c>
      <c r="G2902" s="71" t="str">
        <f>MID(F2902,1,2)</f>
        <v>DE</v>
      </c>
      <c r="H2902" s="43" t="s">
        <v>4480</v>
      </c>
      <c r="I2902" s="71" t="s">
        <v>4772</v>
      </c>
      <c r="J2902" s="71" t="s">
        <v>426</v>
      </c>
      <c r="K2902" s="43"/>
      <c r="L2902" s="71" t="s">
        <v>105</v>
      </c>
      <c r="M2902" s="73">
        <v>2</v>
      </c>
      <c r="N2902" s="71" t="s">
        <v>388</v>
      </c>
      <c r="O2902" s="73">
        <v>0.042</v>
      </c>
      <c r="P2902" s="71" t="s">
        <v>389</v>
      </c>
      <c r="Q2902" s="73">
        <v>7</v>
      </c>
      <c r="R2902" s="71" t="s">
        <v>388</v>
      </c>
      <c r="S2902" s="73">
        <v>0</v>
      </c>
      <c r="T2902" s="71" t="s">
        <v>390</v>
      </c>
      <c r="U2902" s="74">
        <v>1</v>
      </c>
      <c r="V2902" s="71" t="s">
        <v>391</v>
      </c>
      <c r="W2902" s="130">
        <v>46093.618726851855</v>
      </c>
      <c r="X2902" s="72">
        <v>46095.979166666664</v>
      </c>
      <c r="Y2902" s="72">
        <v>46099.753472222219</v>
      </c>
      <c r="Z2902" s="104" t="s">
        <v>408</v>
      </c>
      <c r="AA2902" s="104" t="s">
        <v>3173</v>
      </c>
      <c r="AB2902" s="105">
        <v>46098.791666666664</v>
      </c>
      <c r="AC2902" s="105"/>
    </row>
    <row r="2903" s="70" customFormat="1" ht="11.25" customHeight="1">
      <c r="A2903" s="87"/>
      <c r="C2903" s="43" t="s">
        <v>4771</v>
      </c>
      <c r="D2903" s="71" t="s">
        <v>382</v>
      </c>
      <c r="E2903" s="71" t="str">
        <f>MID(D2903,1,2)</f>
        <v>IL</v>
      </c>
      <c r="F2903" s="71" t="s">
        <v>667</v>
      </c>
      <c r="G2903" s="71" t="str">
        <f>MID(F2903,1,2)</f>
        <v>DE</v>
      </c>
      <c r="H2903" s="43" t="s">
        <v>4480</v>
      </c>
      <c r="I2903" s="71" t="s">
        <v>4772</v>
      </c>
      <c r="J2903" s="71" t="s">
        <v>426</v>
      </c>
      <c r="K2903" s="43"/>
      <c r="L2903" s="71" t="s">
        <v>105</v>
      </c>
      <c r="M2903" s="73">
        <v>2</v>
      </c>
      <c r="N2903" s="71" t="s">
        <v>388</v>
      </c>
      <c r="O2903" s="73">
        <v>0.042</v>
      </c>
      <c r="P2903" s="71" t="s">
        <v>389</v>
      </c>
      <c r="Q2903" s="73">
        <v>7</v>
      </c>
      <c r="R2903" s="71" t="s">
        <v>388</v>
      </c>
      <c r="S2903" s="73">
        <v>0</v>
      </c>
      <c r="T2903" s="71" t="s">
        <v>390</v>
      </c>
      <c r="U2903" s="74">
        <v>1</v>
      </c>
      <c r="V2903" s="71" t="s">
        <v>391</v>
      </c>
      <c r="W2903" s="130">
        <v>46093.618726851855</v>
      </c>
      <c r="X2903" s="72">
        <v>46095.979166666664</v>
      </c>
      <c r="Y2903" s="72">
        <v>46099.753472222219</v>
      </c>
      <c r="Z2903" s="104" t="s">
        <v>3173</v>
      </c>
      <c r="AA2903" s="104" t="s">
        <v>667</v>
      </c>
      <c r="AB2903" s="105">
        <v>46099.209027777775</v>
      </c>
      <c r="AC2903" s="105">
        <v>46099.625</v>
      </c>
    </row>
    <row r="2904" s="70" customFormat="1" ht="11.25" customHeight="1">
      <c r="A2904" s="87"/>
      <c r="C2904" s="43" t="s">
        <v>4773</v>
      </c>
      <c r="D2904" s="71" t="s">
        <v>382</v>
      </c>
      <c r="E2904" s="71" t="str">
        <f>MID(D2904,1,2)</f>
        <v>IL</v>
      </c>
      <c r="F2904" s="71" t="s">
        <v>4774</v>
      </c>
      <c r="G2904" s="71" t="str">
        <f>MID(F2904,1,2)</f>
        <v>RO</v>
      </c>
      <c r="H2904" s="43" t="s">
        <v>3999</v>
      </c>
      <c r="I2904" s="71" t="s">
        <v>4775</v>
      </c>
      <c r="J2904" s="71" t="s">
        <v>386</v>
      </c>
      <c r="K2904" s="43"/>
      <c r="L2904" s="71" t="s">
        <v>107</v>
      </c>
      <c r="M2904" s="73">
        <v>10</v>
      </c>
      <c r="N2904" s="71" t="s">
        <v>388</v>
      </c>
      <c r="O2904" s="73">
        <v>0.067</v>
      </c>
      <c r="P2904" s="71" t="s">
        <v>389</v>
      </c>
      <c r="Q2904" s="73">
        <v>11.5</v>
      </c>
      <c r="R2904" s="71" t="s">
        <v>388</v>
      </c>
      <c r="S2904" s="73">
        <v>0</v>
      </c>
      <c r="T2904" s="71" t="s">
        <v>390</v>
      </c>
      <c r="U2904" s="74">
        <v>3</v>
      </c>
      <c r="V2904" s="71" t="s">
        <v>391</v>
      </c>
      <c r="W2904" s="130">
        <v>46090.530891203707</v>
      </c>
      <c r="X2904" s="72">
        <v>46093</v>
      </c>
      <c r="Y2904" s="72">
        <v>46096.569444444445</v>
      </c>
      <c r="Z2904" s="104" t="s">
        <v>382</v>
      </c>
      <c r="AA2904" s="104" t="s">
        <v>496</v>
      </c>
      <c r="AB2904" s="105">
        <v>46096.452777777777</v>
      </c>
      <c r="AC2904" s="105">
        <v>46096.5625</v>
      </c>
    </row>
    <row r="2905" s="70" customFormat="1" ht="11.25" customHeight="1">
      <c r="A2905" s="87"/>
      <c r="C2905" s="43" t="s">
        <v>4776</v>
      </c>
      <c r="D2905" s="71" t="s">
        <v>382</v>
      </c>
      <c r="E2905" s="71" t="str">
        <f>MID(D2905,1,2)</f>
        <v>IL</v>
      </c>
      <c r="F2905" s="71" t="s">
        <v>774</v>
      </c>
      <c r="G2905" s="71" t="str">
        <f>MID(F2905,1,2)</f>
        <v>CN</v>
      </c>
      <c r="H2905" s="43" t="s">
        <v>4777</v>
      </c>
      <c r="I2905" s="71" t="s">
        <v>4778</v>
      </c>
      <c r="J2905" s="71" t="s">
        <v>755</v>
      </c>
      <c r="K2905" s="43"/>
      <c r="L2905" s="71" t="s">
        <v>105</v>
      </c>
      <c r="M2905" s="73">
        <v>4.7</v>
      </c>
      <c r="N2905" s="71" t="s">
        <v>388</v>
      </c>
      <c r="O2905" s="73">
        <v>0.105</v>
      </c>
      <c r="P2905" s="71" t="s">
        <v>389</v>
      </c>
      <c r="Q2905" s="73">
        <v>17.5</v>
      </c>
      <c r="R2905" s="71" t="s">
        <v>388</v>
      </c>
      <c r="S2905" s="73">
        <v>0</v>
      </c>
      <c r="T2905" s="71" t="s">
        <v>390</v>
      </c>
      <c r="U2905" s="74">
        <v>1</v>
      </c>
      <c r="V2905" s="71" t="s">
        <v>391</v>
      </c>
      <c r="W2905" s="130">
        <v>46090.562118055554</v>
      </c>
      <c r="X2905" s="72">
        <v>46092.75</v>
      </c>
      <c r="Y2905" s="72">
        <v>46095.677083333336</v>
      </c>
      <c r="Z2905" s="104" t="s">
        <v>382</v>
      </c>
      <c r="AA2905" s="104" t="s">
        <v>403</v>
      </c>
      <c r="AB2905" s="105">
        <v>46093.134722222225</v>
      </c>
      <c r="AC2905" s="105">
        <v>46093.913888888892</v>
      </c>
    </row>
    <row r="2906" s="70" customFormat="1" ht="11.25" customHeight="1">
      <c r="A2906" s="87"/>
      <c r="C2906" s="43" t="s">
        <v>4776</v>
      </c>
      <c r="D2906" s="71" t="s">
        <v>382</v>
      </c>
      <c r="E2906" s="71" t="str">
        <f>MID(D2906,1,2)</f>
        <v>IL</v>
      </c>
      <c r="F2906" s="71" t="s">
        <v>774</v>
      </c>
      <c r="G2906" s="71" t="str">
        <f>MID(F2906,1,2)</f>
        <v>CN</v>
      </c>
      <c r="H2906" s="43" t="s">
        <v>4777</v>
      </c>
      <c r="I2906" s="71" t="s">
        <v>4778</v>
      </c>
      <c r="J2906" s="71" t="s">
        <v>755</v>
      </c>
      <c r="K2906" s="43"/>
      <c r="L2906" s="71" t="s">
        <v>105</v>
      </c>
      <c r="M2906" s="73">
        <v>4.7</v>
      </c>
      <c r="N2906" s="71" t="s">
        <v>388</v>
      </c>
      <c r="O2906" s="73">
        <v>0.105</v>
      </c>
      <c r="P2906" s="71" t="s">
        <v>389</v>
      </c>
      <c r="Q2906" s="73">
        <v>17.5</v>
      </c>
      <c r="R2906" s="71" t="s">
        <v>388</v>
      </c>
      <c r="S2906" s="73">
        <v>0</v>
      </c>
      <c r="T2906" s="71" t="s">
        <v>390</v>
      </c>
      <c r="U2906" s="74">
        <v>1</v>
      </c>
      <c r="V2906" s="71" t="s">
        <v>391</v>
      </c>
      <c r="W2906" s="130">
        <v>46090.562118055554</v>
      </c>
      <c r="X2906" s="72">
        <v>46092.75</v>
      </c>
      <c r="Y2906" s="72">
        <v>46095.677083333336</v>
      </c>
      <c r="Z2906" s="104" t="s">
        <v>403</v>
      </c>
      <c r="AA2906" s="104" t="s">
        <v>774</v>
      </c>
      <c r="AB2906" s="105">
        <v>46095.564583333333</v>
      </c>
      <c r="AC2906" s="105">
        <v>46095.669444444444</v>
      </c>
    </row>
    <row r="2907" s="70" customFormat="1" ht="11.25" customHeight="1">
      <c r="A2907" s="87"/>
      <c r="C2907" s="43" t="s">
        <v>4779</v>
      </c>
      <c r="D2907" s="71" t="s">
        <v>382</v>
      </c>
      <c r="E2907" s="71" t="str">
        <f>MID(D2907,1,2)</f>
        <v>IL</v>
      </c>
      <c r="F2907" s="71" t="s">
        <v>414</v>
      </c>
      <c r="G2907" s="71" t="str">
        <f>MID(F2907,1,2)</f>
        <v>US</v>
      </c>
      <c r="H2907" s="43" t="s">
        <v>4187</v>
      </c>
      <c r="I2907" s="71" t="s">
        <v>4780</v>
      </c>
      <c r="J2907" s="71" t="s">
        <v>426</v>
      </c>
      <c r="K2907" s="43"/>
      <c r="L2907" s="71" t="s">
        <v>105</v>
      </c>
      <c r="M2907" s="73">
        <v>15</v>
      </c>
      <c r="N2907" s="71" t="s">
        <v>388</v>
      </c>
      <c r="O2907" s="73">
        <v>0.006</v>
      </c>
      <c r="P2907" s="71" t="s">
        <v>389</v>
      </c>
      <c r="Q2907" s="73">
        <v>15</v>
      </c>
      <c r="R2907" s="71" t="s">
        <v>388</v>
      </c>
      <c r="S2907" s="73">
        <v>0</v>
      </c>
      <c r="T2907" s="71" t="s">
        <v>390</v>
      </c>
      <c r="U2907" s="74">
        <v>1</v>
      </c>
      <c r="V2907" s="71" t="s">
        <v>427</v>
      </c>
      <c r="W2907" s="130">
        <v>46089.631944444445</v>
      </c>
      <c r="X2907" s="72">
        <v>46091.875</v>
      </c>
      <c r="Y2907" s="72">
        <v>46094.458333333336</v>
      </c>
      <c r="Z2907" s="104" t="s">
        <v>382</v>
      </c>
      <c r="AA2907" s="104" t="s">
        <v>414</v>
      </c>
      <c r="AB2907" s="105">
        <v>46091.955555555556</v>
      </c>
      <c r="AC2907" s="105">
        <v>46094.475</v>
      </c>
    </row>
    <row r="2908" s="70" customFormat="1" ht="11.25" customHeight="1">
      <c r="A2908" s="87"/>
      <c r="C2908" s="43" t="s">
        <v>4781</v>
      </c>
      <c r="D2908" s="71" t="s">
        <v>808</v>
      </c>
      <c r="E2908" s="71" t="str">
        <f>MID(D2908,1,2)</f>
        <v>IL</v>
      </c>
      <c r="F2908" s="71" t="s">
        <v>809</v>
      </c>
      <c r="G2908" s="71" t="str">
        <f>MID(F2908,1,2)</f>
        <v>IN</v>
      </c>
      <c r="H2908" s="43"/>
      <c r="I2908" s="71" t="s">
        <v>4782</v>
      </c>
      <c r="J2908" s="71" t="s">
        <v>811</v>
      </c>
      <c r="K2908" s="43"/>
      <c r="L2908" s="71" t="s">
        <v>105</v>
      </c>
      <c r="M2908" s="73">
        <v>0</v>
      </c>
      <c r="N2908" s="71" t="s">
        <v>388</v>
      </c>
      <c r="O2908" s="73">
        <v>0</v>
      </c>
      <c r="P2908" s="71" t="s">
        <v>389</v>
      </c>
      <c r="Q2908" s="73">
        <v>0</v>
      </c>
      <c r="R2908" s="71" t="s">
        <v>388</v>
      </c>
      <c r="S2908" s="73">
        <v>0</v>
      </c>
      <c r="T2908" s="71" t="s">
        <v>390</v>
      </c>
      <c r="U2908" s="74">
        <v>0</v>
      </c>
      <c r="V2908" s="71" t="s">
        <v>391</v>
      </c>
      <c r="W2908" s="130"/>
      <c r="X2908" s="72">
        <v>46089.632638888892</v>
      </c>
      <c r="Y2908" s="72">
        <v>46090.632638888892</v>
      </c>
      <c r="Z2908" s="104"/>
      <c r="AA2908" s="104"/>
      <c r="AB2908" s="105"/>
      <c r="AC2908" s="105"/>
    </row>
    <row r="2909" s="70" customFormat="1" ht="11.25" customHeight="1">
      <c r="A2909" s="87"/>
      <c r="C2909" s="43" t="s">
        <v>4783</v>
      </c>
      <c r="D2909" s="71" t="s">
        <v>382</v>
      </c>
      <c r="E2909" s="71" t="str">
        <f>MID(D2909,1,2)</f>
        <v>IL</v>
      </c>
      <c r="F2909" s="71" t="s">
        <v>383</v>
      </c>
      <c r="G2909" s="71" t="str">
        <f>MID(F2909,1,2)</f>
        <v>DE</v>
      </c>
      <c r="H2909" s="43" t="s">
        <v>4543</v>
      </c>
      <c r="I2909" s="71" t="s">
        <v>4784</v>
      </c>
      <c r="J2909" s="71" t="s">
        <v>386</v>
      </c>
      <c r="K2909" s="43"/>
      <c r="L2909" s="71" t="s">
        <v>107</v>
      </c>
      <c r="M2909" s="73">
        <v>686</v>
      </c>
      <c r="N2909" s="71" t="s">
        <v>388</v>
      </c>
      <c r="O2909" s="73">
        <v>6.259</v>
      </c>
      <c r="P2909" s="71" t="s">
        <v>389</v>
      </c>
      <c r="Q2909" s="73">
        <v>1043.5</v>
      </c>
      <c r="R2909" s="71" t="s">
        <v>388</v>
      </c>
      <c r="S2909" s="73">
        <v>0</v>
      </c>
      <c r="T2909" s="71" t="s">
        <v>390</v>
      </c>
      <c r="U2909" s="74">
        <v>5</v>
      </c>
      <c r="V2909" s="71" t="s">
        <v>391</v>
      </c>
      <c r="W2909" s="130">
        <v>46090.921527777777</v>
      </c>
      <c r="X2909" s="72">
        <v>46092</v>
      </c>
      <c r="Y2909" s="72">
        <v>46101.484722222223</v>
      </c>
      <c r="Z2909" s="104" t="s">
        <v>382</v>
      </c>
      <c r="AA2909" s="104" t="s">
        <v>466</v>
      </c>
      <c r="AB2909" s="105">
        <v>46096.841666666667</v>
      </c>
      <c r="AC2909" s="105">
        <v>46096.992361111108</v>
      </c>
    </row>
    <row r="2910" s="70" customFormat="1" ht="11.25" customHeight="1">
      <c r="A2910" s="87"/>
      <c r="C2910" s="43" t="s">
        <v>4783</v>
      </c>
      <c r="D2910" s="71" t="s">
        <v>382</v>
      </c>
      <c r="E2910" s="71" t="str">
        <f>MID(D2910,1,2)</f>
        <v>IL</v>
      </c>
      <c r="F2910" s="71" t="s">
        <v>383</v>
      </c>
      <c r="G2910" s="71" t="str">
        <f>MID(F2910,1,2)</f>
        <v>DE</v>
      </c>
      <c r="H2910" s="43" t="s">
        <v>4543</v>
      </c>
      <c r="I2910" s="71" t="s">
        <v>4784</v>
      </c>
      <c r="J2910" s="71" t="s">
        <v>386</v>
      </c>
      <c r="K2910" s="43"/>
      <c r="L2910" s="71" t="s">
        <v>107</v>
      </c>
      <c r="M2910" s="73">
        <v>686</v>
      </c>
      <c r="N2910" s="71" t="s">
        <v>388</v>
      </c>
      <c r="O2910" s="73">
        <v>6.259</v>
      </c>
      <c r="P2910" s="71" t="s">
        <v>389</v>
      </c>
      <c r="Q2910" s="73">
        <v>1043.5</v>
      </c>
      <c r="R2910" s="71" t="s">
        <v>388</v>
      </c>
      <c r="S2910" s="73">
        <v>0</v>
      </c>
      <c r="T2910" s="71" t="s">
        <v>390</v>
      </c>
      <c r="U2910" s="74">
        <v>5</v>
      </c>
      <c r="V2910" s="71" t="s">
        <v>391</v>
      </c>
      <c r="W2910" s="130">
        <v>46090.921527777777</v>
      </c>
      <c r="X2910" s="72">
        <v>46092</v>
      </c>
      <c r="Y2910" s="72">
        <v>46101.484722222223</v>
      </c>
      <c r="Z2910" s="104" t="s">
        <v>466</v>
      </c>
      <c r="AA2910" s="104" t="s">
        <v>383</v>
      </c>
      <c r="AB2910" s="105">
        <v>46100.682638888888</v>
      </c>
      <c r="AC2910" s="105">
        <v>46101.015972222223</v>
      </c>
    </row>
    <row r="2911" s="70" customFormat="1" ht="11.25" customHeight="1">
      <c r="A2911" s="87"/>
      <c r="C2911" s="43" t="s">
        <v>4785</v>
      </c>
      <c r="D2911" s="71" t="s">
        <v>382</v>
      </c>
      <c r="E2911" s="71" t="str">
        <f>MID(D2911,1,2)</f>
        <v>IL</v>
      </c>
      <c r="F2911" s="71" t="s">
        <v>403</v>
      </c>
      <c r="G2911" s="71" t="str">
        <f>MID(F2911,1,2)</f>
        <v>HK</v>
      </c>
      <c r="H2911" s="43" t="s">
        <v>4786</v>
      </c>
      <c r="I2911" s="71" t="s">
        <v>4787</v>
      </c>
      <c r="J2911" s="71" t="s">
        <v>386</v>
      </c>
      <c r="K2911" s="43"/>
      <c r="L2911" s="71" t="s">
        <v>107</v>
      </c>
      <c r="M2911" s="73">
        <v>421</v>
      </c>
      <c r="N2911" s="71" t="s">
        <v>388</v>
      </c>
      <c r="O2911" s="73">
        <v>4.32</v>
      </c>
      <c r="P2911" s="71" t="s">
        <v>389</v>
      </c>
      <c r="Q2911" s="73">
        <v>720</v>
      </c>
      <c r="R2911" s="71" t="s">
        <v>388</v>
      </c>
      <c r="S2911" s="73">
        <v>0</v>
      </c>
      <c r="T2911" s="71" t="s">
        <v>390</v>
      </c>
      <c r="U2911" s="74">
        <v>4</v>
      </c>
      <c r="V2911" s="71" t="s">
        <v>391</v>
      </c>
      <c r="W2911" s="130">
        <v>46098.375</v>
      </c>
      <c r="X2911" s="72">
        <v>46101.517361111109</v>
      </c>
      <c r="Y2911" s="72">
        <v>46105.350694444445</v>
      </c>
      <c r="Z2911" s="104" t="s">
        <v>382</v>
      </c>
      <c r="AA2911" s="104" t="s">
        <v>402</v>
      </c>
      <c r="AB2911" s="105">
        <v>46102.864583333336</v>
      </c>
      <c r="AC2911" s="105">
        <v>46102.892361111109</v>
      </c>
    </row>
    <row r="2912" s="70" customFormat="1" ht="11.25" customHeight="1">
      <c r="A2912" s="87"/>
      <c r="C2912" s="43" t="s">
        <v>4785</v>
      </c>
      <c r="D2912" s="71" t="s">
        <v>382</v>
      </c>
      <c r="E2912" s="71" t="str">
        <f>MID(D2912,1,2)</f>
        <v>IL</v>
      </c>
      <c r="F2912" s="71" t="s">
        <v>403</v>
      </c>
      <c r="G2912" s="71" t="str">
        <f>MID(F2912,1,2)</f>
        <v>HK</v>
      </c>
      <c r="H2912" s="43" t="s">
        <v>4786</v>
      </c>
      <c r="I2912" s="71" t="s">
        <v>4787</v>
      </c>
      <c r="J2912" s="71" t="s">
        <v>386</v>
      </c>
      <c r="K2912" s="43"/>
      <c r="L2912" s="71" t="s">
        <v>107</v>
      </c>
      <c r="M2912" s="73">
        <v>421</v>
      </c>
      <c r="N2912" s="71" t="s">
        <v>388</v>
      </c>
      <c r="O2912" s="73">
        <v>4.32</v>
      </c>
      <c r="P2912" s="71" t="s">
        <v>389</v>
      </c>
      <c r="Q2912" s="73">
        <v>720</v>
      </c>
      <c r="R2912" s="71" t="s">
        <v>388</v>
      </c>
      <c r="S2912" s="73">
        <v>0</v>
      </c>
      <c r="T2912" s="71" t="s">
        <v>390</v>
      </c>
      <c r="U2912" s="74">
        <v>4</v>
      </c>
      <c r="V2912" s="71" t="s">
        <v>391</v>
      </c>
      <c r="W2912" s="130">
        <v>46098.375</v>
      </c>
      <c r="X2912" s="72">
        <v>46101.517361111109</v>
      </c>
      <c r="Y2912" s="72">
        <v>46105.350694444445</v>
      </c>
      <c r="Z2912" s="104" t="s">
        <v>402</v>
      </c>
      <c r="AA2912" s="104" t="s">
        <v>403</v>
      </c>
      <c r="AB2912" s="105"/>
      <c r="AC2912" s="105"/>
    </row>
    <row r="2913" s="70" customFormat="1" ht="11.25" customHeight="1">
      <c r="A2913" s="87"/>
      <c r="C2913" s="43" t="s">
        <v>4788</v>
      </c>
      <c r="D2913" s="71" t="s">
        <v>382</v>
      </c>
      <c r="E2913" s="71" t="str">
        <f>MID(D2913,1,2)</f>
        <v>IL</v>
      </c>
      <c r="F2913" s="71" t="s">
        <v>667</v>
      </c>
      <c r="G2913" s="71" t="str">
        <f>MID(F2913,1,2)</f>
        <v>DE</v>
      </c>
      <c r="H2913" s="43" t="s">
        <v>4789</v>
      </c>
      <c r="I2913" s="71" t="s">
        <v>4790</v>
      </c>
      <c r="J2913" s="71" t="s">
        <v>559</v>
      </c>
      <c r="K2913" s="43"/>
      <c r="L2913" s="71" t="s">
        <v>107</v>
      </c>
      <c r="M2913" s="73">
        <v>3255</v>
      </c>
      <c r="N2913" s="71" t="s">
        <v>388</v>
      </c>
      <c r="O2913" s="73">
        <v>1.953</v>
      </c>
      <c r="P2913" s="71" t="s">
        <v>389</v>
      </c>
      <c r="Q2913" s="73">
        <v>3255</v>
      </c>
      <c r="R2913" s="71" t="s">
        <v>388</v>
      </c>
      <c r="S2913" s="73">
        <v>0</v>
      </c>
      <c r="T2913" s="71" t="s">
        <v>390</v>
      </c>
      <c r="U2913" s="74">
        <v>7</v>
      </c>
      <c r="V2913" s="71" t="s">
        <v>391</v>
      </c>
      <c r="W2913" s="130">
        <v>46090.410416666666</v>
      </c>
      <c r="X2913" s="72">
        <v>46095.166666666664</v>
      </c>
      <c r="Y2913" s="72">
        <v>46100.541666666664</v>
      </c>
      <c r="Z2913" s="104" t="s">
        <v>383</v>
      </c>
      <c r="AA2913" s="104" t="s">
        <v>667</v>
      </c>
      <c r="AB2913" s="105">
        <v>46098.958333333336</v>
      </c>
      <c r="AC2913" s="105">
        <v>46099.333333333336</v>
      </c>
    </row>
    <row r="2914" s="70" customFormat="1" ht="11.25" customHeight="1">
      <c r="A2914" s="87"/>
      <c r="C2914" s="43" t="s">
        <v>4788</v>
      </c>
      <c r="D2914" s="71" t="s">
        <v>382</v>
      </c>
      <c r="E2914" s="71" t="str">
        <f>MID(D2914,1,2)</f>
        <v>IL</v>
      </c>
      <c r="F2914" s="71" t="s">
        <v>667</v>
      </c>
      <c r="G2914" s="71" t="str">
        <f>MID(F2914,1,2)</f>
        <v>DE</v>
      </c>
      <c r="H2914" s="43" t="s">
        <v>4789</v>
      </c>
      <c r="I2914" s="71" t="s">
        <v>4790</v>
      </c>
      <c r="J2914" s="71" t="s">
        <v>559</v>
      </c>
      <c r="K2914" s="43"/>
      <c r="L2914" s="71" t="s">
        <v>107</v>
      </c>
      <c r="M2914" s="73">
        <v>3255</v>
      </c>
      <c r="N2914" s="71" t="s">
        <v>388</v>
      </c>
      <c r="O2914" s="73">
        <v>1.953</v>
      </c>
      <c r="P2914" s="71" t="s">
        <v>389</v>
      </c>
      <c r="Q2914" s="73">
        <v>3255</v>
      </c>
      <c r="R2914" s="71" t="s">
        <v>388</v>
      </c>
      <c r="S2914" s="73">
        <v>0</v>
      </c>
      <c r="T2914" s="71" t="s">
        <v>390</v>
      </c>
      <c r="U2914" s="74">
        <v>7</v>
      </c>
      <c r="V2914" s="71" t="s">
        <v>391</v>
      </c>
      <c r="W2914" s="130">
        <v>46090.410416666666</v>
      </c>
      <c r="X2914" s="72">
        <v>46095.166666666664</v>
      </c>
      <c r="Y2914" s="72">
        <v>46100.541666666664</v>
      </c>
      <c r="Z2914" s="104" t="s">
        <v>667</v>
      </c>
      <c r="AA2914" s="104" t="s">
        <v>1006</v>
      </c>
      <c r="AB2914" s="105">
        <v>46100.5</v>
      </c>
      <c r="AC2914" s="105">
        <v>46100.541666666664</v>
      </c>
    </row>
    <row r="2915" s="70" customFormat="1" ht="11.25" customHeight="1">
      <c r="A2915" s="87"/>
      <c r="C2915" s="43" t="s">
        <v>4788</v>
      </c>
      <c r="D2915" s="71" t="s">
        <v>382</v>
      </c>
      <c r="E2915" s="71" t="str">
        <f>MID(D2915,1,2)</f>
        <v>IL</v>
      </c>
      <c r="F2915" s="71" t="s">
        <v>667</v>
      </c>
      <c r="G2915" s="71" t="str">
        <f>MID(F2915,1,2)</f>
        <v>DE</v>
      </c>
      <c r="H2915" s="43" t="s">
        <v>4789</v>
      </c>
      <c r="I2915" s="71" t="s">
        <v>4790</v>
      </c>
      <c r="J2915" s="71" t="s">
        <v>559</v>
      </c>
      <c r="K2915" s="43"/>
      <c r="L2915" s="71" t="s">
        <v>107</v>
      </c>
      <c r="M2915" s="73">
        <v>3255</v>
      </c>
      <c r="N2915" s="71" t="s">
        <v>388</v>
      </c>
      <c r="O2915" s="73">
        <v>1.953</v>
      </c>
      <c r="P2915" s="71" t="s">
        <v>389</v>
      </c>
      <c r="Q2915" s="73">
        <v>3255</v>
      </c>
      <c r="R2915" s="71" t="s">
        <v>388</v>
      </c>
      <c r="S2915" s="73">
        <v>0</v>
      </c>
      <c r="T2915" s="71" t="s">
        <v>390</v>
      </c>
      <c r="U2915" s="74">
        <v>7</v>
      </c>
      <c r="V2915" s="71" t="s">
        <v>391</v>
      </c>
      <c r="W2915" s="130">
        <v>46090.410416666666</v>
      </c>
      <c r="X2915" s="72">
        <v>46095.166666666664</v>
      </c>
      <c r="Y2915" s="72">
        <v>46100.541666666664</v>
      </c>
      <c r="Z2915" s="104" t="s">
        <v>382</v>
      </c>
      <c r="AA2915" s="104" t="s">
        <v>466</v>
      </c>
      <c r="AB2915" s="105">
        <v>46095.838194444441</v>
      </c>
      <c r="AC2915" s="105">
        <v>46095.968055555553</v>
      </c>
    </row>
    <row r="2916" s="70" customFormat="1" ht="11.25" customHeight="1">
      <c r="A2916" s="87"/>
      <c r="C2916" s="43" t="s">
        <v>4788</v>
      </c>
      <c r="D2916" s="71" t="s">
        <v>382</v>
      </c>
      <c r="E2916" s="71" t="str">
        <f>MID(D2916,1,2)</f>
        <v>IL</v>
      </c>
      <c r="F2916" s="71" t="s">
        <v>667</v>
      </c>
      <c r="G2916" s="71" t="str">
        <f>MID(F2916,1,2)</f>
        <v>DE</v>
      </c>
      <c r="H2916" s="43" t="s">
        <v>4789</v>
      </c>
      <c r="I2916" s="71" t="s">
        <v>4790</v>
      </c>
      <c r="J2916" s="71" t="s">
        <v>559</v>
      </c>
      <c r="K2916" s="43"/>
      <c r="L2916" s="71" t="s">
        <v>107</v>
      </c>
      <c r="M2916" s="73">
        <v>3255</v>
      </c>
      <c r="N2916" s="71" t="s">
        <v>388</v>
      </c>
      <c r="O2916" s="73">
        <v>1.953</v>
      </c>
      <c r="P2916" s="71" t="s">
        <v>389</v>
      </c>
      <c r="Q2916" s="73">
        <v>3255</v>
      </c>
      <c r="R2916" s="71" t="s">
        <v>388</v>
      </c>
      <c r="S2916" s="73">
        <v>0</v>
      </c>
      <c r="T2916" s="71" t="s">
        <v>390</v>
      </c>
      <c r="U2916" s="74">
        <v>7</v>
      </c>
      <c r="V2916" s="71" t="s">
        <v>391</v>
      </c>
      <c r="W2916" s="130">
        <v>46090.410416666666</v>
      </c>
      <c r="X2916" s="72">
        <v>46095.166666666664</v>
      </c>
      <c r="Y2916" s="72">
        <v>46100.541666666664</v>
      </c>
      <c r="Z2916" s="104" t="s">
        <v>466</v>
      </c>
      <c r="AA2916" s="104" t="s">
        <v>383</v>
      </c>
      <c r="AB2916" s="105">
        <v>46097.777777777781</v>
      </c>
      <c r="AC2916" s="105">
        <v>46098.09375</v>
      </c>
    </row>
    <row r="2917" s="70" customFormat="1" ht="11.25" customHeight="1">
      <c r="A2917" s="87"/>
      <c r="C2917" s="43" t="s">
        <v>4791</v>
      </c>
      <c r="D2917" s="71" t="s">
        <v>382</v>
      </c>
      <c r="E2917" s="71" t="str">
        <f>MID(D2917,1,2)</f>
        <v>IL</v>
      </c>
      <c r="F2917" s="71" t="s">
        <v>4792</v>
      </c>
      <c r="G2917" s="71" t="str">
        <f>MID(F2917,1,2)</f>
        <v>US</v>
      </c>
      <c r="H2917" s="43" t="s">
        <v>4343</v>
      </c>
      <c r="I2917" s="71" t="s">
        <v>4793</v>
      </c>
      <c r="J2917" s="71" t="s">
        <v>386</v>
      </c>
      <c r="K2917" s="43"/>
      <c r="L2917" s="71" t="s">
        <v>107</v>
      </c>
      <c r="M2917" s="73">
        <v>898</v>
      </c>
      <c r="N2917" s="71" t="s">
        <v>388</v>
      </c>
      <c r="O2917" s="73">
        <v>4.195</v>
      </c>
      <c r="P2917" s="71" t="s">
        <v>389</v>
      </c>
      <c r="Q2917" s="73">
        <v>898</v>
      </c>
      <c r="R2917" s="71" t="s">
        <v>388</v>
      </c>
      <c r="S2917" s="73">
        <v>0</v>
      </c>
      <c r="T2917" s="71" t="s">
        <v>390</v>
      </c>
      <c r="U2917" s="74">
        <v>4</v>
      </c>
      <c r="V2917" s="71" t="s">
        <v>391</v>
      </c>
      <c r="W2917" s="130">
        <v>46093.424305555556</v>
      </c>
      <c r="X2917" s="72">
        <v>46095.003472222219</v>
      </c>
      <c r="Y2917" s="72">
        <v>46098.625</v>
      </c>
      <c r="Z2917" s="104" t="s">
        <v>382</v>
      </c>
      <c r="AA2917" s="104" t="s">
        <v>471</v>
      </c>
      <c r="AB2917" s="105">
        <v>46098.508333333331</v>
      </c>
      <c r="AC2917" s="105">
        <v>46098.666666666664</v>
      </c>
    </row>
    <row r="2918" s="70" customFormat="1" ht="11.25" customHeight="1">
      <c r="A2918" s="87"/>
      <c r="C2918" s="43" t="s">
        <v>4794</v>
      </c>
      <c r="D2918" s="71" t="s">
        <v>382</v>
      </c>
      <c r="E2918" s="71" t="str">
        <f>MID(D2918,1,2)</f>
        <v>IL</v>
      </c>
      <c r="F2918" s="71" t="s">
        <v>702</v>
      </c>
      <c r="G2918" s="71" t="str">
        <f>MID(F2918,1,2)</f>
        <v>JP</v>
      </c>
      <c r="H2918" s="43" t="s">
        <v>4795</v>
      </c>
      <c r="I2918" s="71" t="s">
        <v>4796</v>
      </c>
      <c r="J2918" s="71" t="s">
        <v>386</v>
      </c>
      <c r="K2918" s="43"/>
      <c r="L2918" s="71" t="s">
        <v>107</v>
      </c>
      <c r="M2918" s="73">
        <v>7690</v>
      </c>
      <c r="N2918" s="71" t="s">
        <v>388</v>
      </c>
      <c r="O2918" s="73">
        <v>38.655</v>
      </c>
      <c r="P2918" s="71" t="s">
        <v>389</v>
      </c>
      <c r="Q2918" s="73">
        <v>7690</v>
      </c>
      <c r="R2918" s="71" t="s">
        <v>388</v>
      </c>
      <c r="S2918" s="73">
        <v>0</v>
      </c>
      <c r="T2918" s="71" t="s">
        <v>390</v>
      </c>
      <c r="U2918" s="74">
        <v>12</v>
      </c>
      <c r="V2918" s="71" t="s">
        <v>391</v>
      </c>
      <c r="W2918" s="130">
        <v>46090.384826388887</v>
      </c>
      <c r="X2918" s="72">
        <v>46095.708333333336</v>
      </c>
      <c r="Y2918" s="72">
        <v>46105.638888888891</v>
      </c>
      <c r="Z2918" s="104" t="s">
        <v>382</v>
      </c>
      <c r="AA2918" s="104" t="s">
        <v>471</v>
      </c>
      <c r="AB2918" s="105">
        <v>46098.510416666664</v>
      </c>
      <c r="AC2918" s="105"/>
    </row>
    <row r="2919" s="70" customFormat="1" ht="11.25" customHeight="1">
      <c r="A2919" s="87"/>
      <c r="C2919" s="43" t="s">
        <v>4794</v>
      </c>
      <c r="D2919" s="71" t="s">
        <v>382</v>
      </c>
      <c r="E2919" s="71" t="str">
        <f>MID(D2919,1,2)</f>
        <v>IL</v>
      </c>
      <c r="F2919" s="71" t="s">
        <v>702</v>
      </c>
      <c r="G2919" s="71" t="str">
        <f>MID(F2919,1,2)</f>
        <v>JP</v>
      </c>
      <c r="H2919" s="43" t="s">
        <v>4795</v>
      </c>
      <c r="I2919" s="71" t="s">
        <v>4796</v>
      </c>
      <c r="J2919" s="71" t="s">
        <v>386</v>
      </c>
      <c r="K2919" s="43"/>
      <c r="L2919" s="71" t="s">
        <v>107</v>
      </c>
      <c r="M2919" s="73">
        <v>7690</v>
      </c>
      <c r="N2919" s="71" t="s">
        <v>388</v>
      </c>
      <c r="O2919" s="73">
        <v>38.655</v>
      </c>
      <c r="P2919" s="71" t="s">
        <v>389</v>
      </c>
      <c r="Q2919" s="73">
        <v>7690</v>
      </c>
      <c r="R2919" s="71" t="s">
        <v>388</v>
      </c>
      <c r="S2919" s="73">
        <v>0</v>
      </c>
      <c r="T2919" s="71" t="s">
        <v>390</v>
      </c>
      <c r="U2919" s="74">
        <v>12</v>
      </c>
      <c r="V2919" s="71" t="s">
        <v>391</v>
      </c>
      <c r="W2919" s="130">
        <v>46090.384826388887</v>
      </c>
      <c r="X2919" s="72">
        <v>46095.708333333336</v>
      </c>
      <c r="Y2919" s="72">
        <v>46105.638888888891</v>
      </c>
      <c r="Z2919" s="104" t="s">
        <v>471</v>
      </c>
      <c r="AA2919" s="104" t="s">
        <v>526</v>
      </c>
      <c r="AB2919" s="105">
        <v>46101.532638888886</v>
      </c>
      <c r="AC2919" s="105">
        <v>46101.615972222222</v>
      </c>
    </row>
    <row r="2920" s="70" customFormat="1" ht="11.25" customHeight="1">
      <c r="A2920" s="87"/>
      <c r="C2920" s="43" t="s">
        <v>4794</v>
      </c>
      <c r="D2920" s="71" t="s">
        <v>382</v>
      </c>
      <c r="E2920" s="71" t="str">
        <f>MID(D2920,1,2)</f>
        <v>IL</v>
      </c>
      <c r="F2920" s="71" t="s">
        <v>702</v>
      </c>
      <c r="G2920" s="71" t="str">
        <f>MID(F2920,1,2)</f>
        <v>JP</v>
      </c>
      <c r="H2920" s="43" t="s">
        <v>4795</v>
      </c>
      <c r="I2920" s="71" t="s">
        <v>4796</v>
      </c>
      <c r="J2920" s="71" t="s">
        <v>386</v>
      </c>
      <c r="K2920" s="43"/>
      <c r="L2920" s="71" t="s">
        <v>107</v>
      </c>
      <c r="M2920" s="73">
        <v>7690</v>
      </c>
      <c r="N2920" s="71" t="s">
        <v>388</v>
      </c>
      <c r="O2920" s="73">
        <v>38.655</v>
      </c>
      <c r="P2920" s="71" t="s">
        <v>389</v>
      </c>
      <c r="Q2920" s="73">
        <v>7690</v>
      </c>
      <c r="R2920" s="71" t="s">
        <v>388</v>
      </c>
      <c r="S2920" s="73">
        <v>0</v>
      </c>
      <c r="T2920" s="71" t="s">
        <v>390</v>
      </c>
      <c r="U2920" s="74">
        <v>12</v>
      </c>
      <c r="V2920" s="71" t="s">
        <v>391</v>
      </c>
      <c r="W2920" s="130">
        <v>46090.384826388887</v>
      </c>
      <c r="X2920" s="72">
        <v>46095.708333333336</v>
      </c>
      <c r="Y2920" s="72">
        <v>46105.638888888891</v>
      </c>
      <c r="Z2920" s="104" t="s">
        <v>526</v>
      </c>
      <c r="AA2920" s="104" t="s">
        <v>702</v>
      </c>
      <c r="AB2920" s="105"/>
      <c r="AC2920" s="105"/>
    </row>
    <row r="2921" s="70" customFormat="1" ht="11.25" customHeight="1">
      <c r="A2921" s="87"/>
      <c r="C2921" s="43" t="s">
        <v>4797</v>
      </c>
      <c r="D2921" s="71" t="s">
        <v>382</v>
      </c>
      <c r="E2921" s="71" t="str">
        <f>MID(D2921,1,2)</f>
        <v>IL</v>
      </c>
      <c r="F2921" s="71" t="s">
        <v>4798</v>
      </c>
      <c r="G2921" s="71" t="str">
        <f>MID(F2921,1,2)</f>
        <v>MM</v>
      </c>
      <c r="H2921" s="43" t="s">
        <v>4799</v>
      </c>
      <c r="I2921" s="71" t="s">
        <v>4800</v>
      </c>
      <c r="J2921" s="71" t="s">
        <v>426</v>
      </c>
      <c r="K2921" s="43"/>
      <c r="L2921" s="71" t="s">
        <v>105</v>
      </c>
      <c r="M2921" s="73">
        <v>1</v>
      </c>
      <c r="N2921" s="71" t="s">
        <v>388</v>
      </c>
      <c r="O2921" s="73">
        <v>0.083</v>
      </c>
      <c r="P2921" s="71" t="s">
        <v>389</v>
      </c>
      <c r="Q2921" s="73">
        <v>1</v>
      </c>
      <c r="R2921" s="71" t="s">
        <v>388</v>
      </c>
      <c r="S2921" s="73">
        <v>0</v>
      </c>
      <c r="T2921" s="71" t="s">
        <v>390</v>
      </c>
      <c r="U2921" s="74">
        <v>1</v>
      </c>
      <c r="V2921" s="71" t="s">
        <v>391</v>
      </c>
      <c r="W2921" s="130"/>
      <c r="X2921" s="72">
        <v>46090.647916666669</v>
      </c>
      <c r="Y2921" s="72">
        <v>46091.647916666669</v>
      </c>
      <c r="Z2921" s="104" t="s">
        <v>382</v>
      </c>
      <c r="AA2921" s="104" t="s">
        <v>4798</v>
      </c>
      <c r="AB2921" s="105"/>
      <c r="AC2921" s="105"/>
    </row>
    <row r="2922" s="70" customFormat="1" ht="11.25" customHeight="1">
      <c r="A2922" s="87"/>
      <c r="C2922" s="43" t="s">
        <v>4801</v>
      </c>
      <c r="D2922" s="71" t="s">
        <v>382</v>
      </c>
      <c r="E2922" s="71" t="str">
        <f>MID(D2922,1,2)</f>
        <v>IL</v>
      </c>
      <c r="F2922" s="71" t="s">
        <v>414</v>
      </c>
      <c r="G2922" s="71" t="str">
        <f>MID(F2922,1,2)</f>
        <v>US</v>
      </c>
      <c r="H2922" s="43" t="s">
        <v>4187</v>
      </c>
      <c r="I2922" s="71" t="s">
        <v>4802</v>
      </c>
      <c r="J2922" s="71" t="s">
        <v>386</v>
      </c>
      <c r="K2922" s="43" t="s">
        <v>431</v>
      </c>
      <c r="L2922" s="71" t="s">
        <v>107</v>
      </c>
      <c r="M2922" s="73">
        <v>87</v>
      </c>
      <c r="N2922" s="71" t="s">
        <v>388</v>
      </c>
      <c r="O2922" s="73">
        <v>0.749</v>
      </c>
      <c r="P2922" s="71" t="s">
        <v>389</v>
      </c>
      <c r="Q2922" s="73">
        <v>125</v>
      </c>
      <c r="R2922" s="71" t="s">
        <v>388</v>
      </c>
      <c r="S2922" s="73">
        <v>0</v>
      </c>
      <c r="T2922" s="71" t="s">
        <v>390</v>
      </c>
      <c r="U2922" s="74">
        <v>1</v>
      </c>
      <c r="V2922" s="71" t="s">
        <v>391</v>
      </c>
      <c r="W2922" s="130">
        <v>46090.36875</v>
      </c>
      <c r="X2922" s="72">
        <v>46091.875</v>
      </c>
      <c r="Y2922" s="72">
        <v>46094.458333333336</v>
      </c>
      <c r="Z2922" s="104" t="s">
        <v>382</v>
      </c>
      <c r="AA2922" s="104" t="s">
        <v>414</v>
      </c>
      <c r="AB2922" s="105">
        <v>46091.955555555556</v>
      </c>
      <c r="AC2922" s="105">
        <v>46094.475</v>
      </c>
    </row>
    <row r="2923" s="70" customFormat="1" ht="11.25" customHeight="1">
      <c r="A2923" s="87"/>
      <c r="C2923" s="43" t="s">
        <v>4803</v>
      </c>
      <c r="D2923" s="71" t="s">
        <v>382</v>
      </c>
      <c r="E2923" s="71" t="str">
        <f>MID(D2923,1,2)</f>
        <v>IL</v>
      </c>
      <c r="F2923" s="71" t="s">
        <v>1868</v>
      </c>
      <c r="G2923" s="71" t="str">
        <f>MID(F2923,1,2)</f>
        <v>ZA</v>
      </c>
      <c r="H2923" s="43" t="s">
        <v>4804</v>
      </c>
      <c r="I2923" s="71" t="s">
        <v>4805</v>
      </c>
      <c r="J2923" s="71" t="s">
        <v>386</v>
      </c>
      <c r="K2923" s="43"/>
      <c r="L2923" s="71" t="s">
        <v>107</v>
      </c>
      <c r="M2923" s="73">
        <v>402</v>
      </c>
      <c r="N2923" s="71" t="s">
        <v>388</v>
      </c>
      <c r="O2923" s="73">
        <v>2.916</v>
      </c>
      <c r="P2923" s="71" t="s">
        <v>389</v>
      </c>
      <c r="Q2923" s="73">
        <v>486</v>
      </c>
      <c r="R2923" s="71" t="s">
        <v>388</v>
      </c>
      <c r="S2923" s="73">
        <v>0</v>
      </c>
      <c r="T2923" s="71" t="s">
        <v>390</v>
      </c>
      <c r="U2923" s="74">
        <v>2</v>
      </c>
      <c r="V2923" s="71" t="s">
        <v>391</v>
      </c>
      <c r="W2923" s="130">
        <v>46090.382638888892</v>
      </c>
      <c r="X2923" s="72">
        <v>46094</v>
      </c>
      <c r="Y2923" s="72">
        <v>46105.357638888891</v>
      </c>
      <c r="Z2923" s="104" t="s">
        <v>382</v>
      </c>
      <c r="AA2923" s="104" t="s">
        <v>466</v>
      </c>
      <c r="AB2923" s="105">
        <v>46095.015972222223</v>
      </c>
      <c r="AC2923" s="105">
        <v>46095.125</v>
      </c>
    </row>
    <row r="2924" s="70" customFormat="1" ht="11.25" customHeight="1">
      <c r="A2924" s="87"/>
      <c r="C2924" s="43" t="s">
        <v>4803</v>
      </c>
      <c r="D2924" s="71" t="s">
        <v>382</v>
      </c>
      <c r="E2924" s="71" t="str">
        <f>MID(D2924,1,2)</f>
        <v>IL</v>
      </c>
      <c r="F2924" s="71" t="s">
        <v>1868</v>
      </c>
      <c r="G2924" s="71" t="str">
        <f>MID(F2924,1,2)</f>
        <v>ZA</v>
      </c>
      <c r="H2924" s="43" t="s">
        <v>4804</v>
      </c>
      <c r="I2924" s="71" t="s">
        <v>4805</v>
      </c>
      <c r="J2924" s="71" t="s">
        <v>386</v>
      </c>
      <c r="K2924" s="43"/>
      <c r="L2924" s="71" t="s">
        <v>107</v>
      </c>
      <c r="M2924" s="73">
        <v>402</v>
      </c>
      <c r="N2924" s="71" t="s">
        <v>388</v>
      </c>
      <c r="O2924" s="73">
        <v>2.916</v>
      </c>
      <c r="P2924" s="71" t="s">
        <v>389</v>
      </c>
      <c r="Q2924" s="73">
        <v>486</v>
      </c>
      <c r="R2924" s="71" t="s">
        <v>388</v>
      </c>
      <c r="S2924" s="73">
        <v>0</v>
      </c>
      <c r="T2924" s="71" t="s">
        <v>390</v>
      </c>
      <c r="U2924" s="74">
        <v>2</v>
      </c>
      <c r="V2924" s="71" t="s">
        <v>391</v>
      </c>
      <c r="W2924" s="130">
        <v>46090.382638888892</v>
      </c>
      <c r="X2924" s="72">
        <v>46094</v>
      </c>
      <c r="Y2924" s="72">
        <v>46105.357638888891</v>
      </c>
      <c r="Z2924" s="104" t="s">
        <v>466</v>
      </c>
      <c r="AA2924" s="104" t="s">
        <v>546</v>
      </c>
      <c r="AB2924" s="105">
        <v>46100.614583333336</v>
      </c>
      <c r="AC2924" s="105"/>
    </row>
    <row r="2925" s="70" customFormat="1" ht="11.25" customHeight="1">
      <c r="A2925" s="87"/>
      <c r="C2925" s="43" t="s">
        <v>4803</v>
      </c>
      <c r="D2925" s="71" t="s">
        <v>382</v>
      </c>
      <c r="E2925" s="71" t="str">
        <f>MID(D2925,1,2)</f>
        <v>IL</v>
      </c>
      <c r="F2925" s="71" t="s">
        <v>1868</v>
      </c>
      <c r="G2925" s="71" t="str">
        <f>MID(F2925,1,2)</f>
        <v>ZA</v>
      </c>
      <c r="H2925" s="43" t="s">
        <v>4804</v>
      </c>
      <c r="I2925" s="71" t="s">
        <v>4805</v>
      </c>
      <c r="J2925" s="71" t="s">
        <v>386</v>
      </c>
      <c r="K2925" s="43"/>
      <c r="L2925" s="71" t="s">
        <v>107</v>
      </c>
      <c r="M2925" s="73">
        <v>402</v>
      </c>
      <c r="N2925" s="71" t="s">
        <v>388</v>
      </c>
      <c r="O2925" s="73">
        <v>2.916</v>
      </c>
      <c r="P2925" s="71" t="s">
        <v>389</v>
      </c>
      <c r="Q2925" s="73">
        <v>486</v>
      </c>
      <c r="R2925" s="71" t="s">
        <v>388</v>
      </c>
      <c r="S2925" s="73">
        <v>0</v>
      </c>
      <c r="T2925" s="71" t="s">
        <v>390</v>
      </c>
      <c r="U2925" s="74">
        <v>2</v>
      </c>
      <c r="V2925" s="71" t="s">
        <v>391</v>
      </c>
      <c r="W2925" s="130">
        <v>46090.382638888892</v>
      </c>
      <c r="X2925" s="72">
        <v>46094</v>
      </c>
      <c r="Y2925" s="72">
        <v>46105.357638888891</v>
      </c>
      <c r="Z2925" s="104" t="s">
        <v>546</v>
      </c>
      <c r="AA2925" s="104" t="s">
        <v>1871</v>
      </c>
      <c r="AB2925" s="105"/>
      <c r="AC2925" s="105"/>
    </row>
    <row r="2926" s="70" customFormat="1" ht="11.25" customHeight="1">
      <c r="A2926" s="87"/>
      <c r="C2926" s="43" t="s">
        <v>4806</v>
      </c>
      <c r="D2926" s="71" t="s">
        <v>382</v>
      </c>
      <c r="E2926" s="71" t="str">
        <f>MID(D2926,1,2)</f>
        <v>IL</v>
      </c>
      <c r="F2926" s="71" t="s">
        <v>383</v>
      </c>
      <c r="G2926" s="71" t="str">
        <f>MID(F2926,1,2)</f>
        <v>DE</v>
      </c>
      <c r="H2926" s="43" t="s">
        <v>3495</v>
      </c>
      <c r="I2926" s="71" t="s">
        <v>4807</v>
      </c>
      <c r="J2926" s="71" t="s">
        <v>400</v>
      </c>
      <c r="K2926" s="43"/>
      <c r="L2926" s="71" t="s">
        <v>105</v>
      </c>
      <c r="M2926" s="73">
        <v>37</v>
      </c>
      <c r="N2926" s="71" t="s">
        <v>388</v>
      </c>
      <c r="O2926" s="73">
        <v>0.18</v>
      </c>
      <c r="P2926" s="71" t="s">
        <v>389</v>
      </c>
      <c r="Q2926" s="73">
        <v>37</v>
      </c>
      <c r="R2926" s="71" t="s">
        <v>388</v>
      </c>
      <c r="S2926" s="73">
        <v>0</v>
      </c>
      <c r="T2926" s="71" t="s">
        <v>390</v>
      </c>
      <c r="U2926" s="74">
        <v>1</v>
      </c>
      <c r="V2926" s="71" t="s">
        <v>391</v>
      </c>
      <c r="W2926" s="130">
        <v>46090.40347222222</v>
      </c>
      <c r="X2926" s="72">
        <v>46097.340277777781</v>
      </c>
      <c r="Y2926" s="72">
        <v>46100.496527777781</v>
      </c>
      <c r="Z2926" s="104" t="s">
        <v>382</v>
      </c>
      <c r="AA2926" s="104" t="s">
        <v>383</v>
      </c>
      <c r="AB2926" s="105">
        <v>46100.42291666667</v>
      </c>
      <c r="AC2926" s="105">
        <v>46100.552777777775</v>
      </c>
    </row>
    <row r="2927" s="70" customFormat="1" ht="11.25" customHeight="1">
      <c r="A2927" s="87"/>
      <c r="C2927" s="43" t="s">
        <v>4808</v>
      </c>
      <c r="D2927" s="71" t="s">
        <v>382</v>
      </c>
      <c r="E2927" s="71" t="str">
        <f>MID(D2927,1,2)</f>
        <v>IL</v>
      </c>
      <c r="F2927" s="71" t="s">
        <v>1538</v>
      </c>
      <c r="G2927" s="71" t="str">
        <f>MID(F2927,1,2)</f>
        <v>KR</v>
      </c>
      <c r="H2927" s="43" t="s">
        <v>4740</v>
      </c>
      <c r="I2927" s="71" t="s">
        <v>4809</v>
      </c>
      <c r="J2927" s="71" t="s">
        <v>755</v>
      </c>
      <c r="K2927" s="43"/>
      <c r="L2927" s="71" t="s">
        <v>105</v>
      </c>
      <c r="M2927" s="73">
        <v>100</v>
      </c>
      <c r="N2927" s="71" t="s">
        <v>388</v>
      </c>
      <c r="O2927" s="73">
        <v>0.767</v>
      </c>
      <c r="P2927" s="71" t="s">
        <v>389</v>
      </c>
      <c r="Q2927" s="73">
        <v>128</v>
      </c>
      <c r="R2927" s="71" t="s">
        <v>388</v>
      </c>
      <c r="S2927" s="73">
        <v>0</v>
      </c>
      <c r="T2927" s="71" t="s">
        <v>390</v>
      </c>
      <c r="U2927" s="74">
        <v>1</v>
      </c>
      <c r="V2927" s="71" t="s">
        <v>391</v>
      </c>
      <c r="W2927" s="130">
        <v>46090.565497685187</v>
      </c>
      <c r="X2927" s="72">
        <v>46093.284722222219</v>
      </c>
      <c r="Y2927" s="72">
        <v>46098.579861111109</v>
      </c>
      <c r="Z2927" s="104" t="s">
        <v>382</v>
      </c>
      <c r="AA2927" s="104" t="s">
        <v>403</v>
      </c>
      <c r="AB2927" s="105">
        <v>46093.134722222225</v>
      </c>
      <c r="AC2927" s="105">
        <v>46093.914583333331</v>
      </c>
    </row>
    <row r="2928" s="70" customFormat="1" ht="11.25" customHeight="1">
      <c r="A2928" s="87"/>
      <c r="C2928" s="43" t="s">
        <v>4808</v>
      </c>
      <c r="D2928" s="71" t="s">
        <v>382</v>
      </c>
      <c r="E2928" s="71" t="str">
        <f>MID(D2928,1,2)</f>
        <v>IL</v>
      </c>
      <c r="F2928" s="71" t="s">
        <v>1538</v>
      </c>
      <c r="G2928" s="71" t="str">
        <f>MID(F2928,1,2)</f>
        <v>KR</v>
      </c>
      <c r="H2928" s="43" t="s">
        <v>4740</v>
      </c>
      <c r="I2928" s="71" t="s">
        <v>4809</v>
      </c>
      <c r="J2928" s="71" t="s">
        <v>755</v>
      </c>
      <c r="K2928" s="43"/>
      <c r="L2928" s="71" t="s">
        <v>105</v>
      </c>
      <c r="M2928" s="73">
        <v>100</v>
      </c>
      <c r="N2928" s="71" t="s">
        <v>388</v>
      </c>
      <c r="O2928" s="73">
        <v>0.767</v>
      </c>
      <c r="P2928" s="71" t="s">
        <v>389</v>
      </c>
      <c r="Q2928" s="73">
        <v>128</v>
      </c>
      <c r="R2928" s="71" t="s">
        <v>388</v>
      </c>
      <c r="S2928" s="73">
        <v>0</v>
      </c>
      <c r="T2928" s="71" t="s">
        <v>390</v>
      </c>
      <c r="U2928" s="74">
        <v>1</v>
      </c>
      <c r="V2928" s="71" t="s">
        <v>391</v>
      </c>
      <c r="W2928" s="130">
        <v>46090.565497685187</v>
      </c>
      <c r="X2928" s="72">
        <v>46093.284722222219</v>
      </c>
      <c r="Y2928" s="72">
        <v>46098.579861111109</v>
      </c>
      <c r="Z2928" s="104" t="s">
        <v>403</v>
      </c>
      <c r="AA2928" s="104" t="s">
        <v>1538</v>
      </c>
      <c r="AB2928" s="105">
        <v>46098.38958333333</v>
      </c>
      <c r="AC2928" s="105">
        <v>46098.569444444445</v>
      </c>
    </row>
    <row r="2929" s="70" customFormat="1" ht="11.25" customHeight="1">
      <c r="A2929" s="87"/>
      <c r="C2929" s="43" t="s">
        <v>4810</v>
      </c>
      <c r="D2929" s="71" t="s">
        <v>382</v>
      </c>
      <c r="E2929" s="71" t="str">
        <f>MID(D2929,1,2)</f>
        <v>IL</v>
      </c>
      <c r="F2929" s="71" t="s">
        <v>414</v>
      </c>
      <c r="G2929" s="71" t="str">
        <f>MID(F2929,1,2)</f>
        <v>US</v>
      </c>
      <c r="H2929" s="43" t="s">
        <v>4187</v>
      </c>
      <c r="I2929" s="71" t="s">
        <v>4811</v>
      </c>
      <c r="J2929" s="71" t="s">
        <v>400</v>
      </c>
      <c r="K2929" s="43"/>
      <c r="L2929" s="71" t="s">
        <v>105</v>
      </c>
      <c r="M2929" s="73">
        <v>7</v>
      </c>
      <c r="N2929" s="71" t="s">
        <v>388</v>
      </c>
      <c r="O2929" s="73">
        <v>0.073</v>
      </c>
      <c r="P2929" s="71" t="s">
        <v>389</v>
      </c>
      <c r="Q2929" s="73">
        <v>12.5</v>
      </c>
      <c r="R2929" s="71" t="s">
        <v>388</v>
      </c>
      <c r="S2929" s="73">
        <v>0</v>
      </c>
      <c r="T2929" s="71" t="s">
        <v>390</v>
      </c>
      <c r="U2929" s="74">
        <v>1</v>
      </c>
      <c r="V2929" s="71" t="s">
        <v>427</v>
      </c>
      <c r="W2929" s="130">
        <v>46090.76</v>
      </c>
      <c r="X2929" s="72">
        <v>46091.875</v>
      </c>
      <c r="Y2929" s="72">
        <v>46094.458333333336</v>
      </c>
      <c r="Z2929" s="104" t="s">
        <v>382</v>
      </c>
      <c r="AA2929" s="104" t="s">
        <v>414</v>
      </c>
      <c r="AB2929" s="105">
        <v>46091.955555555556</v>
      </c>
      <c r="AC2929" s="105">
        <v>46094.475</v>
      </c>
    </row>
    <row r="2930" s="70" customFormat="1" ht="11.25" customHeight="1">
      <c r="A2930" s="87"/>
      <c r="C2930" s="43" t="s">
        <v>4812</v>
      </c>
      <c r="D2930" s="71" t="s">
        <v>382</v>
      </c>
      <c r="E2930" s="71" t="str">
        <f>MID(D2930,1,2)</f>
        <v>IL</v>
      </c>
      <c r="F2930" s="71" t="s">
        <v>774</v>
      </c>
      <c r="G2930" s="71" t="str">
        <f>MID(F2930,1,2)</f>
        <v>CN</v>
      </c>
      <c r="H2930" s="43" t="s">
        <v>4777</v>
      </c>
      <c r="I2930" s="71" t="s">
        <v>4813</v>
      </c>
      <c r="J2930" s="71" t="s">
        <v>755</v>
      </c>
      <c r="K2930" s="43"/>
      <c r="L2930" s="71" t="s">
        <v>105</v>
      </c>
      <c r="M2930" s="73">
        <v>44</v>
      </c>
      <c r="N2930" s="71" t="s">
        <v>388</v>
      </c>
      <c r="O2930" s="73">
        <v>0.249</v>
      </c>
      <c r="P2930" s="71" t="s">
        <v>389</v>
      </c>
      <c r="Q2930" s="73">
        <v>44</v>
      </c>
      <c r="R2930" s="71" t="s">
        <v>388</v>
      </c>
      <c r="S2930" s="73">
        <v>0</v>
      </c>
      <c r="T2930" s="71" t="s">
        <v>390</v>
      </c>
      <c r="U2930" s="74">
        <v>1</v>
      </c>
      <c r="V2930" s="71" t="s">
        <v>391</v>
      </c>
      <c r="W2930" s="130">
        <v>46090.565474537034</v>
      </c>
      <c r="X2930" s="72">
        <v>46092.75</v>
      </c>
      <c r="Y2930" s="72">
        <v>46095.677083333336</v>
      </c>
      <c r="Z2930" s="104" t="s">
        <v>382</v>
      </c>
      <c r="AA2930" s="104" t="s">
        <v>403</v>
      </c>
      <c r="AB2930" s="105">
        <v>46093.134722222225</v>
      </c>
      <c r="AC2930" s="105">
        <v>46093.913888888892</v>
      </c>
    </row>
    <row r="2931" s="70" customFormat="1" ht="11.25" customHeight="1">
      <c r="A2931" s="87"/>
      <c r="C2931" s="43" t="s">
        <v>4812</v>
      </c>
      <c r="D2931" s="71" t="s">
        <v>382</v>
      </c>
      <c r="E2931" s="71" t="str">
        <f>MID(D2931,1,2)</f>
        <v>IL</v>
      </c>
      <c r="F2931" s="71" t="s">
        <v>774</v>
      </c>
      <c r="G2931" s="71" t="str">
        <f>MID(F2931,1,2)</f>
        <v>CN</v>
      </c>
      <c r="H2931" s="43" t="s">
        <v>4777</v>
      </c>
      <c r="I2931" s="71" t="s">
        <v>4813</v>
      </c>
      <c r="J2931" s="71" t="s">
        <v>755</v>
      </c>
      <c r="K2931" s="43"/>
      <c r="L2931" s="71" t="s">
        <v>105</v>
      </c>
      <c r="M2931" s="73">
        <v>44</v>
      </c>
      <c r="N2931" s="71" t="s">
        <v>388</v>
      </c>
      <c r="O2931" s="73">
        <v>0.249</v>
      </c>
      <c r="P2931" s="71" t="s">
        <v>389</v>
      </c>
      <c r="Q2931" s="73">
        <v>44</v>
      </c>
      <c r="R2931" s="71" t="s">
        <v>388</v>
      </c>
      <c r="S2931" s="73">
        <v>0</v>
      </c>
      <c r="T2931" s="71" t="s">
        <v>390</v>
      </c>
      <c r="U2931" s="74">
        <v>1</v>
      </c>
      <c r="V2931" s="71" t="s">
        <v>391</v>
      </c>
      <c r="W2931" s="130">
        <v>46090.565474537034</v>
      </c>
      <c r="X2931" s="72">
        <v>46092.75</v>
      </c>
      <c r="Y2931" s="72">
        <v>46095.677083333336</v>
      </c>
      <c r="Z2931" s="104" t="s">
        <v>403</v>
      </c>
      <c r="AA2931" s="104" t="s">
        <v>774</v>
      </c>
      <c r="AB2931" s="105">
        <v>46095.564583333333</v>
      </c>
      <c r="AC2931" s="105">
        <v>46095.669444444444</v>
      </c>
    </row>
    <row r="2932" s="70" customFormat="1" ht="11.25" customHeight="1">
      <c r="A2932" s="87"/>
      <c r="C2932" s="43" t="s">
        <v>4814</v>
      </c>
      <c r="D2932" s="71" t="s">
        <v>382</v>
      </c>
      <c r="E2932" s="71" t="str">
        <f>MID(D2932,1,2)</f>
        <v>IL</v>
      </c>
      <c r="F2932" s="71" t="s">
        <v>414</v>
      </c>
      <c r="G2932" s="71" t="str">
        <f>MID(F2932,1,2)</f>
        <v>US</v>
      </c>
      <c r="H2932" s="43" t="s">
        <v>4697</v>
      </c>
      <c r="I2932" s="71" t="s">
        <v>4815</v>
      </c>
      <c r="J2932" s="71" t="s">
        <v>386</v>
      </c>
      <c r="K2932" s="43"/>
      <c r="L2932" s="71" t="s">
        <v>107</v>
      </c>
      <c r="M2932" s="73">
        <v>5</v>
      </c>
      <c r="N2932" s="71" t="s">
        <v>388</v>
      </c>
      <c r="O2932" s="73">
        <v>0.036</v>
      </c>
      <c r="P2932" s="71" t="s">
        <v>389</v>
      </c>
      <c r="Q2932" s="73">
        <v>6</v>
      </c>
      <c r="R2932" s="71" t="s">
        <v>388</v>
      </c>
      <c r="S2932" s="73">
        <v>0</v>
      </c>
      <c r="T2932" s="71" t="s">
        <v>390</v>
      </c>
      <c r="U2932" s="74">
        <v>1</v>
      </c>
      <c r="V2932" s="71" t="s">
        <v>446</v>
      </c>
      <c r="W2932" s="130">
        <v>46091.604166666664</v>
      </c>
      <c r="X2932" s="72">
        <v>46099.854166666664</v>
      </c>
      <c r="Y2932" s="72">
        <v>46102.791666666664</v>
      </c>
      <c r="Z2932" s="104" t="s">
        <v>382</v>
      </c>
      <c r="AA2932" s="104" t="s">
        <v>414</v>
      </c>
      <c r="AB2932" s="105">
        <v>46100.102083333331</v>
      </c>
      <c r="AC2932" s="105">
        <v>46100.31527777778</v>
      </c>
    </row>
    <row r="2933" s="70" customFormat="1" ht="11.25" customHeight="1">
      <c r="A2933" s="87"/>
      <c r="C2933" s="43" t="s">
        <v>4816</v>
      </c>
      <c r="D2933" s="71" t="s">
        <v>382</v>
      </c>
      <c r="E2933" s="71" t="str">
        <f>MID(D2933,1,2)</f>
        <v>IL</v>
      </c>
      <c r="F2933" s="71" t="s">
        <v>774</v>
      </c>
      <c r="G2933" s="71" t="str">
        <f>MID(F2933,1,2)</f>
        <v>CN</v>
      </c>
      <c r="H2933" s="43" t="s">
        <v>4777</v>
      </c>
      <c r="I2933" s="71" t="s">
        <v>4817</v>
      </c>
      <c r="J2933" s="71" t="s">
        <v>755</v>
      </c>
      <c r="K2933" s="43"/>
      <c r="L2933" s="71" t="s">
        <v>105</v>
      </c>
      <c r="M2933" s="73">
        <v>5.1</v>
      </c>
      <c r="N2933" s="71" t="s">
        <v>388</v>
      </c>
      <c r="O2933" s="73">
        <v>0.038</v>
      </c>
      <c r="P2933" s="71" t="s">
        <v>389</v>
      </c>
      <c r="Q2933" s="73">
        <v>6.5</v>
      </c>
      <c r="R2933" s="71" t="s">
        <v>388</v>
      </c>
      <c r="S2933" s="73">
        <v>0</v>
      </c>
      <c r="T2933" s="71" t="s">
        <v>390</v>
      </c>
      <c r="U2933" s="74">
        <v>1</v>
      </c>
      <c r="V2933" s="71" t="s">
        <v>391</v>
      </c>
      <c r="W2933" s="130">
        <v>46090.56212962963</v>
      </c>
      <c r="X2933" s="72">
        <v>46092.75</v>
      </c>
      <c r="Y2933" s="72">
        <v>46095.6875</v>
      </c>
      <c r="Z2933" s="104" t="s">
        <v>382</v>
      </c>
      <c r="AA2933" s="104" t="s">
        <v>403</v>
      </c>
      <c r="AB2933" s="105">
        <v>46093.134722222225</v>
      </c>
      <c r="AC2933" s="105">
        <v>46093.913888888892</v>
      </c>
    </row>
    <row r="2934" s="70" customFormat="1" ht="11.25" customHeight="1">
      <c r="A2934" s="87"/>
      <c r="C2934" s="43" t="s">
        <v>4816</v>
      </c>
      <c r="D2934" s="71" t="s">
        <v>382</v>
      </c>
      <c r="E2934" s="71" t="str">
        <f>MID(D2934,1,2)</f>
        <v>IL</v>
      </c>
      <c r="F2934" s="71" t="s">
        <v>774</v>
      </c>
      <c r="G2934" s="71" t="str">
        <f>MID(F2934,1,2)</f>
        <v>CN</v>
      </c>
      <c r="H2934" s="43" t="s">
        <v>4777</v>
      </c>
      <c r="I2934" s="71" t="s">
        <v>4817</v>
      </c>
      <c r="J2934" s="71" t="s">
        <v>755</v>
      </c>
      <c r="K2934" s="43"/>
      <c r="L2934" s="71" t="s">
        <v>105</v>
      </c>
      <c r="M2934" s="73">
        <v>5.1</v>
      </c>
      <c r="N2934" s="71" t="s">
        <v>388</v>
      </c>
      <c r="O2934" s="73">
        <v>0.038</v>
      </c>
      <c r="P2934" s="71" t="s">
        <v>389</v>
      </c>
      <c r="Q2934" s="73">
        <v>6.5</v>
      </c>
      <c r="R2934" s="71" t="s">
        <v>388</v>
      </c>
      <c r="S2934" s="73">
        <v>0</v>
      </c>
      <c r="T2934" s="71" t="s">
        <v>390</v>
      </c>
      <c r="U2934" s="74">
        <v>1</v>
      </c>
      <c r="V2934" s="71" t="s">
        <v>391</v>
      </c>
      <c r="W2934" s="130">
        <v>46090.56212962963</v>
      </c>
      <c r="X2934" s="72">
        <v>46092.75</v>
      </c>
      <c r="Y2934" s="72">
        <v>46095.6875</v>
      </c>
      <c r="Z2934" s="104" t="s">
        <v>403</v>
      </c>
      <c r="AA2934" s="104" t="s">
        <v>774</v>
      </c>
      <c r="AB2934" s="105">
        <v>46095.564583333333</v>
      </c>
      <c r="AC2934" s="105">
        <v>46095.669444444444</v>
      </c>
    </row>
    <row r="2935" s="70" customFormat="1" ht="11.25" customHeight="1">
      <c r="A2935" s="87"/>
      <c r="C2935" s="43" t="s">
        <v>4818</v>
      </c>
      <c r="D2935" s="71" t="s">
        <v>382</v>
      </c>
      <c r="E2935" s="71" t="str">
        <f>MID(D2935,1,2)</f>
        <v>IL</v>
      </c>
      <c r="F2935" s="71" t="s">
        <v>414</v>
      </c>
      <c r="G2935" s="71" t="str">
        <f>MID(F2935,1,2)</f>
        <v>US</v>
      </c>
      <c r="H2935" s="43" t="s">
        <v>4697</v>
      </c>
      <c r="I2935" s="71" t="s">
        <v>4819</v>
      </c>
      <c r="J2935" s="71" t="s">
        <v>386</v>
      </c>
      <c r="K2935" s="43"/>
      <c r="L2935" s="71" t="s">
        <v>107</v>
      </c>
      <c r="M2935" s="73">
        <v>3</v>
      </c>
      <c r="N2935" s="71" t="s">
        <v>388</v>
      </c>
      <c r="O2935" s="73">
        <v>0.052</v>
      </c>
      <c r="P2935" s="71" t="s">
        <v>389</v>
      </c>
      <c r="Q2935" s="73">
        <v>9</v>
      </c>
      <c r="R2935" s="71" t="s">
        <v>388</v>
      </c>
      <c r="S2935" s="73">
        <v>0</v>
      </c>
      <c r="T2935" s="71" t="s">
        <v>390</v>
      </c>
      <c r="U2935" s="74">
        <v>1</v>
      </c>
      <c r="V2935" s="71" t="s">
        <v>446</v>
      </c>
      <c r="W2935" s="130">
        <v>46091.597916666666</v>
      </c>
      <c r="X2935" s="72">
        <v>46099.854166666664</v>
      </c>
      <c r="Y2935" s="72">
        <v>46102.791666666664</v>
      </c>
      <c r="Z2935" s="104" t="s">
        <v>382</v>
      </c>
      <c r="AA2935" s="104" t="s">
        <v>414</v>
      </c>
      <c r="AB2935" s="105">
        <v>46100.102083333331</v>
      </c>
      <c r="AC2935" s="105">
        <v>46100.31527777778</v>
      </c>
    </row>
    <row r="2936" s="70" customFormat="1" ht="11.25" customHeight="1">
      <c r="A2936" s="87"/>
      <c r="C2936" s="43" t="s">
        <v>4820</v>
      </c>
      <c r="D2936" s="71" t="s">
        <v>382</v>
      </c>
      <c r="E2936" s="71" t="str">
        <f>MID(D2936,1,2)</f>
        <v>IL</v>
      </c>
      <c r="F2936" s="71" t="s">
        <v>510</v>
      </c>
      <c r="G2936" s="71" t="str">
        <f>MID(F2936,1,2)</f>
        <v>US</v>
      </c>
      <c r="H2936" s="43" t="s">
        <v>4821</v>
      </c>
      <c r="I2936" s="71" t="s">
        <v>4822</v>
      </c>
      <c r="J2936" s="71" t="s">
        <v>483</v>
      </c>
      <c r="K2936" s="43"/>
      <c r="L2936" s="71" t="s">
        <v>105</v>
      </c>
      <c r="M2936" s="73">
        <v>202</v>
      </c>
      <c r="N2936" s="71" t="s">
        <v>388</v>
      </c>
      <c r="O2936" s="73">
        <v>1.456</v>
      </c>
      <c r="P2936" s="71" t="s">
        <v>389</v>
      </c>
      <c r="Q2936" s="73">
        <v>243</v>
      </c>
      <c r="R2936" s="71" t="s">
        <v>388</v>
      </c>
      <c r="S2936" s="73">
        <v>0</v>
      </c>
      <c r="T2936" s="71" t="s">
        <v>390</v>
      </c>
      <c r="U2936" s="74">
        <v>1</v>
      </c>
      <c r="V2936" s="71" t="s">
        <v>391</v>
      </c>
      <c r="W2936" s="130">
        <v>46091.46597222222</v>
      </c>
      <c r="X2936" s="72">
        <v>46096.1875</v>
      </c>
      <c r="Y2936" s="72">
        <v>46104.553472222222</v>
      </c>
      <c r="Z2936" s="104" t="s">
        <v>382</v>
      </c>
      <c r="AA2936" s="104" t="s">
        <v>408</v>
      </c>
      <c r="AB2936" s="105">
        <v>46096.147916666669</v>
      </c>
      <c r="AC2936" s="105"/>
    </row>
    <row r="2937" s="70" customFormat="1" ht="11.25" customHeight="1">
      <c r="A2937" s="87"/>
      <c r="C2937" s="43" t="s">
        <v>4820</v>
      </c>
      <c r="D2937" s="71" t="s">
        <v>382</v>
      </c>
      <c r="E2937" s="71" t="str">
        <f>MID(D2937,1,2)</f>
        <v>IL</v>
      </c>
      <c r="F2937" s="71" t="s">
        <v>510</v>
      </c>
      <c r="G2937" s="71" t="str">
        <f>MID(F2937,1,2)</f>
        <v>US</v>
      </c>
      <c r="H2937" s="43" t="s">
        <v>4821</v>
      </c>
      <c r="I2937" s="71" t="s">
        <v>4822</v>
      </c>
      <c r="J2937" s="71" t="s">
        <v>483</v>
      </c>
      <c r="K2937" s="43"/>
      <c r="L2937" s="71" t="s">
        <v>105</v>
      </c>
      <c r="M2937" s="73">
        <v>202</v>
      </c>
      <c r="N2937" s="71" t="s">
        <v>388</v>
      </c>
      <c r="O2937" s="73">
        <v>1.456</v>
      </c>
      <c r="P2937" s="71" t="s">
        <v>389</v>
      </c>
      <c r="Q2937" s="73">
        <v>243</v>
      </c>
      <c r="R2937" s="71" t="s">
        <v>388</v>
      </c>
      <c r="S2937" s="73">
        <v>0</v>
      </c>
      <c r="T2937" s="71" t="s">
        <v>390</v>
      </c>
      <c r="U2937" s="74">
        <v>1</v>
      </c>
      <c r="V2937" s="71" t="s">
        <v>391</v>
      </c>
      <c r="W2937" s="130">
        <v>46091.46597222222</v>
      </c>
      <c r="X2937" s="72">
        <v>46096.1875</v>
      </c>
      <c r="Y2937" s="72">
        <v>46104.553472222222</v>
      </c>
      <c r="Z2937" s="104" t="s">
        <v>408</v>
      </c>
      <c r="AA2937" s="104" t="s">
        <v>405</v>
      </c>
      <c r="AB2937" s="105">
        <v>46102.511111111111</v>
      </c>
      <c r="AC2937" s="105">
        <v>46102.6875</v>
      </c>
    </row>
    <row r="2938" s="70" customFormat="1" ht="11.25" customHeight="1">
      <c r="A2938" s="87"/>
      <c r="C2938" s="43" t="s">
        <v>4820</v>
      </c>
      <c r="D2938" s="71" t="s">
        <v>382</v>
      </c>
      <c r="E2938" s="71" t="str">
        <f>MID(D2938,1,2)</f>
        <v>IL</v>
      </c>
      <c r="F2938" s="71" t="s">
        <v>510</v>
      </c>
      <c r="G2938" s="71" t="str">
        <f>MID(F2938,1,2)</f>
        <v>US</v>
      </c>
      <c r="H2938" s="43" t="s">
        <v>4821</v>
      </c>
      <c r="I2938" s="71" t="s">
        <v>4822</v>
      </c>
      <c r="J2938" s="71" t="s">
        <v>483</v>
      </c>
      <c r="K2938" s="43"/>
      <c r="L2938" s="71" t="s">
        <v>105</v>
      </c>
      <c r="M2938" s="73">
        <v>202</v>
      </c>
      <c r="N2938" s="71" t="s">
        <v>388</v>
      </c>
      <c r="O2938" s="73">
        <v>1.456</v>
      </c>
      <c r="P2938" s="71" t="s">
        <v>389</v>
      </c>
      <c r="Q2938" s="73">
        <v>243</v>
      </c>
      <c r="R2938" s="71" t="s">
        <v>388</v>
      </c>
      <c r="S2938" s="73">
        <v>0</v>
      </c>
      <c r="T2938" s="71" t="s">
        <v>390</v>
      </c>
      <c r="U2938" s="74">
        <v>1</v>
      </c>
      <c r="V2938" s="71" t="s">
        <v>391</v>
      </c>
      <c r="W2938" s="130">
        <v>46091.46597222222</v>
      </c>
      <c r="X2938" s="72">
        <v>46096.1875</v>
      </c>
      <c r="Y2938" s="72">
        <v>46104.553472222222</v>
      </c>
      <c r="Z2938" s="104" t="s">
        <v>405</v>
      </c>
      <c r="AA2938" s="104" t="s">
        <v>468</v>
      </c>
      <c r="AB2938" s="105"/>
      <c r="AC2938" s="105"/>
    </row>
    <row r="2939" s="70" customFormat="1" ht="11.25" customHeight="1">
      <c r="A2939" s="87"/>
      <c r="C2939" s="43" t="s">
        <v>4820</v>
      </c>
      <c r="D2939" s="71" t="s">
        <v>382</v>
      </c>
      <c r="E2939" s="71" t="str">
        <f>MID(D2939,1,2)</f>
        <v>IL</v>
      </c>
      <c r="F2939" s="71" t="s">
        <v>510</v>
      </c>
      <c r="G2939" s="71" t="str">
        <f>MID(F2939,1,2)</f>
        <v>US</v>
      </c>
      <c r="H2939" s="43" t="s">
        <v>4821</v>
      </c>
      <c r="I2939" s="71" t="s">
        <v>4822</v>
      </c>
      <c r="J2939" s="71" t="s">
        <v>483</v>
      </c>
      <c r="K2939" s="43"/>
      <c r="L2939" s="71" t="s">
        <v>105</v>
      </c>
      <c r="M2939" s="73">
        <v>202</v>
      </c>
      <c r="N2939" s="71" t="s">
        <v>388</v>
      </c>
      <c r="O2939" s="73">
        <v>1.456</v>
      </c>
      <c r="P2939" s="71" t="s">
        <v>389</v>
      </c>
      <c r="Q2939" s="73">
        <v>243</v>
      </c>
      <c r="R2939" s="71" t="s">
        <v>388</v>
      </c>
      <c r="S2939" s="73">
        <v>0</v>
      </c>
      <c r="T2939" s="71" t="s">
        <v>390</v>
      </c>
      <c r="U2939" s="74">
        <v>1</v>
      </c>
      <c r="V2939" s="71" t="s">
        <v>391</v>
      </c>
      <c r="W2939" s="130">
        <v>46091.46597222222</v>
      </c>
      <c r="X2939" s="72">
        <v>46096.1875</v>
      </c>
      <c r="Y2939" s="72">
        <v>46104.553472222222</v>
      </c>
      <c r="Z2939" s="104" t="s">
        <v>468</v>
      </c>
      <c r="AA2939" s="104" t="s">
        <v>510</v>
      </c>
      <c r="AB2939" s="105"/>
      <c r="AC2939" s="105"/>
    </row>
    <row r="2940" s="70" customFormat="1" ht="11.25" customHeight="1">
      <c r="A2940" s="87"/>
      <c r="C2940" s="43" t="s">
        <v>4823</v>
      </c>
      <c r="D2940" s="71" t="s">
        <v>382</v>
      </c>
      <c r="E2940" s="71" t="str">
        <f>MID(D2940,1,2)</f>
        <v>IL</v>
      </c>
      <c r="F2940" s="71" t="s">
        <v>496</v>
      </c>
      <c r="G2940" s="71" t="str">
        <f>MID(F2940,1,2)</f>
        <v>RO</v>
      </c>
      <c r="H2940" s="43" t="s">
        <v>4824</v>
      </c>
      <c r="I2940" s="71" t="s">
        <v>4825</v>
      </c>
      <c r="J2940" s="71" t="s">
        <v>811</v>
      </c>
      <c r="K2940" s="43"/>
      <c r="L2940" s="71" t="s">
        <v>105</v>
      </c>
      <c r="M2940" s="73">
        <v>73</v>
      </c>
      <c r="N2940" s="71" t="s">
        <v>388</v>
      </c>
      <c r="O2940" s="73">
        <v>0.217</v>
      </c>
      <c r="P2940" s="71" t="s">
        <v>389</v>
      </c>
      <c r="Q2940" s="73">
        <v>100</v>
      </c>
      <c r="R2940" s="71" t="s">
        <v>388</v>
      </c>
      <c r="S2940" s="73">
        <v>0</v>
      </c>
      <c r="T2940" s="71" t="s">
        <v>390</v>
      </c>
      <c r="U2940" s="74">
        <v>4</v>
      </c>
      <c r="V2940" s="71" t="s">
        <v>417</v>
      </c>
      <c r="W2940" s="130">
        <v>46091.6875</v>
      </c>
      <c r="X2940" s="72">
        <v>46093</v>
      </c>
      <c r="Y2940" s="72">
        <v>46096.572916666664</v>
      </c>
      <c r="Z2940" s="104" t="s">
        <v>382</v>
      </c>
      <c r="AA2940" s="104" t="s">
        <v>496</v>
      </c>
      <c r="AB2940" s="105">
        <v>46096.452777777777</v>
      </c>
      <c r="AC2940" s="105">
        <v>46096.5625</v>
      </c>
    </row>
    <row r="2941" s="70" customFormat="1" ht="11.25" customHeight="1">
      <c r="A2941" s="87"/>
      <c r="C2941" s="43" t="s">
        <v>4826</v>
      </c>
      <c r="D2941" s="71" t="s">
        <v>382</v>
      </c>
      <c r="E2941" s="71" t="str">
        <f>MID(D2941,1,2)</f>
        <v>IL</v>
      </c>
      <c r="F2941" s="71" t="s">
        <v>471</v>
      </c>
      <c r="G2941" s="71" t="str">
        <f>MID(F2941,1,2)</f>
        <v>US</v>
      </c>
      <c r="H2941" s="43" t="s">
        <v>4343</v>
      </c>
      <c r="I2941" s="71" t="s">
        <v>4827</v>
      </c>
      <c r="J2941" s="71" t="s">
        <v>386</v>
      </c>
      <c r="K2941" s="43"/>
      <c r="L2941" s="71" t="s">
        <v>107</v>
      </c>
      <c r="M2941" s="73">
        <v>68</v>
      </c>
      <c r="N2941" s="71" t="s">
        <v>388</v>
      </c>
      <c r="O2941" s="73">
        <v>0.364</v>
      </c>
      <c r="P2941" s="71" t="s">
        <v>389</v>
      </c>
      <c r="Q2941" s="73">
        <v>100</v>
      </c>
      <c r="R2941" s="71" t="s">
        <v>388</v>
      </c>
      <c r="S2941" s="73">
        <v>0</v>
      </c>
      <c r="T2941" s="71" t="s">
        <v>390</v>
      </c>
      <c r="U2941" s="74">
        <v>2</v>
      </c>
      <c r="V2941" s="71" t="s">
        <v>391</v>
      </c>
      <c r="W2941" s="130">
        <v>46090.494444444441</v>
      </c>
      <c r="X2941" s="72">
        <v>46095.003472222219</v>
      </c>
      <c r="Y2941" s="72">
        <v>46103.25</v>
      </c>
      <c r="Z2941" s="104" t="s">
        <v>382</v>
      </c>
      <c r="AA2941" s="104" t="s">
        <v>471</v>
      </c>
      <c r="AB2941" s="105">
        <v>46098.508333333331</v>
      </c>
      <c r="AC2941" s="105">
        <v>46098.666666666664</v>
      </c>
    </row>
    <row r="2942" s="70" customFormat="1" ht="11.25" customHeight="1">
      <c r="A2942" s="87"/>
      <c r="C2942" s="43" t="s">
        <v>4828</v>
      </c>
      <c r="D2942" s="71" t="s">
        <v>382</v>
      </c>
      <c r="E2942" s="71" t="str">
        <f>MID(D2942,1,2)</f>
        <v>IL</v>
      </c>
      <c r="F2942" s="71" t="s">
        <v>480</v>
      </c>
      <c r="G2942" s="71" t="str">
        <f>MID(F2942,1,2)</f>
        <v>CA</v>
      </c>
      <c r="H2942" s="43" t="s">
        <v>4637</v>
      </c>
      <c r="I2942" s="71" t="s">
        <v>4829</v>
      </c>
      <c r="J2942" s="71" t="s">
        <v>386</v>
      </c>
      <c r="K2942" s="43"/>
      <c r="L2942" s="71" t="s">
        <v>107</v>
      </c>
      <c r="M2942" s="73">
        <v>524</v>
      </c>
      <c r="N2942" s="71" t="s">
        <v>388</v>
      </c>
      <c r="O2942" s="73">
        <v>0.776</v>
      </c>
      <c r="P2942" s="71" t="s">
        <v>389</v>
      </c>
      <c r="Q2942" s="73">
        <v>524</v>
      </c>
      <c r="R2942" s="71" t="s">
        <v>388</v>
      </c>
      <c r="S2942" s="73">
        <v>0</v>
      </c>
      <c r="T2942" s="71" t="s">
        <v>390</v>
      </c>
      <c r="U2942" s="74">
        <v>10</v>
      </c>
      <c r="V2942" s="71" t="s">
        <v>417</v>
      </c>
      <c r="W2942" s="130">
        <v>46090.625694444447</v>
      </c>
      <c r="X2942" s="72">
        <v>46098.5</v>
      </c>
      <c r="Y2942" s="72">
        <v>46103.479166666664</v>
      </c>
      <c r="Z2942" s="104" t="s">
        <v>382</v>
      </c>
      <c r="AA2942" s="104" t="s">
        <v>471</v>
      </c>
      <c r="AB2942" s="105">
        <v>46098.474305555559</v>
      </c>
      <c r="AC2942" s="105">
        <v>46098.625</v>
      </c>
    </row>
    <row r="2943" s="70" customFormat="1" ht="11.25" customHeight="1">
      <c r="A2943" s="87"/>
      <c r="C2943" s="43" t="s">
        <v>4828</v>
      </c>
      <c r="D2943" s="71" t="s">
        <v>382</v>
      </c>
      <c r="E2943" s="71" t="str">
        <f>MID(D2943,1,2)</f>
        <v>IL</v>
      </c>
      <c r="F2943" s="71" t="s">
        <v>480</v>
      </c>
      <c r="G2943" s="71" t="str">
        <f>MID(F2943,1,2)</f>
        <v>CA</v>
      </c>
      <c r="H2943" s="43" t="s">
        <v>4637</v>
      </c>
      <c r="I2943" s="71" t="s">
        <v>4829</v>
      </c>
      <c r="J2943" s="71" t="s">
        <v>386</v>
      </c>
      <c r="K2943" s="43"/>
      <c r="L2943" s="71" t="s">
        <v>107</v>
      </c>
      <c r="M2943" s="73">
        <v>524</v>
      </c>
      <c r="N2943" s="71" t="s">
        <v>388</v>
      </c>
      <c r="O2943" s="73">
        <v>0.776</v>
      </c>
      <c r="P2943" s="71" t="s">
        <v>389</v>
      </c>
      <c r="Q2943" s="73">
        <v>524</v>
      </c>
      <c r="R2943" s="71" t="s">
        <v>388</v>
      </c>
      <c r="S2943" s="73">
        <v>0</v>
      </c>
      <c r="T2943" s="71" t="s">
        <v>390</v>
      </c>
      <c r="U2943" s="74">
        <v>10</v>
      </c>
      <c r="V2943" s="71" t="s">
        <v>417</v>
      </c>
      <c r="W2943" s="130">
        <v>46090.625694444447</v>
      </c>
      <c r="X2943" s="72">
        <v>46098.5</v>
      </c>
      <c r="Y2943" s="72">
        <v>46103.479166666664</v>
      </c>
      <c r="Z2943" s="104" t="s">
        <v>471</v>
      </c>
      <c r="AA2943" s="104" t="s">
        <v>480</v>
      </c>
      <c r="AB2943" s="105">
        <v>46100.61875</v>
      </c>
      <c r="AC2943" s="105">
        <v>46102.604166666664</v>
      </c>
    </row>
    <row r="2944" s="70" customFormat="1" ht="11.25" customHeight="1">
      <c r="A2944" s="87"/>
      <c r="C2944" s="43" t="s">
        <v>4830</v>
      </c>
      <c r="D2944" s="71" t="s">
        <v>382</v>
      </c>
      <c r="E2944" s="71" t="str">
        <f>MID(D2944,1,2)</f>
        <v>IL</v>
      </c>
      <c r="F2944" s="71" t="s">
        <v>1234</v>
      </c>
      <c r="G2944" s="71" t="str">
        <f>MID(F2944,1,2)</f>
        <v>PH</v>
      </c>
      <c r="H2944" s="43" t="s">
        <v>4214</v>
      </c>
      <c r="I2944" s="71" t="s">
        <v>4831</v>
      </c>
      <c r="J2944" s="71" t="s">
        <v>483</v>
      </c>
      <c r="K2944" s="43"/>
      <c r="L2944" s="71" t="s">
        <v>105</v>
      </c>
      <c r="M2944" s="73">
        <v>33</v>
      </c>
      <c r="N2944" s="71" t="s">
        <v>388</v>
      </c>
      <c r="O2944" s="73">
        <v>0.506</v>
      </c>
      <c r="P2944" s="71" t="s">
        <v>389</v>
      </c>
      <c r="Q2944" s="73">
        <v>84.5</v>
      </c>
      <c r="R2944" s="71" t="s">
        <v>388</v>
      </c>
      <c r="S2944" s="73">
        <v>0</v>
      </c>
      <c r="T2944" s="71" t="s">
        <v>390</v>
      </c>
      <c r="U2944" s="74">
        <v>1</v>
      </c>
      <c r="V2944" s="71" t="s">
        <v>446</v>
      </c>
      <c r="W2944" s="130">
        <v>46092.899733796294</v>
      </c>
      <c r="X2944" s="72">
        <v>46093.979166666664</v>
      </c>
      <c r="Y2944" s="72">
        <v>46101.291666666664</v>
      </c>
      <c r="Z2944" s="104" t="s">
        <v>382</v>
      </c>
      <c r="AA2944" s="104" t="s">
        <v>408</v>
      </c>
      <c r="AB2944" s="105">
        <v>46096.882638888892</v>
      </c>
      <c r="AC2944" s="105"/>
    </row>
    <row r="2945" s="70" customFormat="1" ht="11.25" customHeight="1">
      <c r="A2945" s="87"/>
      <c r="C2945" s="43" t="s">
        <v>4830</v>
      </c>
      <c r="D2945" s="71" t="s">
        <v>382</v>
      </c>
      <c r="E2945" s="71" t="str">
        <f>MID(D2945,1,2)</f>
        <v>IL</v>
      </c>
      <c r="F2945" s="71" t="s">
        <v>1234</v>
      </c>
      <c r="G2945" s="71" t="str">
        <f>MID(F2945,1,2)</f>
        <v>PH</v>
      </c>
      <c r="H2945" s="43" t="s">
        <v>4214</v>
      </c>
      <c r="I2945" s="71" t="s">
        <v>4831</v>
      </c>
      <c r="J2945" s="71" t="s">
        <v>483</v>
      </c>
      <c r="K2945" s="43"/>
      <c r="L2945" s="71" t="s">
        <v>105</v>
      </c>
      <c r="M2945" s="73">
        <v>33</v>
      </c>
      <c r="N2945" s="71" t="s">
        <v>388</v>
      </c>
      <c r="O2945" s="73">
        <v>0.506</v>
      </c>
      <c r="P2945" s="71" t="s">
        <v>389</v>
      </c>
      <c r="Q2945" s="73">
        <v>84.5</v>
      </c>
      <c r="R2945" s="71" t="s">
        <v>388</v>
      </c>
      <c r="S2945" s="73">
        <v>0</v>
      </c>
      <c r="T2945" s="71" t="s">
        <v>390</v>
      </c>
      <c r="U2945" s="74">
        <v>1</v>
      </c>
      <c r="V2945" s="71" t="s">
        <v>446</v>
      </c>
      <c r="W2945" s="130">
        <v>46092.899733796294</v>
      </c>
      <c r="X2945" s="72">
        <v>46093.979166666664</v>
      </c>
      <c r="Y2945" s="72">
        <v>46101.291666666664</v>
      </c>
      <c r="Z2945" s="104" t="s">
        <v>408</v>
      </c>
      <c r="AA2945" s="104" t="s">
        <v>480</v>
      </c>
      <c r="AB2945" s="105">
        <v>46099.450694444444</v>
      </c>
      <c r="AC2945" s="105">
        <v>46099.616666666669</v>
      </c>
    </row>
    <row r="2946" s="70" customFormat="1" ht="11.25" customHeight="1">
      <c r="A2946" s="87"/>
      <c r="C2946" s="43" t="s">
        <v>4830</v>
      </c>
      <c r="D2946" s="71" t="s">
        <v>382</v>
      </c>
      <c r="E2946" s="71" t="str">
        <f>MID(D2946,1,2)</f>
        <v>IL</v>
      </c>
      <c r="F2946" s="71" t="s">
        <v>1234</v>
      </c>
      <c r="G2946" s="71" t="str">
        <f>MID(F2946,1,2)</f>
        <v>PH</v>
      </c>
      <c r="H2946" s="43" t="s">
        <v>4214</v>
      </c>
      <c r="I2946" s="71" t="s">
        <v>4831</v>
      </c>
      <c r="J2946" s="71" t="s">
        <v>483</v>
      </c>
      <c r="K2946" s="43"/>
      <c r="L2946" s="71" t="s">
        <v>105</v>
      </c>
      <c r="M2946" s="73">
        <v>33</v>
      </c>
      <c r="N2946" s="71" t="s">
        <v>388</v>
      </c>
      <c r="O2946" s="73">
        <v>0.506</v>
      </c>
      <c r="P2946" s="71" t="s">
        <v>389</v>
      </c>
      <c r="Q2946" s="73">
        <v>84.5</v>
      </c>
      <c r="R2946" s="71" t="s">
        <v>388</v>
      </c>
      <c r="S2946" s="73">
        <v>0</v>
      </c>
      <c r="T2946" s="71" t="s">
        <v>390</v>
      </c>
      <c r="U2946" s="74">
        <v>1</v>
      </c>
      <c r="V2946" s="71" t="s">
        <v>446</v>
      </c>
      <c r="W2946" s="130">
        <v>46092.899733796294</v>
      </c>
      <c r="X2946" s="72">
        <v>46093.979166666664</v>
      </c>
      <c r="Y2946" s="72">
        <v>46101.291666666664</v>
      </c>
      <c r="Z2946" s="104" t="s">
        <v>480</v>
      </c>
      <c r="AA2946" s="104" t="s">
        <v>4216</v>
      </c>
      <c r="AB2946" s="105">
        <v>46100.702777777777</v>
      </c>
      <c r="AC2946" s="105"/>
    </row>
    <row r="2947" s="70" customFormat="1" ht="11.25" customHeight="1">
      <c r="A2947" s="87"/>
      <c r="C2947" s="43" t="s">
        <v>4830</v>
      </c>
      <c r="D2947" s="71" t="s">
        <v>382</v>
      </c>
      <c r="E2947" s="71" t="str">
        <f>MID(D2947,1,2)</f>
        <v>IL</v>
      </c>
      <c r="F2947" s="71" t="s">
        <v>1234</v>
      </c>
      <c r="G2947" s="71" t="str">
        <f>MID(F2947,1,2)</f>
        <v>PH</v>
      </c>
      <c r="H2947" s="43" t="s">
        <v>4214</v>
      </c>
      <c r="I2947" s="71" t="s">
        <v>4831</v>
      </c>
      <c r="J2947" s="71" t="s">
        <v>483</v>
      </c>
      <c r="K2947" s="43"/>
      <c r="L2947" s="71" t="s">
        <v>105</v>
      </c>
      <c r="M2947" s="73">
        <v>33</v>
      </c>
      <c r="N2947" s="71" t="s">
        <v>388</v>
      </c>
      <c r="O2947" s="73">
        <v>0.506</v>
      </c>
      <c r="P2947" s="71" t="s">
        <v>389</v>
      </c>
      <c r="Q2947" s="73">
        <v>84.5</v>
      </c>
      <c r="R2947" s="71" t="s">
        <v>388</v>
      </c>
      <c r="S2947" s="73">
        <v>0</v>
      </c>
      <c r="T2947" s="71" t="s">
        <v>390</v>
      </c>
      <c r="U2947" s="74">
        <v>1</v>
      </c>
      <c r="V2947" s="71" t="s">
        <v>446</v>
      </c>
      <c r="W2947" s="130">
        <v>46092.899733796294</v>
      </c>
      <c r="X2947" s="72">
        <v>46093.979166666664</v>
      </c>
      <c r="Y2947" s="72">
        <v>46101.291666666664</v>
      </c>
      <c r="Z2947" s="104" t="s">
        <v>4216</v>
      </c>
      <c r="AA2947" s="104" t="s">
        <v>1234</v>
      </c>
      <c r="AB2947" s="105">
        <v>46101.090277777781</v>
      </c>
      <c r="AC2947" s="105">
        <v>46102.3</v>
      </c>
    </row>
    <row r="2948" s="70" customFormat="1" ht="11.25" customHeight="1">
      <c r="A2948" s="87"/>
      <c r="C2948" s="43" t="s">
        <v>4832</v>
      </c>
      <c r="D2948" s="71" t="s">
        <v>382</v>
      </c>
      <c r="E2948" s="71" t="str">
        <f>MID(D2948,1,2)</f>
        <v>IL</v>
      </c>
      <c r="F2948" s="71" t="s">
        <v>774</v>
      </c>
      <c r="G2948" s="71" t="str">
        <f>MID(F2948,1,2)</f>
        <v>CN</v>
      </c>
      <c r="H2948" s="43" t="s">
        <v>4777</v>
      </c>
      <c r="I2948" s="71" t="s">
        <v>4833</v>
      </c>
      <c r="J2948" s="71" t="s">
        <v>454</v>
      </c>
      <c r="K2948" s="43"/>
      <c r="L2948" s="71" t="s">
        <v>107</v>
      </c>
      <c r="M2948" s="73">
        <v>61</v>
      </c>
      <c r="N2948" s="71" t="s">
        <v>388</v>
      </c>
      <c r="O2948" s="73">
        <v>0.691</v>
      </c>
      <c r="P2948" s="71" t="s">
        <v>389</v>
      </c>
      <c r="Q2948" s="73">
        <v>115.5</v>
      </c>
      <c r="R2948" s="71" t="s">
        <v>388</v>
      </c>
      <c r="S2948" s="73">
        <v>0</v>
      </c>
      <c r="T2948" s="71" t="s">
        <v>390</v>
      </c>
      <c r="U2948" s="74">
        <v>1</v>
      </c>
      <c r="V2948" s="71" t="s">
        <v>391</v>
      </c>
      <c r="W2948" s="130">
        <v>46090.565520833334</v>
      </c>
      <c r="X2948" s="72">
        <v>46092.75</v>
      </c>
      <c r="Y2948" s="72">
        <v>46095.6875</v>
      </c>
      <c r="Z2948" s="104" t="s">
        <v>382</v>
      </c>
      <c r="AA2948" s="104" t="s">
        <v>403</v>
      </c>
      <c r="AB2948" s="105">
        <v>46093.134722222225</v>
      </c>
      <c r="AC2948" s="105">
        <v>46093.913888888892</v>
      </c>
    </row>
    <row r="2949" s="70" customFormat="1" ht="11.25" customHeight="1">
      <c r="A2949" s="87"/>
      <c r="C2949" s="43" t="s">
        <v>4832</v>
      </c>
      <c r="D2949" s="71" t="s">
        <v>382</v>
      </c>
      <c r="E2949" s="71" t="str">
        <f>MID(D2949,1,2)</f>
        <v>IL</v>
      </c>
      <c r="F2949" s="71" t="s">
        <v>774</v>
      </c>
      <c r="G2949" s="71" t="str">
        <f>MID(F2949,1,2)</f>
        <v>CN</v>
      </c>
      <c r="H2949" s="43" t="s">
        <v>4777</v>
      </c>
      <c r="I2949" s="71" t="s">
        <v>4833</v>
      </c>
      <c r="J2949" s="71" t="s">
        <v>454</v>
      </c>
      <c r="K2949" s="43"/>
      <c r="L2949" s="71" t="s">
        <v>107</v>
      </c>
      <c r="M2949" s="73">
        <v>61</v>
      </c>
      <c r="N2949" s="71" t="s">
        <v>388</v>
      </c>
      <c r="O2949" s="73">
        <v>0.691</v>
      </c>
      <c r="P2949" s="71" t="s">
        <v>389</v>
      </c>
      <c r="Q2949" s="73">
        <v>115.5</v>
      </c>
      <c r="R2949" s="71" t="s">
        <v>388</v>
      </c>
      <c r="S2949" s="73">
        <v>0</v>
      </c>
      <c r="T2949" s="71" t="s">
        <v>390</v>
      </c>
      <c r="U2949" s="74">
        <v>1</v>
      </c>
      <c r="V2949" s="71" t="s">
        <v>391</v>
      </c>
      <c r="W2949" s="130">
        <v>46090.565520833334</v>
      </c>
      <c r="X2949" s="72">
        <v>46092.75</v>
      </c>
      <c r="Y2949" s="72">
        <v>46095.6875</v>
      </c>
      <c r="Z2949" s="104" t="s">
        <v>403</v>
      </c>
      <c r="AA2949" s="104" t="s">
        <v>774</v>
      </c>
      <c r="AB2949" s="105">
        <v>46095.564583333333</v>
      </c>
      <c r="AC2949" s="105">
        <v>46095.669444444444</v>
      </c>
    </row>
    <row r="2950" s="70" customFormat="1" ht="11.25" customHeight="1">
      <c r="A2950" s="87"/>
      <c r="C2950" s="43" t="s">
        <v>4834</v>
      </c>
      <c r="D2950" s="71" t="s">
        <v>382</v>
      </c>
      <c r="E2950" s="71" t="str">
        <f>MID(D2950,1,2)</f>
        <v>IL</v>
      </c>
      <c r="F2950" s="71" t="s">
        <v>667</v>
      </c>
      <c r="G2950" s="71" t="str">
        <f>MID(F2950,1,2)</f>
        <v>DE</v>
      </c>
      <c r="H2950" s="43" t="s">
        <v>3495</v>
      </c>
      <c r="I2950" s="71" t="s">
        <v>4835</v>
      </c>
      <c r="J2950" s="71" t="s">
        <v>559</v>
      </c>
      <c r="K2950" s="43"/>
      <c r="L2950" s="71" t="s">
        <v>107</v>
      </c>
      <c r="M2950" s="73">
        <v>267</v>
      </c>
      <c r="N2950" s="71" t="s">
        <v>388</v>
      </c>
      <c r="O2950" s="73">
        <v>0.325</v>
      </c>
      <c r="P2950" s="71" t="s">
        <v>389</v>
      </c>
      <c r="Q2950" s="73">
        <v>267</v>
      </c>
      <c r="R2950" s="71" t="s">
        <v>388</v>
      </c>
      <c r="S2950" s="73">
        <v>0</v>
      </c>
      <c r="T2950" s="71" t="s">
        <v>390</v>
      </c>
      <c r="U2950" s="74">
        <v>1</v>
      </c>
      <c r="V2950" s="71" t="s">
        <v>391</v>
      </c>
      <c r="W2950" s="130">
        <v>46090.55625</v>
      </c>
      <c r="X2950" s="72">
        <v>46092.496527777781</v>
      </c>
      <c r="Y2950" s="72">
        <v>46104.25</v>
      </c>
      <c r="Z2950" s="104" t="s">
        <v>383</v>
      </c>
      <c r="AA2950" s="104" t="s">
        <v>667</v>
      </c>
      <c r="AB2950" s="105"/>
      <c r="AC2950" s="105"/>
    </row>
    <row r="2951" s="70" customFormat="1" ht="11.25" customHeight="1">
      <c r="A2951" s="87"/>
      <c r="C2951" s="43" t="s">
        <v>4834</v>
      </c>
      <c r="D2951" s="71" t="s">
        <v>382</v>
      </c>
      <c r="E2951" s="71" t="str">
        <f>MID(D2951,1,2)</f>
        <v>IL</v>
      </c>
      <c r="F2951" s="71" t="s">
        <v>667</v>
      </c>
      <c r="G2951" s="71" t="str">
        <f>MID(F2951,1,2)</f>
        <v>DE</v>
      </c>
      <c r="H2951" s="43" t="s">
        <v>3495</v>
      </c>
      <c r="I2951" s="71" t="s">
        <v>4835</v>
      </c>
      <c r="J2951" s="71" t="s">
        <v>559</v>
      </c>
      <c r="K2951" s="43"/>
      <c r="L2951" s="71" t="s">
        <v>107</v>
      </c>
      <c r="M2951" s="73">
        <v>267</v>
      </c>
      <c r="N2951" s="71" t="s">
        <v>388</v>
      </c>
      <c r="O2951" s="73">
        <v>0.325</v>
      </c>
      <c r="P2951" s="71" t="s">
        <v>389</v>
      </c>
      <c r="Q2951" s="73">
        <v>267</v>
      </c>
      <c r="R2951" s="71" t="s">
        <v>388</v>
      </c>
      <c r="S2951" s="73">
        <v>0</v>
      </c>
      <c r="T2951" s="71" t="s">
        <v>390</v>
      </c>
      <c r="U2951" s="74">
        <v>1</v>
      </c>
      <c r="V2951" s="71" t="s">
        <v>391</v>
      </c>
      <c r="W2951" s="130">
        <v>46090.55625</v>
      </c>
      <c r="X2951" s="72">
        <v>46092.496527777781</v>
      </c>
      <c r="Y2951" s="72">
        <v>46104.25</v>
      </c>
      <c r="Z2951" s="104" t="s">
        <v>382</v>
      </c>
      <c r="AA2951" s="104" t="s">
        <v>383</v>
      </c>
      <c r="AB2951" s="105">
        <v>46100.42291666667</v>
      </c>
      <c r="AC2951" s="105">
        <v>46100.552777777775</v>
      </c>
    </row>
    <row r="2952" s="70" customFormat="1" ht="11.25" customHeight="1">
      <c r="A2952" s="87"/>
      <c r="C2952" s="43" t="s">
        <v>4836</v>
      </c>
      <c r="D2952" s="71" t="s">
        <v>382</v>
      </c>
      <c r="E2952" s="71" t="str">
        <f>MID(D2952,1,2)</f>
        <v>IL</v>
      </c>
      <c r="F2952" s="71" t="s">
        <v>414</v>
      </c>
      <c r="G2952" s="71" t="str">
        <f>MID(F2952,1,2)</f>
        <v>US</v>
      </c>
      <c r="H2952" s="43" t="s">
        <v>4697</v>
      </c>
      <c r="I2952" s="71" t="s">
        <v>4837</v>
      </c>
      <c r="J2952" s="71" t="s">
        <v>386</v>
      </c>
      <c r="K2952" s="43"/>
      <c r="L2952" s="71" t="s">
        <v>107</v>
      </c>
      <c r="M2952" s="73">
        <v>1</v>
      </c>
      <c r="N2952" s="71" t="s">
        <v>388</v>
      </c>
      <c r="O2952" s="73">
        <v>0.012</v>
      </c>
      <c r="P2952" s="71" t="s">
        <v>389</v>
      </c>
      <c r="Q2952" s="73">
        <v>2</v>
      </c>
      <c r="R2952" s="71" t="s">
        <v>388</v>
      </c>
      <c r="S2952" s="73">
        <v>0</v>
      </c>
      <c r="T2952" s="71" t="s">
        <v>390</v>
      </c>
      <c r="U2952" s="74">
        <v>1</v>
      </c>
      <c r="V2952" s="71" t="s">
        <v>427</v>
      </c>
      <c r="W2952" s="130">
        <v>46090.513888888891</v>
      </c>
      <c r="X2952" s="72">
        <v>46099.854166666664</v>
      </c>
      <c r="Y2952" s="72">
        <v>46102.791666666664</v>
      </c>
      <c r="Z2952" s="104" t="s">
        <v>382</v>
      </c>
      <c r="AA2952" s="104" t="s">
        <v>414</v>
      </c>
      <c r="AB2952" s="105">
        <v>46100.102083333331</v>
      </c>
      <c r="AC2952" s="105">
        <v>46100.31527777778</v>
      </c>
    </row>
    <row r="2953" s="70" customFormat="1" ht="11.25" customHeight="1">
      <c r="A2953" s="87"/>
      <c r="C2953" s="43" t="s">
        <v>4838</v>
      </c>
      <c r="D2953" s="71" t="s">
        <v>382</v>
      </c>
      <c r="E2953" s="71" t="str">
        <f>MID(D2953,1,2)</f>
        <v>IL</v>
      </c>
      <c r="F2953" s="71" t="s">
        <v>496</v>
      </c>
      <c r="G2953" s="71" t="str">
        <f>MID(F2953,1,2)</f>
        <v>RO</v>
      </c>
      <c r="H2953" s="43" t="s">
        <v>4839</v>
      </c>
      <c r="I2953" s="71" t="s">
        <v>4840</v>
      </c>
      <c r="J2953" s="71" t="s">
        <v>426</v>
      </c>
      <c r="K2953" s="43"/>
      <c r="L2953" s="71" t="s">
        <v>105</v>
      </c>
      <c r="M2953" s="73">
        <v>13</v>
      </c>
      <c r="N2953" s="71" t="s">
        <v>388</v>
      </c>
      <c r="O2953" s="73">
        <v>0.11</v>
      </c>
      <c r="P2953" s="71" t="s">
        <v>389</v>
      </c>
      <c r="Q2953" s="73">
        <v>18.5</v>
      </c>
      <c r="R2953" s="71" t="s">
        <v>388</v>
      </c>
      <c r="S2953" s="73">
        <v>0</v>
      </c>
      <c r="T2953" s="71" t="s">
        <v>390</v>
      </c>
      <c r="U2953" s="74">
        <v>1</v>
      </c>
      <c r="V2953" s="71" t="s">
        <v>391</v>
      </c>
      <c r="W2953" s="130">
        <v>46090.521527777775</v>
      </c>
      <c r="X2953" s="72">
        <v>46093</v>
      </c>
      <c r="Y2953" s="72">
        <v>46096.572916666664</v>
      </c>
      <c r="Z2953" s="104" t="s">
        <v>382</v>
      </c>
      <c r="AA2953" s="104" t="s">
        <v>496</v>
      </c>
      <c r="AB2953" s="105">
        <v>46096.452777777777</v>
      </c>
      <c r="AC2953" s="105">
        <v>46096.5625</v>
      </c>
    </row>
    <row r="2954" s="70" customFormat="1" ht="11.25" customHeight="1">
      <c r="A2954" s="87"/>
      <c r="C2954" s="43" t="s">
        <v>4841</v>
      </c>
      <c r="D2954" s="71" t="s">
        <v>382</v>
      </c>
      <c r="E2954" s="71" t="str">
        <f>MID(D2954,1,2)</f>
        <v>IL</v>
      </c>
      <c r="F2954" s="71" t="s">
        <v>522</v>
      </c>
      <c r="G2954" s="71" t="str">
        <f>MID(F2954,1,2)</f>
        <v>CZ</v>
      </c>
      <c r="H2954" s="43" t="s">
        <v>3495</v>
      </c>
      <c r="I2954" s="71" t="s">
        <v>4842</v>
      </c>
      <c r="J2954" s="71" t="s">
        <v>386</v>
      </c>
      <c r="K2954" s="43"/>
      <c r="L2954" s="71" t="s">
        <v>107</v>
      </c>
      <c r="M2954" s="73">
        <v>80</v>
      </c>
      <c r="N2954" s="71" t="s">
        <v>388</v>
      </c>
      <c r="O2954" s="73">
        <v>1.469</v>
      </c>
      <c r="P2954" s="71" t="s">
        <v>389</v>
      </c>
      <c r="Q2954" s="73">
        <v>245</v>
      </c>
      <c r="R2954" s="71" t="s">
        <v>388</v>
      </c>
      <c r="S2954" s="73">
        <v>0</v>
      </c>
      <c r="T2954" s="71" t="s">
        <v>390</v>
      </c>
      <c r="U2954" s="74">
        <v>1</v>
      </c>
      <c r="V2954" s="71" t="s">
        <v>391</v>
      </c>
      <c r="W2954" s="130">
        <v>46090.570138888892</v>
      </c>
      <c r="X2954" s="72">
        <v>46092.541666666664</v>
      </c>
      <c r="Y2954" s="72">
        <v>46102.509722222225</v>
      </c>
      <c r="Z2954" s="104" t="s">
        <v>383</v>
      </c>
      <c r="AA2954" s="104" t="s">
        <v>522</v>
      </c>
      <c r="AB2954" s="105">
        <v>46101.836805555555</v>
      </c>
      <c r="AC2954" s="105"/>
    </row>
    <row r="2955" s="70" customFormat="1" ht="11.25" customHeight="1">
      <c r="A2955" s="87"/>
      <c r="C2955" s="43" t="s">
        <v>4841</v>
      </c>
      <c r="D2955" s="71" t="s">
        <v>382</v>
      </c>
      <c r="E2955" s="71" t="str">
        <f>MID(D2955,1,2)</f>
        <v>IL</v>
      </c>
      <c r="F2955" s="71" t="s">
        <v>522</v>
      </c>
      <c r="G2955" s="71" t="str">
        <f>MID(F2955,1,2)</f>
        <v>CZ</v>
      </c>
      <c r="H2955" s="43" t="s">
        <v>3495</v>
      </c>
      <c r="I2955" s="71" t="s">
        <v>4842</v>
      </c>
      <c r="J2955" s="71" t="s">
        <v>386</v>
      </c>
      <c r="K2955" s="43"/>
      <c r="L2955" s="71" t="s">
        <v>107</v>
      </c>
      <c r="M2955" s="73">
        <v>80</v>
      </c>
      <c r="N2955" s="71" t="s">
        <v>388</v>
      </c>
      <c r="O2955" s="73">
        <v>1.469</v>
      </c>
      <c r="P2955" s="71" t="s">
        <v>389</v>
      </c>
      <c r="Q2955" s="73">
        <v>245</v>
      </c>
      <c r="R2955" s="71" t="s">
        <v>388</v>
      </c>
      <c r="S2955" s="73">
        <v>0</v>
      </c>
      <c r="T2955" s="71" t="s">
        <v>390</v>
      </c>
      <c r="U2955" s="74">
        <v>1</v>
      </c>
      <c r="V2955" s="71" t="s">
        <v>391</v>
      </c>
      <c r="W2955" s="130">
        <v>46090.570138888892</v>
      </c>
      <c r="X2955" s="72">
        <v>46092.541666666664</v>
      </c>
      <c r="Y2955" s="72">
        <v>46102.509722222225</v>
      </c>
      <c r="Z2955" s="104" t="s">
        <v>382</v>
      </c>
      <c r="AA2955" s="104" t="s">
        <v>383</v>
      </c>
      <c r="AB2955" s="105">
        <v>46100.42291666667</v>
      </c>
      <c r="AC2955" s="105">
        <v>46100.552777777775</v>
      </c>
    </row>
    <row r="2956" s="70" customFormat="1" ht="11.25" customHeight="1">
      <c r="A2956" s="87"/>
      <c r="C2956" s="43" t="s">
        <v>4843</v>
      </c>
      <c r="D2956" s="71" t="s">
        <v>382</v>
      </c>
      <c r="E2956" s="71" t="str">
        <f>MID(D2956,1,2)</f>
        <v>IL</v>
      </c>
      <c r="F2956" s="71" t="s">
        <v>414</v>
      </c>
      <c r="G2956" s="71" t="str">
        <f>MID(F2956,1,2)</f>
        <v>US</v>
      </c>
      <c r="H2956" s="43" t="s">
        <v>4187</v>
      </c>
      <c r="I2956" s="71" t="s">
        <v>4844</v>
      </c>
      <c r="J2956" s="71" t="s">
        <v>426</v>
      </c>
      <c r="K2956" s="43" t="s">
        <v>431</v>
      </c>
      <c r="L2956" s="71" t="s">
        <v>105</v>
      </c>
      <c r="M2956" s="73">
        <v>540</v>
      </c>
      <c r="N2956" s="71" t="s">
        <v>388</v>
      </c>
      <c r="O2956" s="73">
        <v>5.775</v>
      </c>
      <c r="P2956" s="71" t="s">
        <v>389</v>
      </c>
      <c r="Q2956" s="73">
        <v>962.5</v>
      </c>
      <c r="R2956" s="71" t="s">
        <v>388</v>
      </c>
      <c r="S2956" s="73">
        <v>0</v>
      </c>
      <c r="T2956" s="71" t="s">
        <v>390</v>
      </c>
      <c r="U2956" s="74">
        <v>4</v>
      </c>
      <c r="V2956" s="71" t="s">
        <v>391</v>
      </c>
      <c r="W2956" s="130">
        <v>46090.5625</v>
      </c>
      <c r="X2956" s="72">
        <v>46091.875</v>
      </c>
      <c r="Y2956" s="72">
        <v>46094.458333333336</v>
      </c>
      <c r="Z2956" s="104" t="s">
        <v>382</v>
      </c>
      <c r="AA2956" s="104" t="s">
        <v>414</v>
      </c>
      <c r="AB2956" s="105">
        <v>46091.955555555556</v>
      </c>
      <c r="AC2956" s="105">
        <v>46094.475</v>
      </c>
    </row>
    <row r="2957" s="70" customFormat="1" ht="11.25" customHeight="1">
      <c r="A2957" s="87"/>
      <c r="C2957" s="43" t="s">
        <v>4845</v>
      </c>
      <c r="D2957" s="71" t="s">
        <v>382</v>
      </c>
      <c r="E2957" s="71" t="str">
        <f>MID(D2957,1,2)</f>
        <v>IL</v>
      </c>
      <c r="F2957" s="71" t="s">
        <v>702</v>
      </c>
      <c r="G2957" s="71" t="str">
        <f>MID(F2957,1,2)</f>
        <v>JP</v>
      </c>
      <c r="H2957" s="43" t="s">
        <v>4846</v>
      </c>
      <c r="I2957" s="71" t="s">
        <v>4847</v>
      </c>
      <c r="J2957" s="71" t="s">
        <v>755</v>
      </c>
      <c r="K2957" s="43"/>
      <c r="L2957" s="71" t="s">
        <v>105</v>
      </c>
      <c r="M2957" s="73">
        <v>58</v>
      </c>
      <c r="N2957" s="71" t="s">
        <v>388</v>
      </c>
      <c r="O2957" s="73">
        <v>0.416</v>
      </c>
      <c r="P2957" s="71" t="s">
        <v>389</v>
      </c>
      <c r="Q2957" s="73">
        <v>69.5</v>
      </c>
      <c r="R2957" s="71" t="s">
        <v>388</v>
      </c>
      <c r="S2957" s="73">
        <v>0</v>
      </c>
      <c r="T2957" s="71" t="s">
        <v>390</v>
      </c>
      <c r="U2957" s="74">
        <v>1</v>
      </c>
      <c r="V2957" s="71" t="s">
        <v>391</v>
      </c>
      <c r="W2957" s="130">
        <v>46091.558819444443</v>
      </c>
      <c r="X2957" s="72">
        <v>46093.62777777778</v>
      </c>
      <c r="Y2957" s="72">
        <v>46096.427083333336</v>
      </c>
      <c r="Z2957" s="104" t="s">
        <v>382</v>
      </c>
      <c r="AA2957" s="104" t="s">
        <v>403</v>
      </c>
      <c r="AB2957" s="105">
        <v>46093.134722222225</v>
      </c>
      <c r="AC2957" s="105">
        <v>46093.914583333331</v>
      </c>
    </row>
    <row r="2958" s="70" customFormat="1" ht="11.25" customHeight="1">
      <c r="A2958" s="87"/>
      <c r="C2958" s="43" t="s">
        <v>4845</v>
      </c>
      <c r="D2958" s="71" t="s">
        <v>382</v>
      </c>
      <c r="E2958" s="71" t="str">
        <f>MID(D2958,1,2)</f>
        <v>IL</v>
      </c>
      <c r="F2958" s="71" t="s">
        <v>702</v>
      </c>
      <c r="G2958" s="71" t="str">
        <f>MID(F2958,1,2)</f>
        <v>JP</v>
      </c>
      <c r="H2958" s="43" t="s">
        <v>4846</v>
      </c>
      <c r="I2958" s="71" t="s">
        <v>4847</v>
      </c>
      <c r="J2958" s="71" t="s">
        <v>755</v>
      </c>
      <c r="K2958" s="43"/>
      <c r="L2958" s="71" t="s">
        <v>105</v>
      </c>
      <c r="M2958" s="73">
        <v>58</v>
      </c>
      <c r="N2958" s="71" t="s">
        <v>388</v>
      </c>
      <c r="O2958" s="73">
        <v>0.416</v>
      </c>
      <c r="P2958" s="71" t="s">
        <v>389</v>
      </c>
      <c r="Q2958" s="73">
        <v>69.5</v>
      </c>
      <c r="R2958" s="71" t="s">
        <v>388</v>
      </c>
      <c r="S2958" s="73">
        <v>0</v>
      </c>
      <c r="T2958" s="71" t="s">
        <v>390</v>
      </c>
      <c r="U2958" s="74">
        <v>1</v>
      </c>
      <c r="V2958" s="71" t="s">
        <v>391</v>
      </c>
      <c r="W2958" s="130">
        <v>46091.558819444443</v>
      </c>
      <c r="X2958" s="72">
        <v>46093.62777777778</v>
      </c>
      <c r="Y2958" s="72">
        <v>46096.427083333336</v>
      </c>
      <c r="Z2958" s="104" t="s">
        <v>403</v>
      </c>
      <c r="AA2958" s="104" t="s">
        <v>702</v>
      </c>
      <c r="AB2958" s="105">
        <v>46096.215277777781</v>
      </c>
      <c r="AC2958" s="105">
        <v>46096.490277777775</v>
      </c>
    </row>
    <row r="2959" s="70" customFormat="1" ht="11.25" customHeight="1">
      <c r="A2959" s="87"/>
      <c r="C2959" s="43" t="s">
        <v>4848</v>
      </c>
      <c r="D2959" s="71" t="s">
        <v>382</v>
      </c>
      <c r="E2959" s="71" t="str">
        <f>MID(D2959,1,2)</f>
        <v>IL</v>
      </c>
      <c r="F2959" s="71" t="s">
        <v>640</v>
      </c>
      <c r="G2959" s="71" t="str">
        <f>MID(F2959,1,2)</f>
        <v>VN</v>
      </c>
      <c r="H2959" s="43" t="s">
        <v>4849</v>
      </c>
      <c r="I2959" s="71" t="s">
        <v>4850</v>
      </c>
      <c r="J2959" s="71" t="s">
        <v>386</v>
      </c>
      <c r="K2959" s="43"/>
      <c r="L2959" s="71" t="s">
        <v>107</v>
      </c>
      <c r="M2959" s="73">
        <v>1460</v>
      </c>
      <c r="N2959" s="71" t="s">
        <v>388</v>
      </c>
      <c r="O2959" s="73">
        <v>11.66</v>
      </c>
      <c r="P2959" s="71" t="s">
        <v>389</v>
      </c>
      <c r="Q2959" s="73">
        <v>1943.5</v>
      </c>
      <c r="R2959" s="71" t="s">
        <v>388</v>
      </c>
      <c r="S2959" s="73">
        <v>0</v>
      </c>
      <c r="T2959" s="71" t="s">
        <v>390</v>
      </c>
      <c r="U2959" s="74">
        <v>2</v>
      </c>
      <c r="V2959" s="71" t="s">
        <v>391</v>
      </c>
      <c r="W2959" s="130">
        <v>46093.549305555556</v>
      </c>
      <c r="X2959" s="72">
        <v>46095.770833333336</v>
      </c>
      <c r="Y2959" s="72">
        <v>46107.097222222219</v>
      </c>
      <c r="Z2959" s="104" t="s">
        <v>382</v>
      </c>
      <c r="AA2959" s="104" t="s">
        <v>466</v>
      </c>
      <c r="AB2959" s="105">
        <v>46095.770833333336</v>
      </c>
      <c r="AC2959" s="105">
        <v>46095.89166666667</v>
      </c>
    </row>
    <row r="2960" s="70" customFormat="1" ht="11.25" customHeight="1">
      <c r="A2960" s="87"/>
      <c r="C2960" s="43" t="s">
        <v>4848</v>
      </c>
      <c r="D2960" s="71" t="s">
        <v>382</v>
      </c>
      <c r="E2960" s="71" t="str">
        <f>MID(D2960,1,2)</f>
        <v>IL</v>
      </c>
      <c r="F2960" s="71" t="s">
        <v>640</v>
      </c>
      <c r="G2960" s="71" t="str">
        <f>MID(F2960,1,2)</f>
        <v>VN</v>
      </c>
      <c r="H2960" s="43" t="s">
        <v>4849</v>
      </c>
      <c r="I2960" s="71" t="s">
        <v>4850</v>
      </c>
      <c r="J2960" s="71" t="s">
        <v>386</v>
      </c>
      <c r="K2960" s="43"/>
      <c r="L2960" s="71" t="s">
        <v>107</v>
      </c>
      <c r="M2960" s="73">
        <v>1460</v>
      </c>
      <c r="N2960" s="71" t="s">
        <v>388</v>
      </c>
      <c r="O2960" s="73">
        <v>11.66</v>
      </c>
      <c r="P2960" s="71" t="s">
        <v>389</v>
      </c>
      <c r="Q2960" s="73">
        <v>1943.5</v>
      </c>
      <c r="R2960" s="71" t="s">
        <v>388</v>
      </c>
      <c r="S2960" s="73">
        <v>0</v>
      </c>
      <c r="T2960" s="71" t="s">
        <v>390</v>
      </c>
      <c r="U2960" s="74">
        <v>2</v>
      </c>
      <c r="V2960" s="71" t="s">
        <v>391</v>
      </c>
      <c r="W2960" s="130">
        <v>46093.549305555556</v>
      </c>
      <c r="X2960" s="72">
        <v>46095.770833333336</v>
      </c>
      <c r="Y2960" s="72">
        <v>46107.097222222219</v>
      </c>
      <c r="Z2960" s="104" t="s">
        <v>466</v>
      </c>
      <c r="AA2960" s="104" t="s">
        <v>1117</v>
      </c>
      <c r="AB2960" s="105">
        <v>46097.659722222219</v>
      </c>
      <c r="AC2960" s="105">
        <v>46098.479166666664</v>
      </c>
    </row>
    <row r="2961" s="70" customFormat="1" ht="11.25" customHeight="1">
      <c r="A2961" s="87"/>
      <c r="C2961" s="43" t="s">
        <v>4848</v>
      </c>
      <c r="D2961" s="71" t="s">
        <v>382</v>
      </c>
      <c r="E2961" s="71" t="str">
        <f>MID(D2961,1,2)</f>
        <v>IL</v>
      </c>
      <c r="F2961" s="71" t="s">
        <v>640</v>
      </c>
      <c r="G2961" s="71" t="str">
        <f>MID(F2961,1,2)</f>
        <v>VN</v>
      </c>
      <c r="H2961" s="43" t="s">
        <v>4849</v>
      </c>
      <c r="I2961" s="71" t="s">
        <v>4850</v>
      </c>
      <c r="J2961" s="71" t="s">
        <v>386</v>
      </c>
      <c r="K2961" s="43"/>
      <c r="L2961" s="71" t="s">
        <v>107</v>
      </c>
      <c r="M2961" s="73">
        <v>1460</v>
      </c>
      <c r="N2961" s="71" t="s">
        <v>388</v>
      </c>
      <c r="O2961" s="73">
        <v>11.66</v>
      </c>
      <c r="P2961" s="71" t="s">
        <v>389</v>
      </c>
      <c r="Q2961" s="73">
        <v>1943.5</v>
      </c>
      <c r="R2961" s="71" t="s">
        <v>388</v>
      </c>
      <c r="S2961" s="73">
        <v>0</v>
      </c>
      <c r="T2961" s="71" t="s">
        <v>390</v>
      </c>
      <c r="U2961" s="74">
        <v>2</v>
      </c>
      <c r="V2961" s="71" t="s">
        <v>391</v>
      </c>
      <c r="W2961" s="130">
        <v>46093.549305555556</v>
      </c>
      <c r="X2961" s="72">
        <v>46095.770833333336</v>
      </c>
      <c r="Y2961" s="72">
        <v>46107.097222222219</v>
      </c>
      <c r="Z2961" s="104" t="s">
        <v>1117</v>
      </c>
      <c r="AA2961" s="104" t="s">
        <v>1538</v>
      </c>
      <c r="AB2961" s="105"/>
      <c r="AC2961" s="105"/>
    </row>
    <row r="2962" s="70" customFormat="1" ht="11.25" customHeight="1">
      <c r="A2962" s="87"/>
      <c r="C2962" s="43" t="s">
        <v>4848</v>
      </c>
      <c r="D2962" s="71" t="s">
        <v>382</v>
      </c>
      <c r="E2962" s="71" t="str">
        <f>MID(D2962,1,2)</f>
        <v>IL</v>
      </c>
      <c r="F2962" s="71" t="s">
        <v>640</v>
      </c>
      <c r="G2962" s="71" t="str">
        <f>MID(F2962,1,2)</f>
        <v>VN</v>
      </c>
      <c r="H2962" s="43" t="s">
        <v>4849</v>
      </c>
      <c r="I2962" s="71" t="s">
        <v>4850</v>
      </c>
      <c r="J2962" s="71" t="s">
        <v>386</v>
      </c>
      <c r="K2962" s="43"/>
      <c r="L2962" s="71" t="s">
        <v>107</v>
      </c>
      <c r="M2962" s="73">
        <v>1460</v>
      </c>
      <c r="N2962" s="71" t="s">
        <v>388</v>
      </c>
      <c r="O2962" s="73">
        <v>11.66</v>
      </c>
      <c r="P2962" s="71" t="s">
        <v>389</v>
      </c>
      <c r="Q2962" s="73">
        <v>1943.5</v>
      </c>
      <c r="R2962" s="71" t="s">
        <v>388</v>
      </c>
      <c r="S2962" s="73">
        <v>0</v>
      </c>
      <c r="T2962" s="71" t="s">
        <v>390</v>
      </c>
      <c r="U2962" s="74">
        <v>2</v>
      </c>
      <c r="V2962" s="71" t="s">
        <v>391</v>
      </c>
      <c r="W2962" s="130">
        <v>46093.549305555556</v>
      </c>
      <c r="X2962" s="72">
        <v>46095.770833333336</v>
      </c>
      <c r="Y2962" s="72">
        <v>46107.097222222219</v>
      </c>
      <c r="Z2962" s="104" t="s">
        <v>1538</v>
      </c>
      <c r="AA2962" s="104" t="s">
        <v>640</v>
      </c>
      <c r="AB2962" s="105"/>
      <c r="AC2962" s="105"/>
    </row>
    <row r="2963" s="70" customFormat="1" ht="11.25" customHeight="1">
      <c r="A2963" s="87"/>
      <c r="C2963" s="43" t="s">
        <v>4851</v>
      </c>
      <c r="D2963" s="71" t="s">
        <v>382</v>
      </c>
      <c r="E2963" s="71" t="str">
        <f>MID(D2963,1,2)</f>
        <v>IL</v>
      </c>
      <c r="F2963" s="71" t="s">
        <v>383</v>
      </c>
      <c r="G2963" s="71" t="str">
        <f>MID(F2963,1,2)</f>
        <v>DE</v>
      </c>
      <c r="H2963" s="43" t="s">
        <v>3495</v>
      </c>
      <c r="I2963" s="71" t="s">
        <v>4852</v>
      </c>
      <c r="J2963" s="71" t="s">
        <v>454</v>
      </c>
      <c r="K2963" s="43"/>
      <c r="L2963" s="71" t="s">
        <v>107</v>
      </c>
      <c r="M2963" s="73">
        <v>10</v>
      </c>
      <c r="N2963" s="71" t="s">
        <v>388</v>
      </c>
      <c r="O2963" s="73">
        <v>0.064</v>
      </c>
      <c r="P2963" s="71" t="s">
        <v>389</v>
      </c>
      <c r="Q2963" s="73">
        <v>11</v>
      </c>
      <c r="R2963" s="71" t="s">
        <v>388</v>
      </c>
      <c r="S2963" s="73">
        <v>0</v>
      </c>
      <c r="T2963" s="71" t="s">
        <v>390</v>
      </c>
      <c r="U2963" s="74">
        <v>1</v>
      </c>
      <c r="V2963" s="71" t="s">
        <v>391</v>
      </c>
      <c r="W2963" s="130">
        <v>46091.885451388887</v>
      </c>
      <c r="X2963" s="72">
        <v>46092.541666666664</v>
      </c>
      <c r="Y2963" s="72">
        <v>46100.55625</v>
      </c>
      <c r="Z2963" s="104" t="s">
        <v>383</v>
      </c>
      <c r="AA2963" s="104" t="s">
        <v>680</v>
      </c>
      <c r="AB2963" s="105">
        <v>46102.5</v>
      </c>
      <c r="AC2963" s="105"/>
    </row>
    <row r="2964" s="70" customFormat="1" ht="11.25" customHeight="1">
      <c r="A2964" s="87"/>
      <c r="C2964" s="43" t="s">
        <v>4851</v>
      </c>
      <c r="D2964" s="71" t="s">
        <v>382</v>
      </c>
      <c r="E2964" s="71" t="str">
        <f>MID(D2964,1,2)</f>
        <v>IL</v>
      </c>
      <c r="F2964" s="71" t="s">
        <v>383</v>
      </c>
      <c r="G2964" s="71" t="str">
        <f>MID(F2964,1,2)</f>
        <v>DE</v>
      </c>
      <c r="H2964" s="43" t="s">
        <v>3495</v>
      </c>
      <c r="I2964" s="71" t="s">
        <v>4852</v>
      </c>
      <c r="J2964" s="71" t="s">
        <v>454</v>
      </c>
      <c r="K2964" s="43"/>
      <c r="L2964" s="71" t="s">
        <v>107</v>
      </c>
      <c r="M2964" s="73">
        <v>10</v>
      </c>
      <c r="N2964" s="71" t="s">
        <v>388</v>
      </c>
      <c r="O2964" s="73">
        <v>0.064</v>
      </c>
      <c r="P2964" s="71" t="s">
        <v>389</v>
      </c>
      <c r="Q2964" s="73">
        <v>11</v>
      </c>
      <c r="R2964" s="71" t="s">
        <v>388</v>
      </c>
      <c r="S2964" s="73">
        <v>0</v>
      </c>
      <c r="T2964" s="71" t="s">
        <v>390</v>
      </c>
      <c r="U2964" s="74">
        <v>1</v>
      </c>
      <c r="V2964" s="71" t="s">
        <v>391</v>
      </c>
      <c r="W2964" s="130">
        <v>46091.885451388887</v>
      </c>
      <c r="X2964" s="72">
        <v>46092.541666666664</v>
      </c>
      <c r="Y2964" s="72">
        <v>46100.55625</v>
      </c>
      <c r="Z2964" s="104" t="s">
        <v>382</v>
      </c>
      <c r="AA2964" s="104" t="s">
        <v>383</v>
      </c>
      <c r="AB2964" s="105">
        <v>46100.42291666667</v>
      </c>
      <c r="AC2964" s="105">
        <v>46100.552777777775</v>
      </c>
    </row>
    <row r="2965" s="70" customFormat="1" ht="11.25" customHeight="1">
      <c r="A2965" s="87"/>
      <c r="C2965" s="43" t="s">
        <v>4853</v>
      </c>
      <c r="D2965" s="71" t="s">
        <v>382</v>
      </c>
      <c r="E2965" s="71" t="str">
        <f>MID(D2965,1,2)</f>
        <v>IL</v>
      </c>
      <c r="F2965" s="71" t="s">
        <v>3998</v>
      </c>
      <c r="G2965" s="71" t="str">
        <f>MID(F2965,1,2)</f>
        <v>RO</v>
      </c>
      <c r="H2965" s="43" t="s">
        <v>3999</v>
      </c>
      <c r="I2965" s="71" t="s">
        <v>4854</v>
      </c>
      <c r="J2965" s="71" t="s">
        <v>386</v>
      </c>
      <c r="K2965" s="43"/>
      <c r="L2965" s="71" t="s">
        <v>107</v>
      </c>
      <c r="M2965" s="73">
        <v>3</v>
      </c>
      <c r="N2965" s="71" t="s">
        <v>388</v>
      </c>
      <c r="O2965" s="73">
        <v>0.019</v>
      </c>
      <c r="P2965" s="71" t="s">
        <v>389</v>
      </c>
      <c r="Q2965" s="73">
        <v>3.5</v>
      </c>
      <c r="R2965" s="71" t="s">
        <v>388</v>
      </c>
      <c r="S2965" s="73">
        <v>0</v>
      </c>
      <c r="T2965" s="71" t="s">
        <v>390</v>
      </c>
      <c r="U2965" s="74">
        <v>1</v>
      </c>
      <c r="V2965" s="71" t="s">
        <v>536</v>
      </c>
      <c r="W2965" s="130">
        <v>46090.618055555555</v>
      </c>
      <c r="X2965" s="72">
        <v>46093</v>
      </c>
      <c r="Y2965" s="72">
        <v>46096.572916666664</v>
      </c>
      <c r="Z2965" s="104" t="s">
        <v>382</v>
      </c>
      <c r="AA2965" s="104" t="s">
        <v>496</v>
      </c>
      <c r="AB2965" s="105">
        <v>46096.452777777777</v>
      </c>
      <c r="AC2965" s="105">
        <v>46096.5625</v>
      </c>
    </row>
    <row r="2966" s="70" customFormat="1" ht="11.25" customHeight="1">
      <c r="A2966" s="87"/>
      <c r="C2966" s="43" t="s">
        <v>4855</v>
      </c>
      <c r="D2966" s="71" t="s">
        <v>382</v>
      </c>
      <c r="E2966" s="71" t="str">
        <f>MID(D2966,1,2)</f>
        <v>IL</v>
      </c>
      <c r="F2966" s="71" t="s">
        <v>774</v>
      </c>
      <c r="G2966" s="71" t="str">
        <f>MID(F2966,1,2)</f>
        <v>CN</v>
      </c>
      <c r="H2966" s="43" t="s">
        <v>4777</v>
      </c>
      <c r="I2966" s="71" t="s">
        <v>4856</v>
      </c>
      <c r="J2966" s="71" t="s">
        <v>755</v>
      </c>
      <c r="K2966" s="43"/>
      <c r="L2966" s="71" t="s">
        <v>105</v>
      </c>
      <c r="M2966" s="73">
        <v>4.4</v>
      </c>
      <c r="N2966" s="71" t="s">
        <v>388</v>
      </c>
      <c r="O2966" s="73">
        <v>0.02</v>
      </c>
      <c r="P2966" s="71" t="s">
        <v>389</v>
      </c>
      <c r="Q2966" s="73">
        <v>4.5</v>
      </c>
      <c r="R2966" s="71" t="s">
        <v>388</v>
      </c>
      <c r="S2966" s="73">
        <v>0</v>
      </c>
      <c r="T2966" s="71" t="s">
        <v>390</v>
      </c>
      <c r="U2966" s="74">
        <v>1</v>
      </c>
      <c r="V2966" s="71" t="s">
        <v>391</v>
      </c>
      <c r="W2966" s="130">
        <v>46091.558819444443</v>
      </c>
      <c r="X2966" s="72">
        <v>46092.75</v>
      </c>
      <c r="Y2966" s="72">
        <v>46095.6875</v>
      </c>
      <c r="Z2966" s="104" t="s">
        <v>382</v>
      </c>
      <c r="AA2966" s="104" t="s">
        <v>403</v>
      </c>
      <c r="AB2966" s="105">
        <v>46093.134722222225</v>
      </c>
      <c r="AC2966" s="105">
        <v>46093.913888888892</v>
      </c>
    </row>
    <row r="2967" s="70" customFormat="1" ht="11.25" customHeight="1">
      <c r="A2967" s="87"/>
      <c r="C2967" s="43" t="s">
        <v>4855</v>
      </c>
      <c r="D2967" s="71" t="s">
        <v>382</v>
      </c>
      <c r="E2967" s="71" t="str">
        <f>MID(D2967,1,2)</f>
        <v>IL</v>
      </c>
      <c r="F2967" s="71" t="s">
        <v>774</v>
      </c>
      <c r="G2967" s="71" t="str">
        <f>MID(F2967,1,2)</f>
        <v>CN</v>
      </c>
      <c r="H2967" s="43" t="s">
        <v>4777</v>
      </c>
      <c r="I2967" s="71" t="s">
        <v>4856</v>
      </c>
      <c r="J2967" s="71" t="s">
        <v>755</v>
      </c>
      <c r="K2967" s="43"/>
      <c r="L2967" s="71" t="s">
        <v>105</v>
      </c>
      <c r="M2967" s="73">
        <v>4.4</v>
      </c>
      <c r="N2967" s="71" t="s">
        <v>388</v>
      </c>
      <c r="O2967" s="73">
        <v>0.02</v>
      </c>
      <c r="P2967" s="71" t="s">
        <v>389</v>
      </c>
      <c r="Q2967" s="73">
        <v>4.5</v>
      </c>
      <c r="R2967" s="71" t="s">
        <v>388</v>
      </c>
      <c r="S2967" s="73">
        <v>0</v>
      </c>
      <c r="T2967" s="71" t="s">
        <v>390</v>
      </c>
      <c r="U2967" s="74">
        <v>1</v>
      </c>
      <c r="V2967" s="71" t="s">
        <v>391</v>
      </c>
      <c r="W2967" s="130">
        <v>46091.558819444443</v>
      </c>
      <c r="X2967" s="72">
        <v>46092.75</v>
      </c>
      <c r="Y2967" s="72">
        <v>46095.6875</v>
      </c>
      <c r="Z2967" s="104" t="s">
        <v>403</v>
      </c>
      <c r="AA2967" s="104" t="s">
        <v>774</v>
      </c>
      <c r="AB2967" s="105">
        <v>46095.564583333333</v>
      </c>
      <c r="AC2967" s="105">
        <v>46095.669444444444</v>
      </c>
    </row>
    <row r="2968" s="70" customFormat="1" ht="11.25" customHeight="1">
      <c r="A2968" s="87"/>
      <c r="C2968" s="43" t="s">
        <v>4857</v>
      </c>
      <c r="D2968" s="71" t="s">
        <v>382</v>
      </c>
      <c r="E2968" s="71" t="str">
        <f>MID(D2968,1,2)</f>
        <v>IL</v>
      </c>
      <c r="F2968" s="71" t="s">
        <v>383</v>
      </c>
      <c r="G2968" s="71" t="str">
        <f>MID(F2968,1,2)</f>
        <v>DE</v>
      </c>
      <c r="H2968" s="43" t="s">
        <v>3495</v>
      </c>
      <c r="I2968" s="71" t="s">
        <v>4858</v>
      </c>
      <c r="J2968" s="71" t="s">
        <v>426</v>
      </c>
      <c r="K2968" s="43"/>
      <c r="L2968" s="71" t="s">
        <v>105</v>
      </c>
      <c r="M2968" s="73">
        <v>146</v>
      </c>
      <c r="N2968" s="71" t="s">
        <v>388</v>
      </c>
      <c r="O2968" s="73">
        <v>0.432</v>
      </c>
      <c r="P2968" s="71" t="s">
        <v>389</v>
      </c>
      <c r="Q2968" s="73">
        <v>146</v>
      </c>
      <c r="R2968" s="71" t="s">
        <v>388</v>
      </c>
      <c r="S2968" s="73">
        <v>0</v>
      </c>
      <c r="T2968" s="71" t="s">
        <v>390</v>
      </c>
      <c r="U2968" s="74">
        <v>1</v>
      </c>
      <c r="V2968" s="71" t="s">
        <v>391</v>
      </c>
      <c r="W2968" s="130">
        <v>46090.611111111109</v>
      </c>
      <c r="X2968" s="72">
        <v>46092.541666666664</v>
      </c>
      <c r="Y2968" s="72">
        <v>46100.496527777781</v>
      </c>
      <c r="Z2968" s="104" t="s">
        <v>382</v>
      </c>
      <c r="AA2968" s="104" t="s">
        <v>383</v>
      </c>
      <c r="AB2968" s="105">
        <v>46100.42291666667</v>
      </c>
      <c r="AC2968" s="105">
        <v>46100.552777777775</v>
      </c>
    </row>
    <row r="2969" s="70" customFormat="1" ht="11.25" customHeight="1">
      <c r="A2969" s="87"/>
      <c r="C2969" s="43" t="s">
        <v>4859</v>
      </c>
      <c r="D2969" s="71" t="s">
        <v>382</v>
      </c>
      <c r="E2969" s="71" t="str">
        <f>MID(D2969,1,2)</f>
        <v>IL</v>
      </c>
      <c r="F2969" s="71" t="s">
        <v>3998</v>
      </c>
      <c r="G2969" s="71" t="str">
        <f>MID(F2969,1,2)</f>
        <v>RO</v>
      </c>
      <c r="H2969" s="43" t="s">
        <v>3999</v>
      </c>
      <c r="I2969" s="71" t="s">
        <v>4860</v>
      </c>
      <c r="J2969" s="71" t="s">
        <v>386</v>
      </c>
      <c r="K2969" s="43"/>
      <c r="L2969" s="71" t="s">
        <v>107</v>
      </c>
      <c r="M2969" s="73">
        <v>220</v>
      </c>
      <c r="N2969" s="71" t="s">
        <v>388</v>
      </c>
      <c r="O2969" s="73">
        <v>0.61</v>
      </c>
      <c r="P2969" s="71" t="s">
        <v>389</v>
      </c>
      <c r="Q2969" s="73">
        <v>220</v>
      </c>
      <c r="R2969" s="71" t="s">
        <v>388</v>
      </c>
      <c r="S2969" s="73">
        <v>0</v>
      </c>
      <c r="T2969" s="71" t="s">
        <v>390</v>
      </c>
      <c r="U2969" s="74">
        <v>13</v>
      </c>
      <c r="V2969" s="71" t="s">
        <v>391</v>
      </c>
      <c r="W2969" s="130">
        <v>46090.63958333333</v>
      </c>
      <c r="X2969" s="72">
        <v>46093</v>
      </c>
      <c r="Y2969" s="72">
        <v>46096.572916666664</v>
      </c>
      <c r="Z2969" s="104" t="s">
        <v>382</v>
      </c>
      <c r="AA2969" s="104" t="s">
        <v>496</v>
      </c>
      <c r="AB2969" s="105">
        <v>46096.452777777777</v>
      </c>
      <c r="AC2969" s="105">
        <v>46096.5625</v>
      </c>
    </row>
    <row r="2970" s="70" customFormat="1" ht="11.25" customHeight="1">
      <c r="A2970" s="87"/>
      <c r="C2970" s="43" t="s">
        <v>4861</v>
      </c>
      <c r="D2970" s="71" t="s">
        <v>382</v>
      </c>
      <c r="E2970" s="71" t="str">
        <f>MID(D2970,1,2)</f>
        <v>IL</v>
      </c>
      <c r="F2970" s="71" t="s">
        <v>414</v>
      </c>
      <c r="G2970" s="71" t="str">
        <f>MID(F2970,1,2)</f>
        <v>US</v>
      </c>
      <c r="H2970" s="43" t="s">
        <v>4187</v>
      </c>
      <c r="I2970" s="71" t="s">
        <v>4862</v>
      </c>
      <c r="J2970" s="71" t="s">
        <v>426</v>
      </c>
      <c r="K2970" s="43" t="s">
        <v>431</v>
      </c>
      <c r="L2970" s="71" t="s">
        <v>105</v>
      </c>
      <c r="M2970" s="73">
        <v>64</v>
      </c>
      <c r="N2970" s="71" t="s">
        <v>388</v>
      </c>
      <c r="O2970" s="73">
        <v>0.291</v>
      </c>
      <c r="P2970" s="71" t="s">
        <v>389</v>
      </c>
      <c r="Q2970" s="73">
        <v>64</v>
      </c>
      <c r="R2970" s="71" t="s">
        <v>388</v>
      </c>
      <c r="S2970" s="73">
        <v>0</v>
      </c>
      <c r="T2970" s="71" t="s">
        <v>390</v>
      </c>
      <c r="U2970" s="74">
        <v>1</v>
      </c>
      <c r="V2970" s="71" t="s">
        <v>391</v>
      </c>
      <c r="W2970" s="130">
        <v>46091.885555555556</v>
      </c>
      <c r="X2970" s="72">
        <v>46091.875</v>
      </c>
      <c r="Y2970" s="72">
        <v>46094.458333333336</v>
      </c>
      <c r="Z2970" s="104" t="s">
        <v>382</v>
      </c>
      <c r="AA2970" s="104" t="s">
        <v>414</v>
      </c>
      <c r="AB2970" s="105">
        <v>46091.955555555556</v>
      </c>
      <c r="AC2970" s="105">
        <v>46094.475</v>
      </c>
    </row>
    <row r="2971" s="70" customFormat="1" ht="11.25" customHeight="1">
      <c r="A2971" s="87"/>
      <c r="C2971" s="43" t="s">
        <v>4863</v>
      </c>
      <c r="D2971" s="71" t="s">
        <v>382</v>
      </c>
      <c r="E2971" s="71" t="str">
        <f>MID(D2971,1,2)</f>
        <v>IL</v>
      </c>
      <c r="F2971" s="71" t="s">
        <v>963</v>
      </c>
      <c r="G2971" s="71" t="str">
        <f>MID(F2971,1,2)</f>
        <v>IN</v>
      </c>
      <c r="H2971" s="43" t="s">
        <v>4120</v>
      </c>
      <c r="I2971" s="71" t="s">
        <v>4864</v>
      </c>
      <c r="J2971" s="71" t="s">
        <v>426</v>
      </c>
      <c r="K2971" s="43"/>
      <c r="L2971" s="71" t="s">
        <v>105</v>
      </c>
      <c r="M2971" s="73">
        <v>39</v>
      </c>
      <c r="N2971" s="71" t="s">
        <v>388</v>
      </c>
      <c r="O2971" s="73">
        <v>0.492</v>
      </c>
      <c r="P2971" s="71" t="s">
        <v>389</v>
      </c>
      <c r="Q2971" s="73">
        <v>82</v>
      </c>
      <c r="R2971" s="71" t="s">
        <v>388</v>
      </c>
      <c r="S2971" s="73">
        <v>0</v>
      </c>
      <c r="T2971" s="71" t="s">
        <v>390</v>
      </c>
      <c r="U2971" s="74">
        <v>1</v>
      </c>
      <c r="V2971" s="71" t="s">
        <v>391</v>
      </c>
      <c r="W2971" s="130">
        <v>46091.416666666664</v>
      </c>
      <c r="X2971" s="72">
        <v>46093.371527777781</v>
      </c>
      <c r="Y2971" s="72">
        <v>46100.666666666664</v>
      </c>
      <c r="Z2971" s="104" t="s">
        <v>382</v>
      </c>
      <c r="AA2971" s="104" t="s">
        <v>402</v>
      </c>
      <c r="AB2971" s="105">
        <v>46093.429166666669</v>
      </c>
      <c r="AC2971" s="105">
        <v>46093.841666666667</v>
      </c>
    </row>
    <row r="2972" s="70" customFormat="1" ht="11.25" customHeight="1">
      <c r="A2972" s="87"/>
      <c r="C2972" s="43" t="s">
        <v>4863</v>
      </c>
      <c r="D2972" s="71" t="s">
        <v>382</v>
      </c>
      <c r="E2972" s="71" t="str">
        <f>MID(D2972,1,2)</f>
        <v>IL</v>
      </c>
      <c r="F2972" s="71" t="s">
        <v>963</v>
      </c>
      <c r="G2972" s="71" t="str">
        <f>MID(F2972,1,2)</f>
        <v>IN</v>
      </c>
      <c r="H2972" s="43" t="s">
        <v>4120</v>
      </c>
      <c r="I2972" s="71" t="s">
        <v>4864</v>
      </c>
      <c r="J2972" s="71" t="s">
        <v>426</v>
      </c>
      <c r="K2972" s="43"/>
      <c r="L2972" s="71" t="s">
        <v>105</v>
      </c>
      <c r="M2972" s="73">
        <v>39</v>
      </c>
      <c r="N2972" s="71" t="s">
        <v>388</v>
      </c>
      <c r="O2972" s="73">
        <v>0.492</v>
      </c>
      <c r="P2972" s="71" t="s">
        <v>389</v>
      </c>
      <c r="Q2972" s="73">
        <v>82</v>
      </c>
      <c r="R2972" s="71" t="s">
        <v>388</v>
      </c>
      <c r="S2972" s="73">
        <v>0</v>
      </c>
      <c r="T2972" s="71" t="s">
        <v>390</v>
      </c>
      <c r="U2972" s="74">
        <v>1</v>
      </c>
      <c r="V2972" s="71" t="s">
        <v>391</v>
      </c>
      <c r="W2972" s="130">
        <v>46091.416666666664</v>
      </c>
      <c r="X2972" s="72">
        <v>46093.371527777781</v>
      </c>
      <c r="Y2972" s="72">
        <v>46100.666666666664</v>
      </c>
      <c r="Z2972" s="104" t="s">
        <v>402</v>
      </c>
      <c r="AA2972" s="104" t="s">
        <v>809</v>
      </c>
      <c r="AB2972" s="105">
        <v>46093.888194444444</v>
      </c>
      <c r="AC2972" s="105">
        <v>46093.842361111114</v>
      </c>
    </row>
    <row r="2973" s="70" customFormat="1" ht="11.25" customHeight="1">
      <c r="A2973" s="87"/>
      <c r="C2973" s="43" t="s">
        <v>4863</v>
      </c>
      <c r="D2973" s="71" t="s">
        <v>382</v>
      </c>
      <c r="E2973" s="71" t="str">
        <f>MID(D2973,1,2)</f>
        <v>IL</v>
      </c>
      <c r="F2973" s="71" t="s">
        <v>963</v>
      </c>
      <c r="G2973" s="71" t="str">
        <f>MID(F2973,1,2)</f>
        <v>IN</v>
      </c>
      <c r="H2973" s="43" t="s">
        <v>4120</v>
      </c>
      <c r="I2973" s="71" t="s">
        <v>4864</v>
      </c>
      <c r="J2973" s="71" t="s">
        <v>426</v>
      </c>
      <c r="K2973" s="43"/>
      <c r="L2973" s="71" t="s">
        <v>105</v>
      </c>
      <c r="M2973" s="73">
        <v>39</v>
      </c>
      <c r="N2973" s="71" t="s">
        <v>388</v>
      </c>
      <c r="O2973" s="73">
        <v>0.492</v>
      </c>
      <c r="P2973" s="71" t="s">
        <v>389</v>
      </c>
      <c r="Q2973" s="73">
        <v>82</v>
      </c>
      <c r="R2973" s="71" t="s">
        <v>388</v>
      </c>
      <c r="S2973" s="73">
        <v>0</v>
      </c>
      <c r="T2973" s="71" t="s">
        <v>390</v>
      </c>
      <c r="U2973" s="74">
        <v>1</v>
      </c>
      <c r="V2973" s="71" t="s">
        <v>391</v>
      </c>
      <c r="W2973" s="130">
        <v>46091.416666666664</v>
      </c>
      <c r="X2973" s="72">
        <v>46093.371527777781</v>
      </c>
      <c r="Y2973" s="72">
        <v>46100.666666666664</v>
      </c>
      <c r="Z2973" s="104" t="s">
        <v>809</v>
      </c>
      <c r="AA2973" s="104" t="s">
        <v>963</v>
      </c>
      <c r="AB2973" s="105">
        <v>46098.365972222222</v>
      </c>
      <c r="AC2973" s="105">
        <v>46100.365972222222</v>
      </c>
    </row>
    <row r="2974" s="70" customFormat="1" ht="11.25" customHeight="1">
      <c r="A2974" s="87"/>
      <c r="C2974" s="43" t="s">
        <v>4865</v>
      </c>
      <c r="D2974" s="71" t="s">
        <v>382</v>
      </c>
      <c r="E2974" s="71" t="str">
        <f>MID(D2974,1,2)</f>
        <v>IL</v>
      </c>
      <c r="F2974" s="71" t="s">
        <v>1363</v>
      </c>
      <c r="G2974" s="71" t="str">
        <f>MID(F2974,1,2)</f>
        <v>CN</v>
      </c>
      <c r="H2974" s="43" t="s">
        <v>4866</v>
      </c>
      <c r="I2974" s="71" t="s">
        <v>4867</v>
      </c>
      <c r="J2974" s="71" t="s">
        <v>755</v>
      </c>
      <c r="K2974" s="43" t="s">
        <v>3595</v>
      </c>
      <c r="L2974" s="71" t="s">
        <v>105</v>
      </c>
      <c r="M2974" s="73">
        <v>0.6</v>
      </c>
      <c r="N2974" s="71" t="s">
        <v>388</v>
      </c>
      <c r="O2974" s="73">
        <v>0.005</v>
      </c>
      <c r="P2974" s="71" t="s">
        <v>389</v>
      </c>
      <c r="Q2974" s="73">
        <v>1</v>
      </c>
      <c r="R2974" s="71" t="s">
        <v>388</v>
      </c>
      <c r="S2974" s="73">
        <v>0</v>
      </c>
      <c r="T2974" s="71" t="s">
        <v>390</v>
      </c>
      <c r="U2974" s="74">
        <v>1</v>
      </c>
      <c r="V2974" s="71" t="s">
        <v>391</v>
      </c>
      <c r="W2974" s="130">
        <v>46092.594004629631</v>
      </c>
      <c r="X2974" s="72">
        <v>46098.791666666664</v>
      </c>
      <c r="Y2974" s="72">
        <v>46102.958333333336</v>
      </c>
      <c r="Z2974" s="104" t="s">
        <v>382</v>
      </c>
      <c r="AA2974" s="104" t="s">
        <v>684</v>
      </c>
      <c r="AB2974" s="105">
        <v>46098.798611111109</v>
      </c>
      <c r="AC2974" s="105"/>
    </row>
    <row r="2975" s="70" customFormat="1" ht="11.25" customHeight="1">
      <c r="A2975" s="87"/>
      <c r="C2975" s="43" t="s">
        <v>4865</v>
      </c>
      <c r="D2975" s="71" t="s">
        <v>382</v>
      </c>
      <c r="E2975" s="71" t="str">
        <f>MID(D2975,1,2)</f>
        <v>IL</v>
      </c>
      <c r="F2975" s="71" t="s">
        <v>1363</v>
      </c>
      <c r="G2975" s="71" t="str">
        <f>MID(F2975,1,2)</f>
        <v>CN</v>
      </c>
      <c r="H2975" s="43" t="s">
        <v>4866</v>
      </c>
      <c r="I2975" s="71" t="s">
        <v>4867</v>
      </c>
      <c r="J2975" s="71" t="s">
        <v>755</v>
      </c>
      <c r="K2975" s="43" t="s">
        <v>3595</v>
      </c>
      <c r="L2975" s="71" t="s">
        <v>105</v>
      </c>
      <c r="M2975" s="73">
        <v>0.6</v>
      </c>
      <c r="N2975" s="71" t="s">
        <v>388</v>
      </c>
      <c r="O2975" s="73">
        <v>0.005</v>
      </c>
      <c r="P2975" s="71" t="s">
        <v>389</v>
      </c>
      <c r="Q2975" s="73">
        <v>1</v>
      </c>
      <c r="R2975" s="71" t="s">
        <v>388</v>
      </c>
      <c r="S2975" s="73">
        <v>0</v>
      </c>
      <c r="T2975" s="71" t="s">
        <v>390</v>
      </c>
      <c r="U2975" s="74">
        <v>1</v>
      </c>
      <c r="V2975" s="71" t="s">
        <v>391</v>
      </c>
      <c r="W2975" s="130">
        <v>46092.594004629631</v>
      </c>
      <c r="X2975" s="72">
        <v>46098.791666666664</v>
      </c>
      <c r="Y2975" s="72">
        <v>46102.958333333336</v>
      </c>
      <c r="Z2975" s="104" t="s">
        <v>684</v>
      </c>
      <c r="AA2975" s="104" t="s">
        <v>1363</v>
      </c>
      <c r="AB2975" s="105"/>
      <c r="AC2975" s="105"/>
    </row>
    <row r="2976" s="70" customFormat="1" ht="11.25" customHeight="1">
      <c r="A2976" s="87"/>
      <c r="C2976" s="43" t="s">
        <v>4868</v>
      </c>
      <c r="D2976" s="71" t="s">
        <v>382</v>
      </c>
      <c r="E2976" s="71" t="str">
        <f>MID(D2976,1,2)</f>
        <v>IL</v>
      </c>
      <c r="F2976" s="71" t="s">
        <v>414</v>
      </c>
      <c r="G2976" s="71" t="str">
        <f>MID(F2976,1,2)</f>
        <v>US</v>
      </c>
      <c r="H2976" s="43" t="s">
        <v>4187</v>
      </c>
      <c r="I2976" s="71" t="s">
        <v>4869</v>
      </c>
      <c r="J2976" s="71" t="s">
        <v>386</v>
      </c>
      <c r="K2976" s="43"/>
      <c r="L2976" s="71" t="s">
        <v>107</v>
      </c>
      <c r="M2976" s="73">
        <v>34</v>
      </c>
      <c r="N2976" s="71" t="s">
        <v>388</v>
      </c>
      <c r="O2976" s="73">
        <v>0.704</v>
      </c>
      <c r="P2976" s="71" t="s">
        <v>389</v>
      </c>
      <c r="Q2976" s="73">
        <v>117.5</v>
      </c>
      <c r="R2976" s="71" t="s">
        <v>388</v>
      </c>
      <c r="S2976" s="73">
        <v>0</v>
      </c>
      <c r="T2976" s="71" t="s">
        <v>390</v>
      </c>
      <c r="U2976" s="74">
        <v>1</v>
      </c>
      <c r="V2976" s="71" t="s">
        <v>427</v>
      </c>
      <c r="W2976" s="130">
        <v>46090.65347222222</v>
      </c>
      <c r="X2976" s="72">
        <v>46091.875</v>
      </c>
      <c r="Y2976" s="72">
        <v>46094.458333333336</v>
      </c>
      <c r="Z2976" s="104" t="s">
        <v>382</v>
      </c>
      <c r="AA2976" s="104" t="s">
        <v>414</v>
      </c>
      <c r="AB2976" s="105">
        <v>46091.955555555556</v>
      </c>
      <c r="AC2976" s="105">
        <v>46094.475</v>
      </c>
    </row>
    <row r="2977" s="70" customFormat="1" ht="11.25" customHeight="1">
      <c r="A2977" s="87"/>
      <c r="C2977" s="43" t="s">
        <v>4870</v>
      </c>
      <c r="D2977" s="71" t="s">
        <v>382</v>
      </c>
      <c r="E2977" s="71" t="str">
        <f>MID(D2977,1,2)</f>
        <v>IL</v>
      </c>
      <c r="F2977" s="71" t="s">
        <v>383</v>
      </c>
      <c r="G2977" s="71" t="str">
        <f>MID(F2977,1,2)</f>
        <v>DE</v>
      </c>
      <c r="H2977" s="43" t="s">
        <v>3495</v>
      </c>
      <c r="I2977" s="71" t="s">
        <v>4871</v>
      </c>
      <c r="J2977" s="71" t="s">
        <v>400</v>
      </c>
      <c r="K2977" s="43"/>
      <c r="L2977" s="71" t="s">
        <v>105</v>
      </c>
      <c r="M2977" s="73">
        <v>1</v>
      </c>
      <c r="N2977" s="71" t="s">
        <v>388</v>
      </c>
      <c r="O2977" s="73">
        <v>0.011</v>
      </c>
      <c r="P2977" s="71" t="s">
        <v>389</v>
      </c>
      <c r="Q2977" s="73">
        <v>2</v>
      </c>
      <c r="R2977" s="71" t="s">
        <v>388</v>
      </c>
      <c r="S2977" s="73">
        <v>0</v>
      </c>
      <c r="T2977" s="71" t="s">
        <v>390</v>
      </c>
      <c r="U2977" s="74">
        <v>1</v>
      </c>
      <c r="V2977" s="71" t="s">
        <v>391</v>
      </c>
      <c r="W2977" s="130">
        <v>46092.5625</v>
      </c>
      <c r="X2977" s="72">
        <v>46097</v>
      </c>
      <c r="Y2977" s="72">
        <v>46100.496527777781</v>
      </c>
      <c r="Z2977" s="104" t="s">
        <v>382</v>
      </c>
      <c r="AA2977" s="104" t="s">
        <v>383</v>
      </c>
      <c r="AB2977" s="105">
        <v>46100.42291666667</v>
      </c>
      <c r="AC2977" s="105">
        <v>46100.552777777775</v>
      </c>
    </row>
    <row r="2978" s="70" customFormat="1" ht="11.25" customHeight="1">
      <c r="A2978" s="87"/>
      <c r="C2978" s="43" t="s">
        <v>4872</v>
      </c>
      <c r="D2978" s="71" t="s">
        <v>382</v>
      </c>
      <c r="E2978" s="71" t="str">
        <f>MID(D2978,1,2)</f>
        <v>IL</v>
      </c>
      <c r="F2978" s="71" t="s">
        <v>414</v>
      </c>
      <c r="G2978" s="71" t="str">
        <f>MID(F2978,1,2)</f>
        <v>US</v>
      </c>
      <c r="H2978" s="43" t="s">
        <v>4697</v>
      </c>
      <c r="I2978" s="71" t="s">
        <v>4873</v>
      </c>
      <c r="J2978" s="71" t="s">
        <v>386</v>
      </c>
      <c r="K2978" s="43"/>
      <c r="L2978" s="71" t="s">
        <v>107</v>
      </c>
      <c r="M2978" s="73">
        <v>7</v>
      </c>
      <c r="N2978" s="71" t="s">
        <v>388</v>
      </c>
      <c r="O2978" s="73">
        <v>0.061</v>
      </c>
      <c r="P2978" s="71" t="s">
        <v>389</v>
      </c>
      <c r="Q2978" s="73">
        <v>10.5</v>
      </c>
      <c r="R2978" s="71" t="s">
        <v>388</v>
      </c>
      <c r="S2978" s="73">
        <v>0</v>
      </c>
      <c r="T2978" s="71" t="s">
        <v>390</v>
      </c>
      <c r="U2978" s="74">
        <v>1</v>
      </c>
      <c r="V2978" s="71" t="s">
        <v>446</v>
      </c>
      <c r="W2978" s="130">
        <v>46091.5625</v>
      </c>
      <c r="X2978" s="72">
        <v>46099.854166666664</v>
      </c>
      <c r="Y2978" s="72">
        <v>46102.791666666664</v>
      </c>
      <c r="Z2978" s="104" t="s">
        <v>382</v>
      </c>
      <c r="AA2978" s="104" t="s">
        <v>414</v>
      </c>
      <c r="AB2978" s="105">
        <v>46100.102083333331</v>
      </c>
      <c r="AC2978" s="105">
        <v>46100.31527777778</v>
      </c>
    </row>
    <row r="2979" s="70" customFormat="1" ht="11.25" customHeight="1">
      <c r="A2979" s="87"/>
      <c r="C2979" s="43" t="s">
        <v>4874</v>
      </c>
      <c r="D2979" s="71" t="s">
        <v>382</v>
      </c>
      <c r="E2979" s="71" t="str">
        <f>MID(D2979,1,2)</f>
        <v>IL</v>
      </c>
      <c r="F2979" s="71" t="s">
        <v>465</v>
      </c>
      <c r="G2979" s="71" t="str">
        <f>MID(F2979,1,2)</f>
        <v>AZ</v>
      </c>
      <c r="H2979" s="43" t="s">
        <v>4279</v>
      </c>
      <c r="I2979" s="71" t="s">
        <v>4875</v>
      </c>
      <c r="J2979" s="71" t="s">
        <v>426</v>
      </c>
      <c r="K2979" s="43"/>
      <c r="L2979" s="71" t="s">
        <v>105</v>
      </c>
      <c r="M2979" s="73">
        <v>118</v>
      </c>
      <c r="N2979" s="71" t="s">
        <v>388</v>
      </c>
      <c r="O2979" s="73">
        <v>0.589</v>
      </c>
      <c r="P2979" s="71" t="s">
        <v>389</v>
      </c>
      <c r="Q2979" s="73">
        <v>118</v>
      </c>
      <c r="R2979" s="71" t="s">
        <v>388</v>
      </c>
      <c r="S2979" s="73">
        <v>0</v>
      </c>
      <c r="T2979" s="71" t="s">
        <v>390</v>
      </c>
      <c r="U2979" s="74">
        <v>1</v>
      </c>
      <c r="V2979" s="71" t="s">
        <v>391</v>
      </c>
      <c r="W2979" s="130"/>
      <c r="X2979" s="72">
        <v>46102.256944444445</v>
      </c>
      <c r="Y2979" s="72">
        <v>46130.385416666664</v>
      </c>
      <c r="Z2979" s="104" t="s">
        <v>382</v>
      </c>
      <c r="AA2979" s="104" t="s">
        <v>465</v>
      </c>
      <c r="AB2979" s="105">
        <v>46080.472916666666</v>
      </c>
      <c r="AC2979" s="105">
        <v>46080.598611111112</v>
      </c>
    </row>
    <row r="2980" s="70" customFormat="1" ht="11.25" customHeight="1">
      <c r="A2980" s="87"/>
      <c r="C2980" s="43" t="s">
        <v>4876</v>
      </c>
      <c r="D2980" s="71" t="s">
        <v>382</v>
      </c>
      <c r="E2980" s="71" t="str">
        <f>MID(D2980,1,2)</f>
        <v>IL</v>
      </c>
      <c r="F2980" s="71" t="s">
        <v>414</v>
      </c>
      <c r="G2980" s="71" t="str">
        <f>MID(F2980,1,2)</f>
        <v>US</v>
      </c>
      <c r="H2980" s="43" t="s">
        <v>4697</v>
      </c>
      <c r="I2980" s="71" t="s">
        <v>4877</v>
      </c>
      <c r="J2980" s="71" t="s">
        <v>386</v>
      </c>
      <c r="K2980" s="43"/>
      <c r="L2980" s="71" t="s">
        <v>107</v>
      </c>
      <c r="M2980" s="73">
        <v>54</v>
      </c>
      <c r="N2980" s="71" t="s">
        <v>388</v>
      </c>
      <c r="O2980" s="73">
        <v>0.383</v>
      </c>
      <c r="P2980" s="71" t="s">
        <v>389</v>
      </c>
      <c r="Q2980" s="73">
        <v>64</v>
      </c>
      <c r="R2980" s="71" t="s">
        <v>388</v>
      </c>
      <c r="S2980" s="73">
        <v>0</v>
      </c>
      <c r="T2980" s="71" t="s">
        <v>390</v>
      </c>
      <c r="U2980" s="74">
        <v>1</v>
      </c>
      <c r="V2980" s="71" t="s">
        <v>446</v>
      </c>
      <c r="W2980" s="130">
        <v>46091.548611111109</v>
      </c>
      <c r="X2980" s="72">
        <v>46099.854166666664</v>
      </c>
      <c r="Y2980" s="72">
        <v>46102.791666666664</v>
      </c>
      <c r="Z2980" s="104" t="s">
        <v>382</v>
      </c>
      <c r="AA2980" s="104" t="s">
        <v>414</v>
      </c>
      <c r="AB2980" s="105">
        <v>46100.102083333331</v>
      </c>
      <c r="AC2980" s="105">
        <v>46100.31527777778</v>
      </c>
    </row>
    <row r="2981" s="70" customFormat="1" ht="11.25" customHeight="1">
      <c r="A2981" s="87"/>
      <c r="C2981" s="43" t="s">
        <v>4878</v>
      </c>
      <c r="D2981" s="71" t="s">
        <v>382</v>
      </c>
      <c r="E2981" s="71" t="str">
        <f>MID(D2981,1,2)</f>
        <v>IL</v>
      </c>
      <c r="F2981" s="71" t="s">
        <v>978</v>
      </c>
      <c r="G2981" s="71" t="str">
        <f>MID(F2981,1,2)</f>
        <v>PL</v>
      </c>
      <c r="H2981" s="43" t="s">
        <v>4789</v>
      </c>
      <c r="I2981" s="71" t="s">
        <v>4879</v>
      </c>
      <c r="J2981" s="71" t="s">
        <v>386</v>
      </c>
      <c r="K2981" s="43"/>
      <c r="L2981" s="71" t="s">
        <v>107</v>
      </c>
      <c r="M2981" s="73">
        <v>785</v>
      </c>
      <c r="N2981" s="71" t="s">
        <v>388</v>
      </c>
      <c r="O2981" s="73">
        <v>0.689</v>
      </c>
      <c r="P2981" s="71" t="s">
        <v>389</v>
      </c>
      <c r="Q2981" s="73">
        <v>785</v>
      </c>
      <c r="R2981" s="71" t="s">
        <v>388</v>
      </c>
      <c r="S2981" s="73">
        <v>0</v>
      </c>
      <c r="T2981" s="71" t="s">
        <v>390</v>
      </c>
      <c r="U2981" s="74">
        <v>2</v>
      </c>
      <c r="V2981" s="71" t="s">
        <v>391</v>
      </c>
      <c r="W2981" s="130">
        <v>46091.55625</v>
      </c>
      <c r="X2981" s="72">
        <v>46095.166666666664</v>
      </c>
      <c r="Y2981" s="72">
        <v>46100.25</v>
      </c>
      <c r="Z2981" s="104" t="s">
        <v>382</v>
      </c>
      <c r="AA2981" s="104" t="s">
        <v>466</v>
      </c>
      <c r="AB2981" s="105">
        <v>46095.838194444441</v>
      </c>
      <c r="AC2981" s="105">
        <v>46095.968055555553</v>
      </c>
    </row>
    <row r="2982" s="70" customFormat="1" ht="11.25" customHeight="1">
      <c r="A2982" s="87"/>
      <c r="C2982" s="43" t="s">
        <v>4878</v>
      </c>
      <c r="D2982" s="71" t="s">
        <v>382</v>
      </c>
      <c r="E2982" s="71" t="str">
        <f>MID(D2982,1,2)</f>
        <v>IL</v>
      </c>
      <c r="F2982" s="71" t="s">
        <v>978</v>
      </c>
      <c r="G2982" s="71" t="str">
        <f>MID(F2982,1,2)</f>
        <v>PL</v>
      </c>
      <c r="H2982" s="43" t="s">
        <v>4789</v>
      </c>
      <c r="I2982" s="71" t="s">
        <v>4879</v>
      </c>
      <c r="J2982" s="71" t="s">
        <v>386</v>
      </c>
      <c r="K2982" s="43"/>
      <c r="L2982" s="71" t="s">
        <v>107</v>
      </c>
      <c r="M2982" s="73">
        <v>785</v>
      </c>
      <c r="N2982" s="71" t="s">
        <v>388</v>
      </c>
      <c r="O2982" s="73">
        <v>0.689</v>
      </c>
      <c r="P2982" s="71" t="s">
        <v>389</v>
      </c>
      <c r="Q2982" s="73">
        <v>785</v>
      </c>
      <c r="R2982" s="71" t="s">
        <v>388</v>
      </c>
      <c r="S2982" s="73">
        <v>0</v>
      </c>
      <c r="T2982" s="71" t="s">
        <v>390</v>
      </c>
      <c r="U2982" s="74">
        <v>2</v>
      </c>
      <c r="V2982" s="71" t="s">
        <v>391</v>
      </c>
      <c r="W2982" s="130">
        <v>46091.55625</v>
      </c>
      <c r="X2982" s="72">
        <v>46095.166666666664</v>
      </c>
      <c r="Y2982" s="72">
        <v>46100.25</v>
      </c>
      <c r="Z2982" s="104" t="s">
        <v>466</v>
      </c>
      <c r="AA2982" s="104" t="s">
        <v>383</v>
      </c>
      <c r="AB2982" s="105">
        <v>46097.777777777781</v>
      </c>
      <c r="AC2982" s="105">
        <v>46098.09375</v>
      </c>
    </row>
    <row r="2983" s="70" customFormat="1" ht="11.25" customHeight="1">
      <c r="A2983" s="87"/>
      <c r="C2983" s="43" t="s">
        <v>4878</v>
      </c>
      <c r="D2983" s="71" t="s">
        <v>382</v>
      </c>
      <c r="E2983" s="71" t="str">
        <f>MID(D2983,1,2)</f>
        <v>IL</v>
      </c>
      <c r="F2983" s="71" t="s">
        <v>978</v>
      </c>
      <c r="G2983" s="71" t="str">
        <f>MID(F2983,1,2)</f>
        <v>PL</v>
      </c>
      <c r="H2983" s="43" t="s">
        <v>4789</v>
      </c>
      <c r="I2983" s="71" t="s">
        <v>4879</v>
      </c>
      <c r="J2983" s="71" t="s">
        <v>386</v>
      </c>
      <c r="K2983" s="43"/>
      <c r="L2983" s="71" t="s">
        <v>107</v>
      </c>
      <c r="M2983" s="73">
        <v>785</v>
      </c>
      <c r="N2983" s="71" t="s">
        <v>388</v>
      </c>
      <c r="O2983" s="73">
        <v>0.689</v>
      </c>
      <c r="P2983" s="71" t="s">
        <v>389</v>
      </c>
      <c r="Q2983" s="73">
        <v>785</v>
      </c>
      <c r="R2983" s="71" t="s">
        <v>388</v>
      </c>
      <c r="S2983" s="73">
        <v>0</v>
      </c>
      <c r="T2983" s="71" t="s">
        <v>390</v>
      </c>
      <c r="U2983" s="74">
        <v>2</v>
      </c>
      <c r="V2983" s="71" t="s">
        <v>391</v>
      </c>
      <c r="W2983" s="130">
        <v>46091.55625</v>
      </c>
      <c r="X2983" s="72">
        <v>46095.166666666664</v>
      </c>
      <c r="Y2983" s="72">
        <v>46100.25</v>
      </c>
      <c r="Z2983" s="104" t="s">
        <v>383</v>
      </c>
      <c r="AA2983" s="104" t="s">
        <v>1428</v>
      </c>
      <c r="AB2983" s="105">
        <v>46099.875</v>
      </c>
      <c r="AC2983" s="105">
        <v>46100.25</v>
      </c>
    </row>
    <row r="2984" s="70" customFormat="1" ht="11.25" customHeight="1">
      <c r="A2984" s="87"/>
      <c r="C2984" s="43" t="s">
        <v>4880</v>
      </c>
      <c r="D2984" s="71" t="s">
        <v>382</v>
      </c>
      <c r="E2984" s="71" t="str">
        <f>MID(D2984,1,2)</f>
        <v>IL</v>
      </c>
      <c r="F2984" s="71" t="s">
        <v>414</v>
      </c>
      <c r="G2984" s="71" t="str">
        <f>MID(F2984,1,2)</f>
        <v>US</v>
      </c>
      <c r="H2984" s="43" t="s">
        <v>4697</v>
      </c>
      <c r="I2984" s="71" t="s">
        <v>4881</v>
      </c>
      <c r="J2984" s="71" t="s">
        <v>386</v>
      </c>
      <c r="K2984" s="43"/>
      <c r="L2984" s="71" t="s">
        <v>107</v>
      </c>
      <c r="M2984" s="73">
        <v>68</v>
      </c>
      <c r="N2984" s="71" t="s">
        <v>388</v>
      </c>
      <c r="O2984" s="73">
        <v>0.893</v>
      </c>
      <c r="P2984" s="71" t="s">
        <v>389</v>
      </c>
      <c r="Q2984" s="73">
        <v>149</v>
      </c>
      <c r="R2984" s="71" t="s">
        <v>388</v>
      </c>
      <c r="S2984" s="73">
        <v>0</v>
      </c>
      <c r="T2984" s="71" t="s">
        <v>390</v>
      </c>
      <c r="U2984" s="74">
        <v>1</v>
      </c>
      <c r="V2984" s="71" t="s">
        <v>446</v>
      </c>
      <c r="W2984" s="130">
        <v>46092.493055555555</v>
      </c>
      <c r="X2984" s="72">
        <v>46099.854166666664</v>
      </c>
      <c r="Y2984" s="72">
        <v>46102.791666666664</v>
      </c>
      <c r="Z2984" s="104" t="s">
        <v>382</v>
      </c>
      <c r="AA2984" s="104" t="s">
        <v>414</v>
      </c>
      <c r="AB2984" s="105">
        <v>46100.102083333331</v>
      </c>
      <c r="AC2984" s="105">
        <v>46100.31527777778</v>
      </c>
    </row>
    <row r="2985" s="70" customFormat="1" ht="11.25" customHeight="1">
      <c r="A2985" s="87"/>
      <c r="C2985" s="43" t="s">
        <v>4882</v>
      </c>
      <c r="D2985" s="71" t="s">
        <v>382</v>
      </c>
      <c r="E2985" s="71" t="str">
        <f>MID(D2985,1,2)</f>
        <v>IL</v>
      </c>
      <c r="F2985" s="71" t="s">
        <v>414</v>
      </c>
      <c r="G2985" s="71" t="str">
        <f>MID(F2985,1,2)</f>
        <v>US</v>
      </c>
      <c r="H2985" s="43" t="s">
        <v>3776</v>
      </c>
      <c r="I2985" s="71" t="s">
        <v>4883</v>
      </c>
      <c r="J2985" s="71" t="s">
        <v>386</v>
      </c>
      <c r="K2985" s="43"/>
      <c r="L2985" s="71" t="s">
        <v>107</v>
      </c>
      <c r="M2985" s="73">
        <v>3</v>
      </c>
      <c r="N2985" s="71" t="s">
        <v>388</v>
      </c>
      <c r="O2985" s="73">
        <v>0.029</v>
      </c>
      <c r="P2985" s="71" t="s">
        <v>389</v>
      </c>
      <c r="Q2985" s="73">
        <v>5</v>
      </c>
      <c r="R2985" s="71" t="s">
        <v>388</v>
      </c>
      <c r="S2985" s="73">
        <v>0</v>
      </c>
      <c r="T2985" s="71" t="s">
        <v>390</v>
      </c>
      <c r="U2985" s="74">
        <v>1</v>
      </c>
      <c r="V2985" s="71" t="s">
        <v>446</v>
      </c>
      <c r="W2985" s="130">
        <v>46092.55625</v>
      </c>
      <c r="X2985" s="72">
        <v>46099.635416666664</v>
      </c>
      <c r="Y2985" s="72">
        <v>46102.708333333336</v>
      </c>
      <c r="Z2985" s="104" t="s">
        <v>382</v>
      </c>
      <c r="AA2985" s="104" t="s">
        <v>414</v>
      </c>
      <c r="AB2985" s="105">
        <v>46100.102083333331</v>
      </c>
      <c r="AC2985" s="105">
        <v>46100.31527777778</v>
      </c>
    </row>
    <row r="2986" s="70" customFormat="1" ht="11.25" customHeight="1">
      <c r="A2986" s="87"/>
      <c r="C2986" s="43" t="s">
        <v>4884</v>
      </c>
      <c r="D2986" s="71" t="s">
        <v>382</v>
      </c>
      <c r="E2986" s="71" t="str">
        <f>MID(D2986,1,2)</f>
        <v>IL</v>
      </c>
      <c r="F2986" s="71" t="s">
        <v>963</v>
      </c>
      <c r="G2986" s="71" t="str">
        <f>MID(F2986,1,2)</f>
        <v>IN</v>
      </c>
      <c r="H2986" s="43" t="s">
        <v>4120</v>
      </c>
      <c r="I2986" s="71" t="s">
        <v>4885</v>
      </c>
      <c r="J2986" s="71" t="s">
        <v>426</v>
      </c>
      <c r="K2986" s="43"/>
      <c r="L2986" s="71" t="s">
        <v>105</v>
      </c>
      <c r="M2986" s="73">
        <v>1</v>
      </c>
      <c r="N2986" s="71" t="s">
        <v>388</v>
      </c>
      <c r="O2986" s="73">
        <v>0.019</v>
      </c>
      <c r="P2986" s="71" t="s">
        <v>389</v>
      </c>
      <c r="Q2986" s="73">
        <v>3.5</v>
      </c>
      <c r="R2986" s="71" t="s">
        <v>388</v>
      </c>
      <c r="S2986" s="73">
        <v>0</v>
      </c>
      <c r="T2986" s="71" t="s">
        <v>390</v>
      </c>
      <c r="U2986" s="74">
        <v>1</v>
      </c>
      <c r="V2986" s="71" t="s">
        <v>391</v>
      </c>
      <c r="W2986" s="130">
        <v>46091.725532407407</v>
      </c>
      <c r="X2986" s="72">
        <v>46093.371527777781</v>
      </c>
      <c r="Y2986" s="72">
        <v>46100.666666666664</v>
      </c>
      <c r="Z2986" s="104" t="s">
        <v>382</v>
      </c>
      <c r="AA2986" s="104" t="s">
        <v>402</v>
      </c>
      <c r="AB2986" s="105">
        <v>46093.429166666669</v>
      </c>
      <c r="AC2986" s="105">
        <v>46093.841666666667</v>
      </c>
    </row>
    <row r="2987" s="70" customFormat="1" ht="11.25" customHeight="1">
      <c r="A2987" s="87"/>
      <c r="C2987" s="43" t="s">
        <v>4884</v>
      </c>
      <c r="D2987" s="71" t="s">
        <v>382</v>
      </c>
      <c r="E2987" s="71" t="str">
        <f>MID(D2987,1,2)</f>
        <v>IL</v>
      </c>
      <c r="F2987" s="71" t="s">
        <v>963</v>
      </c>
      <c r="G2987" s="71" t="str">
        <f>MID(F2987,1,2)</f>
        <v>IN</v>
      </c>
      <c r="H2987" s="43" t="s">
        <v>4120</v>
      </c>
      <c r="I2987" s="71" t="s">
        <v>4885</v>
      </c>
      <c r="J2987" s="71" t="s">
        <v>426</v>
      </c>
      <c r="K2987" s="43"/>
      <c r="L2987" s="71" t="s">
        <v>105</v>
      </c>
      <c r="M2987" s="73">
        <v>1</v>
      </c>
      <c r="N2987" s="71" t="s">
        <v>388</v>
      </c>
      <c r="O2987" s="73">
        <v>0.019</v>
      </c>
      <c r="P2987" s="71" t="s">
        <v>389</v>
      </c>
      <c r="Q2987" s="73">
        <v>3.5</v>
      </c>
      <c r="R2987" s="71" t="s">
        <v>388</v>
      </c>
      <c r="S2987" s="73">
        <v>0</v>
      </c>
      <c r="T2987" s="71" t="s">
        <v>390</v>
      </c>
      <c r="U2987" s="74">
        <v>1</v>
      </c>
      <c r="V2987" s="71" t="s">
        <v>391</v>
      </c>
      <c r="W2987" s="130">
        <v>46091.725532407407</v>
      </c>
      <c r="X2987" s="72">
        <v>46093.371527777781</v>
      </c>
      <c r="Y2987" s="72">
        <v>46100.666666666664</v>
      </c>
      <c r="Z2987" s="104" t="s">
        <v>402</v>
      </c>
      <c r="AA2987" s="104" t="s">
        <v>809</v>
      </c>
      <c r="AB2987" s="105">
        <v>46093.888194444444</v>
      </c>
      <c r="AC2987" s="105">
        <v>46093.842361111114</v>
      </c>
    </row>
    <row r="2988" s="70" customFormat="1" ht="11.25" customHeight="1">
      <c r="A2988" s="87"/>
      <c r="C2988" s="43" t="s">
        <v>4884</v>
      </c>
      <c r="D2988" s="71" t="s">
        <v>382</v>
      </c>
      <c r="E2988" s="71" t="str">
        <f>MID(D2988,1,2)</f>
        <v>IL</v>
      </c>
      <c r="F2988" s="71" t="s">
        <v>963</v>
      </c>
      <c r="G2988" s="71" t="str">
        <f>MID(F2988,1,2)</f>
        <v>IN</v>
      </c>
      <c r="H2988" s="43" t="s">
        <v>4120</v>
      </c>
      <c r="I2988" s="71" t="s">
        <v>4885</v>
      </c>
      <c r="J2988" s="71" t="s">
        <v>426</v>
      </c>
      <c r="K2988" s="43"/>
      <c r="L2988" s="71" t="s">
        <v>105</v>
      </c>
      <c r="M2988" s="73">
        <v>1</v>
      </c>
      <c r="N2988" s="71" t="s">
        <v>388</v>
      </c>
      <c r="O2988" s="73">
        <v>0.019</v>
      </c>
      <c r="P2988" s="71" t="s">
        <v>389</v>
      </c>
      <c r="Q2988" s="73">
        <v>3.5</v>
      </c>
      <c r="R2988" s="71" t="s">
        <v>388</v>
      </c>
      <c r="S2988" s="73">
        <v>0</v>
      </c>
      <c r="T2988" s="71" t="s">
        <v>390</v>
      </c>
      <c r="U2988" s="74">
        <v>1</v>
      </c>
      <c r="V2988" s="71" t="s">
        <v>391</v>
      </c>
      <c r="W2988" s="130">
        <v>46091.725532407407</v>
      </c>
      <c r="X2988" s="72">
        <v>46093.371527777781</v>
      </c>
      <c r="Y2988" s="72">
        <v>46100.666666666664</v>
      </c>
      <c r="Z2988" s="104" t="s">
        <v>809</v>
      </c>
      <c r="AA2988" s="104" t="s">
        <v>963</v>
      </c>
      <c r="AB2988" s="105">
        <v>46098.365972222222</v>
      </c>
      <c r="AC2988" s="105">
        <v>46100.365972222222</v>
      </c>
    </row>
    <row r="2989" s="70" customFormat="1" ht="11.25" customHeight="1">
      <c r="A2989" s="87"/>
      <c r="C2989" s="43" t="s">
        <v>4886</v>
      </c>
      <c r="D2989" s="71" t="s">
        <v>382</v>
      </c>
      <c r="E2989" s="71" t="str">
        <f>MID(D2989,1,2)</f>
        <v>IL</v>
      </c>
      <c r="F2989" s="71" t="s">
        <v>414</v>
      </c>
      <c r="G2989" s="71" t="str">
        <f>MID(F2989,1,2)</f>
        <v>US</v>
      </c>
      <c r="H2989" s="43" t="s">
        <v>4697</v>
      </c>
      <c r="I2989" s="71" t="s">
        <v>4887</v>
      </c>
      <c r="J2989" s="71" t="s">
        <v>386</v>
      </c>
      <c r="K2989" s="43"/>
      <c r="L2989" s="71" t="s">
        <v>107</v>
      </c>
      <c r="M2989" s="73">
        <v>16</v>
      </c>
      <c r="N2989" s="71" t="s">
        <v>388</v>
      </c>
      <c r="O2989" s="73">
        <v>0.129</v>
      </c>
      <c r="P2989" s="71" t="s">
        <v>389</v>
      </c>
      <c r="Q2989" s="73">
        <v>21.5</v>
      </c>
      <c r="R2989" s="71" t="s">
        <v>388</v>
      </c>
      <c r="S2989" s="73">
        <v>0</v>
      </c>
      <c r="T2989" s="71" t="s">
        <v>390</v>
      </c>
      <c r="U2989" s="74">
        <v>1</v>
      </c>
      <c r="V2989" s="71" t="s">
        <v>446</v>
      </c>
      <c r="W2989" s="130">
        <v>46092.521527777775</v>
      </c>
      <c r="X2989" s="72">
        <v>46099.854166666664</v>
      </c>
      <c r="Y2989" s="72">
        <v>46102.791666666664</v>
      </c>
      <c r="Z2989" s="104" t="s">
        <v>382</v>
      </c>
      <c r="AA2989" s="104" t="s">
        <v>414</v>
      </c>
      <c r="AB2989" s="105">
        <v>46100.102083333331</v>
      </c>
      <c r="AC2989" s="105">
        <v>46100.31527777778</v>
      </c>
    </row>
    <row r="2990" s="70" customFormat="1" ht="11.25" customHeight="1">
      <c r="A2990" s="87"/>
      <c r="C2990" s="43" t="s">
        <v>4888</v>
      </c>
      <c r="D2990" s="71" t="s">
        <v>382</v>
      </c>
      <c r="E2990" s="71" t="str">
        <f>MID(D2990,1,2)</f>
        <v>IL</v>
      </c>
      <c r="F2990" s="71" t="s">
        <v>408</v>
      </c>
      <c r="G2990" s="71" t="str">
        <f>MID(F2990,1,2)</f>
        <v>GR</v>
      </c>
      <c r="H2990" s="43" t="s">
        <v>4889</v>
      </c>
      <c r="I2990" s="71" t="s">
        <v>4890</v>
      </c>
      <c r="J2990" s="71" t="s">
        <v>426</v>
      </c>
      <c r="K2990" s="43"/>
      <c r="L2990" s="71" t="s">
        <v>105</v>
      </c>
      <c r="M2990" s="73">
        <v>645</v>
      </c>
      <c r="N2990" s="71" t="s">
        <v>388</v>
      </c>
      <c r="O2990" s="73">
        <v>2.718</v>
      </c>
      <c r="P2990" s="71" t="s">
        <v>389</v>
      </c>
      <c r="Q2990" s="73">
        <v>645</v>
      </c>
      <c r="R2990" s="71" t="s">
        <v>388</v>
      </c>
      <c r="S2990" s="73">
        <v>0</v>
      </c>
      <c r="T2990" s="71" t="s">
        <v>390</v>
      </c>
      <c r="U2990" s="74">
        <v>4</v>
      </c>
      <c r="V2990" s="71" t="s">
        <v>391</v>
      </c>
      <c r="W2990" s="130"/>
      <c r="X2990" s="72">
        <v>46091.708333333336</v>
      </c>
      <c r="Y2990" s="72">
        <v>46091.975694444445</v>
      </c>
      <c r="Z2990" s="104" t="s">
        <v>382</v>
      </c>
      <c r="AA2990" s="104" t="s">
        <v>408</v>
      </c>
      <c r="AB2990" s="105">
        <v>46091.784722222219</v>
      </c>
      <c r="AC2990" s="105">
        <v>46091.871527777781</v>
      </c>
    </row>
    <row r="2991" s="70" customFormat="1" ht="11.25" customHeight="1">
      <c r="A2991" s="87"/>
      <c r="C2991" s="43" t="s">
        <v>4891</v>
      </c>
      <c r="D2991" s="71" t="s">
        <v>382</v>
      </c>
      <c r="E2991" s="71" t="str">
        <f>MID(D2991,1,2)</f>
        <v>IL</v>
      </c>
      <c r="F2991" s="71" t="s">
        <v>480</v>
      </c>
      <c r="G2991" s="71" t="str">
        <f>MID(F2991,1,2)</f>
        <v>CA</v>
      </c>
      <c r="H2991" s="43" t="s">
        <v>4637</v>
      </c>
      <c r="I2991" s="71" t="s">
        <v>4892</v>
      </c>
      <c r="J2991" s="71" t="s">
        <v>386</v>
      </c>
      <c r="K2991" s="43"/>
      <c r="L2991" s="71" t="s">
        <v>107</v>
      </c>
      <c r="M2991" s="73">
        <v>114</v>
      </c>
      <c r="N2991" s="71" t="s">
        <v>388</v>
      </c>
      <c r="O2991" s="73">
        <v>1.493</v>
      </c>
      <c r="P2991" s="71" t="s">
        <v>389</v>
      </c>
      <c r="Q2991" s="73">
        <v>249</v>
      </c>
      <c r="R2991" s="71" t="s">
        <v>388</v>
      </c>
      <c r="S2991" s="73">
        <v>0</v>
      </c>
      <c r="T2991" s="71" t="s">
        <v>390</v>
      </c>
      <c r="U2991" s="74">
        <v>2</v>
      </c>
      <c r="V2991" s="71" t="s">
        <v>417</v>
      </c>
      <c r="W2991" s="130">
        <v>46091.660416666666</v>
      </c>
      <c r="X2991" s="72">
        <v>46097.5</v>
      </c>
      <c r="Y2991" s="72">
        <v>46103.479166666664</v>
      </c>
      <c r="Z2991" s="104" t="s">
        <v>382</v>
      </c>
      <c r="AA2991" s="104" t="s">
        <v>471</v>
      </c>
      <c r="AB2991" s="105">
        <v>46098.474305555559</v>
      </c>
      <c r="AC2991" s="105">
        <v>46098.625</v>
      </c>
    </row>
    <row r="2992" s="70" customFormat="1" ht="11.25" customHeight="1">
      <c r="A2992" s="87"/>
      <c r="C2992" s="43" t="s">
        <v>4891</v>
      </c>
      <c r="D2992" s="71" t="s">
        <v>382</v>
      </c>
      <c r="E2992" s="71" t="str">
        <f>MID(D2992,1,2)</f>
        <v>IL</v>
      </c>
      <c r="F2992" s="71" t="s">
        <v>480</v>
      </c>
      <c r="G2992" s="71" t="str">
        <f>MID(F2992,1,2)</f>
        <v>CA</v>
      </c>
      <c r="H2992" s="43" t="s">
        <v>4637</v>
      </c>
      <c r="I2992" s="71" t="s">
        <v>4892</v>
      </c>
      <c r="J2992" s="71" t="s">
        <v>386</v>
      </c>
      <c r="K2992" s="43"/>
      <c r="L2992" s="71" t="s">
        <v>107</v>
      </c>
      <c r="M2992" s="73">
        <v>114</v>
      </c>
      <c r="N2992" s="71" t="s">
        <v>388</v>
      </c>
      <c r="O2992" s="73">
        <v>1.493</v>
      </c>
      <c r="P2992" s="71" t="s">
        <v>389</v>
      </c>
      <c r="Q2992" s="73">
        <v>249</v>
      </c>
      <c r="R2992" s="71" t="s">
        <v>388</v>
      </c>
      <c r="S2992" s="73">
        <v>0</v>
      </c>
      <c r="T2992" s="71" t="s">
        <v>390</v>
      </c>
      <c r="U2992" s="74">
        <v>2</v>
      </c>
      <c r="V2992" s="71" t="s">
        <v>417</v>
      </c>
      <c r="W2992" s="130">
        <v>46091.660416666666</v>
      </c>
      <c r="X2992" s="72">
        <v>46097.5</v>
      </c>
      <c r="Y2992" s="72">
        <v>46103.479166666664</v>
      </c>
      <c r="Z2992" s="104" t="s">
        <v>471</v>
      </c>
      <c r="AA2992" s="104" t="s">
        <v>480</v>
      </c>
      <c r="AB2992" s="105">
        <v>46100.61875</v>
      </c>
      <c r="AC2992" s="105">
        <v>46102.604166666664</v>
      </c>
    </row>
    <row r="2993" s="70" customFormat="1" ht="11.25" customHeight="1">
      <c r="A2993" s="87"/>
      <c r="C2993" s="43" t="s">
        <v>4893</v>
      </c>
      <c r="D2993" s="71" t="s">
        <v>382</v>
      </c>
      <c r="E2993" s="71" t="str">
        <f>MID(D2993,1,2)</f>
        <v>IL</v>
      </c>
      <c r="F2993" s="71" t="s">
        <v>414</v>
      </c>
      <c r="G2993" s="71" t="str">
        <f>MID(F2993,1,2)</f>
        <v>US</v>
      </c>
      <c r="H2993" s="43" t="s">
        <v>4187</v>
      </c>
      <c r="I2993" s="71" t="s">
        <v>4894</v>
      </c>
      <c r="J2993" s="71" t="s">
        <v>426</v>
      </c>
      <c r="K2993" s="43"/>
      <c r="L2993" s="71" t="s">
        <v>105</v>
      </c>
      <c r="M2993" s="73">
        <v>1</v>
      </c>
      <c r="N2993" s="71" t="s">
        <v>388</v>
      </c>
      <c r="O2993" s="73">
        <v>0.009</v>
      </c>
      <c r="P2993" s="71" t="s">
        <v>389</v>
      </c>
      <c r="Q2993" s="73">
        <v>1.5</v>
      </c>
      <c r="R2993" s="71" t="s">
        <v>388</v>
      </c>
      <c r="S2993" s="73">
        <v>0</v>
      </c>
      <c r="T2993" s="71" t="s">
        <v>390</v>
      </c>
      <c r="U2993" s="74">
        <v>1</v>
      </c>
      <c r="V2993" s="71" t="s">
        <v>427</v>
      </c>
      <c r="W2993" s="130">
        <v>46091.347916666666</v>
      </c>
      <c r="X2993" s="72">
        <v>46091.875</v>
      </c>
      <c r="Y2993" s="72">
        <v>46094.458333333336</v>
      </c>
      <c r="Z2993" s="104" t="s">
        <v>382</v>
      </c>
      <c r="AA2993" s="104" t="s">
        <v>414</v>
      </c>
      <c r="AB2993" s="105">
        <v>46091.955555555556</v>
      </c>
      <c r="AC2993" s="105">
        <v>46094.475</v>
      </c>
    </row>
    <row r="2994" s="70" customFormat="1" ht="11.25" customHeight="1">
      <c r="A2994" s="87"/>
      <c r="C2994" s="43" t="s">
        <v>4895</v>
      </c>
      <c r="D2994" s="71" t="s">
        <v>382</v>
      </c>
      <c r="E2994" s="71" t="str">
        <f>MID(D2994,1,2)</f>
        <v>IL</v>
      </c>
      <c r="F2994" s="71" t="s">
        <v>414</v>
      </c>
      <c r="G2994" s="71" t="str">
        <f>MID(F2994,1,2)</f>
        <v>US</v>
      </c>
      <c r="H2994" s="43" t="s">
        <v>4187</v>
      </c>
      <c r="I2994" s="71" t="s">
        <v>4896</v>
      </c>
      <c r="J2994" s="71" t="s">
        <v>426</v>
      </c>
      <c r="K2994" s="43"/>
      <c r="L2994" s="71" t="s">
        <v>105</v>
      </c>
      <c r="M2994" s="73">
        <v>1</v>
      </c>
      <c r="N2994" s="71" t="s">
        <v>388</v>
      </c>
      <c r="O2994" s="73">
        <v>0.009</v>
      </c>
      <c r="P2994" s="71" t="s">
        <v>389</v>
      </c>
      <c r="Q2994" s="73">
        <v>1.5</v>
      </c>
      <c r="R2994" s="71" t="s">
        <v>388</v>
      </c>
      <c r="S2994" s="73">
        <v>0</v>
      </c>
      <c r="T2994" s="71" t="s">
        <v>390</v>
      </c>
      <c r="U2994" s="74">
        <v>1</v>
      </c>
      <c r="V2994" s="71" t="s">
        <v>427</v>
      </c>
      <c r="W2994" s="130">
        <v>46091.88548611111</v>
      </c>
      <c r="X2994" s="72">
        <v>46091.875</v>
      </c>
      <c r="Y2994" s="72">
        <v>46094.458333333336</v>
      </c>
      <c r="Z2994" s="104" t="s">
        <v>382</v>
      </c>
      <c r="AA2994" s="104" t="s">
        <v>414</v>
      </c>
      <c r="AB2994" s="105">
        <v>46091.955555555556</v>
      </c>
      <c r="AC2994" s="105">
        <v>46094.475</v>
      </c>
    </row>
    <row r="2995" s="70" customFormat="1" ht="11.25" customHeight="1">
      <c r="A2995" s="87"/>
      <c r="C2995" s="43" t="s">
        <v>4897</v>
      </c>
      <c r="D2995" s="71" t="s">
        <v>382</v>
      </c>
      <c r="E2995" s="71" t="str">
        <f>MID(D2995,1,2)</f>
        <v>IL</v>
      </c>
      <c r="F2995" s="71" t="s">
        <v>414</v>
      </c>
      <c r="G2995" s="71" t="str">
        <f>MID(F2995,1,2)</f>
        <v>US</v>
      </c>
      <c r="H2995" s="43" t="s">
        <v>4187</v>
      </c>
      <c r="I2995" s="71" t="s">
        <v>4898</v>
      </c>
      <c r="J2995" s="71" t="s">
        <v>426</v>
      </c>
      <c r="K2995" s="43"/>
      <c r="L2995" s="71" t="s">
        <v>105</v>
      </c>
      <c r="M2995" s="73">
        <v>12</v>
      </c>
      <c r="N2995" s="71" t="s">
        <v>388</v>
      </c>
      <c r="O2995" s="73">
        <v>0.035</v>
      </c>
      <c r="P2995" s="71" t="s">
        <v>389</v>
      </c>
      <c r="Q2995" s="73">
        <v>12</v>
      </c>
      <c r="R2995" s="71" t="s">
        <v>388</v>
      </c>
      <c r="S2995" s="73">
        <v>0</v>
      </c>
      <c r="T2995" s="71" t="s">
        <v>390</v>
      </c>
      <c r="U2995" s="74">
        <v>1</v>
      </c>
      <c r="V2995" s="71" t="s">
        <v>427</v>
      </c>
      <c r="W2995" s="130">
        <v>46091.354166666664</v>
      </c>
      <c r="X2995" s="72">
        <v>46091.875</v>
      </c>
      <c r="Y2995" s="72">
        <v>46094.458333333336</v>
      </c>
      <c r="Z2995" s="104" t="s">
        <v>382</v>
      </c>
      <c r="AA2995" s="104" t="s">
        <v>414</v>
      </c>
      <c r="AB2995" s="105">
        <v>46091.955555555556</v>
      </c>
      <c r="AC2995" s="105">
        <v>46094.475</v>
      </c>
    </row>
    <row r="2996" s="70" customFormat="1" ht="11.25" customHeight="1">
      <c r="A2996" s="87"/>
      <c r="C2996" s="43" t="s">
        <v>4899</v>
      </c>
      <c r="D2996" s="71" t="s">
        <v>382</v>
      </c>
      <c r="E2996" s="71" t="str">
        <f>MID(D2996,1,2)</f>
        <v>IL</v>
      </c>
      <c r="F2996" s="71" t="s">
        <v>414</v>
      </c>
      <c r="G2996" s="71" t="str">
        <f>MID(F2996,1,2)</f>
        <v>US</v>
      </c>
      <c r="H2996" s="43" t="s">
        <v>4187</v>
      </c>
      <c r="I2996" s="71" t="s">
        <v>4900</v>
      </c>
      <c r="J2996" s="71" t="s">
        <v>426</v>
      </c>
      <c r="K2996" s="43"/>
      <c r="L2996" s="71" t="s">
        <v>105</v>
      </c>
      <c r="M2996" s="73">
        <v>12</v>
      </c>
      <c r="N2996" s="71" t="s">
        <v>388</v>
      </c>
      <c r="O2996" s="73">
        <v>0.035</v>
      </c>
      <c r="P2996" s="71" t="s">
        <v>389</v>
      </c>
      <c r="Q2996" s="73">
        <v>12</v>
      </c>
      <c r="R2996" s="71" t="s">
        <v>388</v>
      </c>
      <c r="S2996" s="73">
        <v>0</v>
      </c>
      <c r="T2996" s="71" t="s">
        <v>390</v>
      </c>
      <c r="U2996" s="74">
        <v>1</v>
      </c>
      <c r="V2996" s="71" t="s">
        <v>427</v>
      </c>
      <c r="W2996" s="130">
        <v>46091.361805555556</v>
      </c>
      <c r="X2996" s="72">
        <v>46091.875</v>
      </c>
      <c r="Y2996" s="72">
        <v>46094.458333333336</v>
      </c>
      <c r="Z2996" s="104" t="s">
        <v>382</v>
      </c>
      <c r="AA2996" s="104" t="s">
        <v>414</v>
      </c>
      <c r="AB2996" s="105">
        <v>46091.955555555556</v>
      </c>
      <c r="AC2996" s="105">
        <v>46094.475</v>
      </c>
    </row>
    <row r="2997" s="70" customFormat="1" ht="11.25" customHeight="1">
      <c r="A2997" s="87"/>
      <c r="C2997" s="43" t="s">
        <v>4901</v>
      </c>
      <c r="D2997" s="71" t="s">
        <v>382</v>
      </c>
      <c r="E2997" s="71" t="str">
        <f>MID(D2997,1,2)</f>
        <v>IL</v>
      </c>
      <c r="F2997" s="71" t="s">
        <v>414</v>
      </c>
      <c r="G2997" s="71" t="str">
        <f>MID(F2997,1,2)</f>
        <v>US</v>
      </c>
      <c r="H2997" s="43" t="s">
        <v>4187</v>
      </c>
      <c r="I2997" s="71" t="s">
        <v>4902</v>
      </c>
      <c r="J2997" s="71" t="s">
        <v>426</v>
      </c>
      <c r="K2997" s="43"/>
      <c r="L2997" s="71" t="s">
        <v>105</v>
      </c>
      <c r="M2997" s="73">
        <v>1</v>
      </c>
      <c r="N2997" s="71" t="s">
        <v>388</v>
      </c>
      <c r="O2997" s="73">
        <v>0.009</v>
      </c>
      <c r="P2997" s="71" t="s">
        <v>389</v>
      </c>
      <c r="Q2997" s="73">
        <v>1.5</v>
      </c>
      <c r="R2997" s="71" t="s">
        <v>388</v>
      </c>
      <c r="S2997" s="73">
        <v>0</v>
      </c>
      <c r="T2997" s="71" t="s">
        <v>390</v>
      </c>
      <c r="U2997" s="74">
        <v>1</v>
      </c>
      <c r="V2997" s="71" t="s">
        <v>427</v>
      </c>
      <c r="W2997" s="130">
        <v>46091.361805555556</v>
      </c>
      <c r="X2997" s="72">
        <v>46091.875</v>
      </c>
      <c r="Y2997" s="72">
        <v>46094.458333333336</v>
      </c>
      <c r="Z2997" s="104" t="s">
        <v>382</v>
      </c>
      <c r="AA2997" s="104" t="s">
        <v>414</v>
      </c>
      <c r="AB2997" s="105">
        <v>46091.955555555556</v>
      </c>
      <c r="AC2997" s="105">
        <v>46094.475</v>
      </c>
    </row>
    <row r="2998" s="70" customFormat="1" ht="11.25" customHeight="1">
      <c r="A2998" s="87"/>
      <c r="C2998" s="43" t="s">
        <v>4903</v>
      </c>
      <c r="D2998" s="71" t="s">
        <v>382</v>
      </c>
      <c r="E2998" s="71" t="str">
        <f>MID(D2998,1,2)</f>
        <v>IL</v>
      </c>
      <c r="F2998" s="71" t="s">
        <v>414</v>
      </c>
      <c r="G2998" s="71" t="str">
        <f>MID(F2998,1,2)</f>
        <v>US</v>
      </c>
      <c r="H2998" s="43" t="s">
        <v>4187</v>
      </c>
      <c r="I2998" s="71" t="s">
        <v>4904</v>
      </c>
      <c r="J2998" s="71" t="s">
        <v>426</v>
      </c>
      <c r="K2998" s="43"/>
      <c r="L2998" s="71" t="s">
        <v>105</v>
      </c>
      <c r="M2998" s="73">
        <v>4</v>
      </c>
      <c r="N2998" s="71" t="s">
        <v>388</v>
      </c>
      <c r="O2998" s="73">
        <v>0.027</v>
      </c>
      <c r="P2998" s="71" t="s">
        <v>389</v>
      </c>
      <c r="Q2998" s="73">
        <v>4.5</v>
      </c>
      <c r="R2998" s="71" t="s">
        <v>388</v>
      </c>
      <c r="S2998" s="73">
        <v>0</v>
      </c>
      <c r="T2998" s="71" t="s">
        <v>390</v>
      </c>
      <c r="U2998" s="74">
        <v>1</v>
      </c>
      <c r="V2998" s="71" t="s">
        <v>427</v>
      </c>
      <c r="W2998" s="130">
        <v>46091.885509259257</v>
      </c>
      <c r="X2998" s="72">
        <v>46091.875</v>
      </c>
      <c r="Y2998" s="72">
        <v>46094.458333333336</v>
      </c>
      <c r="Z2998" s="104" t="s">
        <v>382</v>
      </c>
      <c r="AA2998" s="104" t="s">
        <v>414</v>
      </c>
      <c r="AB2998" s="105">
        <v>46091.955555555556</v>
      </c>
      <c r="AC2998" s="105">
        <v>46094.475</v>
      </c>
    </row>
    <row r="2999" s="70" customFormat="1" ht="11.25" customHeight="1">
      <c r="A2999" s="87"/>
      <c r="C2999" s="43" t="s">
        <v>4905</v>
      </c>
      <c r="D2999" s="71" t="s">
        <v>382</v>
      </c>
      <c r="E2999" s="71" t="str">
        <f>MID(D2999,1,2)</f>
        <v>IL</v>
      </c>
      <c r="F2999" s="71" t="s">
        <v>414</v>
      </c>
      <c r="G2999" s="71" t="str">
        <f>MID(F2999,1,2)</f>
        <v>US</v>
      </c>
      <c r="H2999" s="43" t="s">
        <v>4187</v>
      </c>
      <c r="I2999" s="71" t="s">
        <v>4906</v>
      </c>
      <c r="J2999" s="71" t="s">
        <v>386</v>
      </c>
      <c r="K2999" s="43"/>
      <c r="L2999" s="71" t="s">
        <v>107</v>
      </c>
      <c r="M2999" s="73">
        <v>1</v>
      </c>
      <c r="N2999" s="71" t="s">
        <v>388</v>
      </c>
      <c r="O2999" s="73">
        <v>0.009</v>
      </c>
      <c r="P2999" s="71" t="s">
        <v>389</v>
      </c>
      <c r="Q2999" s="73">
        <v>1.5</v>
      </c>
      <c r="R2999" s="71" t="s">
        <v>388</v>
      </c>
      <c r="S2999" s="73">
        <v>0</v>
      </c>
      <c r="T2999" s="71" t="s">
        <v>390</v>
      </c>
      <c r="U2999" s="74">
        <v>1</v>
      </c>
      <c r="V2999" s="71" t="s">
        <v>427</v>
      </c>
      <c r="W2999" s="130">
        <v>46091.36875</v>
      </c>
      <c r="X2999" s="72">
        <v>46091.875</v>
      </c>
      <c r="Y2999" s="72">
        <v>46094.458333333336</v>
      </c>
      <c r="Z2999" s="104" t="s">
        <v>382</v>
      </c>
      <c r="AA2999" s="104" t="s">
        <v>414</v>
      </c>
      <c r="AB2999" s="105">
        <v>46091.955555555556</v>
      </c>
      <c r="AC2999" s="105">
        <v>46094.475</v>
      </c>
    </row>
    <row r="3000" s="70" customFormat="1" ht="11.25" customHeight="1">
      <c r="A3000" s="87"/>
      <c r="C3000" s="43" t="s">
        <v>4907</v>
      </c>
      <c r="D3000" s="71" t="s">
        <v>382</v>
      </c>
      <c r="E3000" s="71" t="str">
        <f>MID(D3000,1,2)</f>
        <v>IL</v>
      </c>
      <c r="F3000" s="71" t="s">
        <v>405</v>
      </c>
      <c r="G3000" s="71" t="str">
        <f>MID(F3000,1,2)</f>
        <v>CA</v>
      </c>
      <c r="H3000" s="43" t="s">
        <v>4908</v>
      </c>
      <c r="I3000" s="71" t="s">
        <v>4909</v>
      </c>
      <c r="J3000" s="71" t="s">
        <v>386</v>
      </c>
      <c r="K3000" s="43"/>
      <c r="L3000" s="71" t="s">
        <v>107</v>
      </c>
      <c r="M3000" s="73">
        <v>14</v>
      </c>
      <c r="N3000" s="71" t="s">
        <v>388</v>
      </c>
      <c r="O3000" s="73">
        <v>0.223</v>
      </c>
      <c r="P3000" s="71" t="s">
        <v>389</v>
      </c>
      <c r="Q3000" s="73">
        <v>100</v>
      </c>
      <c r="R3000" s="71" t="s">
        <v>388</v>
      </c>
      <c r="S3000" s="73">
        <v>0</v>
      </c>
      <c r="T3000" s="71" t="s">
        <v>390</v>
      </c>
      <c r="U3000" s="74">
        <v>1</v>
      </c>
      <c r="V3000" s="71" t="s">
        <v>417</v>
      </c>
      <c r="W3000" s="130">
        <v>46091.527777777781</v>
      </c>
      <c r="X3000" s="72">
        <v>46096.136111111111</v>
      </c>
      <c r="Y3000" s="72">
        <v>46103.875</v>
      </c>
      <c r="Z3000" s="104" t="s">
        <v>382</v>
      </c>
      <c r="AA3000" s="104" t="s">
        <v>471</v>
      </c>
      <c r="AB3000" s="105">
        <v>46098.510416666664</v>
      </c>
      <c r="AC3000" s="105">
        <v>46098.625</v>
      </c>
    </row>
    <row r="3001" s="70" customFormat="1" ht="11.25" customHeight="1">
      <c r="A3001" s="87"/>
      <c r="C3001" s="43" t="s">
        <v>4907</v>
      </c>
      <c r="D3001" s="71" t="s">
        <v>382</v>
      </c>
      <c r="E3001" s="71" t="str">
        <f>MID(D3001,1,2)</f>
        <v>IL</v>
      </c>
      <c r="F3001" s="71" t="s">
        <v>405</v>
      </c>
      <c r="G3001" s="71" t="str">
        <f>MID(F3001,1,2)</f>
        <v>CA</v>
      </c>
      <c r="H3001" s="43" t="s">
        <v>4908</v>
      </c>
      <c r="I3001" s="71" t="s">
        <v>4909</v>
      </c>
      <c r="J3001" s="71" t="s">
        <v>386</v>
      </c>
      <c r="K3001" s="43"/>
      <c r="L3001" s="71" t="s">
        <v>107</v>
      </c>
      <c r="M3001" s="73">
        <v>14</v>
      </c>
      <c r="N3001" s="71" t="s">
        <v>388</v>
      </c>
      <c r="O3001" s="73">
        <v>0.223</v>
      </c>
      <c r="P3001" s="71" t="s">
        <v>389</v>
      </c>
      <c r="Q3001" s="73">
        <v>100</v>
      </c>
      <c r="R3001" s="71" t="s">
        <v>388</v>
      </c>
      <c r="S3001" s="73">
        <v>0</v>
      </c>
      <c r="T3001" s="71" t="s">
        <v>390</v>
      </c>
      <c r="U3001" s="74">
        <v>1</v>
      </c>
      <c r="V3001" s="71" t="s">
        <v>417</v>
      </c>
      <c r="W3001" s="130">
        <v>46091.527777777781</v>
      </c>
      <c r="X3001" s="72">
        <v>46096.136111111111</v>
      </c>
      <c r="Y3001" s="72">
        <v>46103.875</v>
      </c>
      <c r="Z3001" s="104" t="s">
        <v>471</v>
      </c>
      <c r="AA3001" s="104" t="s">
        <v>405</v>
      </c>
      <c r="AB3001" s="105"/>
      <c r="AC3001" s="105"/>
    </row>
    <row r="3002" s="70" customFormat="1" ht="11.25" customHeight="1">
      <c r="A3002" s="87"/>
      <c r="C3002" s="43" t="s">
        <v>4910</v>
      </c>
      <c r="D3002" s="71" t="s">
        <v>382</v>
      </c>
      <c r="E3002" s="71" t="str">
        <f>MID(D3002,1,2)</f>
        <v>IL</v>
      </c>
      <c r="F3002" s="71" t="s">
        <v>546</v>
      </c>
      <c r="G3002" s="71" t="str">
        <f>MID(F3002,1,2)</f>
        <v>GB</v>
      </c>
      <c r="H3002" s="43" t="s">
        <v>4299</v>
      </c>
      <c r="I3002" s="71" t="s">
        <v>4911</v>
      </c>
      <c r="J3002" s="71" t="s">
        <v>400</v>
      </c>
      <c r="K3002" s="43"/>
      <c r="L3002" s="71" t="s">
        <v>105</v>
      </c>
      <c r="M3002" s="73">
        <v>108</v>
      </c>
      <c r="N3002" s="71" t="s">
        <v>388</v>
      </c>
      <c r="O3002" s="73">
        <v>1.828</v>
      </c>
      <c r="P3002" s="71" t="s">
        <v>389</v>
      </c>
      <c r="Q3002" s="73">
        <v>305</v>
      </c>
      <c r="R3002" s="71" t="s">
        <v>388</v>
      </c>
      <c r="S3002" s="73">
        <v>0</v>
      </c>
      <c r="T3002" s="71" t="s">
        <v>390</v>
      </c>
      <c r="U3002" s="74">
        <v>1</v>
      </c>
      <c r="V3002" s="71" t="s">
        <v>391</v>
      </c>
      <c r="W3002" s="130">
        <v>46091.472916666666</v>
      </c>
      <c r="X3002" s="72">
        <v>46095.708333333336</v>
      </c>
      <c r="Y3002" s="72">
        <v>46102.449305555558</v>
      </c>
      <c r="Z3002" s="104" t="s">
        <v>382</v>
      </c>
      <c r="AA3002" s="104" t="s">
        <v>471</v>
      </c>
      <c r="AB3002" s="105">
        <v>46098.511805555558</v>
      </c>
      <c r="AC3002" s="105"/>
    </row>
    <row r="3003" s="70" customFormat="1" ht="11.25" customHeight="1">
      <c r="A3003" s="87"/>
      <c r="C3003" s="43" t="s">
        <v>4910</v>
      </c>
      <c r="D3003" s="71" t="s">
        <v>382</v>
      </c>
      <c r="E3003" s="71" t="str">
        <f>MID(D3003,1,2)</f>
        <v>IL</v>
      </c>
      <c r="F3003" s="71" t="s">
        <v>546</v>
      </c>
      <c r="G3003" s="71" t="str">
        <f>MID(F3003,1,2)</f>
        <v>GB</v>
      </c>
      <c r="H3003" s="43" t="s">
        <v>4299</v>
      </c>
      <c r="I3003" s="71" t="s">
        <v>4911</v>
      </c>
      <c r="J3003" s="71" t="s">
        <v>400</v>
      </c>
      <c r="K3003" s="43"/>
      <c r="L3003" s="71" t="s">
        <v>105</v>
      </c>
      <c r="M3003" s="73">
        <v>108</v>
      </c>
      <c r="N3003" s="71" t="s">
        <v>388</v>
      </c>
      <c r="O3003" s="73">
        <v>1.828</v>
      </c>
      <c r="P3003" s="71" t="s">
        <v>389</v>
      </c>
      <c r="Q3003" s="73">
        <v>305</v>
      </c>
      <c r="R3003" s="71" t="s">
        <v>388</v>
      </c>
      <c r="S3003" s="73">
        <v>0</v>
      </c>
      <c r="T3003" s="71" t="s">
        <v>390</v>
      </c>
      <c r="U3003" s="74">
        <v>1</v>
      </c>
      <c r="V3003" s="71" t="s">
        <v>391</v>
      </c>
      <c r="W3003" s="130">
        <v>46091.472916666666</v>
      </c>
      <c r="X3003" s="72">
        <v>46095.708333333336</v>
      </c>
      <c r="Y3003" s="72">
        <v>46102.449305555558</v>
      </c>
      <c r="Z3003" s="104" t="s">
        <v>471</v>
      </c>
      <c r="AA3003" s="104" t="s">
        <v>546</v>
      </c>
      <c r="AB3003" s="105">
        <v>46101.915277777778</v>
      </c>
      <c r="AC3003" s="105">
        <v>46102.439583333333</v>
      </c>
    </row>
    <row r="3004" s="70" customFormat="1" ht="11.25" customHeight="1">
      <c r="A3004" s="87"/>
      <c r="C3004" s="43" t="s">
        <v>4912</v>
      </c>
      <c r="D3004" s="71" t="s">
        <v>382</v>
      </c>
      <c r="E3004" s="71" t="str">
        <f>MID(D3004,1,2)</f>
        <v>IL</v>
      </c>
      <c r="F3004" s="71" t="s">
        <v>963</v>
      </c>
      <c r="G3004" s="71" t="str">
        <f>MID(F3004,1,2)</f>
        <v>IN</v>
      </c>
      <c r="H3004" s="43" t="s">
        <v>4120</v>
      </c>
      <c r="I3004" s="71" t="s">
        <v>4913</v>
      </c>
      <c r="J3004" s="71" t="s">
        <v>400</v>
      </c>
      <c r="K3004" s="43"/>
      <c r="L3004" s="71" t="s">
        <v>105</v>
      </c>
      <c r="M3004" s="73">
        <v>26</v>
      </c>
      <c r="N3004" s="71" t="s">
        <v>388</v>
      </c>
      <c r="O3004" s="73">
        <v>0.164</v>
      </c>
      <c r="P3004" s="71" t="s">
        <v>389</v>
      </c>
      <c r="Q3004" s="73">
        <v>27.5</v>
      </c>
      <c r="R3004" s="71" t="s">
        <v>388</v>
      </c>
      <c r="S3004" s="73">
        <v>0</v>
      </c>
      <c r="T3004" s="71" t="s">
        <v>390</v>
      </c>
      <c r="U3004" s="74">
        <v>1</v>
      </c>
      <c r="V3004" s="71" t="s">
        <v>391</v>
      </c>
      <c r="W3004" s="130">
        <v>46091.424305555556</v>
      </c>
      <c r="X3004" s="72">
        <v>46093.371527777781</v>
      </c>
      <c r="Y3004" s="72">
        <v>46100.666666666664</v>
      </c>
      <c r="Z3004" s="104" t="s">
        <v>382</v>
      </c>
      <c r="AA3004" s="104" t="s">
        <v>402</v>
      </c>
      <c r="AB3004" s="105">
        <v>46093.429166666669</v>
      </c>
      <c r="AC3004" s="105">
        <v>46093.841666666667</v>
      </c>
    </row>
    <row r="3005" s="70" customFormat="1" ht="11.25" customHeight="1">
      <c r="A3005" s="87"/>
      <c r="C3005" s="43" t="s">
        <v>4912</v>
      </c>
      <c r="D3005" s="71" t="s">
        <v>382</v>
      </c>
      <c r="E3005" s="71" t="str">
        <f>MID(D3005,1,2)</f>
        <v>IL</v>
      </c>
      <c r="F3005" s="71" t="s">
        <v>963</v>
      </c>
      <c r="G3005" s="71" t="str">
        <f>MID(F3005,1,2)</f>
        <v>IN</v>
      </c>
      <c r="H3005" s="43" t="s">
        <v>4120</v>
      </c>
      <c r="I3005" s="71" t="s">
        <v>4913</v>
      </c>
      <c r="J3005" s="71" t="s">
        <v>400</v>
      </c>
      <c r="K3005" s="43"/>
      <c r="L3005" s="71" t="s">
        <v>105</v>
      </c>
      <c r="M3005" s="73">
        <v>26</v>
      </c>
      <c r="N3005" s="71" t="s">
        <v>388</v>
      </c>
      <c r="O3005" s="73">
        <v>0.164</v>
      </c>
      <c r="P3005" s="71" t="s">
        <v>389</v>
      </c>
      <c r="Q3005" s="73">
        <v>27.5</v>
      </c>
      <c r="R3005" s="71" t="s">
        <v>388</v>
      </c>
      <c r="S3005" s="73">
        <v>0</v>
      </c>
      <c r="T3005" s="71" t="s">
        <v>390</v>
      </c>
      <c r="U3005" s="74">
        <v>1</v>
      </c>
      <c r="V3005" s="71" t="s">
        <v>391</v>
      </c>
      <c r="W3005" s="130">
        <v>46091.424305555556</v>
      </c>
      <c r="X3005" s="72">
        <v>46093.371527777781</v>
      </c>
      <c r="Y3005" s="72">
        <v>46100.666666666664</v>
      </c>
      <c r="Z3005" s="104" t="s">
        <v>402</v>
      </c>
      <c r="AA3005" s="104" t="s">
        <v>809</v>
      </c>
      <c r="AB3005" s="105">
        <v>46093.888194444444</v>
      </c>
      <c r="AC3005" s="105">
        <v>46093.842361111114</v>
      </c>
    </row>
    <row r="3006" s="70" customFormat="1" ht="11.25" customHeight="1">
      <c r="A3006" s="87"/>
      <c r="C3006" s="43" t="s">
        <v>4912</v>
      </c>
      <c r="D3006" s="71" t="s">
        <v>382</v>
      </c>
      <c r="E3006" s="71" t="str">
        <f>MID(D3006,1,2)</f>
        <v>IL</v>
      </c>
      <c r="F3006" s="71" t="s">
        <v>963</v>
      </c>
      <c r="G3006" s="71" t="str">
        <f>MID(F3006,1,2)</f>
        <v>IN</v>
      </c>
      <c r="H3006" s="43" t="s">
        <v>4120</v>
      </c>
      <c r="I3006" s="71" t="s">
        <v>4913</v>
      </c>
      <c r="J3006" s="71" t="s">
        <v>400</v>
      </c>
      <c r="K3006" s="43"/>
      <c r="L3006" s="71" t="s">
        <v>105</v>
      </c>
      <c r="M3006" s="73">
        <v>26</v>
      </c>
      <c r="N3006" s="71" t="s">
        <v>388</v>
      </c>
      <c r="O3006" s="73">
        <v>0.164</v>
      </c>
      <c r="P3006" s="71" t="s">
        <v>389</v>
      </c>
      <c r="Q3006" s="73">
        <v>27.5</v>
      </c>
      <c r="R3006" s="71" t="s">
        <v>388</v>
      </c>
      <c r="S3006" s="73">
        <v>0</v>
      </c>
      <c r="T3006" s="71" t="s">
        <v>390</v>
      </c>
      <c r="U3006" s="74">
        <v>1</v>
      </c>
      <c r="V3006" s="71" t="s">
        <v>391</v>
      </c>
      <c r="W3006" s="130">
        <v>46091.424305555556</v>
      </c>
      <c r="X3006" s="72">
        <v>46093.371527777781</v>
      </c>
      <c r="Y3006" s="72">
        <v>46100.666666666664</v>
      </c>
      <c r="Z3006" s="104" t="s">
        <v>809</v>
      </c>
      <c r="AA3006" s="104" t="s">
        <v>963</v>
      </c>
      <c r="AB3006" s="105">
        <v>46098.365972222222</v>
      </c>
      <c r="AC3006" s="105">
        <v>46100.365972222222</v>
      </c>
    </row>
    <row r="3007" s="70" customFormat="1" ht="11.25" customHeight="1">
      <c r="A3007" s="87"/>
      <c r="C3007" s="43" t="s">
        <v>4914</v>
      </c>
      <c r="D3007" s="71" t="s">
        <v>382</v>
      </c>
      <c r="E3007" s="71" t="str">
        <f>MID(D3007,1,2)</f>
        <v>IL</v>
      </c>
      <c r="F3007" s="71" t="s">
        <v>414</v>
      </c>
      <c r="G3007" s="71" t="str">
        <f>MID(F3007,1,2)</f>
        <v>US</v>
      </c>
      <c r="H3007" s="43" t="s">
        <v>3776</v>
      </c>
      <c r="I3007" s="71" t="s">
        <v>4915</v>
      </c>
      <c r="J3007" s="71" t="s">
        <v>386</v>
      </c>
      <c r="K3007" s="43"/>
      <c r="L3007" s="71" t="s">
        <v>107</v>
      </c>
      <c r="M3007" s="73">
        <v>156</v>
      </c>
      <c r="N3007" s="71" t="s">
        <v>388</v>
      </c>
      <c r="O3007" s="73">
        <v>0.486</v>
      </c>
      <c r="P3007" s="71" t="s">
        <v>389</v>
      </c>
      <c r="Q3007" s="73">
        <v>156</v>
      </c>
      <c r="R3007" s="71" t="s">
        <v>388</v>
      </c>
      <c r="S3007" s="73">
        <v>0</v>
      </c>
      <c r="T3007" s="71" t="s">
        <v>390</v>
      </c>
      <c r="U3007" s="74">
        <v>1</v>
      </c>
      <c r="V3007" s="71" t="s">
        <v>391</v>
      </c>
      <c r="W3007" s="130">
        <v>46092.587280092594</v>
      </c>
      <c r="X3007" s="72">
        <v>46099.635416666664</v>
      </c>
      <c r="Y3007" s="72">
        <v>46102.708333333336</v>
      </c>
      <c r="Z3007" s="104" t="s">
        <v>382</v>
      </c>
      <c r="AA3007" s="104" t="s">
        <v>414</v>
      </c>
      <c r="AB3007" s="105">
        <v>46100.102083333331</v>
      </c>
      <c r="AC3007" s="105">
        <v>46100.31527777778</v>
      </c>
    </row>
    <row r="3008" s="70" customFormat="1" ht="11.25" customHeight="1">
      <c r="A3008" s="87"/>
      <c r="C3008" s="43" t="s">
        <v>4916</v>
      </c>
      <c r="D3008" s="71" t="s">
        <v>382</v>
      </c>
      <c r="E3008" s="71" t="str">
        <f>MID(D3008,1,2)</f>
        <v>IL</v>
      </c>
      <c r="F3008" s="71" t="s">
        <v>471</v>
      </c>
      <c r="G3008" s="71" t="str">
        <f>MID(F3008,1,2)</f>
        <v>US</v>
      </c>
      <c r="H3008" s="43" t="s">
        <v>4343</v>
      </c>
      <c r="I3008" s="71" t="s">
        <v>4917</v>
      </c>
      <c r="J3008" s="71" t="s">
        <v>386</v>
      </c>
      <c r="K3008" s="43"/>
      <c r="L3008" s="71" t="s">
        <v>107</v>
      </c>
      <c r="M3008" s="73">
        <v>95</v>
      </c>
      <c r="N3008" s="71" t="s">
        <v>388</v>
      </c>
      <c r="O3008" s="73">
        <v>0.363</v>
      </c>
      <c r="P3008" s="71" t="s">
        <v>389</v>
      </c>
      <c r="Q3008" s="73">
        <v>100</v>
      </c>
      <c r="R3008" s="71" t="s">
        <v>388</v>
      </c>
      <c r="S3008" s="73">
        <v>0</v>
      </c>
      <c r="T3008" s="71" t="s">
        <v>390</v>
      </c>
      <c r="U3008" s="74">
        <v>2</v>
      </c>
      <c r="V3008" s="71" t="s">
        <v>391</v>
      </c>
      <c r="W3008" s="130">
        <v>46092.246701388889</v>
      </c>
      <c r="X3008" s="72">
        <v>46095.003472222219</v>
      </c>
      <c r="Y3008" s="72">
        <v>46103.25</v>
      </c>
      <c r="Z3008" s="104" t="s">
        <v>382</v>
      </c>
      <c r="AA3008" s="104" t="s">
        <v>471</v>
      </c>
      <c r="AB3008" s="105">
        <v>46098.508333333331</v>
      </c>
      <c r="AC3008" s="105">
        <v>46098.666666666664</v>
      </c>
    </row>
    <row r="3009" s="70" customFormat="1" ht="11.25" customHeight="1">
      <c r="A3009" s="87"/>
      <c r="C3009" s="43" t="s">
        <v>4918</v>
      </c>
      <c r="D3009" s="71" t="s">
        <v>382</v>
      </c>
      <c r="E3009" s="71" t="str">
        <f>MID(D3009,1,2)</f>
        <v>IL</v>
      </c>
      <c r="F3009" s="71" t="s">
        <v>774</v>
      </c>
      <c r="G3009" s="71" t="str">
        <f>MID(F3009,1,2)</f>
        <v>CN</v>
      </c>
      <c r="H3009" s="43" t="s">
        <v>4777</v>
      </c>
      <c r="I3009" s="71" t="s">
        <v>4919</v>
      </c>
      <c r="J3009" s="71" t="s">
        <v>755</v>
      </c>
      <c r="K3009" s="43"/>
      <c r="L3009" s="71" t="s">
        <v>105</v>
      </c>
      <c r="M3009" s="73">
        <v>1</v>
      </c>
      <c r="N3009" s="71" t="s">
        <v>388</v>
      </c>
      <c r="O3009" s="73">
        <v>0.012</v>
      </c>
      <c r="P3009" s="71" t="s">
        <v>389</v>
      </c>
      <c r="Q3009" s="73">
        <v>2</v>
      </c>
      <c r="R3009" s="71" t="s">
        <v>388</v>
      </c>
      <c r="S3009" s="73">
        <v>0</v>
      </c>
      <c r="T3009" s="71" t="s">
        <v>390</v>
      </c>
      <c r="U3009" s="74">
        <v>1</v>
      </c>
      <c r="V3009" s="71" t="s">
        <v>391</v>
      </c>
      <c r="W3009" s="130">
        <v>46091.558819444443</v>
      </c>
      <c r="X3009" s="72">
        <v>46092.75</v>
      </c>
      <c r="Y3009" s="72">
        <v>46095.6875</v>
      </c>
      <c r="Z3009" s="104" t="s">
        <v>382</v>
      </c>
      <c r="AA3009" s="104" t="s">
        <v>403</v>
      </c>
      <c r="AB3009" s="105">
        <v>46093.134722222225</v>
      </c>
      <c r="AC3009" s="105">
        <v>46093.913888888892</v>
      </c>
    </row>
    <row r="3010" s="70" customFormat="1" ht="11.25" customHeight="1">
      <c r="A3010" s="87"/>
      <c r="C3010" s="43" t="s">
        <v>4918</v>
      </c>
      <c r="D3010" s="71" t="s">
        <v>382</v>
      </c>
      <c r="E3010" s="71" t="str">
        <f>MID(D3010,1,2)</f>
        <v>IL</v>
      </c>
      <c r="F3010" s="71" t="s">
        <v>774</v>
      </c>
      <c r="G3010" s="71" t="str">
        <f>MID(F3010,1,2)</f>
        <v>CN</v>
      </c>
      <c r="H3010" s="43" t="s">
        <v>4777</v>
      </c>
      <c r="I3010" s="71" t="s">
        <v>4919</v>
      </c>
      <c r="J3010" s="71" t="s">
        <v>755</v>
      </c>
      <c r="K3010" s="43"/>
      <c r="L3010" s="71" t="s">
        <v>105</v>
      </c>
      <c r="M3010" s="73">
        <v>1</v>
      </c>
      <c r="N3010" s="71" t="s">
        <v>388</v>
      </c>
      <c r="O3010" s="73">
        <v>0.012</v>
      </c>
      <c r="P3010" s="71" t="s">
        <v>389</v>
      </c>
      <c r="Q3010" s="73">
        <v>2</v>
      </c>
      <c r="R3010" s="71" t="s">
        <v>388</v>
      </c>
      <c r="S3010" s="73">
        <v>0</v>
      </c>
      <c r="T3010" s="71" t="s">
        <v>390</v>
      </c>
      <c r="U3010" s="74">
        <v>1</v>
      </c>
      <c r="V3010" s="71" t="s">
        <v>391</v>
      </c>
      <c r="W3010" s="130">
        <v>46091.558819444443</v>
      </c>
      <c r="X3010" s="72">
        <v>46092.75</v>
      </c>
      <c r="Y3010" s="72">
        <v>46095.6875</v>
      </c>
      <c r="Z3010" s="104" t="s">
        <v>403</v>
      </c>
      <c r="AA3010" s="104" t="s">
        <v>774</v>
      </c>
      <c r="AB3010" s="105">
        <v>46095.564583333333</v>
      </c>
      <c r="AC3010" s="105">
        <v>46095.669444444444</v>
      </c>
    </row>
    <row r="3011" s="70" customFormat="1" ht="11.25" customHeight="1">
      <c r="A3011" s="87"/>
      <c r="C3011" s="43" t="s">
        <v>4920</v>
      </c>
      <c r="D3011" s="71" t="s">
        <v>382</v>
      </c>
      <c r="E3011" s="71" t="str">
        <f>MID(D3011,1,2)</f>
        <v>IL</v>
      </c>
      <c r="F3011" s="71" t="s">
        <v>1117</v>
      </c>
      <c r="G3011" s="71" t="str">
        <f>MID(F3011,1,2)</f>
        <v>BE</v>
      </c>
      <c r="H3011" s="43" t="s">
        <v>4921</v>
      </c>
      <c r="I3011" s="71" t="s">
        <v>4922</v>
      </c>
      <c r="J3011" s="71" t="s">
        <v>426</v>
      </c>
      <c r="K3011" s="43"/>
      <c r="L3011" s="71" t="s">
        <v>105</v>
      </c>
      <c r="M3011" s="73">
        <v>252</v>
      </c>
      <c r="N3011" s="71" t="s">
        <v>388</v>
      </c>
      <c r="O3011" s="73">
        <v>1.838</v>
      </c>
      <c r="P3011" s="71" t="s">
        <v>389</v>
      </c>
      <c r="Q3011" s="73">
        <v>306.5</v>
      </c>
      <c r="R3011" s="71" t="s">
        <v>388</v>
      </c>
      <c r="S3011" s="73">
        <v>0</v>
      </c>
      <c r="T3011" s="71" t="s">
        <v>390</v>
      </c>
      <c r="U3011" s="74">
        <v>4</v>
      </c>
      <c r="V3011" s="71" t="s">
        <v>391</v>
      </c>
      <c r="W3011" s="130">
        <v>46092.974305555559</v>
      </c>
      <c r="X3011" s="72">
        <v>46103.229166666664</v>
      </c>
      <c r="Y3011" s="72">
        <v>46105.763888888891</v>
      </c>
      <c r="Z3011" s="104" t="s">
        <v>382</v>
      </c>
      <c r="AA3011" s="104" t="s">
        <v>408</v>
      </c>
      <c r="AB3011" s="105"/>
      <c r="AC3011" s="105"/>
    </row>
    <row r="3012" s="70" customFormat="1" ht="11.25" customHeight="1">
      <c r="A3012" s="87"/>
      <c r="C3012" s="43" t="s">
        <v>4920</v>
      </c>
      <c r="D3012" s="71" t="s">
        <v>382</v>
      </c>
      <c r="E3012" s="71" t="str">
        <f>MID(D3012,1,2)</f>
        <v>IL</v>
      </c>
      <c r="F3012" s="71" t="s">
        <v>1117</v>
      </c>
      <c r="G3012" s="71" t="str">
        <f>MID(F3012,1,2)</f>
        <v>BE</v>
      </c>
      <c r="H3012" s="43" t="s">
        <v>4921</v>
      </c>
      <c r="I3012" s="71" t="s">
        <v>4922</v>
      </c>
      <c r="J3012" s="71" t="s">
        <v>426</v>
      </c>
      <c r="K3012" s="43"/>
      <c r="L3012" s="71" t="s">
        <v>105</v>
      </c>
      <c r="M3012" s="73">
        <v>252</v>
      </c>
      <c r="N3012" s="71" t="s">
        <v>388</v>
      </c>
      <c r="O3012" s="73">
        <v>1.838</v>
      </c>
      <c r="P3012" s="71" t="s">
        <v>389</v>
      </c>
      <c r="Q3012" s="73">
        <v>306.5</v>
      </c>
      <c r="R3012" s="71" t="s">
        <v>388</v>
      </c>
      <c r="S3012" s="73">
        <v>0</v>
      </c>
      <c r="T3012" s="71" t="s">
        <v>390</v>
      </c>
      <c r="U3012" s="74">
        <v>4</v>
      </c>
      <c r="V3012" s="71" t="s">
        <v>391</v>
      </c>
      <c r="W3012" s="130">
        <v>46092.974305555559</v>
      </c>
      <c r="X3012" s="72">
        <v>46103.229166666664</v>
      </c>
      <c r="Y3012" s="72">
        <v>46105.763888888891</v>
      </c>
      <c r="Z3012" s="104" t="s">
        <v>408</v>
      </c>
      <c r="AA3012" s="104" t="s">
        <v>3173</v>
      </c>
      <c r="AB3012" s="105"/>
      <c r="AC3012" s="105"/>
    </row>
    <row r="3013" s="70" customFormat="1" ht="11.25" customHeight="1">
      <c r="A3013" s="87"/>
      <c r="C3013" s="43" t="s">
        <v>4920</v>
      </c>
      <c r="D3013" s="71" t="s">
        <v>382</v>
      </c>
      <c r="E3013" s="71" t="str">
        <f>MID(D3013,1,2)</f>
        <v>IL</v>
      </c>
      <c r="F3013" s="71" t="s">
        <v>1117</v>
      </c>
      <c r="G3013" s="71" t="str">
        <f>MID(F3013,1,2)</f>
        <v>BE</v>
      </c>
      <c r="H3013" s="43" t="s">
        <v>4921</v>
      </c>
      <c r="I3013" s="71" t="s">
        <v>4922</v>
      </c>
      <c r="J3013" s="71" t="s">
        <v>426</v>
      </c>
      <c r="K3013" s="43"/>
      <c r="L3013" s="71" t="s">
        <v>105</v>
      </c>
      <c r="M3013" s="73">
        <v>252</v>
      </c>
      <c r="N3013" s="71" t="s">
        <v>388</v>
      </c>
      <c r="O3013" s="73">
        <v>1.838</v>
      </c>
      <c r="P3013" s="71" t="s">
        <v>389</v>
      </c>
      <c r="Q3013" s="73">
        <v>306.5</v>
      </c>
      <c r="R3013" s="71" t="s">
        <v>388</v>
      </c>
      <c r="S3013" s="73">
        <v>0</v>
      </c>
      <c r="T3013" s="71" t="s">
        <v>390</v>
      </c>
      <c r="U3013" s="74">
        <v>4</v>
      </c>
      <c r="V3013" s="71" t="s">
        <v>391</v>
      </c>
      <c r="W3013" s="130">
        <v>46092.974305555559</v>
      </c>
      <c r="X3013" s="72">
        <v>46103.229166666664</v>
      </c>
      <c r="Y3013" s="72">
        <v>46105.763888888891</v>
      </c>
      <c r="Z3013" s="104" t="s">
        <v>3173</v>
      </c>
      <c r="AA3013" s="104" t="s">
        <v>1117</v>
      </c>
      <c r="AB3013" s="105"/>
      <c r="AC3013" s="105"/>
    </row>
    <row r="3014" s="70" customFormat="1" ht="11.25" customHeight="1">
      <c r="A3014" s="87"/>
      <c r="C3014" s="43" t="s">
        <v>4923</v>
      </c>
      <c r="D3014" s="71" t="s">
        <v>382</v>
      </c>
      <c r="E3014" s="71" t="str">
        <f>MID(D3014,1,2)</f>
        <v>IL</v>
      </c>
      <c r="F3014" s="71" t="s">
        <v>963</v>
      </c>
      <c r="G3014" s="71" t="str">
        <f>MID(F3014,1,2)</f>
        <v>IN</v>
      </c>
      <c r="H3014" s="43" t="s">
        <v>4120</v>
      </c>
      <c r="I3014" s="71" t="s">
        <v>4924</v>
      </c>
      <c r="J3014" s="71" t="s">
        <v>426</v>
      </c>
      <c r="K3014" s="43"/>
      <c r="L3014" s="71" t="s">
        <v>105</v>
      </c>
      <c r="M3014" s="73">
        <v>2</v>
      </c>
      <c r="N3014" s="71" t="s">
        <v>388</v>
      </c>
      <c r="O3014" s="73">
        <v>0.013</v>
      </c>
      <c r="P3014" s="71" t="s">
        <v>389</v>
      </c>
      <c r="Q3014" s="73">
        <v>2.5</v>
      </c>
      <c r="R3014" s="71" t="s">
        <v>388</v>
      </c>
      <c r="S3014" s="73">
        <v>0</v>
      </c>
      <c r="T3014" s="71" t="s">
        <v>390</v>
      </c>
      <c r="U3014" s="74">
        <v>1</v>
      </c>
      <c r="V3014" s="71" t="s">
        <v>391</v>
      </c>
      <c r="W3014" s="130">
        <v>46091.507638888892</v>
      </c>
      <c r="X3014" s="72">
        <v>46093.427083333336</v>
      </c>
      <c r="Y3014" s="72">
        <v>46100.666666666664</v>
      </c>
      <c r="Z3014" s="104" t="s">
        <v>382</v>
      </c>
      <c r="AA3014" s="104" t="s">
        <v>402</v>
      </c>
      <c r="AB3014" s="105">
        <v>46093.429166666669</v>
      </c>
      <c r="AC3014" s="105">
        <v>46093.841666666667</v>
      </c>
    </row>
    <row r="3015" s="70" customFormat="1" ht="11.25" customHeight="1">
      <c r="A3015" s="87"/>
      <c r="C3015" s="43" t="s">
        <v>4923</v>
      </c>
      <c r="D3015" s="71" t="s">
        <v>382</v>
      </c>
      <c r="E3015" s="71" t="str">
        <f>MID(D3015,1,2)</f>
        <v>IL</v>
      </c>
      <c r="F3015" s="71" t="s">
        <v>963</v>
      </c>
      <c r="G3015" s="71" t="str">
        <f>MID(F3015,1,2)</f>
        <v>IN</v>
      </c>
      <c r="H3015" s="43" t="s">
        <v>4120</v>
      </c>
      <c r="I3015" s="71" t="s">
        <v>4924</v>
      </c>
      <c r="J3015" s="71" t="s">
        <v>426</v>
      </c>
      <c r="K3015" s="43"/>
      <c r="L3015" s="71" t="s">
        <v>105</v>
      </c>
      <c r="M3015" s="73">
        <v>2</v>
      </c>
      <c r="N3015" s="71" t="s">
        <v>388</v>
      </c>
      <c r="O3015" s="73">
        <v>0.013</v>
      </c>
      <c r="P3015" s="71" t="s">
        <v>389</v>
      </c>
      <c r="Q3015" s="73">
        <v>2.5</v>
      </c>
      <c r="R3015" s="71" t="s">
        <v>388</v>
      </c>
      <c r="S3015" s="73">
        <v>0</v>
      </c>
      <c r="T3015" s="71" t="s">
        <v>390</v>
      </c>
      <c r="U3015" s="74">
        <v>1</v>
      </c>
      <c r="V3015" s="71" t="s">
        <v>391</v>
      </c>
      <c r="W3015" s="130">
        <v>46091.507638888892</v>
      </c>
      <c r="X3015" s="72">
        <v>46093.427083333336</v>
      </c>
      <c r="Y3015" s="72">
        <v>46100.666666666664</v>
      </c>
      <c r="Z3015" s="104" t="s">
        <v>402</v>
      </c>
      <c r="AA3015" s="104" t="s">
        <v>809</v>
      </c>
      <c r="AB3015" s="105">
        <v>46093.888194444444</v>
      </c>
      <c r="AC3015" s="105">
        <v>46093.842361111114</v>
      </c>
    </row>
    <row r="3016" s="70" customFormat="1" ht="11.25" customHeight="1">
      <c r="A3016" s="87"/>
      <c r="C3016" s="43" t="s">
        <v>4923</v>
      </c>
      <c r="D3016" s="71" t="s">
        <v>382</v>
      </c>
      <c r="E3016" s="71" t="str">
        <f>MID(D3016,1,2)</f>
        <v>IL</v>
      </c>
      <c r="F3016" s="71" t="s">
        <v>963</v>
      </c>
      <c r="G3016" s="71" t="str">
        <f>MID(F3016,1,2)</f>
        <v>IN</v>
      </c>
      <c r="H3016" s="43" t="s">
        <v>4120</v>
      </c>
      <c r="I3016" s="71" t="s">
        <v>4924</v>
      </c>
      <c r="J3016" s="71" t="s">
        <v>426</v>
      </c>
      <c r="K3016" s="43"/>
      <c r="L3016" s="71" t="s">
        <v>105</v>
      </c>
      <c r="M3016" s="73">
        <v>2</v>
      </c>
      <c r="N3016" s="71" t="s">
        <v>388</v>
      </c>
      <c r="O3016" s="73">
        <v>0.013</v>
      </c>
      <c r="P3016" s="71" t="s">
        <v>389</v>
      </c>
      <c r="Q3016" s="73">
        <v>2.5</v>
      </c>
      <c r="R3016" s="71" t="s">
        <v>388</v>
      </c>
      <c r="S3016" s="73">
        <v>0</v>
      </c>
      <c r="T3016" s="71" t="s">
        <v>390</v>
      </c>
      <c r="U3016" s="74">
        <v>1</v>
      </c>
      <c r="V3016" s="71" t="s">
        <v>391</v>
      </c>
      <c r="W3016" s="130">
        <v>46091.507638888892</v>
      </c>
      <c r="X3016" s="72">
        <v>46093.427083333336</v>
      </c>
      <c r="Y3016" s="72">
        <v>46100.666666666664</v>
      </c>
      <c r="Z3016" s="104" t="s">
        <v>809</v>
      </c>
      <c r="AA3016" s="104" t="s">
        <v>963</v>
      </c>
      <c r="AB3016" s="105">
        <v>46098.365972222222</v>
      </c>
      <c r="AC3016" s="105">
        <v>46100.365972222222</v>
      </c>
    </row>
    <row r="3017" s="70" customFormat="1" ht="11.25" customHeight="1">
      <c r="A3017" s="87"/>
      <c r="C3017" s="43" t="s">
        <v>4925</v>
      </c>
      <c r="D3017" s="71" t="s">
        <v>382</v>
      </c>
      <c r="E3017" s="71" t="str">
        <f>MID(D3017,1,2)</f>
        <v>IL</v>
      </c>
      <c r="F3017" s="71" t="s">
        <v>496</v>
      </c>
      <c r="G3017" s="71" t="str">
        <f>MID(F3017,1,2)</f>
        <v>RO</v>
      </c>
      <c r="H3017" s="43" t="s">
        <v>4926</v>
      </c>
      <c r="I3017" s="71" t="s">
        <v>4927</v>
      </c>
      <c r="J3017" s="71" t="s">
        <v>811</v>
      </c>
      <c r="K3017" s="43"/>
      <c r="L3017" s="71" t="s">
        <v>105</v>
      </c>
      <c r="M3017" s="73">
        <v>122</v>
      </c>
      <c r="N3017" s="71" t="s">
        <v>388</v>
      </c>
      <c r="O3017" s="73">
        <v>0.309</v>
      </c>
      <c r="P3017" s="71" t="s">
        <v>389</v>
      </c>
      <c r="Q3017" s="73">
        <v>122</v>
      </c>
      <c r="R3017" s="71" t="s">
        <v>388</v>
      </c>
      <c r="S3017" s="73">
        <v>0</v>
      </c>
      <c r="T3017" s="71" t="s">
        <v>390</v>
      </c>
      <c r="U3017" s="74">
        <v>5</v>
      </c>
      <c r="V3017" s="71" t="s">
        <v>391</v>
      </c>
      <c r="W3017" s="130">
        <v>46092.507638888892</v>
      </c>
      <c r="X3017" s="72">
        <v>46091.930555555555</v>
      </c>
      <c r="Y3017" s="72">
        <v>46096.572916666664</v>
      </c>
      <c r="Z3017" s="104" t="s">
        <v>382</v>
      </c>
      <c r="AA3017" s="104" t="s">
        <v>496</v>
      </c>
      <c r="AB3017" s="105">
        <v>46096.452777777777</v>
      </c>
      <c r="AC3017" s="105">
        <v>46096.5625</v>
      </c>
    </row>
    <row r="3018" s="70" customFormat="1" ht="11.25" customHeight="1">
      <c r="A3018" s="87"/>
      <c r="C3018" s="43" t="s">
        <v>4928</v>
      </c>
      <c r="D3018" s="71" t="s">
        <v>382</v>
      </c>
      <c r="E3018" s="71" t="str">
        <f>MID(D3018,1,2)</f>
        <v>IL</v>
      </c>
      <c r="F3018" s="71" t="s">
        <v>919</v>
      </c>
      <c r="G3018" s="71" t="str">
        <f>MID(F3018,1,2)</f>
        <v>CN</v>
      </c>
      <c r="H3018" s="43" t="s">
        <v>4929</v>
      </c>
      <c r="I3018" s="71" t="s">
        <v>4930</v>
      </c>
      <c r="J3018" s="71" t="s">
        <v>755</v>
      </c>
      <c r="K3018" s="43"/>
      <c r="L3018" s="71" t="s">
        <v>105</v>
      </c>
      <c r="M3018" s="73">
        <v>18</v>
      </c>
      <c r="N3018" s="71" t="s">
        <v>388</v>
      </c>
      <c r="O3018" s="73">
        <v>0.351</v>
      </c>
      <c r="P3018" s="71" t="s">
        <v>389</v>
      </c>
      <c r="Q3018" s="73">
        <v>58.5</v>
      </c>
      <c r="R3018" s="71" t="s">
        <v>388</v>
      </c>
      <c r="S3018" s="73">
        <v>0</v>
      </c>
      <c r="T3018" s="71" t="s">
        <v>390</v>
      </c>
      <c r="U3018" s="74">
        <v>1</v>
      </c>
      <c r="V3018" s="71" t="s">
        <v>391</v>
      </c>
      <c r="W3018" s="130">
        <v>46092.590520833335</v>
      </c>
      <c r="X3018" s="72">
        <v>46099.583333333336</v>
      </c>
      <c r="Y3018" s="72">
        <v>46102.73541666667</v>
      </c>
      <c r="Z3018" s="104" t="s">
        <v>382</v>
      </c>
      <c r="AA3018" s="104" t="s">
        <v>402</v>
      </c>
      <c r="AB3018" s="105">
        <v>46099.754166666666</v>
      </c>
      <c r="AC3018" s="105"/>
    </row>
    <row r="3019" s="70" customFormat="1" ht="11.25" customHeight="1">
      <c r="A3019" s="87"/>
      <c r="C3019" s="43" t="s">
        <v>4928</v>
      </c>
      <c r="D3019" s="71" t="s">
        <v>382</v>
      </c>
      <c r="E3019" s="71" t="str">
        <f>MID(D3019,1,2)</f>
        <v>IL</v>
      </c>
      <c r="F3019" s="71" t="s">
        <v>919</v>
      </c>
      <c r="G3019" s="71" t="str">
        <f>MID(F3019,1,2)</f>
        <v>CN</v>
      </c>
      <c r="H3019" s="43" t="s">
        <v>4929</v>
      </c>
      <c r="I3019" s="71" t="s">
        <v>4930</v>
      </c>
      <c r="J3019" s="71" t="s">
        <v>755</v>
      </c>
      <c r="K3019" s="43"/>
      <c r="L3019" s="71" t="s">
        <v>105</v>
      </c>
      <c r="M3019" s="73">
        <v>18</v>
      </c>
      <c r="N3019" s="71" t="s">
        <v>388</v>
      </c>
      <c r="O3019" s="73">
        <v>0.351</v>
      </c>
      <c r="P3019" s="71" t="s">
        <v>389</v>
      </c>
      <c r="Q3019" s="73">
        <v>58.5</v>
      </c>
      <c r="R3019" s="71" t="s">
        <v>388</v>
      </c>
      <c r="S3019" s="73">
        <v>0</v>
      </c>
      <c r="T3019" s="71" t="s">
        <v>390</v>
      </c>
      <c r="U3019" s="74">
        <v>1</v>
      </c>
      <c r="V3019" s="71" t="s">
        <v>391</v>
      </c>
      <c r="W3019" s="130">
        <v>46092.590520833335</v>
      </c>
      <c r="X3019" s="72">
        <v>46099.583333333336</v>
      </c>
      <c r="Y3019" s="72">
        <v>46102.73541666667</v>
      </c>
      <c r="Z3019" s="104" t="s">
        <v>402</v>
      </c>
      <c r="AA3019" s="104" t="s">
        <v>403</v>
      </c>
      <c r="AB3019" s="105">
        <v>46099.92083333333</v>
      </c>
      <c r="AC3019" s="105"/>
    </row>
    <row r="3020" s="70" customFormat="1" ht="11.25" customHeight="1">
      <c r="A3020" s="87"/>
      <c r="C3020" s="43" t="s">
        <v>4928</v>
      </c>
      <c r="D3020" s="71" t="s">
        <v>382</v>
      </c>
      <c r="E3020" s="71" t="str">
        <f>MID(D3020,1,2)</f>
        <v>IL</v>
      </c>
      <c r="F3020" s="71" t="s">
        <v>919</v>
      </c>
      <c r="G3020" s="71" t="str">
        <f>MID(F3020,1,2)</f>
        <v>CN</v>
      </c>
      <c r="H3020" s="43" t="s">
        <v>4929</v>
      </c>
      <c r="I3020" s="71" t="s">
        <v>4930</v>
      </c>
      <c r="J3020" s="71" t="s">
        <v>755</v>
      </c>
      <c r="K3020" s="43"/>
      <c r="L3020" s="71" t="s">
        <v>105</v>
      </c>
      <c r="M3020" s="73">
        <v>18</v>
      </c>
      <c r="N3020" s="71" t="s">
        <v>388</v>
      </c>
      <c r="O3020" s="73">
        <v>0.351</v>
      </c>
      <c r="P3020" s="71" t="s">
        <v>389</v>
      </c>
      <c r="Q3020" s="73">
        <v>58.5</v>
      </c>
      <c r="R3020" s="71" t="s">
        <v>388</v>
      </c>
      <c r="S3020" s="73">
        <v>0</v>
      </c>
      <c r="T3020" s="71" t="s">
        <v>390</v>
      </c>
      <c r="U3020" s="74">
        <v>1</v>
      </c>
      <c r="V3020" s="71" t="s">
        <v>391</v>
      </c>
      <c r="W3020" s="130">
        <v>46092.590520833335</v>
      </c>
      <c r="X3020" s="72">
        <v>46099.583333333336</v>
      </c>
      <c r="Y3020" s="72">
        <v>46102.73541666667</v>
      </c>
      <c r="Z3020" s="104" t="s">
        <v>403</v>
      </c>
      <c r="AA3020" s="104" t="s">
        <v>919</v>
      </c>
      <c r="AB3020" s="105">
        <v>46102.611111111109</v>
      </c>
      <c r="AC3020" s="105">
        <v>46102.760416666664</v>
      </c>
    </row>
    <row r="3021" s="70" customFormat="1" ht="11.25" customHeight="1">
      <c r="A3021" s="87"/>
      <c r="C3021" s="43" t="s">
        <v>4931</v>
      </c>
      <c r="D3021" s="71" t="s">
        <v>382</v>
      </c>
      <c r="E3021" s="71" t="str">
        <f>MID(D3021,1,2)</f>
        <v>IL</v>
      </c>
      <c r="F3021" s="71" t="s">
        <v>774</v>
      </c>
      <c r="G3021" s="71" t="str">
        <f>MID(F3021,1,2)</f>
        <v>CN</v>
      </c>
      <c r="H3021" s="43" t="s">
        <v>4777</v>
      </c>
      <c r="I3021" s="71" t="s">
        <v>4932</v>
      </c>
      <c r="J3021" s="71" t="s">
        <v>755</v>
      </c>
      <c r="K3021" s="43"/>
      <c r="L3021" s="71" t="s">
        <v>105</v>
      </c>
      <c r="M3021" s="73">
        <v>12</v>
      </c>
      <c r="N3021" s="71" t="s">
        <v>388</v>
      </c>
      <c r="O3021" s="73">
        <v>0.216</v>
      </c>
      <c r="P3021" s="71" t="s">
        <v>389</v>
      </c>
      <c r="Q3021" s="73">
        <v>36</v>
      </c>
      <c r="R3021" s="71" t="s">
        <v>388</v>
      </c>
      <c r="S3021" s="73">
        <v>0</v>
      </c>
      <c r="T3021" s="71" t="s">
        <v>390</v>
      </c>
      <c r="U3021" s="74">
        <v>1</v>
      </c>
      <c r="V3021" s="71" t="s">
        <v>391</v>
      </c>
      <c r="W3021" s="130">
        <v>46091.558923611112</v>
      </c>
      <c r="X3021" s="72">
        <v>46092.75</v>
      </c>
      <c r="Y3021" s="72">
        <v>46095.6875</v>
      </c>
      <c r="Z3021" s="104" t="s">
        <v>382</v>
      </c>
      <c r="AA3021" s="104" t="s">
        <v>403</v>
      </c>
      <c r="AB3021" s="105">
        <v>46093.134722222225</v>
      </c>
      <c r="AC3021" s="105">
        <v>46093.913888888892</v>
      </c>
    </row>
    <row r="3022" s="70" customFormat="1" ht="11.25" customHeight="1">
      <c r="A3022" s="87"/>
      <c r="C3022" s="43" t="s">
        <v>4931</v>
      </c>
      <c r="D3022" s="71" t="s">
        <v>382</v>
      </c>
      <c r="E3022" s="71" t="str">
        <f>MID(D3022,1,2)</f>
        <v>IL</v>
      </c>
      <c r="F3022" s="71" t="s">
        <v>774</v>
      </c>
      <c r="G3022" s="71" t="str">
        <f>MID(F3022,1,2)</f>
        <v>CN</v>
      </c>
      <c r="H3022" s="43" t="s">
        <v>4777</v>
      </c>
      <c r="I3022" s="71" t="s">
        <v>4932</v>
      </c>
      <c r="J3022" s="71" t="s">
        <v>755</v>
      </c>
      <c r="K3022" s="43"/>
      <c r="L3022" s="71" t="s">
        <v>105</v>
      </c>
      <c r="M3022" s="73">
        <v>12</v>
      </c>
      <c r="N3022" s="71" t="s">
        <v>388</v>
      </c>
      <c r="O3022" s="73">
        <v>0.216</v>
      </c>
      <c r="P3022" s="71" t="s">
        <v>389</v>
      </c>
      <c r="Q3022" s="73">
        <v>36</v>
      </c>
      <c r="R3022" s="71" t="s">
        <v>388</v>
      </c>
      <c r="S3022" s="73">
        <v>0</v>
      </c>
      <c r="T3022" s="71" t="s">
        <v>390</v>
      </c>
      <c r="U3022" s="74">
        <v>1</v>
      </c>
      <c r="V3022" s="71" t="s">
        <v>391</v>
      </c>
      <c r="W3022" s="130">
        <v>46091.558923611112</v>
      </c>
      <c r="X3022" s="72">
        <v>46092.75</v>
      </c>
      <c r="Y3022" s="72">
        <v>46095.6875</v>
      </c>
      <c r="Z3022" s="104" t="s">
        <v>403</v>
      </c>
      <c r="AA3022" s="104" t="s">
        <v>774</v>
      </c>
      <c r="AB3022" s="105">
        <v>46095.564583333333</v>
      </c>
      <c r="AC3022" s="105">
        <v>46095.669444444444</v>
      </c>
    </row>
    <row r="3023" s="70" customFormat="1" ht="11.25" customHeight="1">
      <c r="A3023" s="87"/>
      <c r="C3023" s="43" t="s">
        <v>4933</v>
      </c>
      <c r="D3023" s="71" t="s">
        <v>382</v>
      </c>
      <c r="E3023" s="71" t="str">
        <f>MID(D3023,1,2)</f>
        <v>IL</v>
      </c>
      <c r="F3023" s="71" t="s">
        <v>651</v>
      </c>
      <c r="G3023" s="71" t="str">
        <f>MID(F3023,1,2)</f>
        <v>BR</v>
      </c>
      <c r="H3023" s="43" t="s">
        <v>4226</v>
      </c>
      <c r="I3023" s="71" t="s">
        <v>4934</v>
      </c>
      <c r="J3023" s="71" t="s">
        <v>386</v>
      </c>
      <c r="K3023" s="43"/>
      <c r="L3023" s="71" t="s">
        <v>107</v>
      </c>
      <c r="M3023" s="73">
        <v>15</v>
      </c>
      <c r="N3023" s="71" t="s">
        <v>388</v>
      </c>
      <c r="O3023" s="73">
        <v>0.146</v>
      </c>
      <c r="P3023" s="71" t="s">
        <v>389</v>
      </c>
      <c r="Q3023" s="73">
        <v>24.5</v>
      </c>
      <c r="R3023" s="71" t="s">
        <v>388</v>
      </c>
      <c r="S3023" s="73">
        <v>0</v>
      </c>
      <c r="T3023" s="71" t="s">
        <v>390</v>
      </c>
      <c r="U3023" s="74">
        <v>1</v>
      </c>
      <c r="V3023" s="71" t="s">
        <v>391</v>
      </c>
      <c r="W3023" s="130">
        <v>46091.527777777781</v>
      </c>
      <c r="X3023" s="72">
        <v>46093.979166666664</v>
      </c>
      <c r="Y3023" s="72">
        <v>46101.375</v>
      </c>
      <c r="Z3023" s="104" t="s">
        <v>382</v>
      </c>
      <c r="AA3023" s="104" t="s">
        <v>408</v>
      </c>
      <c r="AB3023" s="105">
        <v>46096.902083333334</v>
      </c>
      <c r="AC3023" s="105"/>
    </row>
    <row r="3024" s="70" customFormat="1" ht="11.25" customHeight="1">
      <c r="A3024" s="87"/>
      <c r="C3024" s="43" t="s">
        <v>4933</v>
      </c>
      <c r="D3024" s="71" t="s">
        <v>382</v>
      </c>
      <c r="E3024" s="71" t="str">
        <f>MID(D3024,1,2)</f>
        <v>IL</v>
      </c>
      <c r="F3024" s="71" t="s">
        <v>651</v>
      </c>
      <c r="G3024" s="71" t="str">
        <f>MID(F3024,1,2)</f>
        <v>BR</v>
      </c>
      <c r="H3024" s="43" t="s">
        <v>4226</v>
      </c>
      <c r="I3024" s="71" t="s">
        <v>4934</v>
      </c>
      <c r="J3024" s="71" t="s">
        <v>386</v>
      </c>
      <c r="K3024" s="43"/>
      <c r="L3024" s="71" t="s">
        <v>107</v>
      </c>
      <c r="M3024" s="73">
        <v>15</v>
      </c>
      <c r="N3024" s="71" t="s">
        <v>388</v>
      </c>
      <c r="O3024" s="73">
        <v>0.146</v>
      </c>
      <c r="P3024" s="71" t="s">
        <v>389</v>
      </c>
      <c r="Q3024" s="73">
        <v>24.5</v>
      </c>
      <c r="R3024" s="71" t="s">
        <v>388</v>
      </c>
      <c r="S3024" s="73">
        <v>0</v>
      </c>
      <c r="T3024" s="71" t="s">
        <v>390</v>
      </c>
      <c r="U3024" s="74">
        <v>1</v>
      </c>
      <c r="V3024" s="71" t="s">
        <v>391</v>
      </c>
      <c r="W3024" s="130">
        <v>46091.527777777781</v>
      </c>
      <c r="X3024" s="72">
        <v>46093.979166666664</v>
      </c>
      <c r="Y3024" s="72">
        <v>46101.375</v>
      </c>
      <c r="Z3024" s="104" t="s">
        <v>408</v>
      </c>
      <c r="AA3024" s="104" t="s">
        <v>480</v>
      </c>
      <c r="AB3024" s="105">
        <v>46099.482638888891</v>
      </c>
      <c r="AC3024" s="105">
        <v>46099.616666666669</v>
      </c>
    </row>
    <row r="3025" s="70" customFormat="1" ht="11.25" customHeight="1">
      <c r="A3025" s="87"/>
      <c r="C3025" s="43" t="s">
        <v>4933</v>
      </c>
      <c r="D3025" s="71" t="s">
        <v>382</v>
      </c>
      <c r="E3025" s="71" t="str">
        <f>MID(D3025,1,2)</f>
        <v>IL</v>
      </c>
      <c r="F3025" s="71" t="s">
        <v>651</v>
      </c>
      <c r="G3025" s="71" t="str">
        <f>MID(F3025,1,2)</f>
        <v>BR</v>
      </c>
      <c r="H3025" s="43" t="s">
        <v>4226</v>
      </c>
      <c r="I3025" s="71" t="s">
        <v>4934</v>
      </c>
      <c r="J3025" s="71" t="s">
        <v>386</v>
      </c>
      <c r="K3025" s="43"/>
      <c r="L3025" s="71" t="s">
        <v>107</v>
      </c>
      <c r="M3025" s="73">
        <v>15</v>
      </c>
      <c r="N3025" s="71" t="s">
        <v>388</v>
      </c>
      <c r="O3025" s="73">
        <v>0.146</v>
      </c>
      <c r="P3025" s="71" t="s">
        <v>389</v>
      </c>
      <c r="Q3025" s="73">
        <v>24.5</v>
      </c>
      <c r="R3025" s="71" t="s">
        <v>388</v>
      </c>
      <c r="S3025" s="73">
        <v>0</v>
      </c>
      <c r="T3025" s="71" t="s">
        <v>390</v>
      </c>
      <c r="U3025" s="74">
        <v>1</v>
      </c>
      <c r="V3025" s="71" t="s">
        <v>391</v>
      </c>
      <c r="W3025" s="130">
        <v>46091.527777777781</v>
      </c>
      <c r="X3025" s="72">
        <v>46093.979166666664</v>
      </c>
      <c r="Y3025" s="72">
        <v>46101.375</v>
      </c>
      <c r="Z3025" s="104" t="s">
        <v>405</v>
      </c>
      <c r="AA3025" s="104" t="s">
        <v>651</v>
      </c>
      <c r="AB3025" s="105">
        <v>46100.909722222219</v>
      </c>
      <c r="AC3025" s="105">
        <v>46101.381944444445</v>
      </c>
    </row>
    <row r="3026" s="70" customFormat="1" ht="11.25" customHeight="1">
      <c r="A3026" s="87"/>
      <c r="C3026" s="43" t="s">
        <v>4935</v>
      </c>
      <c r="D3026" s="71" t="s">
        <v>382</v>
      </c>
      <c r="E3026" s="71" t="str">
        <f>MID(D3026,1,2)</f>
        <v>IL</v>
      </c>
      <c r="F3026" s="71" t="s">
        <v>3494</v>
      </c>
      <c r="G3026" s="71" t="str">
        <f>MID(F3026,1,2)</f>
        <v>DE</v>
      </c>
      <c r="H3026" s="43" t="s">
        <v>4936</v>
      </c>
      <c r="I3026" s="71" t="s">
        <v>4937</v>
      </c>
      <c r="J3026" s="71" t="s">
        <v>386</v>
      </c>
      <c r="K3026" s="43"/>
      <c r="L3026" s="71" t="s">
        <v>107</v>
      </c>
      <c r="M3026" s="73">
        <v>60</v>
      </c>
      <c r="N3026" s="71" t="s">
        <v>388</v>
      </c>
      <c r="O3026" s="73">
        <v>0.701</v>
      </c>
      <c r="P3026" s="71" t="s">
        <v>389</v>
      </c>
      <c r="Q3026" s="73">
        <v>117</v>
      </c>
      <c r="R3026" s="71" t="s">
        <v>388</v>
      </c>
      <c r="S3026" s="73">
        <v>0</v>
      </c>
      <c r="T3026" s="71" t="s">
        <v>390</v>
      </c>
      <c r="U3026" s="74">
        <v>1</v>
      </c>
      <c r="V3026" s="71" t="s">
        <v>391</v>
      </c>
      <c r="W3026" s="130">
        <v>46098.849131944444</v>
      </c>
      <c r="X3026" s="72">
        <v>46099.5</v>
      </c>
      <c r="Y3026" s="72">
        <v>46104.513888888891</v>
      </c>
      <c r="Z3026" s="104" t="s">
        <v>382</v>
      </c>
      <c r="AA3026" s="104" t="s">
        <v>383</v>
      </c>
      <c r="AB3026" s="105">
        <v>46103.441666666666</v>
      </c>
      <c r="AC3026" s="105"/>
    </row>
    <row r="3027" s="70" customFormat="1" ht="11.25" customHeight="1">
      <c r="A3027" s="87"/>
      <c r="C3027" s="43" t="s">
        <v>4938</v>
      </c>
      <c r="D3027" s="71" t="s">
        <v>382</v>
      </c>
      <c r="E3027" s="71" t="str">
        <f>MID(D3027,1,2)</f>
        <v>IL</v>
      </c>
      <c r="F3027" s="71" t="s">
        <v>919</v>
      </c>
      <c r="G3027" s="71" t="str">
        <f>MID(F3027,1,2)</f>
        <v>CN</v>
      </c>
      <c r="H3027" s="43" t="s">
        <v>4929</v>
      </c>
      <c r="I3027" s="71" t="s">
        <v>4939</v>
      </c>
      <c r="J3027" s="71" t="s">
        <v>755</v>
      </c>
      <c r="K3027" s="43"/>
      <c r="L3027" s="71" t="s">
        <v>105</v>
      </c>
      <c r="M3027" s="73">
        <v>3</v>
      </c>
      <c r="N3027" s="71" t="s">
        <v>388</v>
      </c>
      <c r="O3027" s="73">
        <v>0.109</v>
      </c>
      <c r="P3027" s="71" t="s">
        <v>389</v>
      </c>
      <c r="Q3027" s="73">
        <v>18.5</v>
      </c>
      <c r="R3027" s="71" t="s">
        <v>388</v>
      </c>
      <c r="S3027" s="73">
        <v>0</v>
      </c>
      <c r="T3027" s="71" t="s">
        <v>390</v>
      </c>
      <c r="U3027" s="74">
        <v>1</v>
      </c>
      <c r="V3027" s="71" t="s">
        <v>391</v>
      </c>
      <c r="W3027" s="130">
        <v>46092.590509259258</v>
      </c>
      <c r="X3027" s="72">
        <v>46099.583333333336</v>
      </c>
      <c r="Y3027" s="72">
        <v>46102.73541666667</v>
      </c>
      <c r="Z3027" s="104" t="s">
        <v>382</v>
      </c>
      <c r="AA3027" s="104" t="s">
        <v>402</v>
      </c>
      <c r="AB3027" s="105">
        <v>46099.754166666666</v>
      </c>
      <c r="AC3027" s="105"/>
    </row>
    <row r="3028" s="70" customFormat="1" ht="11.25" customHeight="1">
      <c r="A3028" s="87"/>
      <c r="C3028" s="43" t="s">
        <v>4938</v>
      </c>
      <c r="D3028" s="71" t="s">
        <v>382</v>
      </c>
      <c r="E3028" s="71" t="str">
        <f>MID(D3028,1,2)</f>
        <v>IL</v>
      </c>
      <c r="F3028" s="71" t="s">
        <v>919</v>
      </c>
      <c r="G3028" s="71" t="str">
        <f>MID(F3028,1,2)</f>
        <v>CN</v>
      </c>
      <c r="H3028" s="43" t="s">
        <v>4929</v>
      </c>
      <c r="I3028" s="71" t="s">
        <v>4939</v>
      </c>
      <c r="J3028" s="71" t="s">
        <v>755</v>
      </c>
      <c r="K3028" s="43"/>
      <c r="L3028" s="71" t="s">
        <v>105</v>
      </c>
      <c r="M3028" s="73">
        <v>3</v>
      </c>
      <c r="N3028" s="71" t="s">
        <v>388</v>
      </c>
      <c r="O3028" s="73">
        <v>0.109</v>
      </c>
      <c r="P3028" s="71" t="s">
        <v>389</v>
      </c>
      <c r="Q3028" s="73">
        <v>18.5</v>
      </c>
      <c r="R3028" s="71" t="s">
        <v>388</v>
      </c>
      <c r="S3028" s="73">
        <v>0</v>
      </c>
      <c r="T3028" s="71" t="s">
        <v>390</v>
      </c>
      <c r="U3028" s="74">
        <v>1</v>
      </c>
      <c r="V3028" s="71" t="s">
        <v>391</v>
      </c>
      <c r="W3028" s="130">
        <v>46092.590509259258</v>
      </c>
      <c r="X3028" s="72">
        <v>46099.583333333336</v>
      </c>
      <c r="Y3028" s="72">
        <v>46102.73541666667</v>
      </c>
      <c r="Z3028" s="104" t="s">
        <v>402</v>
      </c>
      <c r="AA3028" s="104" t="s">
        <v>403</v>
      </c>
      <c r="AB3028" s="105">
        <v>46099.92083333333</v>
      </c>
      <c r="AC3028" s="105"/>
    </row>
    <row r="3029" s="70" customFormat="1" ht="11.25" customHeight="1">
      <c r="A3029" s="87"/>
      <c r="C3029" s="43" t="s">
        <v>4938</v>
      </c>
      <c r="D3029" s="71" t="s">
        <v>382</v>
      </c>
      <c r="E3029" s="71" t="str">
        <f>MID(D3029,1,2)</f>
        <v>IL</v>
      </c>
      <c r="F3029" s="71" t="s">
        <v>919</v>
      </c>
      <c r="G3029" s="71" t="str">
        <f>MID(F3029,1,2)</f>
        <v>CN</v>
      </c>
      <c r="H3029" s="43" t="s">
        <v>4929</v>
      </c>
      <c r="I3029" s="71" t="s">
        <v>4939</v>
      </c>
      <c r="J3029" s="71" t="s">
        <v>755</v>
      </c>
      <c r="K3029" s="43"/>
      <c r="L3029" s="71" t="s">
        <v>105</v>
      </c>
      <c r="M3029" s="73">
        <v>3</v>
      </c>
      <c r="N3029" s="71" t="s">
        <v>388</v>
      </c>
      <c r="O3029" s="73">
        <v>0.109</v>
      </c>
      <c r="P3029" s="71" t="s">
        <v>389</v>
      </c>
      <c r="Q3029" s="73">
        <v>18.5</v>
      </c>
      <c r="R3029" s="71" t="s">
        <v>388</v>
      </c>
      <c r="S3029" s="73">
        <v>0</v>
      </c>
      <c r="T3029" s="71" t="s">
        <v>390</v>
      </c>
      <c r="U3029" s="74">
        <v>1</v>
      </c>
      <c r="V3029" s="71" t="s">
        <v>391</v>
      </c>
      <c r="W3029" s="130">
        <v>46092.590509259258</v>
      </c>
      <c r="X3029" s="72">
        <v>46099.583333333336</v>
      </c>
      <c r="Y3029" s="72">
        <v>46102.73541666667</v>
      </c>
      <c r="Z3029" s="104" t="s">
        <v>403</v>
      </c>
      <c r="AA3029" s="104" t="s">
        <v>919</v>
      </c>
      <c r="AB3029" s="105">
        <v>46102.611111111109</v>
      </c>
      <c r="AC3029" s="105">
        <v>46102.760416666664</v>
      </c>
    </row>
    <row r="3030" s="70" customFormat="1" ht="11.25" customHeight="1">
      <c r="A3030" s="87"/>
      <c r="C3030" s="43" t="s">
        <v>4940</v>
      </c>
      <c r="D3030" s="71" t="s">
        <v>382</v>
      </c>
      <c r="E3030" s="71" t="str">
        <f>MID(D3030,1,2)</f>
        <v>IL</v>
      </c>
      <c r="F3030" s="71" t="s">
        <v>414</v>
      </c>
      <c r="G3030" s="71" t="str">
        <f>MID(F3030,1,2)</f>
        <v>US</v>
      </c>
      <c r="H3030" s="43" t="s">
        <v>4187</v>
      </c>
      <c r="I3030" s="71" t="s">
        <v>4941</v>
      </c>
      <c r="J3030" s="71" t="s">
        <v>386</v>
      </c>
      <c r="K3030" s="43"/>
      <c r="L3030" s="71" t="s">
        <v>107</v>
      </c>
      <c r="M3030" s="73">
        <v>196</v>
      </c>
      <c r="N3030" s="71" t="s">
        <v>388</v>
      </c>
      <c r="O3030" s="73">
        <v>1.574</v>
      </c>
      <c r="P3030" s="71" t="s">
        <v>389</v>
      </c>
      <c r="Q3030" s="73">
        <v>262.5</v>
      </c>
      <c r="R3030" s="71" t="s">
        <v>388</v>
      </c>
      <c r="S3030" s="73">
        <v>0</v>
      </c>
      <c r="T3030" s="71" t="s">
        <v>390</v>
      </c>
      <c r="U3030" s="74">
        <v>2</v>
      </c>
      <c r="V3030" s="71" t="s">
        <v>391</v>
      </c>
      <c r="W3030" s="130">
        <v>46091.535416666666</v>
      </c>
      <c r="X3030" s="72">
        <v>46091.875</v>
      </c>
      <c r="Y3030" s="72">
        <v>46094.458333333336</v>
      </c>
      <c r="Z3030" s="104" t="s">
        <v>382</v>
      </c>
      <c r="AA3030" s="104" t="s">
        <v>414</v>
      </c>
      <c r="AB3030" s="105">
        <v>46091.955555555556</v>
      </c>
      <c r="AC3030" s="105">
        <v>46094.475</v>
      </c>
    </row>
    <row r="3031" s="70" customFormat="1" ht="11.25" customHeight="1">
      <c r="A3031" s="87"/>
      <c r="C3031" s="43" t="s">
        <v>4942</v>
      </c>
      <c r="D3031" s="71" t="s">
        <v>382</v>
      </c>
      <c r="E3031" s="71" t="str">
        <f>MID(D3031,1,2)</f>
        <v>IL</v>
      </c>
      <c r="F3031" s="71" t="s">
        <v>414</v>
      </c>
      <c r="G3031" s="71" t="str">
        <f>MID(F3031,1,2)</f>
        <v>US</v>
      </c>
      <c r="H3031" s="43" t="s">
        <v>4187</v>
      </c>
      <c r="I3031" s="71" t="s">
        <v>4943</v>
      </c>
      <c r="J3031" s="71" t="s">
        <v>483</v>
      </c>
      <c r="K3031" s="43"/>
      <c r="L3031" s="71" t="s">
        <v>105</v>
      </c>
      <c r="M3031" s="73">
        <v>7</v>
      </c>
      <c r="N3031" s="71" t="s">
        <v>388</v>
      </c>
      <c r="O3031" s="73">
        <v>0.014</v>
      </c>
      <c r="P3031" s="71" t="s">
        <v>389</v>
      </c>
      <c r="Q3031" s="73">
        <v>7</v>
      </c>
      <c r="R3031" s="71" t="s">
        <v>388</v>
      </c>
      <c r="S3031" s="73">
        <v>0</v>
      </c>
      <c r="T3031" s="71" t="s">
        <v>390</v>
      </c>
      <c r="U3031" s="74">
        <v>1</v>
      </c>
      <c r="V3031" s="71" t="s">
        <v>427</v>
      </c>
      <c r="W3031" s="130">
        <v>46091.548611111109</v>
      </c>
      <c r="X3031" s="72">
        <v>46091.875</v>
      </c>
      <c r="Y3031" s="72">
        <v>46094.458333333336</v>
      </c>
      <c r="Z3031" s="104" t="s">
        <v>382</v>
      </c>
      <c r="AA3031" s="104" t="s">
        <v>414</v>
      </c>
      <c r="AB3031" s="105">
        <v>46091.955555555556</v>
      </c>
      <c r="AC3031" s="105">
        <v>46094.475</v>
      </c>
    </row>
    <row r="3032" s="70" customFormat="1" ht="11.25" customHeight="1">
      <c r="A3032" s="87"/>
      <c r="C3032" s="43" t="s">
        <v>4944</v>
      </c>
      <c r="D3032" s="71" t="s">
        <v>382</v>
      </c>
      <c r="E3032" s="71" t="str">
        <f>MID(D3032,1,2)</f>
        <v>IL</v>
      </c>
      <c r="F3032" s="71" t="s">
        <v>443</v>
      </c>
      <c r="G3032" s="71" t="str">
        <f>MID(F3032,1,2)</f>
        <v>US</v>
      </c>
      <c r="H3032" s="43" t="s">
        <v>4945</v>
      </c>
      <c r="I3032" s="71" t="s">
        <v>4946</v>
      </c>
      <c r="J3032" s="71" t="s">
        <v>386</v>
      </c>
      <c r="K3032" s="43"/>
      <c r="L3032" s="71" t="s">
        <v>107</v>
      </c>
      <c r="M3032" s="73">
        <v>133</v>
      </c>
      <c r="N3032" s="71" t="s">
        <v>388</v>
      </c>
      <c r="O3032" s="73">
        <v>1.8</v>
      </c>
      <c r="P3032" s="71" t="s">
        <v>389</v>
      </c>
      <c r="Q3032" s="73">
        <v>300</v>
      </c>
      <c r="R3032" s="71" t="s">
        <v>388</v>
      </c>
      <c r="S3032" s="73">
        <v>0</v>
      </c>
      <c r="T3032" s="71" t="s">
        <v>390</v>
      </c>
      <c r="U3032" s="74">
        <v>2</v>
      </c>
      <c r="V3032" s="71" t="s">
        <v>536</v>
      </c>
      <c r="W3032" s="130">
        <v>46093.49375</v>
      </c>
      <c r="X3032" s="72">
        <v>46097.37777777778</v>
      </c>
      <c r="Y3032" s="72">
        <v>46102.441666666666</v>
      </c>
      <c r="Z3032" s="104" t="s">
        <v>382</v>
      </c>
      <c r="AA3032" s="104" t="s">
        <v>471</v>
      </c>
      <c r="AB3032" s="105">
        <v>46098.510416666664</v>
      </c>
      <c r="AC3032" s="105"/>
    </row>
    <row r="3033" s="70" customFormat="1" ht="11.25" customHeight="1">
      <c r="A3033" s="87"/>
      <c r="C3033" s="43" t="s">
        <v>4944</v>
      </c>
      <c r="D3033" s="71" t="s">
        <v>382</v>
      </c>
      <c r="E3033" s="71" t="str">
        <f>MID(D3033,1,2)</f>
        <v>IL</v>
      </c>
      <c r="F3033" s="71" t="s">
        <v>443</v>
      </c>
      <c r="G3033" s="71" t="str">
        <f>MID(F3033,1,2)</f>
        <v>US</v>
      </c>
      <c r="H3033" s="43" t="s">
        <v>4945</v>
      </c>
      <c r="I3033" s="71" t="s">
        <v>4946</v>
      </c>
      <c r="J3033" s="71" t="s">
        <v>386</v>
      </c>
      <c r="K3033" s="43"/>
      <c r="L3033" s="71" t="s">
        <v>107</v>
      </c>
      <c r="M3033" s="73">
        <v>133</v>
      </c>
      <c r="N3033" s="71" t="s">
        <v>388</v>
      </c>
      <c r="O3033" s="73">
        <v>1.8</v>
      </c>
      <c r="P3033" s="71" t="s">
        <v>389</v>
      </c>
      <c r="Q3033" s="73">
        <v>300</v>
      </c>
      <c r="R3033" s="71" t="s">
        <v>388</v>
      </c>
      <c r="S3033" s="73">
        <v>0</v>
      </c>
      <c r="T3033" s="71" t="s">
        <v>390</v>
      </c>
      <c r="U3033" s="74">
        <v>2</v>
      </c>
      <c r="V3033" s="71" t="s">
        <v>536</v>
      </c>
      <c r="W3033" s="130">
        <v>46093.49375</v>
      </c>
      <c r="X3033" s="72">
        <v>46097.37777777778</v>
      </c>
      <c r="Y3033" s="72">
        <v>46102.441666666666</v>
      </c>
      <c r="Z3033" s="104" t="s">
        <v>471</v>
      </c>
      <c r="AA3033" s="104" t="s">
        <v>443</v>
      </c>
      <c r="AB3033" s="105">
        <v>46102.320138888892</v>
      </c>
      <c r="AC3033" s="105">
        <v>46102.411111111112</v>
      </c>
    </row>
    <row r="3034" s="70" customFormat="1" ht="11.25" customHeight="1">
      <c r="A3034" s="87"/>
      <c r="C3034" s="43" t="s">
        <v>4947</v>
      </c>
      <c r="D3034" s="71" t="s">
        <v>382</v>
      </c>
      <c r="E3034" s="71" t="str">
        <f>MID(D3034,1,2)</f>
        <v>IL</v>
      </c>
      <c r="F3034" s="71" t="s">
        <v>496</v>
      </c>
      <c r="G3034" s="71" t="str">
        <f>MID(F3034,1,2)</f>
        <v>RO</v>
      </c>
      <c r="H3034" s="43" t="s">
        <v>4839</v>
      </c>
      <c r="I3034" s="71" t="s">
        <v>4948</v>
      </c>
      <c r="J3034" s="71" t="s">
        <v>400</v>
      </c>
      <c r="K3034" s="43"/>
      <c r="L3034" s="71" t="s">
        <v>105</v>
      </c>
      <c r="M3034" s="73">
        <v>1</v>
      </c>
      <c r="N3034" s="71" t="s">
        <v>388</v>
      </c>
      <c r="O3034" s="73">
        <v>0.009</v>
      </c>
      <c r="P3034" s="71" t="s">
        <v>389</v>
      </c>
      <c r="Q3034" s="73">
        <v>1.5</v>
      </c>
      <c r="R3034" s="71" t="s">
        <v>388</v>
      </c>
      <c r="S3034" s="73">
        <v>0</v>
      </c>
      <c r="T3034" s="71" t="s">
        <v>390</v>
      </c>
      <c r="U3034" s="74">
        <v>1</v>
      </c>
      <c r="V3034" s="71" t="s">
        <v>391</v>
      </c>
      <c r="W3034" s="130">
        <v>46092.468900462962</v>
      </c>
      <c r="X3034" s="72">
        <v>46093</v>
      </c>
      <c r="Y3034" s="72">
        <v>46096.572916666664</v>
      </c>
      <c r="Z3034" s="104" t="s">
        <v>382</v>
      </c>
      <c r="AA3034" s="104" t="s">
        <v>496</v>
      </c>
      <c r="AB3034" s="105">
        <v>46096.452777777777</v>
      </c>
      <c r="AC3034" s="105">
        <v>46096.5625</v>
      </c>
    </row>
    <row r="3035" s="70" customFormat="1" ht="11.25" customHeight="1">
      <c r="A3035" s="87"/>
      <c r="C3035" s="43" t="s">
        <v>4949</v>
      </c>
      <c r="D3035" s="71" t="s">
        <v>382</v>
      </c>
      <c r="E3035" s="71" t="str">
        <f>MID(D3035,1,2)</f>
        <v>IL</v>
      </c>
      <c r="F3035" s="71" t="s">
        <v>774</v>
      </c>
      <c r="G3035" s="71" t="str">
        <f>MID(F3035,1,2)</f>
        <v>CN</v>
      </c>
      <c r="H3035" s="43" t="s">
        <v>4950</v>
      </c>
      <c r="I3035" s="71" t="s">
        <v>4951</v>
      </c>
      <c r="J3035" s="71" t="s">
        <v>755</v>
      </c>
      <c r="K3035" s="43"/>
      <c r="L3035" s="71" t="s">
        <v>105</v>
      </c>
      <c r="M3035" s="73">
        <v>1</v>
      </c>
      <c r="N3035" s="71" t="s">
        <v>388</v>
      </c>
      <c r="O3035" s="73">
        <v>0.012</v>
      </c>
      <c r="P3035" s="71" t="s">
        <v>389</v>
      </c>
      <c r="Q3035" s="73">
        <v>2</v>
      </c>
      <c r="R3035" s="71" t="s">
        <v>388</v>
      </c>
      <c r="S3035" s="73">
        <v>0</v>
      </c>
      <c r="T3035" s="71" t="s">
        <v>390</v>
      </c>
      <c r="U3035" s="74">
        <v>1</v>
      </c>
      <c r="V3035" s="71" t="s">
        <v>391</v>
      </c>
      <c r="W3035" s="130">
        <v>46092.594039351854</v>
      </c>
      <c r="X3035" s="72">
        <v>46099.909722222219</v>
      </c>
      <c r="Y3035" s="72">
        <v>46102.84375</v>
      </c>
      <c r="Z3035" s="104" t="s">
        <v>382</v>
      </c>
      <c r="AA3035" s="104" t="s">
        <v>402</v>
      </c>
      <c r="AB3035" s="105">
        <v>46099.772916666669</v>
      </c>
      <c r="AC3035" s="105">
        <v>46099.724305555559</v>
      </c>
    </row>
    <row r="3036" s="70" customFormat="1" ht="11.25" customHeight="1">
      <c r="A3036" s="87"/>
      <c r="C3036" s="43" t="s">
        <v>4949</v>
      </c>
      <c r="D3036" s="71" t="s">
        <v>382</v>
      </c>
      <c r="E3036" s="71" t="str">
        <f>MID(D3036,1,2)</f>
        <v>IL</v>
      </c>
      <c r="F3036" s="71" t="s">
        <v>774</v>
      </c>
      <c r="G3036" s="71" t="str">
        <f>MID(F3036,1,2)</f>
        <v>CN</v>
      </c>
      <c r="H3036" s="43" t="s">
        <v>4950</v>
      </c>
      <c r="I3036" s="71" t="s">
        <v>4951</v>
      </c>
      <c r="J3036" s="71" t="s">
        <v>755</v>
      </c>
      <c r="K3036" s="43"/>
      <c r="L3036" s="71" t="s">
        <v>105</v>
      </c>
      <c r="M3036" s="73">
        <v>1</v>
      </c>
      <c r="N3036" s="71" t="s">
        <v>388</v>
      </c>
      <c r="O3036" s="73">
        <v>0.012</v>
      </c>
      <c r="P3036" s="71" t="s">
        <v>389</v>
      </c>
      <c r="Q3036" s="73">
        <v>2</v>
      </c>
      <c r="R3036" s="71" t="s">
        <v>388</v>
      </c>
      <c r="S3036" s="73">
        <v>0</v>
      </c>
      <c r="T3036" s="71" t="s">
        <v>390</v>
      </c>
      <c r="U3036" s="74">
        <v>1</v>
      </c>
      <c r="V3036" s="71" t="s">
        <v>391</v>
      </c>
      <c r="W3036" s="130">
        <v>46092.594039351854</v>
      </c>
      <c r="X3036" s="72">
        <v>46099.909722222219</v>
      </c>
      <c r="Y3036" s="72">
        <v>46102.84375</v>
      </c>
      <c r="Z3036" s="104" t="s">
        <v>402</v>
      </c>
      <c r="AA3036" s="104" t="s">
        <v>403</v>
      </c>
      <c r="AB3036" s="105">
        <v>46099.920138888891</v>
      </c>
      <c r="AC3036" s="105"/>
    </row>
    <row r="3037" s="70" customFormat="1" ht="11.25" customHeight="1">
      <c r="A3037" s="87"/>
      <c r="C3037" s="43" t="s">
        <v>4949</v>
      </c>
      <c r="D3037" s="71" t="s">
        <v>382</v>
      </c>
      <c r="E3037" s="71" t="str">
        <f>MID(D3037,1,2)</f>
        <v>IL</v>
      </c>
      <c r="F3037" s="71" t="s">
        <v>774</v>
      </c>
      <c r="G3037" s="71" t="str">
        <f>MID(F3037,1,2)</f>
        <v>CN</v>
      </c>
      <c r="H3037" s="43" t="s">
        <v>4950</v>
      </c>
      <c r="I3037" s="71" t="s">
        <v>4951</v>
      </c>
      <c r="J3037" s="71" t="s">
        <v>755</v>
      </c>
      <c r="K3037" s="43"/>
      <c r="L3037" s="71" t="s">
        <v>105</v>
      </c>
      <c r="M3037" s="73">
        <v>1</v>
      </c>
      <c r="N3037" s="71" t="s">
        <v>388</v>
      </c>
      <c r="O3037" s="73">
        <v>0.012</v>
      </c>
      <c r="P3037" s="71" t="s">
        <v>389</v>
      </c>
      <c r="Q3037" s="73">
        <v>2</v>
      </c>
      <c r="R3037" s="71" t="s">
        <v>388</v>
      </c>
      <c r="S3037" s="73">
        <v>0</v>
      </c>
      <c r="T3037" s="71" t="s">
        <v>390</v>
      </c>
      <c r="U3037" s="74">
        <v>1</v>
      </c>
      <c r="V3037" s="71" t="s">
        <v>391</v>
      </c>
      <c r="W3037" s="130">
        <v>46092.594039351854</v>
      </c>
      <c r="X3037" s="72">
        <v>46099.909722222219</v>
      </c>
      <c r="Y3037" s="72">
        <v>46102.84375</v>
      </c>
      <c r="Z3037" s="104" t="s">
        <v>403</v>
      </c>
      <c r="AA3037" s="104" t="s">
        <v>774</v>
      </c>
      <c r="AB3037" s="105">
        <v>46102.727083333331</v>
      </c>
      <c r="AC3037" s="105">
        <v>46102.822222222225</v>
      </c>
    </row>
    <row r="3038" s="70" customFormat="1" ht="11.25" customHeight="1">
      <c r="A3038" s="87"/>
      <c r="C3038" s="43" t="s">
        <v>4952</v>
      </c>
      <c r="D3038" s="71" t="s">
        <v>1806</v>
      </c>
      <c r="E3038" s="71" t="str">
        <f>MID(D3038,1,2)</f>
        <v>IL</v>
      </c>
      <c r="F3038" s="71" t="s">
        <v>383</v>
      </c>
      <c r="G3038" s="71" t="str">
        <f>MID(F3038,1,2)</f>
        <v>DE</v>
      </c>
      <c r="H3038" s="43" t="s">
        <v>4953</v>
      </c>
      <c r="I3038" s="71" t="s">
        <v>4954</v>
      </c>
      <c r="J3038" s="71" t="s">
        <v>426</v>
      </c>
      <c r="K3038" s="43"/>
      <c r="L3038" s="71" t="s">
        <v>105</v>
      </c>
      <c r="M3038" s="73">
        <v>180</v>
      </c>
      <c r="N3038" s="71" t="s">
        <v>388</v>
      </c>
      <c r="O3038" s="73">
        <v>0.495</v>
      </c>
      <c r="P3038" s="71" t="s">
        <v>389</v>
      </c>
      <c r="Q3038" s="73">
        <v>180</v>
      </c>
      <c r="R3038" s="71" t="s">
        <v>388</v>
      </c>
      <c r="S3038" s="73">
        <v>0</v>
      </c>
      <c r="T3038" s="71" t="s">
        <v>390</v>
      </c>
      <c r="U3038" s="74">
        <v>8</v>
      </c>
      <c r="V3038" s="71" t="s">
        <v>391</v>
      </c>
      <c r="W3038" s="130"/>
      <c r="X3038" s="72">
        <v>46093.575694444444</v>
      </c>
      <c r="Y3038" s="72">
        <v>46094.575694444444</v>
      </c>
      <c r="Z3038" s="104" t="s">
        <v>382</v>
      </c>
      <c r="AA3038" s="104" t="s">
        <v>383</v>
      </c>
      <c r="AB3038" s="105"/>
      <c r="AC3038" s="105"/>
    </row>
    <row r="3039" s="70" customFormat="1" ht="11.25" customHeight="1">
      <c r="A3039" s="87"/>
      <c r="C3039" s="43" t="s">
        <v>4955</v>
      </c>
      <c r="D3039" s="71" t="s">
        <v>382</v>
      </c>
      <c r="E3039" s="71" t="str">
        <f>MID(D3039,1,2)</f>
        <v>IL</v>
      </c>
      <c r="F3039" s="71" t="s">
        <v>419</v>
      </c>
      <c r="G3039" s="71" t="str">
        <f>MID(F3039,1,2)</f>
        <v>US</v>
      </c>
      <c r="H3039" s="43" t="s">
        <v>4956</v>
      </c>
      <c r="I3039" s="71" t="s">
        <v>4957</v>
      </c>
      <c r="J3039" s="71" t="s">
        <v>426</v>
      </c>
      <c r="K3039" s="43"/>
      <c r="L3039" s="71" t="s">
        <v>105</v>
      </c>
      <c r="M3039" s="73">
        <v>7486</v>
      </c>
      <c r="N3039" s="71" t="s">
        <v>388</v>
      </c>
      <c r="O3039" s="73">
        <v>40.02</v>
      </c>
      <c r="P3039" s="71" t="s">
        <v>389</v>
      </c>
      <c r="Q3039" s="73">
        <v>7486</v>
      </c>
      <c r="R3039" s="71" t="s">
        <v>388</v>
      </c>
      <c r="S3039" s="73">
        <v>0</v>
      </c>
      <c r="T3039" s="71" t="s">
        <v>390</v>
      </c>
      <c r="U3039" s="74">
        <v>29</v>
      </c>
      <c r="V3039" s="71" t="s">
        <v>391</v>
      </c>
      <c r="W3039" s="130">
        <v>46093.375694444447</v>
      </c>
      <c r="X3039" s="72">
        <v>46097.382638888892</v>
      </c>
      <c r="Y3039" s="72">
        <v>46105.5</v>
      </c>
      <c r="Z3039" s="104" t="s">
        <v>382</v>
      </c>
      <c r="AA3039" s="104" t="s">
        <v>471</v>
      </c>
      <c r="AB3039" s="105">
        <v>46100.75</v>
      </c>
      <c r="AC3039" s="105"/>
    </row>
    <row r="3040" s="70" customFormat="1" ht="11.25" customHeight="1">
      <c r="A3040" s="87"/>
      <c r="C3040" s="43" t="s">
        <v>4955</v>
      </c>
      <c r="D3040" s="71" t="s">
        <v>382</v>
      </c>
      <c r="E3040" s="71" t="str">
        <f>MID(D3040,1,2)</f>
        <v>IL</v>
      </c>
      <c r="F3040" s="71" t="s">
        <v>419</v>
      </c>
      <c r="G3040" s="71" t="str">
        <f>MID(F3040,1,2)</f>
        <v>US</v>
      </c>
      <c r="H3040" s="43" t="s">
        <v>4956</v>
      </c>
      <c r="I3040" s="71" t="s">
        <v>4957</v>
      </c>
      <c r="J3040" s="71" t="s">
        <v>426</v>
      </c>
      <c r="K3040" s="43"/>
      <c r="L3040" s="71" t="s">
        <v>105</v>
      </c>
      <c r="M3040" s="73">
        <v>7486</v>
      </c>
      <c r="N3040" s="71" t="s">
        <v>388</v>
      </c>
      <c r="O3040" s="73">
        <v>40.02</v>
      </c>
      <c r="P3040" s="71" t="s">
        <v>389</v>
      </c>
      <c r="Q3040" s="73">
        <v>7486</v>
      </c>
      <c r="R3040" s="71" t="s">
        <v>388</v>
      </c>
      <c r="S3040" s="73">
        <v>0</v>
      </c>
      <c r="T3040" s="71" t="s">
        <v>390</v>
      </c>
      <c r="U3040" s="74">
        <v>29</v>
      </c>
      <c r="V3040" s="71" t="s">
        <v>391</v>
      </c>
      <c r="W3040" s="130">
        <v>46093.375694444447</v>
      </c>
      <c r="X3040" s="72">
        <v>46097.382638888892</v>
      </c>
      <c r="Y3040" s="72">
        <v>46105.5</v>
      </c>
      <c r="Z3040" s="104" t="s">
        <v>471</v>
      </c>
      <c r="AA3040" s="104" t="s">
        <v>419</v>
      </c>
      <c r="AB3040" s="105"/>
      <c r="AC3040" s="105"/>
    </row>
    <row r="3041" s="70" customFormat="1" ht="11.25" customHeight="1">
      <c r="A3041" s="87"/>
      <c r="C3041" s="43" t="s">
        <v>4958</v>
      </c>
      <c r="D3041" s="71" t="s">
        <v>382</v>
      </c>
      <c r="E3041" s="71" t="str">
        <f>MID(D3041,1,2)</f>
        <v>IL</v>
      </c>
      <c r="F3041" s="71" t="s">
        <v>774</v>
      </c>
      <c r="G3041" s="71" t="str">
        <f>MID(F3041,1,2)</f>
        <v>CN</v>
      </c>
      <c r="H3041" s="43" t="s">
        <v>4950</v>
      </c>
      <c r="I3041" s="71" t="s">
        <v>4959</v>
      </c>
      <c r="J3041" s="71" t="s">
        <v>755</v>
      </c>
      <c r="K3041" s="43"/>
      <c r="L3041" s="71" t="s">
        <v>105</v>
      </c>
      <c r="M3041" s="73">
        <v>2.5</v>
      </c>
      <c r="N3041" s="71" t="s">
        <v>388</v>
      </c>
      <c r="O3041" s="73">
        <v>0.034</v>
      </c>
      <c r="P3041" s="71" t="s">
        <v>389</v>
      </c>
      <c r="Q3041" s="73">
        <v>6</v>
      </c>
      <c r="R3041" s="71" t="s">
        <v>388</v>
      </c>
      <c r="S3041" s="73">
        <v>0</v>
      </c>
      <c r="T3041" s="71" t="s">
        <v>390</v>
      </c>
      <c r="U3041" s="74">
        <v>1</v>
      </c>
      <c r="V3041" s="71" t="s">
        <v>391</v>
      </c>
      <c r="W3041" s="130">
        <v>46092.594097222223</v>
      </c>
      <c r="X3041" s="72">
        <v>46099.909722222219</v>
      </c>
      <c r="Y3041" s="72">
        <v>46102.84375</v>
      </c>
      <c r="Z3041" s="104" t="s">
        <v>382</v>
      </c>
      <c r="AA3041" s="104" t="s">
        <v>402</v>
      </c>
      <c r="AB3041" s="105">
        <v>46099.772916666669</v>
      </c>
      <c r="AC3041" s="105">
        <v>46099.724305555559</v>
      </c>
    </row>
    <row r="3042" s="70" customFormat="1" ht="11.25" customHeight="1">
      <c r="A3042" s="87"/>
      <c r="C3042" s="43" t="s">
        <v>4958</v>
      </c>
      <c r="D3042" s="71" t="s">
        <v>382</v>
      </c>
      <c r="E3042" s="71" t="str">
        <f>MID(D3042,1,2)</f>
        <v>IL</v>
      </c>
      <c r="F3042" s="71" t="s">
        <v>774</v>
      </c>
      <c r="G3042" s="71" t="str">
        <f>MID(F3042,1,2)</f>
        <v>CN</v>
      </c>
      <c r="H3042" s="43" t="s">
        <v>4950</v>
      </c>
      <c r="I3042" s="71" t="s">
        <v>4959</v>
      </c>
      <c r="J3042" s="71" t="s">
        <v>755</v>
      </c>
      <c r="K3042" s="43"/>
      <c r="L3042" s="71" t="s">
        <v>105</v>
      </c>
      <c r="M3042" s="73">
        <v>2.5</v>
      </c>
      <c r="N3042" s="71" t="s">
        <v>388</v>
      </c>
      <c r="O3042" s="73">
        <v>0.034</v>
      </c>
      <c r="P3042" s="71" t="s">
        <v>389</v>
      </c>
      <c r="Q3042" s="73">
        <v>6</v>
      </c>
      <c r="R3042" s="71" t="s">
        <v>388</v>
      </c>
      <c r="S3042" s="73">
        <v>0</v>
      </c>
      <c r="T3042" s="71" t="s">
        <v>390</v>
      </c>
      <c r="U3042" s="74">
        <v>1</v>
      </c>
      <c r="V3042" s="71" t="s">
        <v>391</v>
      </c>
      <c r="W3042" s="130">
        <v>46092.594097222223</v>
      </c>
      <c r="X3042" s="72">
        <v>46099.909722222219</v>
      </c>
      <c r="Y3042" s="72">
        <v>46102.84375</v>
      </c>
      <c r="Z3042" s="104" t="s">
        <v>402</v>
      </c>
      <c r="AA3042" s="104" t="s">
        <v>403</v>
      </c>
      <c r="AB3042" s="105">
        <v>46099.920138888891</v>
      </c>
      <c r="AC3042" s="105"/>
    </row>
    <row r="3043" s="70" customFormat="1" ht="11.25" customHeight="1">
      <c r="A3043" s="87"/>
      <c r="C3043" s="43" t="s">
        <v>4958</v>
      </c>
      <c r="D3043" s="71" t="s">
        <v>382</v>
      </c>
      <c r="E3043" s="71" t="str">
        <f>MID(D3043,1,2)</f>
        <v>IL</v>
      </c>
      <c r="F3043" s="71" t="s">
        <v>774</v>
      </c>
      <c r="G3043" s="71" t="str">
        <f>MID(F3043,1,2)</f>
        <v>CN</v>
      </c>
      <c r="H3043" s="43" t="s">
        <v>4950</v>
      </c>
      <c r="I3043" s="71" t="s">
        <v>4959</v>
      </c>
      <c r="J3043" s="71" t="s">
        <v>755</v>
      </c>
      <c r="K3043" s="43"/>
      <c r="L3043" s="71" t="s">
        <v>105</v>
      </c>
      <c r="M3043" s="73">
        <v>2.5</v>
      </c>
      <c r="N3043" s="71" t="s">
        <v>388</v>
      </c>
      <c r="O3043" s="73">
        <v>0.034</v>
      </c>
      <c r="P3043" s="71" t="s">
        <v>389</v>
      </c>
      <c r="Q3043" s="73">
        <v>6</v>
      </c>
      <c r="R3043" s="71" t="s">
        <v>388</v>
      </c>
      <c r="S3043" s="73">
        <v>0</v>
      </c>
      <c r="T3043" s="71" t="s">
        <v>390</v>
      </c>
      <c r="U3043" s="74">
        <v>1</v>
      </c>
      <c r="V3043" s="71" t="s">
        <v>391</v>
      </c>
      <c r="W3043" s="130">
        <v>46092.594097222223</v>
      </c>
      <c r="X3043" s="72">
        <v>46099.909722222219</v>
      </c>
      <c r="Y3043" s="72">
        <v>46102.84375</v>
      </c>
      <c r="Z3043" s="104" t="s">
        <v>403</v>
      </c>
      <c r="AA3043" s="104" t="s">
        <v>774</v>
      </c>
      <c r="AB3043" s="105">
        <v>46102.727083333331</v>
      </c>
      <c r="AC3043" s="105">
        <v>46102.822222222225</v>
      </c>
    </row>
    <row r="3044" s="70" customFormat="1" ht="11.25" customHeight="1">
      <c r="A3044" s="87"/>
      <c r="C3044" s="43" t="s">
        <v>4960</v>
      </c>
      <c r="D3044" s="71" t="s">
        <v>382</v>
      </c>
      <c r="E3044" s="71" t="str">
        <f>MID(D3044,1,2)</f>
        <v>IL</v>
      </c>
      <c r="F3044" s="71" t="s">
        <v>3998</v>
      </c>
      <c r="G3044" s="71" t="str">
        <f>MID(F3044,1,2)</f>
        <v>RO</v>
      </c>
      <c r="H3044" s="43" t="s">
        <v>4961</v>
      </c>
      <c r="I3044" s="71" t="s">
        <v>4962</v>
      </c>
      <c r="J3044" s="71" t="s">
        <v>386</v>
      </c>
      <c r="K3044" s="43"/>
      <c r="L3044" s="71" t="s">
        <v>107</v>
      </c>
      <c r="M3044" s="73">
        <v>3</v>
      </c>
      <c r="N3044" s="71" t="s">
        <v>388</v>
      </c>
      <c r="O3044" s="73">
        <v>0.016</v>
      </c>
      <c r="P3044" s="71" t="s">
        <v>389</v>
      </c>
      <c r="Q3044" s="73">
        <v>3</v>
      </c>
      <c r="R3044" s="71" t="s">
        <v>388</v>
      </c>
      <c r="S3044" s="73">
        <v>0</v>
      </c>
      <c r="T3044" s="71" t="s">
        <v>390</v>
      </c>
      <c r="U3044" s="74">
        <v>1</v>
      </c>
      <c r="V3044" s="71" t="s">
        <v>391</v>
      </c>
      <c r="W3044" s="130">
        <v>46091.618055555555</v>
      </c>
      <c r="X3044" s="72">
        <v>46093</v>
      </c>
      <c r="Y3044" s="72">
        <v>46096.572916666664</v>
      </c>
      <c r="Z3044" s="104" t="s">
        <v>382</v>
      </c>
      <c r="AA3044" s="104" t="s">
        <v>496</v>
      </c>
      <c r="AB3044" s="105">
        <v>46096.452777777777</v>
      </c>
      <c r="AC3044" s="105">
        <v>46096.5625</v>
      </c>
    </row>
    <row r="3045" s="70" customFormat="1" ht="11.25" customHeight="1">
      <c r="A3045" s="87"/>
      <c r="C3045" s="43" t="s">
        <v>4963</v>
      </c>
      <c r="D3045" s="71" t="s">
        <v>382</v>
      </c>
      <c r="E3045" s="71" t="str">
        <f>MID(D3045,1,2)</f>
        <v>IL</v>
      </c>
      <c r="F3045" s="71" t="s">
        <v>774</v>
      </c>
      <c r="G3045" s="71" t="str">
        <f>MID(F3045,1,2)</f>
        <v>CN</v>
      </c>
      <c r="H3045" s="43" t="s">
        <v>4950</v>
      </c>
      <c r="I3045" s="71" t="s">
        <v>4964</v>
      </c>
      <c r="J3045" s="71" t="s">
        <v>755</v>
      </c>
      <c r="K3045" s="43"/>
      <c r="L3045" s="71" t="s">
        <v>105</v>
      </c>
      <c r="M3045" s="73">
        <v>1</v>
      </c>
      <c r="N3045" s="71" t="s">
        <v>388</v>
      </c>
      <c r="O3045" s="73">
        <v>0.012</v>
      </c>
      <c r="P3045" s="71" t="s">
        <v>389</v>
      </c>
      <c r="Q3045" s="73">
        <v>2</v>
      </c>
      <c r="R3045" s="71" t="s">
        <v>388</v>
      </c>
      <c r="S3045" s="73">
        <v>0</v>
      </c>
      <c r="T3045" s="71" t="s">
        <v>390</v>
      </c>
      <c r="U3045" s="74">
        <v>1</v>
      </c>
      <c r="V3045" s="71" t="s">
        <v>391</v>
      </c>
      <c r="W3045" s="130">
        <v>46092.597604166665</v>
      </c>
      <c r="X3045" s="72">
        <v>46099.909722222219</v>
      </c>
      <c r="Y3045" s="72">
        <v>46102.84375</v>
      </c>
      <c r="Z3045" s="104" t="s">
        <v>382</v>
      </c>
      <c r="AA3045" s="104" t="s">
        <v>402</v>
      </c>
      <c r="AB3045" s="105">
        <v>46099.772916666669</v>
      </c>
      <c r="AC3045" s="105">
        <v>46099.724305555559</v>
      </c>
    </row>
    <row r="3046" s="70" customFormat="1" ht="11.25" customHeight="1">
      <c r="A3046" s="87"/>
      <c r="C3046" s="43" t="s">
        <v>4963</v>
      </c>
      <c r="D3046" s="71" t="s">
        <v>382</v>
      </c>
      <c r="E3046" s="71" t="str">
        <f>MID(D3046,1,2)</f>
        <v>IL</v>
      </c>
      <c r="F3046" s="71" t="s">
        <v>774</v>
      </c>
      <c r="G3046" s="71" t="str">
        <f>MID(F3046,1,2)</f>
        <v>CN</v>
      </c>
      <c r="H3046" s="43" t="s">
        <v>4950</v>
      </c>
      <c r="I3046" s="71" t="s">
        <v>4964</v>
      </c>
      <c r="J3046" s="71" t="s">
        <v>755</v>
      </c>
      <c r="K3046" s="43"/>
      <c r="L3046" s="71" t="s">
        <v>105</v>
      </c>
      <c r="M3046" s="73">
        <v>1</v>
      </c>
      <c r="N3046" s="71" t="s">
        <v>388</v>
      </c>
      <c r="O3046" s="73">
        <v>0.012</v>
      </c>
      <c r="P3046" s="71" t="s">
        <v>389</v>
      </c>
      <c r="Q3046" s="73">
        <v>2</v>
      </c>
      <c r="R3046" s="71" t="s">
        <v>388</v>
      </c>
      <c r="S3046" s="73">
        <v>0</v>
      </c>
      <c r="T3046" s="71" t="s">
        <v>390</v>
      </c>
      <c r="U3046" s="74">
        <v>1</v>
      </c>
      <c r="V3046" s="71" t="s">
        <v>391</v>
      </c>
      <c r="W3046" s="130">
        <v>46092.597604166665</v>
      </c>
      <c r="X3046" s="72">
        <v>46099.909722222219</v>
      </c>
      <c r="Y3046" s="72">
        <v>46102.84375</v>
      </c>
      <c r="Z3046" s="104" t="s">
        <v>402</v>
      </c>
      <c r="AA3046" s="104" t="s">
        <v>403</v>
      </c>
      <c r="AB3046" s="105">
        <v>46099.920138888891</v>
      </c>
      <c r="AC3046" s="105"/>
    </row>
    <row r="3047" s="70" customFormat="1" ht="11.25" customHeight="1">
      <c r="A3047" s="87"/>
      <c r="C3047" s="43" t="s">
        <v>4963</v>
      </c>
      <c r="D3047" s="71" t="s">
        <v>382</v>
      </c>
      <c r="E3047" s="71" t="str">
        <f>MID(D3047,1,2)</f>
        <v>IL</v>
      </c>
      <c r="F3047" s="71" t="s">
        <v>774</v>
      </c>
      <c r="G3047" s="71" t="str">
        <f>MID(F3047,1,2)</f>
        <v>CN</v>
      </c>
      <c r="H3047" s="43" t="s">
        <v>4950</v>
      </c>
      <c r="I3047" s="71" t="s">
        <v>4964</v>
      </c>
      <c r="J3047" s="71" t="s">
        <v>755</v>
      </c>
      <c r="K3047" s="43"/>
      <c r="L3047" s="71" t="s">
        <v>105</v>
      </c>
      <c r="M3047" s="73">
        <v>1</v>
      </c>
      <c r="N3047" s="71" t="s">
        <v>388</v>
      </c>
      <c r="O3047" s="73">
        <v>0.012</v>
      </c>
      <c r="P3047" s="71" t="s">
        <v>389</v>
      </c>
      <c r="Q3047" s="73">
        <v>2</v>
      </c>
      <c r="R3047" s="71" t="s">
        <v>388</v>
      </c>
      <c r="S3047" s="73">
        <v>0</v>
      </c>
      <c r="T3047" s="71" t="s">
        <v>390</v>
      </c>
      <c r="U3047" s="74">
        <v>1</v>
      </c>
      <c r="V3047" s="71" t="s">
        <v>391</v>
      </c>
      <c r="W3047" s="130">
        <v>46092.597604166665</v>
      </c>
      <c r="X3047" s="72">
        <v>46099.909722222219</v>
      </c>
      <c r="Y3047" s="72">
        <v>46102.84375</v>
      </c>
      <c r="Z3047" s="104" t="s">
        <v>403</v>
      </c>
      <c r="AA3047" s="104" t="s">
        <v>774</v>
      </c>
      <c r="AB3047" s="105">
        <v>46102.727083333331</v>
      </c>
      <c r="AC3047" s="105">
        <v>46102.822222222225</v>
      </c>
    </row>
    <row r="3048" s="70" customFormat="1" ht="11.25" customHeight="1">
      <c r="A3048" s="87"/>
      <c r="C3048" s="43" t="s">
        <v>4965</v>
      </c>
      <c r="D3048" s="71" t="s">
        <v>382</v>
      </c>
      <c r="E3048" s="71" t="str">
        <f>MID(D3048,1,2)</f>
        <v>IL</v>
      </c>
      <c r="F3048" s="71" t="s">
        <v>774</v>
      </c>
      <c r="G3048" s="71" t="str">
        <f>MID(F3048,1,2)</f>
        <v>CN</v>
      </c>
      <c r="H3048" s="43" t="s">
        <v>4950</v>
      </c>
      <c r="I3048" s="71" t="s">
        <v>4966</v>
      </c>
      <c r="J3048" s="71" t="s">
        <v>755</v>
      </c>
      <c r="K3048" s="43"/>
      <c r="L3048" s="71" t="s">
        <v>105</v>
      </c>
      <c r="M3048" s="73">
        <v>1</v>
      </c>
      <c r="N3048" s="71" t="s">
        <v>388</v>
      </c>
      <c r="O3048" s="73">
        <v>0.012</v>
      </c>
      <c r="P3048" s="71" t="s">
        <v>389</v>
      </c>
      <c r="Q3048" s="73">
        <v>2</v>
      </c>
      <c r="R3048" s="71" t="s">
        <v>388</v>
      </c>
      <c r="S3048" s="73">
        <v>0</v>
      </c>
      <c r="T3048" s="71" t="s">
        <v>390</v>
      </c>
      <c r="U3048" s="74">
        <v>1</v>
      </c>
      <c r="V3048" s="71" t="s">
        <v>391</v>
      </c>
      <c r="W3048" s="130">
        <v>46092.5940162037</v>
      </c>
      <c r="X3048" s="72">
        <v>46099.909722222219</v>
      </c>
      <c r="Y3048" s="72">
        <v>46102.84375</v>
      </c>
      <c r="Z3048" s="104" t="s">
        <v>382</v>
      </c>
      <c r="AA3048" s="104" t="s">
        <v>402</v>
      </c>
      <c r="AB3048" s="105">
        <v>46099.772916666669</v>
      </c>
      <c r="AC3048" s="105">
        <v>46099.724305555559</v>
      </c>
    </row>
    <row r="3049" s="70" customFormat="1" ht="11.25" customHeight="1">
      <c r="A3049" s="87"/>
      <c r="C3049" s="43" t="s">
        <v>4965</v>
      </c>
      <c r="D3049" s="71" t="s">
        <v>382</v>
      </c>
      <c r="E3049" s="71" t="str">
        <f>MID(D3049,1,2)</f>
        <v>IL</v>
      </c>
      <c r="F3049" s="71" t="s">
        <v>774</v>
      </c>
      <c r="G3049" s="71" t="str">
        <f>MID(F3049,1,2)</f>
        <v>CN</v>
      </c>
      <c r="H3049" s="43" t="s">
        <v>4950</v>
      </c>
      <c r="I3049" s="71" t="s">
        <v>4966</v>
      </c>
      <c r="J3049" s="71" t="s">
        <v>755</v>
      </c>
      <c r="K3049" s="43"/>
      <c r="L3049" s="71" t="s">
        <v>105</v>
      </c>
      <c r="M3049" s="73">
        <v>1</v>
      </c>
      <c r="N3049" s="71" t="s">
        <v>388</v>
      </c>
      <c r="O3049" s="73">
        <v>0.012</v>
      </c>
      <c r="P3049" s="71" t="s">
        <v>389</v>
      </c>
      <c r="Q3049" s="73">
        <v>2</v>
      </c>
      <c r="R3049" s="71" t="s">
        <v>388</v>
      </c>
      <c r="S3049" s="73">
        <v>0</v>
      </c>
      <c r="T3049" s="71" t="s">
        <v>390</v>
      </c>
      <c r="U3049" s="74">
        <v>1</v>
      </c>
      <c r="V3049" s="71" t="s">
        <v>391</v>
      </c>
      <c r="W3049" s="130">
        <v>46092.5940162037</v>
      </c>
      <c r="X3049" s="72">
        <v>46099.909722222219</v>
      </c>
      <c r="Y3049" s="72">
        <v>46102.84375</v>
      </c>
      <c r="Z3049" s="104" t="s">
        <v>402</v>
      </c>
      <c r="AA3049" s="104" t="s">
        <v>403</v>
      </c>
      <c r="AB3049" s="105">
        <v>46099.920138888891</v>
      </c>
      <c r="AC3049" s="105"/>
    </row>
    <row r="3050" s="70" customFormat="1" ht="11.25" customHeight="1">
      <c r="A3050" s="87"/>
      <c r="C3050" s="43" t="s">
        <v>4965</v>
      </c>
      <c r="D3050" s="71" t="s">
        <v>382</v>
      </c>
      <c r="E3050" s="71" t="str">
        <f>MID(D3050,1,2)</f>
        <v>IL</v>
      </c>
      <c r="F3050" s="71" t="s">
        <v>774</v>
      </c>
      <c r="G3050" s="71" t="str">
        <f>MID(F3050,1,2)</f>
        <v>CN</v>
      </c>
      <c r="H3050" s="43" t="s">
        <v>4950</v>
      </c>
      <c r="I3050" s="71" t="s">
        <v>4966</v>
      </c>
      <c r="J3050" s="71" t="s">
        <v>755</v>
      </c>
      <c r="K3050" s="43"/>
      <c r="L3050" s="71" t="s">
        <v>105</v>
      </c>
      <c r="M3050" s="73">
        <v>1</v>
      </c>
      <c r="N3050" s="71" t="s">
        <v>388</v>
      </c>
      <c r="O3050" s="73">
        <v>0.012</v>
      </c>
      <c r="P3050" s="71" t="s">
        <v>389</v>
      </c>
      <c r="Q3050" s="73">
        <v>2</v>
      </c>
      <c r="R3050" s="71" t="s">
        <v>388</v>
      </c>
      <c r="S3050" s="73">
        <v>0</v>
      </c>
      <c r="T3050" s="71" t="s">
        <v>390</v>
      </c>
      <c r="U3050" s="74">
        <v>1</v>
      </c>
      <c r="V3050" s="71" t="s">
        <v>391</v>
      </c>
      <c r="W3050" s="130">
        <v>46092.5940162037</v>
      </c>
      <c r="X3050" s="72">
        <v>46099.909722222219</v>
      </c>
      <c r="Y3050" s="72">
        <v>46102.84375</v>
      </c>
      <c r="Z3050" s="104" t="s">
        <v>403</v>
      </c>
      <c r="AA3050" s="104" t="s">
        <v>774</v>
      </c>
      <c r="AB3050" s="105">
        <v>46102.727083333331</v>
      </c>
      <c r="AC3050" s="105">
        <v>46102.822222222225</v>
      </c>
    </row>
    <row r="3051" s="70" customFormat="1" ht="11.25" customHeight="1">
      <c r="A3051" s="87"/>
      <c r="C3051" s="43" t="s">
        <v>4967</v>
      </c>
      <c r="D3051" s="71" t="s">
        <v>382</v>
      </c>
      <c r="E3051" s="71" t="str">
        <f>MID(D3051,1,2)</f>
        <v>IL</v>
      </c>
      <c r="F3051" s="71" t="s">
        <v>590</v>
      </c>
      <c r="G3051" s="71" t="str">
        <f>MID(F3051,1,2)</f>
        <v>ES</v>
      </c>
      <c r="H3051" s="43" t="s">
        <v>4968</v>
      </c>
      <c r="I3051" s="71"/>
      <c r="J3051" s="71" t="s">
        <v>411</v>
      </c>
      <c r="K3051" s="43"/>
      <c r="L3051" s="71" t="s">
        <v>105</v>
      </c>
      <c r="M3051" s="73">
        <v>2</v>
      </c>
      <c r="N3051" s="71" t="s">
        <v>388</v>
      </c>
      <c r="O3051" s="73">
        <v>0.048</v>
      </c>
      <c r="P3051" s="71" t="s">
        <v>389</v>
      </c>
      <c r="Q3051" s="73">
        <v>8</v>
      </c>
      <c r="R3051" s="71" t="s">
        <v>388</v>
      </c>
      <c r="S3051" s="73">
        <v>0</v>
      </c>
      <c r="T3051" s="71" t="s">
        <v>390</v>
      </c>
      <c r="U3051" s="74">
        <v>2</v>
      </c>
      <c r="V3051" s="71" t="s">
        <v>390</v>
      </c>
      <c r="W3051" s="130">
        <v>46092.661805555559</v>
      </c>
      <c r="X3051" s="72">
        <v>46096.979166666664</v>
      </c>
      <c r="Y3051" s="72">
        <v>46100.704861111109</v>
      </c>
      <c r="Z3051" s="104" t="s">
        <v>382</v>
      </c>
      <c r="AA3051" s="104" t="s">
        <v>408</v>
      </c>
      <c r="AB3051" s="105">
        <v>46096.147916666669</v>
      </c>
      <c r="AC3051" s="105"/>
    </row>
    <row r="3052" s="70" customFormat="1" ht="11.25" customHeight="1">
      <c r="A3052" s="87"/>
      <c r="C3052" s="43" t="s">
        <v>4967</v>
      </c>
      <c r="D3052" s="71" t="s">
        <v>382</v>
      </c>
      <c r="E3052" s="71" t="str">
        <f>MID(D3052,1,2)</f>
        <v>IL</v>
      </c>
      <c r="F3052" s="71" t="s">
        <v>590</v>
      </c>
      <c r="G3052" s="71" t="str">
        <f>MID(F3052,1,2)</f>
        <v>ES</v>
      </c>
      <c r="H3052" s="43" t="s">
        <v>4968</v>
      </c>
      <c r="I3052" s="71"/>
      <c r="J3052" s="71" t="s">
        <v>411</v>
      </c>
      <c r="K3052" s="43"/>
      <c r="L3052" s="71" t="s">
        <v>105</v>
      </c>
      <c r="M3052" s="73">
        <v>2</v>
      </c>
      <c r="N3052" s="71" t="s">
        <v>388</v>
      </c>
      <c r="O3052" s="73">
        <v>0.048</v>
      </c>
      <c r="P3052" s="71" t="s">
        <v>389</v>
      </c>
      <c r="Q3052" s="73">
        <v>8</v>
      </c>
      <c r="R3052" s="71" t="s">
        <v>388</v>
      </c>
      <c r="S3052" s="73">
        <v>0</v>
      </c>
      <c r="T3052" s="71" t="s">
        <v>390</v>
      </c>
      <c r="U3052" s="74">
        <v>2</v>
      </c>
      <c r="V3052" s="71" t="s">
        <v>390</v>
      </c>
      <c r="W3052" s="130">
        <v>46092.661805555559</v>
      </c>
      <c r="X3052" s="72">
        <v>46096.979166666664</v>
      </c>
      <c r="Y3052" s="72">
        <v>46100.704861111109</v>
      </c>
      <c r="Z3052" s="104" t="s">
        <v>408</v>
      </c>
      <c r="AA3052" s="104" t="s">
        <v>3173</v>
      </c>
      <c r="AB3052" s="105">
        <v>46098.769444444442</v>
      </c>
      <c r="AC3052" s="105"/>
    </row>
    <row r="3053" s="70" customFormat="1" ht="11.25" customHeight="1">
      <c r="A3053" s="87"/>
      <c r="C3053" s="43" t="s">
        <v>4967</v>
      </c>
      <c r="D3053" s="71" t="s">
        <v>382</v>
      </c>
      <c r="E3053" s="71" t="str">
        <f>MID(D3053,1,2)</f>
        <v>IL</v>
      </c>
      <c r="F3053" s="71" t="s">
        <v>590</v>
      </c>
      <c r="G3053" s="71" t="str">
        <f>MID(F3053,1,2)</f>
        <v>ES</v>
      </c>
      <c r="H3053" s="43" t="s">
        <v>4968</v>
      </c>
      <c r="I3053" s="71"/>
      <c r="J3053" s="71" t="s">
        <v>411</v>
      </c>
      <c r="K3053" s="43"/>
      <c r="L3053" s="71" t="s">
        <v>105</v>
      </c>
      <c r="M3053" s="73">
        <v>2</v>
      </c>
      <c r="N3053" s="71" t="s">
        <v>388</v>
      </c>
      <c r="O3053" s="73">
        <v>0.048</v>
      </c>
      <c r="P3053" s="71" t="s">
        <v>389</v>
      </c>
      <c r="Q3053" s="73">
        <v>8</v>
      </c>
      <c r="R3053" s="71" t="s">
        <v>388</v>
      </c>
      <c r="S3053" s="73">
        <v>0</v>
      </c>
      <c r="T3053" s="71" t="s">
        <v>390</v>
      </c>
      <c r="U3053" s="74">
        <v>2</v>
      </c>
      <c r="V3053" s="71" t="s">
        <v>390</v>
      </c>
      <c r="W3053" s="130">
        <v>46092.661805555559</v>
      </c>
      <c r="X3053" s="72">
        <v>46096.979166666664</v>
      </c>
      <c r="Y3053" s="72">
        <v>46100.704861111109</v>
      </c>
      <c r="Z3053" s="104" t="s">
        <v>3173</v>
      </c>
      <c r="AA3053" s="104" t="s">
        <v>590</v>
      </c>
      <c r="AB3053" s="105">
        <v>46100.691666666666</v>
      </c>
      <c r="AC3053" s="105"/>
    </row>
    <row r="3054" s="70" customFormat="1" ht="11.25" customHeight="1">
      <c r="A3054" s="87"/>
      <c r="C3054" s="43" t="s">
        <v>4969</v>
      </c>
      <c r="D3054" s="71" t="s">
        <v>382</v>
      </c>
      <c r="E3054" s="71" t="str">
        <f>MID(D3054,1,2)</f>
        <v>IL</v>
      </c>
      <c r="F3054" s="71" t="s">
        <v>496</v>
      </c>
      <c r="G3054" s="71" t="str">
        <f>MID(F3054,1,2)</f>
        <v>RO</v>
      </c>
      <c r="H3054" s="43" t="s">
        <v>4839</v>
      </c>
      <c r="I3054" s="71" t="s">
        <v>4970</v>
      </c>
      <c r="J3054" s="71" t="s">
        <v>400</v>
      </c>
      <c r="K3054" s="43"/>
      <c r="L3054" s="71" t="s">
        <v>105</v>
      </c>
      <c r="M3054" s="73">
        <v>26</v>
      </c>
      <c r="N3054" s="71" t="s">
        <v>388</v>
      </c>
      <c r="O3054" s="73">
        <v>0.506</v>
      </c>
      <c r="P3054" s="71" t="s">
        <v>389</v>
      </c>
      <c r="Q3054" s="73">
        <v>84.5</v>
      </c>
      <c r="R3054" s="71" t="s">
        <v>388</v>
      </c>
      <c r="S3054" s="73">
        <v>0</v>
      </c>
      <c r="T3054" s="71" t="s">
        <v>390</v>
      </c>
      <c r="U3054" s="74">
        <v>1</v>
      </c>
      <c r="V3054" s="71" t="s">
        <v>391</v>
      </c>
      <c r="W3054" s="130">
        <v>46091.611805555556</v>
      </c>
      <c r="X3054" s="72">
        <v>46093</v>
      </c>
      <c r="Y3054" s="72">
        <v>46096.572916666664</v>
      </c>
      <c r="Z3054" s="104" t="s">
        <v>382</v>
      </c>
      <c r="AA3054" s="104" t="s">
        <v>496</v>
      </c>
      <c r="AB3054" s="105">
        <v>46096.452777777777</v>
      </c>
      <c r="AC3054" s="105">
        <v>46096.5625</v>
      </c>
    </row>
    <row r="3055" s="70" customFormat="1" ht="11.25" customHeight="1">
      <c r="A3055" s="87"/>
      <c r="C3055" s="43" t="s">
        <v>4971</v>
      </c>
      <c r="D3055" s="71" t="s">
        <v>382</v>
      </c>
      <c r="E3055" s="71" t="str">
        <f>MID(D3055,1,2)</f>
        <v>IL</v>
      </c>
      <c r="F3055" s="71" t="s">
        <v>496</v>
      </c>
      <c r="G3055" s="71" t="str">
        <f>MID(F3055,1,2)</f>
        <v>RO</v>
      </c>
      <c r="H3055" s="43" t="s">
        <v>4839</v>
      </c>
      <c r="I3055" s="71" t="s">
        <v>4972</v>
      </c>
      <c r="J3055" s="71" t="s">
        <v>400</v>
      </c>
      <c r="K3055" s="43"/>
      <c r="L3055" s="71" t="s">
        <v>105</v>
      </c>
      <c r="M3055" s="73">
        <v>81</v>
      </c>
      <c r="N3055" s="71" t="s">
        <v>388</v>
      </c>
      <c r="O3055" s="73">
        <v>1.306</v>
      </c>
      <c r="P3055" s="71" t="s">
        <v>389</v>
      </c>
      <c r="Q3055" s="73">
        <v>218</v>
      </c>
      <c r="R3055" s="71" t="s">
        <v>388</v>
      </c>
      <c r="S3055" s="73">
        <v>0</v>
      </c>
      <c r="T3055" s="71" t="s">
        <v>390</v>
      </c>
      <c r="U3055" s="74">
        <v>3</v>
      </c>
      <c r="V3055" s="71" t="s">
        <v>391</v>
      </c>
      <c r="W3055" s="130">
        <v>46091.631944444445</v>
      </c>
      <c r="X3055" s="72">
        <v>46093</v>
      </c>
      <c r="Y3055" s="72">
        <v>46096.572916666664</v>
      </c>
      <c r="Z3055" s="104" t="s">
        <v>382</v>
      </c>
      <c r="AA3055" s="104" t="s">
        <v>496</v>
      </c>
      <c r="AB3055" s="105">
        <v>46096.452777777777</v>
      </c>
      <c r="AC3055" s="105">
        <v>46096.5625</v>
      </c>
    </row>
    <row r="3056" s="70" customFormat="1" ht="11.25" customHeight="1">
      <c r="A3056" s="87"/>
      <c r="C3056" s="43" t="s">
        <v>4973</v>
      </c>
      <c r="D3056" s="71" t="s">
        <v>382</v>
      </c>
      <c r="E3056" s="71" t="str">
        <f>MID(D3056,1,2)</f>
        <v>IL</v>
      </c>
      <c r="F3056" s="71" t="s">
        <v>774</v>
      </c>
      <c r="G3056" s="71" t="str">
        <f>MID(F3056,1,2)</f>
        <v>CN</v>
      </c>
      <c r="H3056" s="43" t="s">
        <v>4950</v>
      </c>
      <c r="I3056" s="71" t="s">
        <v>4974</v>
      </c>
      <c r="J3056" s="71" t="s">
        <v>755</v>
      </c>
      <c r="K3056" s="43"/>
      <c r="L3056" s="71" t="s">
        <v>105</v>
      </c>
      <c r="M3056" s="73">
        <v>1</v>
      </c>
      <c r="N3056" s="71" t="s">
        <v>388</v>
      </c>
      <c r="O3056" s="73">
        <v>0.012</v>
      </c>
      <c r="P3056" s="71" t="s">
        <v>389</v>
      </c>
      <c r="Q3056" s="73">
        <v>2</v>
      </c>
      <c r="R3056" s="71" t="s">
        <v>388</v>
      </c>
      <c r="S3056" s="73">
        <v>0</v>
      </c>
      <c r="T3056" s="71" t="s">
        <v>390</v>
      </c>
      <c r="U3056" s="74">
        <v>1</v>
      </c>
      <c r="V3056" s="71" t="s">
        <v>391</v>
      </c>
      <c r="W3056" s="130">
        <v>46092.594039351854</v>
      </c>
      <c r="X3056" s="72">
        <v>46099.909722222219</v>
      </c>
      <c r="Y3056" s="72">
        <v>46102.84375</v>
      </c>
      <c r="Z3056" s="104" t="s">
        <v>382</v>
      </c>
      <c r="AA3056" s="104" t="s">
        <v>402</v>
      </c>
      <c r="AB3056" s="105">
        <v>46099.772916666669</v>
      </c>
      <c r="AC3056" s="105">
        <v>46099.724305555559</v>
      </c>
    </row>
    <row r="3057" s="70" customFormat="1" ht="11.25" customHeight="1">
      <c r="A3057" s="87"/>
      <c r="C3057" s="43" t="s">
        <v>4973</v>
      </c>
      <c r="D3057" s="71" t="s">
        <v>382</v>
      </c>
      <c r="E3057" s="71" t="str">
        <f>MID(D3057,1,2)</f>
        <v>IL</v>
      </c>
      <c r="F3057" s="71" t="s">
        <v>774</v>
      </c>
      <c r="G3057" s="71" t="str">
        <f>MID(F3057,1,2)</f>
        <v>CN</v>
      </c>
      <c r="H3057" s="43" t="s">
        <v>4950</v>
      </c>
      <c r="I3057" s="71" t="s">
        <v>4974</v>
      </c>
      <c r="J3057" s="71" t="s">
        <v>755</v>
      </c>
      <c r="K3057" s="43"/>
      <c r="L3057" s="71" t="s">
        <v>105</v>
      </c>
      <c r="M3057" s="73">
        <v>1</v>
      </c>
      <c r="N3057" s="71" t="s">
        <v>388</v>
      </c>
      <c r="O3057" s="73">
        <v>0.012</v>
      </c>
      <c r="P3057" s="71" t="s">
        <v>389</v>
      </c>
      <c r="Q3057" s="73">
        <v>2</v>
      </c>
      <c r="R3057" s="71" t="s">
        <v>388</v>
      </c>
      <c r="S3057" s="73">
        <v>0</v>
      </c>
      <c r="T3057" s="71" t="s">
        <v>390</v>
      </c>
      <c r="U3057" s="74">
        <v>1</v>
      </c>
      <c r="V3057" s="71" t="s">
        <v>391</v>
      </c>
      <c r="W3057" s="130">
        <v>46092.594039351854</v>
      </c>
      <c r="X3057" s="72">
        <v>46099.909722222219</v>
      </c>
      <c r="Y3057" s="72">
        <v>46102.84375</v>
      </c>
      <c r="Z3057" s="104" t="s">
        <v>402</v>
      </c>
      <c r="AA3057" s="104" t="s">
        <v>403</v>
      </c>
      <c r="AB3057" s="105">
        <v>46099.920138888891</v>
      </c>
      <c r="AC3057" s="105"/>
    </row>
    <row r="3058" s="70" customFormat="1" ht="11.25" customHeight="1">
      <c r="A3058" s="87"/>
      <c r="C3058" s="43" t="s">
        <v>4973</v>
      </c>
      <c r="D3058" s="71" t="s">
        <v>382</v>
      </c>
      <c r="E3058" s="71" t="str">
        <f>MID(D3058,1,2)</f>
        <v>IL</v>
      </c>
      <c r="F3058" s="71" t="s">
        <v>774</v>
      </c>
      <c r="G3058" s="71" t="str">
        <f>MID(F3058,1,2)</f>
        <v>CN</v>
      </c>
      <c r="H3058" s="43" t="s">
        <v>4950</v>
      </c>
      <c r="I3058" s="71" t="s">
        <v>4974</v>
      </c>
      <c r="J3058" s="71" t="s">
        <v>755</v>
      </c>
      <c r="K3058" s="43"/>
      <c r="L3058" s="71" t="s">
        <v>105</v>
      </c>
      <c r="M3058" s="73">
        <v>1</v>
      </c>
      <c r="N3058" s="71" t="s">
        <v>388</v>
      </c>
      <c r="O3058" s="73">
        <v>0.012</v>
      </c>
      <c r="P3058" s="71" t="s">
        <v>389</v>
      </c>
      <c r="Q3058" s="73">
        <v>2</v>
      </c>
      <c r="R3058" s="71" t="s">
        <v>388</v>
      </c>
      <c r="S3058" s="73">
        <v>0</v>
      </c>
      <c r="T3058" s="71" t="s">
        <v>390</v>
      </c>
      <c r="U3058" s="74">
        <v>1</v>
      </c>
      <c r="V3058" s="71" t="s">
        <v>391</v>
      </c>
      <c r="W3058" s="130">
        <v>46092.594039351854</v>
      </c>
      <c r="X3058" s="72">
        <v>46099.909722222219</v>
      </c>
      <c r="Y3058" s="72">
        <v>46102.84375</v>
      </c>
      <c r="Z3058" s="104" t="s">
        <v>403</v>
      </c>
      <c r="AA3058" s="104" t="s">
        <v>774</v>
      </c>
      <c r="AB3058" s="105">
        <v>46102.727083333331</v>
      </c>
      <c r="AC3058" s="105">
        <v>46102.822222222225</v>
      </c>
    </row>
    <row r="3059" s="70" customFormat="1" ht="11.25" customHeight="1">
      <c r="A3059" s="87"/>
      <c r="C3059" s="43" t="s">
        <v>4975</v>
      </c>
      <c r="D3059" s="71" t="s">
        <v>382</v>
      </c>
      <c r="E3059" s="71" t="str">
        <f>MID(D3059,1,2)</f>
        <v>IL</v>
      </c>
      <c r="F3059" s="71" t="s">
        <v>496</v>
      </c>
      <c r="G3059" s="71" t="str">
        <f>MID(F3059,1,2)</f>
        <v>RO</v>
      </c>
      <c r="H3059" s="43" t="s">
        <v>4839</v>
      </c>
      <c r="I3059" s="71" t="s">
        <v>4976</v>
      </c>
      <c r="J3059" s="71" t="s">
        <v>400</v>
      </c>
      <c r="K3059" s="43"/>
      <c r="L3059" s="71" t="s">
        <v>105</v>
      </c>
      <c r="M3059" s="73">
        <v>25</v>
      </c>
      <c r="N3059" s="71" t="s">
        <v>388</v>
      </c>
      <c r="O3059" s="73">
        <v>0.506</v>
      </c>
      <c r="P3059" s="71" t="s">
        <v>389</v>
      </c>
      <c r="Q3059" s="73">
        <v>84.5</v>
      </c>
      <c r="R3059" s="71" t="s">
        <v>388</v>
      </c>
      <c r="S3059" s="73">
        <v>0</v>
      </c>
      <c r="T3059" s="71" t="s">
        <v>390</v>
      </c>
      <c r="U3059" s="74">
        <v>1</v>
      </c>
      <c r="V3059" s="71" t="s">
        <v>391</v>
      </c>
      <c r="W3059" s="130">
        <v>46091.652777777781</v>
      </c>
      <c r="X3059" s="72">
        <v>46093</v>
      </c>
      <c r="Y3059" s="72">
        <v>46096.572916666664</v>
      </c>
      <c r="Z3059" s="104" t="s">
        <v>382</v>
      </c>
      <c r="AA3059" s="104" t="s">
        <v>496</v>
      </c>
      <c r="AB3059" s="105">
        <v>46096.452777777777</v>
      </c>
      <c r="AC3059" s="105">
        <v>46096.5625</v>
      </c>
    </row>
    <row r="3060" s="70" customFormat="1" ht="11.25" customHeight="1">
      <c r="A3060" s="87"/>
      <c r="C3060" s="43" t="s">
        <v>4977</v>
      </c>
      <c r="D3060" s="71" t="s">
        <v>382</v>
      </c>
      <c r="E3060" s="71" t="str">
        <f>MID(D3060,1,2)</f>
        <v>IL</v>
      </c>
      <c r="F3060" s="71" t="s">
        <v>414</v>
      </c>
      <c r="G3060" s="71" t="str">
        <f>MID(F3060,1,2)</f>
        <v>US</v>
      </c>
      <c r="H3060" s="43" t="s">
        <v>4187</v>
      </c>
      <c r="I3060" s="71" t="s">
        <v>4978</v>
      </c>
      <c r="J3060" s="71" t="s">
        <v>386</v>
      </c>
      <c r="K3060" s="43"/>
      <c r="L3060" s="71" t="s">
        <v>107</v>
      </c>
      <c r="M3060" s="73">
        <v>117</v>
      </c>
      <c r="N3060" s="71" t="s">
        <v>388</v>
      </c>
      <c r="O3060" s="73">
        <v>1.289</v>
      </c>
      <c r="P3060" s="71" t="s">
        <v>389</v>
      </c>
      <c r="Q3060" s="73">
        <v>215</v>
      </c>
      <c r="R3060" s="71" t="s">
        <v>388</v>
      </c>
      <c r="S3060" s="73">
        <v>0</v>
      </c>
      <c r="T3060" s="71" t="s">
        <v>390</v>
      </c>
      <c r="U3060" s="74">
        <v>1</v>
      </c>
      <c r="V3060" s="71" t="s">
        <v>391</v>
      </c>
      <c r="W3060" s="130">
        <v>46091.847222222219</v>
      </c>
      <c r="X3060" s="72">
        <v>46091.875</v>
      </c>
      <c r="Y3060" s="72">
        <v>46094.458333333336</v>
      </c>
      <c r="Z3060" s="104" t="s">
        <v>382</v>
      </c>
      <c r="AA3060" s="104" t="s">
        <v>414</v>
      </c>
      <c r="AB3060" s="105">
        <v>46091.955555555556</v>
      </c>
      <c r="AC3060" s="105">
        <v>46094.475</v>
      </c>
    </row>
    <row r="3061" s="70" customFormat="1" ht="11.25" customHeight="1">
      <c r="A3061" s="87"/>
      <c r="C3061" s="43" t="s">
        <v>4979</v>
      </c>
      <c r="D3061" s="71" t="s">
        <v>382</v>
      </c>
      <c r="E3061" s="71" t="str">
        <f>MID(D3061,1,2)</f>
        <v>IL</v>
      </c>
      <c r="F3061" s="71" t="s">
        <v>403</v>
      </c>
      <c r="G3061" s="71" t="str">
        <f>MID(F3061,1,2)</f>
        <v>HK</v>
      </c>
      <c r="H3061" s="43" t="s">
        <v>4980</v>
      </c>
      <c r="I3061" s="71" t="s">
        <v>4981</v>
      </c>
      <c r="J3061" s="71" t="s">
        <v>400</v>
      </c>
      <c r="K3061" s="43"/>
      <c r="L3061" s="71" t="s">
        <v>105</v>
      </c>
      <c r="M3061" s="73">
        <v>534</v>
      </c>
      <c r="N3061" s="71" t="s">
        <v>388</v>
      </c>
      <c r="O3061" s="73">
        <v>5.797</v>
      </c>
      <c r="P3061" s="71" t="s">
        <v>389</v>
      </c>
      <c r="Q3061" s="73">
        <v>966.5</v>
      </c>
      <c r="R3061" s="71" t="s">
        <v>388</v>
      </c>
      <c r="S3061" s="73">
        <v>0</v>
      </c>
      <c r="T3061" s="71" t="s">
        <v>390</v>
      </c>
      <c r="U3061" s="74">
        <v>3</v>
      </c>
      <c r="V3061" s="71" t="s">
        <v>391</v>
      </c>
      <c r="W3061" s="130"/>
      <c r="X3061" s="72">
        <v>46092.03125</v>
      </c>
      <c r="Y3061" s="72">
        <v>46093.322916666664</v>
      </c>
      <c r="Z3061" s="104" t="s">
        <v>382</v>
      </c>
      <c r="AA3061" s="104" t="s">
        <v>403</v>
      </c>
      <c r="AB3061" s="105"/>
      <c r="AC3061" s="105"/>
    </row>
    <row r="3062" s="70" customFormat="1" ht="11.25" customHeight="1">
      <c r="A3062" s="87"/>
      <c r="C3062" s="43" t="s">
        <v>4982</v>
      </c>
      <c r="D3062" s="71" t="s">
        <v>382</v>
      </c>
      <c r="E3062" s="71" t="str">
        <f>MID(D3062,1,2)</f>
        <v>IL</v>
      </c>
      <c r="F3062" s="71" t="s">
        <v>496</v>
      </c>
      <c r="G3062" s="71" t="str">
        <f>MID(F3062,1,2)</f>
        <v>RO</v>
      </c>
      <c r="H3062" s="43" t="s">
        <v>4839</v>
      </c>
      <c r="I3062" s="71" t="s">
        <v>4983</v>
      </c>
      <c r="J3062" s="71" t="s">
        <v>400</v>
      </c>
      <c r="K3062" s="43"/>
      <c r="L3062" s="71" t="s">
        <v>105</v>
      </c>
      <c r="M3062" s="73">
        <v>9</v>
      </c>
      <c r="N3062" s="71" t="s">
        <v>388</v>
      </c>
      <c r="O3062" s="73">
        <v>0.074</v>
      </c>
      <c r="P3062" s="71" t="s">
        <v>389</v>
      </c>
      <c r="Q3062" s="73">
        <v>12.5</v>
      </c>
      <c r="R3062" s="71" t="s">
        <v>388</v>
      </c>
      <c r="S3062" s="73">
        <v>0</v>
      </c>
      <c r="T3062" s="71" t="s">
        <v>390</v>
      </c>
      <c r="U3062" s="74">
        <v>1</v>
      </c>
      <c r="V3062" s="71" t="s">
        <v>446</v>
      </c>
      <c r="W3062" s="130">
        <v>46091.673611111109</v>
      </c>
      <c r="X3062" s="72">
        <v>46093</v>
      </c>
      <c r="Y3062" s="72">
        <v>46096.572916666664</v>
      </c>
      <c r="Z3062" s="104" t="s">
        <v>382</v>
      </c>
      <c r="AA3062" s="104" t="s">
        <v>496</v>
      </c>
      <c r="AB3062" s="105">
        <v>46096.452777777777</v>
      </c>
      <c r="AC3062" s="105">
        <v>46096.5625</v>
      </c>
    </row>
    <row r="3063" s="70" customFormat="1" ht="11.25" customHeight="1">
      <c r="A3063" s="87"/>
      <c r="C3063" s="43" t="s">
        <v>4984</v>
      </c>
      <c r="D3063" s="71" t="s">
        <v>382</v>
      </c>
      <c r="E3063" s="71" t="str">
        <f>MID(D3063,1,2)</f>
        <v>IL</v>
      </c>
      <c r="F3063" s="71" t="s">
        <v>403</v>
      </c>
      <c r="G3063" s="71" t="str">
        <f>MID(F3063,1,2)</f>
        <v>HK</v>
      </c>
      <c r="H3063" s="43" t="s">
        <v>4985</v>
      </c>
      <c r="I3063" s="71" t="s">
        <v>4986</v>
      </c>
      <c r="J3063" s="71" t="s">
        <v>454</v>
      </c>
      <c r="K3063" s="43"/>
      <c r="L3063" s="71" t="s">
        <v>107</v>
      </c>
      <c r="M3063" s="73">
        <v>516</v>
      </c>
      <c r="N3063" s="71" t="s">
        <v>388</v>
      </c>
      <c r="O3063" s="73">
        <v>1.873</v>
      </c>
      <c r="P3063" s="71" t="s">
        <v>389</v>
      </c>
      <c r="Q3063" s="73">
        <v>516</v>
      </c>
      <c r="R3063" s="71" t="s">
        <v>388</v>
      </c>
      <c r="S3063" s="73">
        <v>0</v>
      </c>
      <c r="T3063" s="71" t="s">
        <v>390</v>
      </c>
      <c r="U3063" s="74">
        <v>2</v>
      </c>
      <c r="V3063" s="71" t="s">
        <v>391</v>
      </c>
      <c r="W3063" s="130">
        <v>46091.70208333333</v>
      </c>
      <c r="X3063" s="72">
        <v>46097.472916666666</v>
      </c>
      <c r="Y3063" s="72">
        <v>46102.583333333336</v>
      </c>
      <c r="Z3063" s="104" t="s">
        <v>382</v>
      </c>
      <c r="AA3063" s="104" t="s">
        <v>403</v>
      </c>
      <c r="AB3063" s="105">
        <v>46097.51666666667</v>
      </c>
      <c r="AC3063" s="105">
        <v>46098.1875</v>
      </c>
    </row>
    <row r="3064" s="70" customFormat="1" ht="11.25" customHeight="1">
      <c r="A3064" s="87"/>
      <c r="C3064" s="43" t="s">
        <v>4987</v>
      </c>
      <c r="D3064" s="71" t="s">
        <v>382</v>
      </c>
      <c r="E3064" s="71" t="str">
        <f>MID(D3064,1,2)</f>
        <v>IL</v>
      </c>
      <c r="F3064" s="71" t="s">
        <v>2223</v>
      </c>
      <c r="G3064" s="71" t="str">
        <f>MID(F3064,1,2)</f>
        <v>GB</v>
      </c>
      <c r="H3064" s="43" t="s">
        <v>4299</v>
      </c>
      <c r="I3064" s="71" t="s">
        <v>4988</v>
      </c>
      <c r="J3064" s="71" t="s">
        <v>400</v>
      </c>
      <c r="K3064" s="43"/>
      <c r="L3064" s="71" t="s">
        <v>105</v>
      </c>
      <c r="M3064" s="73">
        <v>58</v>
      </c>
      <c r="N3064" s="71" t="s">
        <v>388</v>
      </c>
      <c r="O3064" s="73">
        <v>0.291</v>
      </c>
      <c r="P3064" s="71" t="s">
        <v>389</v>
      </c>
      <c r="Q3064" s="73">
        <v>58</v>
      </c>
      <c r="R3064" s="71" t="s">
        <v>388</v>
      </c>
      <c r="S3064" s="73">
        <v>0</v>
      </c>
      <c r="T3064" s="71" t="s">
        <v>390</v>
      </c>
      <c r="U3064" s="74">
        <v>1</v>
      </c>
      <c r="V3064" s="71" t="s">
        <v>391</v>
      </c>
      <c r="W3064" s="130">
        <v>46091.736805555556</v>
      </c>
      <c r="X3064" s="72">
        <v>46095.708333333336</v>
      </c>
      <c r="Y3064" s="72">
        <v>46102.46875</v>
      </c>
      <c r="Z3064" s="104" t="s">
        <v>382</v>
      </c>
      <c r="AA3064" s="104" t="s">
        <v>471</v>
      </c>
      <c r="AB3064" s="105">
        <v>46098.511805555558</v>
      </c>
      <c r="AC3064" s="105"/>
    </row>
    <row r="3065" s="70" customFormat="1" ht="11.25" customHeight="1">
      <c r="A3065" s="87"/>
      <c r="C3065" s="43" t="s">
        <v>4987</v>
      </c>
      <c r="D3065" s="71" t="s">
        <v>382</v>
      </c>
      <c r="E3065" s="71" t="str">
        <f>MID(D3065,1,2)</f>
        <v>IL</v>
      </c>
      <c r="F3065" s="71" t="s">
        <v>2223</v>
      </c>
      <c r="G3065" s="71" t="str">
        <f>MID(F3065,1,2)</f>
        <v>GB</v>
      </c>
      <c r="H3065" s="43" t="s">
        <v>4299</v>
      </c>
      <c r="I3065" s="71" t="s">
        <v>4988</v>
      </c>
      <c r="J3065" s="71" t="s">
        <v>400</v>
      </c>
      <c r="K3065" s="43"/>
      <c r="L3065" s="71" t="s">
        <v>105</v>
      </c>
      <c r="M3065" s="73">
        <v>58</v>
      </c>
      <c r="N3065" s="71" t="s">
        <v>388</v>
      </c>
      <c r="O3065" s="73">
        <v>0.291</v>
      </c>
      <c r="P3065" s="71" t="s">
        <v>389</v>
      </c>
      <c r="Q3065" s="73">
        <v>58</v>
      </c>
      <c r="R3065" s="71" t="s">
        <v>388</v>
      </c>
      <c r="S3065" s="73">
        <v>0</v>
      </c>
      <c r="T3065" s="71" t="s">
        <v>390</v>
      </c>
      <c r="U3065" s="74">
        <v>1</v>
      </c>
      <c r="V3065" s="71" t="s">
        <v>391</v>
      </c>
      <c r="W3065" s="130">
        <v>46091.736805555556</v>
      </c>
      <c r="X3065" s="72">
        <v>46095.708333333336</v>
      </c>
      <c r="Y3065" s="72">
        <v>46102.46875</v>
      </c>
      <c r="Z3065" s="104" t="s">
        <v>471</v>
      </c>
      <c r="AA3065" s="104" t="s">
        <v>546</v>
      </c>
      <c r="AB3065" s="105">
        <v>46101.915277777778</v>
      </c>
      <c r="AC3065" s="105">
        <v>46102.439583333333</v>
      </c>
    </row>
    <row r="3066" s="70" customFormat="1" ht="11.25" customHeight="1">
      <c r="A3066" s="87"/>
      <c r="C3066" s="43" t="s">
        <v>4989</v>
      </c>
      <c r="D3066" s="71" t="s">
        <v>382</v>
      </c>
      <c r="E3066" s="71" t="str">
        <f>MID(D3066,1,2)</f>
        <v>IL</v>
      </c>
      <c r="F3066" s="71" t="s">
        <v>414</v>
      </c>
      <c r="G3066" s="71" t="str">
        <f>MID(F3066,1,2)</f>
        <v>US</v>
      </c>
      <c r="H3066" s="43" t="s">
        <v>3776</v>
      </c>
      <c r="I3066" s="71" t="s">
        <v>4990</v>
      </c>
      <c r="J3066" s="71" t="s">
        <v>386</v>
      </c>
      <c r="K3066" s="43"/>
      <c r="L3066" s="71" t="s">
        <v>107</v>
      </c>
      <c r="M3066" s="73">
        <v>276</v>
      </c>
      <c r="N3066" s="71" t="s">
        <v>388</v>
      </c>
      <c r="O3066" s="73">
        <v>4.629</v>
      </c>
      <c r="P3066" s="71" t="s">
        <v>389</v>
      </c>
      <c r="Q3066" s="73">
        <v>771.5</v>
      </c>
      <c r="R3066" s="71" t="s">
        <v>388</v>
      </c>
      <c r="S3066" s="73">
        <v>0</v>
      </c>
      <c r="T3066" s="71" t="s">
        <v>390</v>
      </c>
      <c r="U3066" s="74">
        <v>4</v>
      </c>
      <c r="V3066" s="71" t="s">
        <v>391</v>
      </c>
      <c r="W3066" s="130">
        <v>46092.381944444445</v>
      </c>
      <c r="X3066" s="72">
        <v>46099.854166666664</v>
      </c>
      <c r="Y3066" s="72">
        <v>46100.302083333336</v>
      </c>
      <c r="Z3066" s="104" t="s">
        <v>382</v>
      </c>
      <c r="AA3066" s="104" t="s">
        <v>414</v>
      </c>
      <c r="AB3066" s="105">
        <v>46100.102083333331</v>
      </c>
      <c r="AC3066" s="105">
        <v>46100.31527777778</v>
      </c>
    </row>
    <row r="3067" s="70" customFormat="1" ht="11.25" customHeight="1">
      <c r="A3067" s="87"/>
      <c r="C3067" s="43" t="s">
        <v>4991</v>
      </c>
      <c r="D3067" s="71" t="s">
        <v>382</v>
      </c>
      <c r="E3067" s="71" t="str">
        <f>MID(D3067,1,2)</f>
        <v>IL</v>
      </c>
      <c r="F3067" s="71" t="s">
        <v>414</v>
      </c>
      <c r="G3067" s="71" t="str">
        <f>MID(F3067,1,2)</f>
        <v>US</v>
      </c>
      <c r="H3067" s="43" t="s">
        <v>3776</v>
      </c>
      <c r="I3067" s="71" t="s">
        <v>4992</v>
      </c>
      <c r="J3067" s="71" t="s">
        <v>483</v>
      </c>
      <c r="K3067" s="43"/>
      <c r="L3067" s="71" t="s">
        <v>105</v>
      </c>
      <c r="M3067" s="73">
        <v>2</v>
      </c>
      <c r="N3067" s="71" t="s">
        <v>388</v>
      </c>
      <c r="O3067" s="73">
        <v>0.027</v>
      </c>
      <c r="P3067" s="71" t="s">
        <v>389</v>
      </c>
      <c r="Q3067" s="73">
        <v>4.5</v>
      </c>
      <c r="R3067" s="71" t="s">
        <v>388</v>
      </c>
      <c r="S3067" s="73">
        <v>0</v>
      </c>
      <c r="T3067" s="71" t="s">
        <v>390</v>
      </c>
      <c r="U3067" s="74">
        <v>1</v>
      </c>
      <c r="V3067" s="71" t="s">
        <v>427</v>
      </c>
      <c r="W3067" s="130">
        <v>46092.38958333333</v>
      </c>
      <c r="X3067" s="72">
        <v>46099.854166666664</v>
      </c>
      <c r="Y3067" s="72">
        <v>46100.302083333336</v>
      </c>
      <c r="Z3067" s="104" t="s">
        <v>382</v>
      </c>
      <c r="AA3067" s="104" t="s">
        <v>414</v>
      </c>
      <c r="AB3067" s="105">
        <v>46100.102083333331</v>
      </c>
      <c r="AC3067" s="105">
        <v>46100.31527777778</v>
      </c>
    </row>
    <row r="3068" s="70" customFormat="1" ht="11.25" customHeight="1">
      <c r="A3068" s="87"/>
      <c r="C3068" s="43" t="s">
        <v>4993</v>
      </c>
      <c r="D3068" s="71" t="s">
        <v>382</v>
      </c>
      <c r="E3068" s="71" t="str">
        <f>MID(D3068,1,2)</f>
        <v>IL</v>
      </c>
      <c r="F3068" s="71" t="s">
        <v>403</v>
      </c>
      <c r="G3068" s="71" t="str">
        <f>MID(F3068,1,2)</f>
        <v>HK</v>
      </c>
      <c r="H3068" s="43" t="s">
        <v>4994</v>
      </c>
      <c r="I3068" s="71" t="s">
        <v>4995</v>
      </c>
      <c r="J3068" s="71" t="s">
        <v>400</v>
      </c>
      <c r="K3068" s="43"/>
      <c r="L3068" s="71" t="s">
        <v>105</v>
      </c>
      <c r="M3068" s="73">
        <v>7675</v>
      </c>
      <c r="N3068" s="71" t="s">
        <v>388</v>
      </c>
      <c r="O3068" s="73">
        <v>35.249</v>
      </c>
      <c r="P3068" s="71" t="s">
        <v>389</v>
      </c>
      <c r="Q3068" s="73">
        <v>7675</v>
      </c>
      <c r="R3068" s="71" t="s">
        <v>388</v>
      </c>
      <c r="S3068" s="73">
        <v>0</v>
      </c>
      <c r="T3068" s="71" t="s">
        <v>390</v>
      </c>
      <c r="U3068" s="74">
        <v>3</v>
      </c>
      <c r="V3068" s="71" t="s">
        <v>391</v>
      </c>
      <c r="W3068" s="130">
        <v>46095.6716087963</v>
      </c>
      <c r="X3068" s="72">
        <v>46097.479166666664</v>
      </c>
      <c r="Y3068" s="72">
        <v>46098.166666666664</v>
      </c>
      <c r="Z3068" s="104" t="s">
        <v>382</v>
      </c>
      <c r="AA3068" s="104" t="s">
        <v>403</v>
      </c>
      <c r="AB3068" s="105"/>
      <c r="AC3068" s="105"/>
    </row>
    <row r="3069" s="70" customFormat="1" ht="11.25" customHeight="1">
      <c r="A3069" s="87"/>
      <c r="C3069" s="43" t="s">
        <v>4996</v>
      </c>
      <c r="D3069" s="71" t="s">
        <v>382</v>
      </c>
      <c r="E3069" s="71" t="str">
        <f>MID(D3069,1,2)</f>
        <v>IL</v>
      </c>
      <c r="F3069" s="71" t="s">
        <v>774</v>
      </c>
      <c r="G3069" s="71" t="str">
        <f>MID(F3069,1,2)</f>
        <v>CN</v>
      </c>
      <c r="H3069" s="43" t="s">
        <v>4950</v>
      </c>
      <c r="I3069" s="71" t="s">
        <v>4997</v>
      </c>
      <c r="J3069" s="71" t="s">
        <v>755</v>
      </c>
      <c r="K3069" s="43"/>
      <c r="L3069" s="71" t="s">
        <v>105</v>
      </c>
      <c r="M3069" s="73">
        <v>2.5</v>
      </c>
      <c r="N3069" s="71" t="s">
        <v>388</v>
      </c>
      <c r="O3069" s="73">
        <v>0.096</v>
      </c>
      <c r="P3069" s="71" t="s">
        <v>389</v>
      </c>
      <c r="Q3069" s="73">
        <v>16</v>
      </c>
      <c r="R3069" s="71" t="s">
        <v>388</v>
      </c>
      <c r="S3069" s="73">
        <v>0</v>
      </c>
      <c r="T3069" s="71" t="s">
        <v>390</v>
      </c>
      <c r="U3069" s="74">
        <v>1</v>
      </c>
      <c r="V3069" s="71" t="s">
        <v>391</v>
      </c>
      <c r="W3069" s="130">
        <v>46092.590509259258</v>
      </c>
      <c r="X3069" s="72">
        <v>46099.909722222219</v>
      </c>
      <c r="Y3069" s="72">
        <v>46102.84375</v>
      </c>
      <c r="Z3069" s="104" t="s">
        <v>382</v>
      </c>
      <c r="AA3069" s="104" t="s">
        <v>402</v>
      </c>
      <c r="AB3069" s="105">
        <v>46099.772916666669</v>
      </c>
      <c r="AC3069" s="105">
        <v>46099.724305555559</v>
      </c>
    </row>
    <row r="3070" s="70" customFormat="1" ht="11.25" customHeight="1">
      <c r="A3070" s="87"/>
      <c r="C3070" s="43" t="s">
        <v>4996</v>
      </c>
      <c r="D3070" s="71" t="s">
        <v>382</v>
      </c>
      <c r="E3070" s="71" t="str">
        <f>MID(D3070,1,2)</f>
        <v>IL</v>
      </c>
      <c r="F3070" s="71" t="s">
        <v>774</v>
      </c>
      <c r="G3070" s="71" t="str">
        <f>MID(F3070,1,2)</f>
        <v>CN</v>
      </c>
      <c r="H3070" s="43" t="s">
        <v>4950</v>
      </c>
      <c r="I3070" s="71" t="s">
        <v>4997</v>
      </c>
      <c r="J3070" s="71" t="s">
        <v>755</v>
      </c>
      <c r="K3070" s="43"/>
      <c r="L3070" s="71" t="s">
        <v>105</v>
      </c>
      <c r="M3070" s="73">
        <v>2.5</v>
      </c>
      <c r="N3070" s="71" t="s">
        <v>388</v>
      </c>
      <c r="O3070" s="73">
        <v>0.096</v>
      </c>
      <c r="P3070" s="71" t="s">
        <v>389</v>
      </c>
      <c r="Q3070" s="73">
        <v>16</v>
      </c>
      <c r="R3070" s="71" t="s">
        <v>388</v>
      </c>
      <c r="S3070" s="73">
        <v>0</v>
      </c>
      <c r="T3070" s="71" t="s">
        <v>390</v>
      </c>
      <c r="U3070" s="74">
        <v>1</v>
      </c>
      <c r="V3070" s="71" t="s">
        <v>391</v>
      </c>
      <c r="W3070" s="130">
        <v>46092.590509259258</v>
      </c>
      <c r="X3070" s="72">
        <v>46099.909722222219</v>
      </c>
      <c r="Y3070" s="72">
        <v>46102.84375</v>
      </c>
      <c r="Z3070" s="104" t="s">
        <v>402</v>
      </c>
      <c r="AA3070" s="104" t="s">
        <v>403</v>
      </c>
      <c r="AB3070" s="105">
        <v>46099.920138888891</v>
      </c>
      <c r="AC3070" s="105"/>
    </row>
    <row r="3071" s="70" customFormat="1" ht="11.25" customHeight="1">
      <c r="A3071" s="87"/>
      <c r="C3071" s="43" t="s">
        <v>4996</v>
      </c>
      <c r="D3071" s="71" t="s">
        <v>382</v>
      </c>
      <c r="E3071" s="71" t="str">
        <f>MID(D3071,1,2)</f>
        <v>IL</v>
      </c>
      <c r="F3071" s="71" t="s">
        <v>774</v>
      </c>
      <c r="G3071" s="71" t="str">
        <f>MID(F3071,1,2)</f>
        <v>CN</v>
      </c>
      <c r="H3071" s="43" t="s">
        <v>4950</v>
      </c>
      <c r="I3071" s="71" t="s">
        <v>4997</v>
      </c>
      <c r="J3071" s="71" t="s">
        <v>755</v>
      </c>
      <c r="K3071" s="43"/>
      <c r="L3071" s="71" t="s">
        <v>105</v>
      </c>
      <c r="M3071" s="73">
        <v>2.5</v>
      </c>
      <c r="N3071" s="71" t="s">
        <v>388</v>
      </c>
      <c r="O3071" s="73">
        <v>0.096</v>
      </c>
      <c r="P3071" s="71" t="s">
        <v>389</v>
      </c>
      <c r="Q3071" s="73">
        <v>16</v>
      </c>
      <c r="R3071" s="71" t="s">
        <v>388</v>
      </c>
      <c r="S3071" s="73">
        <v>0</v>
      </c>
      <c r="T3071" s="71" t="s">
        <v>390</v>
      </c>
      <c r="U3071" s="74">
        <v>1</v>
      </c>
      <c r="V3071" s="71" t="s">
        <v>391</v>
      </c>
      <c r="W3071" s="130">
        <v>46092.590509259258</v>
      </c>
      <c r="X3071" s="72">
        <v>46099.909722222219</v>
      </c>
      <c r="Y3071" s="72">
        <v>46102.84375</v>
      </c>
      <c r="Z3071" s="104" t="s">
        <v>403</v>
      </c>
      <c r="AA3071" s="104" t="s">
        <v>774</v>
      </c>
      <c r="AB3071" s="105">
        <v>46102.727083333331</v>
      </c>
      <c r="AC3071" s="105">
        <v>46102.822222222225</v>
      </c>
    </row>
    <row r="3072" s="70" customFormat="1" ht="11.25" customHeight="1">
      <c r="A3072" s="87"/>
      <c r="C3072" s="43" t="s">
        <v>4998</v>
      </c>
      <c r="D3072" s="71" t="s">
        <v>382</v>
      </c>
      <c r="E3072" s="71" t="str">
        <f>MID(D3072,1,2)</f>
        <v>IL</v>
      </c>
      <c r="F3072" s="71" t="s">
        <v>414</v>
      </c>
      <c r="G3072" s="71" t="str">
        <f>MID(F3072,1,2)</f>
        <v>US</v>
      </c>
      <c r="H3072" s="43" t="s">
        <v>4999</v>
      </c>
      <c r="I3072" s="71" t="s">
        <v>5000</v>
      </c>
      <c r="J3072" s="71" t="s">
        <v>426</v>
      </c>
      <c r="K3072" s="43"/>
      <c r="L3072" s="71" t="s">
        <v>105</v>
      </c>
      <c r="M3072" s="73">
        <v>23</v>
      </c>
      <c r="N3072" s="71" t="s">
        <v>388</v>
      </c>
      <c r="O3072" s="73">
        <v>0.203</v>
      </c>
      <c r="P3072" s="71" t="s">
        <v>389</v>
      </c>
      <c r="Q3072" s="73">
        <v>34</v>
      </c>
      <c r="R3072" s="71" t="s">
        <v>388</v>
      </c>
      <c r="S3072" s="73">
        <v>0</v>
      </c>
      <c r="T3072" s="71" t="s">
        <v>390</v>
      </c>
      <c r="U3072" s="74">
        <v>1</v>
      </c>
      <c r="V3072" s="71" t="s">
        <v>391</v>
      </c>
      <c r="W3072" s="130">
        <v>46092.417361111111</v>
      </c>
      <c r="X3072" s="72">
        <v>46094.197916666664</v>
      </c>
      <c r="Y3072" s="72">
        <v>46094.395833333336</v>
      </c>
      <c r="Z3072" s="104" t="s">
        <v>382</v>
      </c>
      <c r="AA3072" s="104" t="s">
        <v>414</v>
      </c>
      <c r="AB3072" s="105">
        <v>46094.24722222222</v>
      </c>
      <c r="AC3072" s="105">
        <v>46094.475</v>
      </c>
    </row>
    <row r="3073" s="70" customFormat="1" ht="11.25" customHeight="1">
      <c r="A3073" s="87"/>
      <c r="C3073" s="43" t="s">
        <v>5001</v>
      </c>
      <c r="D3073" s="71" t="s">
        <v>382</v>
      </c>
      <c r="E3073" s="71" t="str">
        <f>MID(D3073,1,2)</f>
        <v>IL</v>
      </c>
      <c r="F3073" s="71" t="s">
        <v>774</v>
      </c>
      <c r="G3073" s="71" t="str">
        <f>MID(F3073,1,2)</f>
        <v>CN</v>
      </c>
      <c r="H3073" s="43" t="s">
        <v>4950</v>
      </c>
      <c r="I3073" s="71" t="s">
        <v>5002</v>
      </c>
      <c r="J3073" s="71" t="s">
        <v>755</v>
      </c>
      <c r="K3073" s="43"/>
      <c r="L3073" s="71" t="s">
        <v>105</v>
      </c>
      <c r="M3073" s="73">
        <v>2.7</v>
      </c>
      <c r="N3073" s="71" t="s">
        <v>388</v>
      </c>
      <c r="O3073" s="73">
        <v>0.096</v>
      </c>
      <c r="P3073" s="71" t="s">
        <v>389</v>
      </c>
      <c r="Q3073" s="73">
        <v>16</v>
      </c>
      <c r="R3073" s="71" t="s">
        <v>388</v>
      </c>
      <c r="S3073" s="73">
        <v>0</v>
      </c>
      <c r="T3073" s="71" t="s">
        <v>390</v>
      </c>
      <c r="U3073" s="74">
        <v>1</v>
      </c>
      <c r="V3073" s="71" t="s">
        <v>391</v>
      </c>
      <c r="W3073" s="130">
        <v>46092.590509259258</v>
      </c>
      <c r="X3073" s="72">
        <v>46099.909722222219</v>
      </c>
      <c r="Y3073" s="72">
        <v>46102.84375</v>
      </c>
      <c r="Z3073" s="104" t="s">
        <v>382</v>
      </c>
      <c r="AA3073" s="104" t="s">
        <v>402</v>
      </c>
      <c r="AB3073" s="105">
        <v>46099.772916666669</v>
      </c>
      <c r="AC3073" s="105">
        <v>46099.724305555559</v>
      </c>
    </row>
    <row r="3074" s="70" customFormat="1" ht="11.25" customHeight="1">
      <c r="A3074" s="87"/>
      <c r="C3074" s="43" t="s">
        <v>5001</v>
      </c>
      <c r="D3074" s="71" t="s">
        <v>382</v>
      </c>
      <c r="E3074" s="71" t="str">
        <f>MID(D3074,1,2)</f>
        <v>IL</v>
      </c>
      <c r="F3074" s="71" t="s">
        <v>774</v>
      </c>
      <c r="G3074" s="71" t="str">
        <f>MID(F3074,1,2)</f>
        <v>CN</v>
      </c>
      <c r="H3074" s="43" t="s">
        <v>4950</v>
      </c>
      <c r="I3074" s="71" t="s">
        <v>5002</v>
      </c>
      <c r="J3074" s="71" t="s">
        <v>755</v>
      </c>
      <c r="K3074" s="43"/>
      <c r="L3074" s="71" t="s">
        <v>105</v>
      </c>
      <c r="M3074" s="73">
        <v>2.7</v>
      </c>
      <c r="N3074" s="71" t="s">
        <v>388</v>
      </c>
      <c r="O3074" s="73">
        <v>0.096</v>
      </c>
      <c r="P3074" s="71" t="s">
        <v>389</v>
      </c>
      <c r="Q3074" s="73">
        <v>16</v>
      </c>
      <c r="R3074" s="71" t="s">
        <v>388</v>
      </c>
      <c r="S3074" s="73">
        <v>0</v>
      </c>
      <c r="T3074" s="71" t="s">
        <v>390</v>
      </c>
      <c r="U3074" s="74">
        <v>1</v>
      </c>
      <c r="V3074" s="71" t="s">
        <v>391</v>
      </c>
      <c r="W3074" s="130">
        <v>46092.590509259258</v>
      </c>
      <c r="X3074" s="72">
        <v>46099.909722222219</v>
      </c>
      <c r="Y3074" s="72">
        <v>46102.84375</v>
      </c>
      <c r="Z3074" s="104" t="s">
        <v>402</v>
      </c>
      <c r="AA3074" s="104" t="s">
        <v>403</v>
      </c>
      <c r="AB3074" s="105">
        <v>46099.920138888891</v>
      </c>
      <c r="AC3074" s="105"/>
    </row>
    <row r="3075" s="70" customFormat="1" ht="11.25" customHeight="1">
      <c r="A3075" s="87"/>
      <c r="C3075" s="43" t="s">
        <v>5001</v>
      </c>
      <c r="D3075" s="71" t="s">
        <v>382</v>
      </c>
      <c r="E3075" s="71" t="str">
        <f>MID(D3075,1,2)</f>
        <v>IL</v>
      </c>
      <c r="F3075" s="71" t="s">
        <v>774</v>
      </c>
      <c r="G3075" s="71" t="str">
        <f>MID(F3075,1,2)</f>
        <v>CN</v>
      </c>
      <c r="H3075" s="43" t="s">
        <v>4950</v>
      </c>
      <c r="I3075" s="71" t="s">
        <v>5002</v>
      </c>
      <c r="J3075" s="71" t="s">
        <v>755</v>
      </c>
      <c r="K3075" s="43"/>
      <c r="L3075" s="71" t="s">
        <v>105</v>
      </c>
      <c r="M3075" s="73">
        <v>2.7</v>
      </c>
      <c r="N3075" s="71" t="s">
        <v>388</v>
      </c>
      <c r="O3075" s="73">
        <v>0.096</v>
      </c>
      <c r="P3075" s="71" t="s">
        <v>389</v>
      </c>
      <c r="Q3075" s="73">
        <v>16</v>
      </c>
      <c r="R3075" s="71" t="s">
        <v>388</v>
      </c>
      <c r="S3075" s="73">
        <v>0</v>
      </c>
      <c r="T3075" s="71" t="s">
        <v>390</v>
      </c>
      <c r="U3075" s="74">
        <v>1</v>
      </c>
      <c r="V3075" s="71" t="s">
        <v>391</v>
      </c>
      <c r="W3075" s="130">
        <v>46092.590509259258</v>
      </c>
      <c r="X3075" s="72">
        <v>46099.909722222219</v>
      </c>
      <c r="Y3075" s="72">
        <v>46102.84375</v>
      </c>
      <c r="Z3075" s="104" t="s">
        <v>403</v>
      </c>
      <c r="AA3075" s="104" t="s">
        <v>774</v>
      </c>
      <c r="AB3075" s="105">
        <v>46102.727083333331</v>
      </c>
      <c r="AC3075" s="105">
        <v>46102.822222222225</v>
      </c>
    </row>
    <row r="3076" s="70" customFormat="1" ht="11.25" customHeight="1">
      <c r="A3076" s="87"/>
      <c r="C3076" s="43" t="s">
        <v>5003</v>
      </c>
      <c r="D3076" s="71" t="s">
        <v>382</v>
      </c>
      <c r="E3076" s="71" t="str">
        <f>MID(D3076,1,2)</f>
        <v>IL</v>
      </c>
      <c r="F3076" s="71" t="s">
        <v>5004</v>
      </c>
      <c r="G3076" s="71" t="str">
        <f>MID(F3076,1,2)</f>
        <v>HN</v>
      </c>
      <c r="H3076" s="43" t="s">
        <v>5005</v>
      </c>
      <c r="I3076" s="71"/>
      <c r="J3076" s="71" t="s">
        <v>426</v>
      </c>
      <c r="K3076" s="43"/>
      <c r="L3076" s="71" t="s">
        <v>105</v>
      </c>
      <c r="M3076" s="73">
        <v>75</v>
      </c>
      <c r="N3076" s="71" t="s">
        <v>388</v>
      </c>
      <c r="O3076" s="73">
        <v>0.672</v>
      </c>
      <c r="P3076" s="71" t="s">
        <v>389</v>
      </c>
      <c r="Q3076" s="73">
        <v>112</v>
      </c>
      <c r="R3076" s="71" t="s">
        <v>388</v>
      </c>
      <c r="S3076" s="73">
        <v>0</v>
      </c>
      <c r="T3076" s="71" t="s">
        <v>390</v>
      </c>
      <c r="U3076" s="74">
        <v>1</v>
      </c>
      <c r="V3076" s="71" t="s">
        <v>391</v>
      </c>
      <c r="W3076" s="130">
        <v>46093.410416666666</v>
      </c>
      <c r="X3076" s="72">
        <v>46097.568055555559</v>
      </c>
      <c r="Y3076" s="72">
        <v>46107.5</v>
      </c>
      <c r="Z3076" s="104" t="s">
        <v>382</v>
      </c>
      <c r="AA3076" s="104" t="s">
        <v>466</v>
      </c>
      <c r="AB3076" s="105">
        <v>46097.894444444442</v>
      </c>
      <c r="AC3076" s="105">
        <v>46098.050694444442</v>
      </c>
    </row>
    <row r="3077" s="70" customFormat="1" ht="11.25" customHeight="1">
      <c r="A3077" s="87"/>
      <c r="C3077" s="43" t="s">
        <v>5003</v>
      </c>
      <c r="D3077" s="71" t="s">
        <v>382</v>
      </c>
      <c r="E3077" s="71" t="str">
        <f>MID(D3077,1,2)</f>
        <v>IL</v>
      </c>
      <c r="F3077" s="71" t="s">
        <v>5004</v>
      </c>
      <c r="G3077" s="71" t="str">
        <f>MID(F3077,1,2)</f>
        <v>HN</v>
      </c>
      <c r="H3077" s="43" t="s">
        <v>5005</v>
      </c>
      <c r="I3077" s="71"/>
      <c r="J3077" s="71" t="s">
        <v>426</v>
      </c>
      <c r="K3077" s="43"/>
      <c r="L3077" s="71" t="s">
        <v>105</v>
      </c>
      <c r="M3077" s="73">
        <v>75</v>
      </c>
      <c r="N3077" s="71" t="s">
        <v>388</v>
      </c>
      <c r="O3077" s="73">
        <v>0.672</v>
      </c>
      <c r="P3077" s="71" t="s">
        <v>389</v>
      </c>
      <c r="Q3077" s="73">
        <v>112</v>
      </c>
      <c r="R3077" s="71" t="s">
        <v>388</v>
      </c>
      <c r="S3077" s="73">
        <v>0</v>
      </c>
      <c r="T3077" s="71" t="s">
        <v>390</v>
      </c>
      <c r="U3077" s="74">
        <v>1</v>
      </c>
      <c r="V3077" s="71" t="s">
        <v>391</v>
      </c>
      <c r="W3077" s="130">
        <v>46093.410416666666</v>
      </c>
      <c r="X3077" s="72">
        <v>46097.568055555559</v>
      </c>
      <c r="Y3077" s="72">
        <v>46107.5</v>
      </c>
      <c r="Z3077" s="104" t="s">
        <v>1117</v>
      </c>
      <c r="AA3077" s="104" t="s">
        <v>433</v>
      </c>
      <c r="AB3077" s="105"/>
      <c r="AC3077" s="105"/>
    </row>
    <row r="3078" s="70" customFormat="1" ht="11.25" customHeight="1">
      <c r="A3078" s="87"/>
      <c r="C3078" s="43" t="s">
        <v>5003</v>
      </c>
      <c r="D3078" s="71" t="s">
        <v>382</v>
      </c>
      <c r="E3078" s="71" t="str">
        <f>MID(D3078,1,2)</f>
        <v>IL</v>
      </c>
      <c r="F3078" s="71" t="s">
        <v>5004</v>
      </c>
      <c r="G3078" s="71" t="str">
        <f>MID(F3078,1,2)</f>
        <v>HN</v>
      </c>
      <c r="H3078" s="43" t="s">
        <v>5005</v>
      </c>
      <c r="I3078" s="71"/>
      <c r="J3078" s="71" t="s">
        <v>426</v>
      </c>
      <c r="K3078" s="43"/>
      <c r="L3078" s="71" t="s">
        <v>105</v>
      </c>
      <c r="M3078" s="73">
        <v>75</v>
      </c>
      <c r="N3078" s="71" t="s">
        <v>388</v>
      </c>
      <c r="O3078" s="73">
        <v>0.672</v>
      </c>
      <c r="P3078" s="71" t="s">
        <v>389</v>
      </c>
      <c r="Q3078" s="73">
        <v>112</v>
      </c>
      <c r="R3078" s="71" t="s">
        <v>388</v>
      </c>
      <c r="S3078" s="73">
        <v>0</v>
      </c>
      <c r="T3078" s="71" t="s">
        <v>390</v>
      </c>
      <c r="U3078" s="74">
        <v>1</v>
      </c>
      <c r="V3078" s="71" t="s">
        <v>391</v>
      </c>
      <c r="W3078" s="130">
        <v>46093.410416666666</v>
      </c>
      <c r="X3078" s="72">
        <v>46097.568055555559</v>
      </c>
      <c r="Y3078" s="72">
        <v>46107.5</v>
      </c>
      <c r="Z3078" s="104" t="s">
        <v>433</v>
      </c>
      <c r="AA3078" s="104" t="s">
        <v>5006</v>
      </c>
      <c r="AB3078" s="105"/>
      <c r="AC3078" s="105"/>
    </row>
    <row r="3079" s="70" customFormat="1" ht="11.25" customHeight="1">
      <c r="A3079" s="87"/>
      <c r="C3079" s="43" t="s">
        <v>5003</v>
      </c>
      <c r="D3079" s="71" t="s">
        <v>382</v>
      </c>
      <c r="E3079" s="71" t="str">
        <f>MID(D3079,1,2)</f>
        <v>IL</v>
      </c>
      <c r="F3079" s="71" t="s">
        <v>5004</v>
      </c>
      <c r="G3079" s="71" t="str">
        <f>MID(F3079,1,2)</f>
        <v>HN</v>
      </c>
      <c r="H3079" s="43" t="s">
        <v>5005</v>
      </c>
      <c r="I3079" s="71"/>
      <c r="J3079" s="71" t="s">
        <v>426</v>
      </c>
      <c r="K3079" s="43"/>
      <c r="L3079" s="71" t="s">
        <v>105</v>
      </c>
      <c r="M3079" s="73">
        <v>75</v>
      </c>
      <c r="N3079" s="71" t="s">
        <v>388</v>
      </c>
      <c r="O3079" s="73">
        <v>0.672</v>
      </c>
      <c r="P3079" s="71" t="s">
        <v>389</v>
      </c>
      <c r="Q3079" s="73">
        <v>112</v>
      </c>
      <c r="R3079" s="71" t="s">
        <v>388</v>
      </c>
      <c r="S3079" s="73">
        <v>0</v>
      </c>
      <c r="T3079" s="71" t="s">
        <v>390</v>
      </c>
      <c r="U3079" s="74">
        <v>1</v>
      </c>
      <c r="V3079" s="71" t="s">
        <v>391</v>
      </c>
      <c r="W3079" s="130">
        <v>46093.410416666666</v>
      </c>
      <c r="X3079" s="72">
        <v>46097.568055555559</v>
      </c>
      <c r="Y3079" s="72">
        <v>46107.5</v>
      </c>
      <c r="Z3079" s="104" t="s">
        <v>5006</v>
      </c>
      <c r="AA3079" s="104" t="s">
        <v>5004</v>
      </c>
      <c r="AB3079" s="105"/>
      <c r="AC3079" s="105"/>
    </row>
    <row r="3080" s="70" customFormat="1" ht="11.25" customHeight="1">
      <c r="A3080" s="87"/>
      <c r="C3080" s="43" t="s">
        <v>5007</v>
      </c>
      <c r="D3080" s="71" t="s">
        <v>382</v>
      </c>
      <c r="E3080" s="71" t="str">
        <f>MID(D3080,1,2)</f>
        <v>IL</v>
      </c>
      <c r="F3080" s="71" t="s">
        <v>414</v>
      </c>
      <c r="G3080" s="71" t="str">
        <f>MID(F3080,1,2)</f>
        <v>US</v>
      </c>
      <c r="H3080" s="43" t="s">
        <v>3776</v>
      </c>
      <c r="I3080" s="71" t="s">
        <v>5008</v>
      </c>
      <c r="J3080" s="71" t="s">
        <v>400</v>
      </c>
      <c r="K3080" s="43"/>
      <c r="L3080" s="71" t="s">
        <v>105</v>
      </c>
      <c r="M3080" s="73">
        <v>2</v>
      </c>
      <c r="N3080" s="71" t="s">
        <v>388</v>
      </c>
      <c r="O3080" s="73">
        <v>0.011</v>
      </c>
      <c r="P3080" s="71" t="s">
        <v>389</v>
      </c>
      <c r="Q3080" s="73">
        <v>2</v>
      </c>
      <c r="R3080" s="71" t="s">
        <v>388</v>
      </c>
      <c r="S3080" s="73">
        <v>0</v>
      </c>
      <c r="T3080" s="71" t="s">
        <v>390</v>
      </c>
      <c r="U3080" s="74">
        <v>1</v>
      </c>
      <c r="V3080" s="71" t="s">
        <v>427</v>
      </c>
      <c r="W3080" s="130">
        <v>46092.45208333333</v>
      </c>
      <c r="X3080" s="72">
        <v>46099.854166666664</v>
      </c>
      <c r="Y3080" s="72">
        <v>46100.302083333336</v>
      </c>
      <c r="Z3080" s="104" t="s">
        <v>382</v>
      </c>
      <c r="AA3080" s="104" t="s">
        <v>414</v>
      </c>
      <c r="AB3080" s="105">
        <v>46100.102083333331</v>
      </c>
      <c r="AC3080" s="105">
        <v>46100.31527777778</v>
      </c>
    </row>
    <row r="3081" s="70" customFormat="1" ht="11.25" customHeight="1">
      <c r="A3081" s="87"/>
      <c r="C3081" s="43" t="s">
        <v>5009</v>
      </c>
      <c r="D3081" s="71" t="s">
        <v>382</v>
      </c>
      <c r="E3081" s="71" t="str">
        <f>MID(D3081,1,2)</f>
        <v>IL</v>
      </c>
      <c r="F3081" s="71" t="s">
        <v>496</v>
      </c>
      <c r="G3081" s="71" t="str">
        <f>MID(F3081,1,2)</f>
        <v>RO</v>
      </c>
      <c r="H3081" s="43" t="s">
        <v>4839</v>
      </c>
      <c r="I3081" s="71" t="s">
        <v>5010</v>
      </c>
      <c r="J3081" s="71" t="s">
        <v>400</v>
      </c>
      <c r="K3081" s="43"/>
      <c r="L3081" s="71" t="s">
        <v>105</v>
      </c>
      <c r="M3081" s="73">
        <v>16</v>
      </c>
      <c r="N3081" s="71" t="s">
        <v>388</v>
      </c>
      <c r="O3081" s="73">
        <v>0.085</v>
      </c>
      <c r="P3081" s="71" t="s">
        <v>389</v>
      </c>
      <c r="Q3081" s="73">
        <v>16</v>
      </c>
      <c r="R3081" s="71" t="s">
        <v>388</v>
      </c>
      <c r="S3081" s="73">
        <v>0</v>
      </c>
      <c r="T3081" s="71" t="s">
        <v>390</v>
      </c>
      <c r="U3081" s="74">
        <v>1</v>
      </c>
      <c r="V3081" s="71" t="s">
        <v>391</v>
      </c>
      <c r="W3081" s="130">
        <v>46092.423611111109</v>
      </c>
      <c r="X3081" s="72">
        <v>46093</v>
      </c>
      <c r="Y3081" s="72">
        <v>46096.572916666664</v>
      </c>
      <c r="Z3081" s="104" t="s">
        <v>382</v>
      </c>
      <c r="AA3081" s="104" t="s">
        <v>496</v>
      </c>
      <c r="AB3081" s="105">
        <v>46096.452777777777</v>
      </c>
      <c r="AC3081" s="105">
        <v>46096.5625</v>
      </c>
    </row>
    <row r="3082" s="70" customFormat="1" ht="11.25" customHeight="1">
      <c r="A3082" s="87"/>
      <c r="C3082" s="43" t="s">
        <v>5011</v>
      </c>
      <c r="D3082" s="71" t="s">
        <v>382</v>
      </c>
      <c r="E3082" s="71" t="str">
        <f>MID(D3082,1,2)</f>
        <v>IL</v>
      </c>
      <c r="F3082" s="71" t="s">
        <v>919</v>
      </c>
      <c r="G3082" s="71" t="str">
        <f>MID(F3082,1,2)</f>
        <v>CN</v>
      </c>
      <c r="H3082" s="43" t="s">
        <v>4929</v>
      </c>
      <c r="I3082" s="71" t="s">
        <v>5012</v>
      </c>
      <c r="J3082" s="71" t="s">
        <v>755</v>
      </c>
      <c r="K3082" s="43"/>
      <c r="L3082" s="71" t="s">
        <v>105</v>
      </c>
      <c r="M3082" s="73">
        <v>1</v>
      </c>
      <c r="N3082" s="71" t="s">
        <v>388</v>
      </c>
      <c r="O3082" s="73">
        <v>0.009</v>
      </c>
      <c r="P3082" s="71" t="s">
        <v>389</v>
      </c>
      <c r="Q3082" s="73">
        <v>1.5</v>
      </c>
      <c r="R3082" s="71" t="s">
        <v>388</v>
      </c>
      <c r="S3082" s="73">
        <v>0</v>
      </c>
      <c r="T3082" s="71" t="s">
        <v>390</v>
      </c>
      <c r="U3082" s="74">
        <v>1</v>
      </c>
      <c r="V3082" s="71" t="s">
        <v>391</v>
      </c>
      <c r="W3082" s="130">
        <v>46092.594085648147</v>
      </c>
      <c r="X3082" s="72">
        <v>46099.583333333336</v>
      </c>
      <c r="Y3082" s="72">
        <v>46102.73541666667</v>
      </c>
      <c r="Z3082" s="104" t="s">
        <v>382</v>
      </c>
      <c r="AA3082" s="104" t="s">
        <v>402</v>
      </c>
      <c r="AB3082" s="105">
        <v>46099.754166666666</v>
      </c>
      <c r="AC3082" s="105"/>
    </row>
    <row r="3083" s="70" customFormat="1" ht="11.25" customHeight="1">
      <c r="A3083" s="87"/>
      <c r="C3083" s="43" t="s">
        <v>5011</v>
      </c>
      <c r="D3083" s="71" t="s">
        <v>382</v>
      </c>
      <c r="E3083" s="71" t="str">
        <f>MID(D3083,1,2)</f>
        <v>IL</v>
      </c>
      <c r="F3083" s="71" t="s">
        <v>919</v>
      </c>
      <c r="G3083" s="71" t="str">
        <f>MID(F3083,1,2)</f>
        <v>CN</v>
      </c>
      <c r="H3083" s="43" t="s">
        <v>4929</v>
      </c>
      <c r="I3083" s="71" t="s">
        <v>5012</v>
      </c>
      <c r="J3083" s="71" t="s">
        <v>755</v>
      </c>
      <c r="K3083" s="43"/>
      <c r="L3083" s="71" t="s">
        <v>105</v>
      </c>
      <c r="M3083" s="73">
        <v>1</v>
      </c>
      <c r="N3083" s="71" t="s">
        <v>388</v>
      </c>
      <c r="O3083" s="73">
        <v>0.009</v>
      </c>
      <c r="P3083" s="71" t="s">
        <v>389</v>
      </c>
      <c r="Q3083" s="73">
        <v>1.5</v>
      </c>
      <c r="R3083" s="71" t="s">
        <v>388</v>
      </c>
      <c r="S3083" s="73">
        <v>0</v>
      </c>
      <c r="T3083" s="71" t="s">
        <v>390</v>
      </c>
      <c r="U3083" s="74">
        <v>1</v>
      </c>
      <c r="V3083" s="71" t="s">
        <v>391</v>
      </c>
      <c r="W3083" s="130">
        <v>46092.594085648147</v>
      </c>
      <c r="X3083" s="72">
        <v>46099.583333333336</v>
      </c>
      <c r="Y3083" s="72">
        <v>46102.73541666667</v>
      </c>
      <c r="Z3083" s="104" t="s">
        <v>402</v>
      </c>
      <c r="AA3083" s="104" t="s">
        <v>403</v>
      </c>
      <c r="AB3083" s="105">
        <v>46099.92083333333</v>
      </c>
      <c r="AC3083" s="105"/>
    </row>
    <row r="3084" s="70" customFormat="1" ht="11.25" customHeight="1">
      <c r="A3084" s="87"/>
      <c r="C3084" s="43" t="s">
        <v>5011</v>
      </c>
      <c r="D3084" s="71" t="s">
        <v>382</v>
      </c>
      <c r="E3084" s="71" t="str">
        <f>MID(D3084,1,2)</f>
        <v>IL</v>
      </c>
      <c r="F3084" s="71" t="s">
        <v>919</v>
      </c>
      <c r="G3084" s="71" t="str">
        <f>MID(F3084,1,2)</f>
        <v>CN</v>
      </c>
      <c r="H3084" s="43" t="s">
        <v>4929</v>
      </c>
      <c r="I3084" s="71" t="s">
        <v>5012</v>
      </c>
      <c r="J3084" s="71" t="s">
        <v>755</v>
      </c>
      <c r="K3084" s="43"/>
      <c r="L3084" s="71" t="s">
        <v>105</v>
      </c>
      <c r="M3084" s="73">
        <v>1</v>
      </c>
      <c r="N3084" s="71" t="s">
        <v>388</v>
      </c>
      <c r="O3084" s="73">
        <v>0.009</v>
      </c>
      <c r="P3084" s="71" t="s">
        <v>389</v>
      </c>
      <c r="Q3084" s="73">
        <v>1.5</v>
      </c>
      <c r="R3084" s="71" t="s">
        <v>388</v>
      </c>
      <c r="S3084" s="73">
        <v>0</v>
      </c>
      <c r="T3084" s="71" t="s">
        <v>390</v>
      </c>
      <c r="U3084" s="74">
        <v>1</v>
      </c>
      <c r="V3084" s="71" t="s">
        <v>391</v>
      </c>
      <c r="W3084" s="130">
        <v>46092.594085648147</v>
      </c>
      <c r="X3084" s="72">
        <v>46099.583333333336</v>
      </c>
      <c r="Y3084" s="72">
        <v>46102.73541666667</v>
      </c>
      <c r="Z3084" s="104" t="s">
        <v>403</v>
      </c>
      <c r="AA3084" s="104" t="s">
        <v>919</v>
      </c>
      <c r="AB3084" s="105">
        <v>46102.611111111109</v>
      </c>
      <c r="AC3084" s="105">
        <v>46102.760416666664</v>
      </c>
    </row>
    <row r="3085" s="70" customFormat="1" ht="11.25" customHeight="1">
      <c r="A3085" s="87"/>
      <c r="C3085" s="43" t="s">
        <v>5013</v>
      </c>
      <c r="D3085" s="71" t="s">
        <v>382</v>
      </c>
      <c r="E3085" s="71" t="str">
        <f>MID(D3085,1,2)</f>
        <v>IL</v>
      </c>
      <c r="F3085" s="71" t="s">
        <v>414</v>
      </c>
      <c r="G3085" s="71" t="str">
        <f>MID(F3085,1,2)</f>
        <v>US</v>
      </c>
      <c r="H3085" s="43" t="s">
        <v>3776</v>
      </c>
      <c r="I3085" s="71" t="s">
        <v>5014</v>
      </c>
      <c r="J3085" s="71" t="s">
        <v>386</v>
      </c>
      <c r="K3085" s="43"/>
      <c r="L3085" s="71" t="s">
        <v>107</v>
      </c>
      <c r="M3085" s="73">
        <v>35</v>
      </c>
      <c r="N3085" s="71" t="s">
        <v>388</v>
      </c>
      <c r="O3085" s="73">
        <v>0.506</v>
      </c>
      <c r="P3085" s="71" t="s">
        <v>389</v>
      </c>
      <c r="Q3085" s="73">
        <v>84.5</v>
      </c>
      <c r="R3085" s="71" t="s">
        <v>388</v>
      </c>
      <c r="S3085" s="73">
        <v>0</v>
      </c>
      <c r="T3085" s="71" t="s">
        <v>390</v>
      </c>
      <c r="U3085" s="74">
        <v>1</v>
      </c>
      <c r="V3085" s="71" t="s">
        <v>391</v>
      </c>
      <c r="W3085" s="130">
        <v>46092.444444444445</v>
      </c>
      <c r="X3085" s="72">
        <v>46099.854166666664</v>
      </c>
      <c r="Y3085" s="72">
        <v>46100.302083333336</v>
      </c>
      <c r="Z3085" s="104" t="s">
        <v>382</v>
      </c>
      <c r="AA3085" s="104" t="s">
        <v>414</v>
      </c>
      <c r="AB3085" s="105">
        <v>46100.102083333331</v>
      </c>
      <c r="AC3085" s="105">
        <v>46100.31527777778</v>
      </c>
    </row>
    <row r="3086" s="70" customFormat="1" ht="11.25" customHeight="1">
      <c r="A3086" s="87"/>
      <c r="C3086" s="43" t="s">
        <v>5015</v>
      </c>
      <c r="D3086" s="71" t="s">
        <v>382</v>
      </c>
      <c r="E3086" s="71" t="str">
        <f>MID(D3086,1,2)</f>
        <v>IL</v>
      </c>
      <c r="F3086" s="71" t="s">
        <v>1363</v>
      </c>
      <c r="G3086" s="71" t="str">
        <f>MID(F3086,1,2)</f>
        <v>CN</v>
      </c>
      <c r="H3086" s="43" t="s">
        <v>4866</v>
      </c>
      <c r="I3086" s="71" t="s">
        <v>5016</v>
      </c>
      <c r="J3086" s="71" t="s">
        <v>755</v>
      </c>
      <c r="K3086" s="43" t="s">
        <v>3595</v>
      </c>
      <c r="L3086" s="71" t="s">
        <v>105</v>
      </c>
      <c r="M3086" s="73">
        <v>1.1</v>
      </c>
      <c r="N3086" s="71" t="s">
        <v>388</v>
      </c>
      <c r="O3086" s="73">
        <v>0.012</v>
      </c>
      <c r="P3086" s="71" t="s">
        <v>389</v>
      </c>
      <c r="Q3086" s="73">
        <v>2</v>
      </c>
      <c r="R3086" s="71" t="s">
        <v>388</v>
      </c>
      <c r="S3086" s="73">
        <v>0</v>
      </c>
      <c r="T3086" s="71" t="s">
        <v>390</v>
      </c>
      <c r="U3086" s="74">
        <v>1</v>
      </c>
      <c r="V3086" s="71" t="s">
        <v>391</v>
      </c>
      <c r="W3086" s="130">
        <v>46092.590509259258</v>
      </c>
      <c r="X3086" s="72">
        <v>46098.791666666664</v>
      </c>
      <c r="Y3086" s="72">
        <v>46102.958333333336</v>
      </c>
      <c r="Z3086" s="104" t="s">
        <v>382</v>
      </c>
      <c r="AA3086" s="104" t="s">
        <v>684</v>
      </c>
      <c r="AB3086" s="105">
        <v>46098.798611111109</v>
      </c>
      <c r="AC3086" s="105"/>
    </row>
    <row r="3087" s="70" customFormat="1" ht="11.25" customHeight="1">
      <c r="A3087" s="87"/>
      <c r="C3087" s="43" t="s">
        <v>5015</v>
      </c>
      <c r="D3087" s="71" t="s">
        <v>382</v>
      </c>
      <c r="E3087" s="71" t="str">
        <f>MID(D3087,1,2)</f>
        <v>IL</v>
      </c>
      <c r="F3087" s="71" t="s">
        <v>1363</v>
      </c>
      <c r="G3087" s="71" t="str">
        <f>MID(F3087,1,2)</f>
        <v>CN</v>
      </c>
      <c r="H3087" s="43" t="s">
        <v>4866</v>
      </c>
      <c r="I3087" s="71" t="s">
        <v>5016</v>
      </c>
      <c r="J3087" s="71" t="s">
        <v>755</v>
      </c>
      <c r="K3087" s="43" t="s">
        <v>3595</v>
      </c>
      <c r="L3087" s="71" t="s">
        <v>105</v>
      </c>
      <c r="M3087" s="73">
        <v>1.1</v>
      </c>
      <c r="N3087" s="71" t="s">
        <v>388</v>
      </c>
      <c r="O3087" s="73">
        <v>0.012</v>
      </c>
      <c r="P3087" s="71" t="s">
        <v>389</v>
      </c>
      <c r="Q3087" s="73">
        <v>2</v>
      </c>
      <c r="R3087" s="71" t="s">
        <v>388</v>
      </c>
      <c r="S3087" s="73">
        <v>0</v>
      </c>
      <c r="T3087" s="71" t="s">
        <v>390</v>
      </c>
      <c r="U3087" s="74">
        <v>1</v>
      </c>
      <c r="V3087" s="71" t="s">
        <v>391</v>
      </c>
      <c r="W3087" s="130">
        <v>46092.590509259258</v>
      </c>
      <c r="X3087" s="72">
        <v>46098.791666666664</v>
      </c>
      <c r="Y3087" s="72">
        <v>46102.958333333336</v>
      </c>
      <c r="Z3087" s="104" t="s">
        <v>684</v>
      </c>
      <c r="AA3087" s="104" t="s">
        <v>1363</v>
      </c>
      <c r="AB3087" s="105"/>
      <c r="AC3087" s="105"/>
    </row>
    <row r="3088" s="70" customFormat="1" ht="11.25" customHeight="1">
      <c r="A3088" s="87"/>
      <c r="C3088" s="43" t="s">
        <v>5017</v>
      </c>
      <c r="D3088" s="71" t="s">
        <v>382</v>
      </c>
      <c r="E3088" s="71" t="str">
        <f>MID(D3088,1,2)</f>
        <v>IL</v>
      </c>
      <c r="F3088" s="71" t="s">
        <v>414</v>
      </c>
      <c r="G3088" s="71" t="str">
        <f>MID(F3088,1,2)</f>
        <v>US</v>
      </c>
      <c r="H3088" s="43" t="s">
        <v>3776</v>
      </c>
      <c r="I3088" s="71" t="s">
        <v>5018</v>
      </c>
      <c r="J3088" s="71" t="s">
        <v>454</v>
      </c>
      <c r="K3088" s="43"/>
      <c r="L3088" s="71" t="s">
        <v>107</v>
      </c>
      <c r="M3088" s="73">
        <v>5</v>
      </c>
      <c r="N3088" s="71" t="s">
        <v>388</v>
      </c>
      <c r="O3088" s="73">
        <v>0.012</v>
      </c>
      <c r="P3088" s="71" t="s">
        <v>389</v>
      </c>
      <c r="Q3088" s="73">
        <v>5</v>
      </c>
      <c r="R3088" s="71" t="s">
        <v>388</v>
      </c>
      <c r="S3088" s="73">
        <v>0</v>
      </c>
      <c r="T3088" s="71" t="s">
        <v>390</v>
      </c>
      <c r="U3088" s="74">
        <v>1</v>
      </c>
      <c r="V3088" s="71" t="s">
        <v>427</v>
      </c>
      <c r="W3088" s="130">
        <v>46092.459027777775</v>
      </c>
      <c r="X3088" s="72">
        <v>46099.854166666664</v>
      </c>
      <c r="Y3088" s="72">
        <v>46100.302083333336</v>
      </c>
      <c r="Z3088" s="104" t="s">
        <v>382</v>
      </c>
      <c r="AA3088" s="104" t="s">
        <v>414</v>
      </c>
      <c r="AB3088" s="105">
        <v>46100.102083333331</v>
      </c>
      <c r="AC3088" s="105">
        <v>46100.31527777778</v>
      </c>
    </row>
    <row r="3089" s="70" customFormat="1" ht="11.25" customHeight="1">
      <c r="A3089" s="87"/>
      <c r="C3089" s="43" t="s">
        <v>5019</v>
      </c>
      <c r="D3089" s="71" t="s">
        <v>382</v>
      </c>
      <c r="E3089" s="71" t="str">
        <f>MID(D3089,1,2)</f>
        <v>IL</v>
      </c>
      <c r="F3089" s="71" t="s">
        <v>680</v>
      </c>
      <c r="G3089" s="71" t="str">
        <f>MID(F3089,1,2)</f>
        <v>DE</v>
      </c>
      <c r="H3089" s="43" t="s">
        <v>3495</v>
      </c>
      <c r="I3089" s="71" t="s">
        <v>5020</v>
      </c>
      <c r="J3089" s="71" t="s">
        <v>386</v>
      </c>
      <c r="K3089" s="43"/>
      <c r="L3089" s="71" t="s">
        <v>107</v>
      </c>
      <c r="M3089" s="73">
        <v>250</v>
      </c>
      <c r="N3089" s="71" t="s">
        <v>388</v>
      </c>
      <c r="O3089" s="73">
        <v>0.82</v>
      </c>
      <c r="P3089" s="71" t="s">
        <v>389</v>
      </c>
      <c r="Q3089" s="73">
        <v>250</v>
      </c>
      <c r="R3089" s="71" t="s">
        <v>388</v>
      </c>
      <c r="S3089" s="73">
        <v>0</v>
      </c>
      <c r="T3089" s="71" t="s">
        <v>390</v>
      </c>
      <c r="U3089" s="74">
        <v>1</v>
      </c>
      <c r="V3089" s="71" t="s">
        <v>391</v>
      </c>
      <c r="W3089" s="130">
        <v>46092.552083333336</v>
      </c>
      <c r="X3089" s="72">
        <v>46097</v>
      </c>
      <c r="Y3089" s="72">
        <v>46102.1125</v>
      </c>
      <c r="Z3089" s="104" t="s">
        <v>383</v>
      </c>
      <c r="AA3089" s="104" t="s">
        <v>680</v>
      </c>
      <c r="AB3089" s="105">
        <v>46102.056944444441</v>
      </c>
      <c r="AC3089" s="105"/>
    </row>
    <row r="3090" s="70" customFormat="1" ht="11.25" customHeight="1">
      <c r="A3090" s="87"/>
      <c r="C3090" s="43" t="s">
        <v>5019</v>
      </c>
      <c r="D3090" s="71" t="s">
        <v>382</v>
      </c>
      <c r="E3090" s="71" t="str">
        <f>MID(D3090,1,2)</f>
        <v>IL</v>
      </c>
      <c r="F3090" s="71" t="s">
        <v>680</v>
      </c>
      <c r="G3090" s="71" t="str">
        <f>MID(F3090,1,2)</f>
        <v>DE</v>
      </c>
      <c r="H3090" s="43" t="s">
        <v>3495</v>
      </c>
      <c r="I3090" s="71" t="s">
        <v>5020</v>
      </c>
      <c r="J3090" s="71" t="s">
        <v>386</v>
      </c>
      <c r="K3090" s="43"/>
      <c r="L3090" s="71" t="s">
        <v>107</v>
      </c>
      <c r="M3090" s="73">
        <v>250</v>
      </c>
      <c r="N3090" s="71" t="s">
        <v>388</v>
      </c>
      <c r="O3090" s="73">
        <v>0.82</v>
      </c>
      <c r="P3090" s="71" t="s">
        <v>389</v>
      </c>
      <c r="Q3090" s="73">
        <v>250</v>
      </c>
      <c r="R3090" s="71" t="s">
        <v>388</v>
      </c>
      <c r="S3090" s="73">
        <v>0</v>
      </c>
      <c r="T3090" s="71" t="s">
        <v>390</v>
      </c>
      <c r="U3090" s="74">
        <v>1</v>
      </c>
      <c r="V3090" s="71" t="s">
        <v>391</v>
      </c>
      <c r="W3090" s="130">
        <v>46092.552083333336</v>
      </c>
      <c r="X3090" s="72">
        <v>46097</v>
      </c>
      <c r="Y3090" s="72">
        <v>46102.1125</v>
      </c>
      <c r="Z3090" s="104" t="s">
        <v>382</v>
      </c>
      <c r="AA3090" s="104" t="s">
        <v>383</v>
      </c>
      <c r="AB3090" s="105">
        <v>46100.42291666667</v>
      </c>
      <c r="AC3090" s="105">
        <v>46100.552777777775</v>
      </c>
    </row>
    <row r="3091" s="70" customFormat="1" ht="11.25" customHeight="1">
      <c r="A3091" s="87"/>
      <c r="C3091" s="43" t="s">
        <v>5021</v>
      </c>
      <c r="D3091" s="71" t="s">
        <v>382</v>
      </c>
      <c r="E3091" s="71" t="str">
        <f>MID(D3091,1,2)</f>
        <v>IL</v>
      </c>
      <c r="F3091" s="71" t="s">
        <v>414</v>
      </c>
      <c r="G3091" s="71" t="str">
        <f>MID(F3091,1,2)</f>
        <v>US</v>
      </c>
      <c r="H3091" s="43" t="s">
        <v>3776</v>
      </c>
      <c r="I3091" s="71" t="s">
        <v>5022</v>
      </c>
      <c r="J3091" s="71" t="s">
        <v>426</v>
      </c>
      <c r="K3091" s="43"/>
      <c r="L3091" s="71" t="s">
        <v>105</v>
      </c>
      <c r="M3091" s="73">
        <v>540</v>
      </c>
      <c r="N3091" s="71" t="s">
        <v>388</v>
      </c>
      <c r="O3091" s="73">
        <v>5.775</v>
      </c>
      <c r="P3091" s="71" t="s">
        <v>389</v>
      </c>
      <c r="Q3091" s="73">
        <v>962.5</v>
      </c>
      <c r="R3091" s="71" t="s">
        <v>388</v>
      </c>
      <c r="S3091" s="73">
        <v>0</v>
      </c>
      <c r="T3091" s="71" t="s">
        <v>390</v>
      </c>
      <c r="U3091" s="74">
        <v>4</v>
      </c>
      <c r="V3091" s="71" t="s">
        <v>391</v>
      </c>
      <c r="W3091" s="130">
        <v>46092.472916666666</v>
      </c>
      <c r="X3091" s="72">
        <v>46099.854166666664</v>
      </c>
      <c r="Y3091" s="72">
        <v>46100.302083333336</v>
      </c>
      <c r="Z3091" s="104" t="s">
        <v>382</v>
      </c>
      <c r="AA3091" s="104" t="s">
        <v>414</v>
      </c>
      <c r="AB3091" s="105">
        <v>46100.102083333331</v>
      </c>
      <c r="AC3091" s="105">
        <v>46100.31527777778</v>
      </c>
    </row>
    <row r="3092" s="70" customFormat="1" ht="11.25" customHeight="1">
      <c r="A3092" s="87"/>
      <c r="C3092" s="43" t="s">
        <v>5023</v>
      </c>
      <c r="D3092" s="71" t="s">
        <v>382</v>
      </c>
      <c r="E3092" s="71" t="str">
        <f>MID(D3092,1,2)</f>
        <v>IL</v>
      </c>
      <c r="F3092" s="71" t="s">
        <v>542</v>
      </c>
      <c r="G3092" s="71" t="str">
        <f>MID(F3092,1,2)</f>
        <v>US</v>
      </c>
      <c r="H3092" s="43" t="s">
        <v>5024</v>
      </c>
      <c r="I3092" s="71" t="s">
        <v>5025</v>
      </c>
      <c r="J3092" s="71" t="s">
        <v>386</v>
      </c>
      <c r="K3092" s="43"/>
      <c r="L3092" s="71" t="s">
        <v>107</v>
      </c>
      <c r="M3092" s="73">
        <v>36</v>
      </c>
      <c r="N3092" s="71" t="s">
        <v>388</v>
      </c>
      <c r="O3092" s="73">
        <v>0.185</v>
      </c>
      <c r="P3092" s="71" t="s">
        <v>389</v>
      </c>
      <c r="Q3092" s="73">
        <v>100</v>
      </c>
      <c r="R3092" s="71" t="s">
        <v>388</v>
      </c>
      <c r="S3092" s="73">
        <v>0</v>
      </c>
      <c r="T3092" s="71" t="s">
        <v>390</v>
      </c>
      <c r="U3092" s="74">
        <v>1</v>
      </c>
      <c r="V3092" s="71" t="s">
        <v>391</v>
      </c>
      <c r="W3092" s="130">
        <v>46092.51458333333</v>
      </c>
      <c r="X3092" s="72">
        <v>46096.979166666664</v>
      </c>
      <c r="Y3092" s="72">
        <v>46103.791666666664</v>
      </c>
      <c r="Z3092" s="104" t="s">
        <v>382</v>
      </c>
      <c r="AA3092" s="104" t="s">
        <v>408</v>
      </c>
      <c r="AB3092" s="105">
        <v>46096.147916666669</v>
      </c>
      <c r="AC3092" s="105"/>
    </row>
    <row r="3093" s="70" customFormat="1" ht="11.25" customHeight="1">
      <c r="A3093" s="87"/>
      <c r="C3093" s="43" t="s">
        <v>5023</v>
      </c>
      <c r="D3093" s="71" t="s">
        <v>382</v>
      </c>
      <c r="E3093" s="71" t="str">
        <f>MID(D3093,1,2)</f>
        <v>IL</v>
      </c>
      <c r="F3093" s="71" t="s">
        <v>542</v>
      </c>
      <c r="G3093" s="71" t="str">
        <f>MID(F3093,1,2)</f>
        <v>US</v>
      </c>
      <c r="H3093" s="43" t="s">
        <v>5024</v>
      </c>
      <c r="I3093" s="71" t="s">
        <v>5025</v>
      </c>
      <c r="J3093" s="71" t="s">
        <v>386</v>
      </c>
      <c r="K3093" s="43"/>
      <c r="L3093" s="71" t="s">
        <v>107</v>
      </c>
      <c r="M3093" s="73">
        <v>36</v>
      </c>
      <c r="N3093" s="71" t="s">
        <v>388</v>
      </c>
      <c r="O3093" s="73">
        <v>0.185</v>
      </c>
      <c r="P3093" s="71" t="s">
        <v>389</v>
      </c>
      <c r="Q3093" s="73">
        <v>100</v>
      </c>
      <c r="R3093" s="71" t="s">
        <v>388</v>
      </c>
      <c r="S3093" s="73">
        <v>0</v>
      </c>
      <c r="T3093" s="71" t="s">
        <v>390</v>
      </c>
      <c r="U3093" s="74">
        <v>1</v>
      </c>
      <c r="V3093" s="71" t="s">
        <v>391</v>
      </c>
      <c r="W3093" s="130">
        <v>46092.51458333333</v>
      </c>
      <c r="X3093" s="72">
        <v>46096.979166666664</v>
      </c>
      <c r="Y3093" s="72">
        <v>46103.791666666664</v>
      </c>
      <c r="Z3093" s="104" t="s">
        <v>408</v>
      </c>
      <c r="AA3093" s="104" t="s">
        <v>405</v>
      </c>
      <c r="AB3093" s="105">
        <v>46100.503472222219</v>
      </c>
      <c r="AC3093" s="105">
        <v>46100.6875</v>
      </c>
    </row>
    <row r="3094" s="70" customFormat="1" ht="11.25" customHeight="1">
      <c r="A3094" s="87"/>
      <c r="C3094" s="43" t="s">
        <v>5023</v>
      </c>
      <c r="D3094" s="71" t="s">
        <v>382</v>
      </c>
      <c r="E3094" s="71" t="str">
        <f>MID(D3094,1,2)</f>
        <v>IL</v>
      </c>
      <c r="F3094" s="71" t="s">
        <v>542</v>
      </c>
      <c r="G3094" s="71" t="str">
        <f>MID(F3094,1,2)</f>
        <v>US</v>
      </c>
      <c r="H3094" s="43" t="s">
        <v>5024</v>
      </c>
      <c r="I3094" s="71" t="s">
        <v>5025</v>
      </c>
      <c r="J3094" s="71" t="s">
        <v>386</v>
      </c>
      <c r="K3094" s="43"/>
      <c r="L3094" s="71" t="s">
        <v>107</v>
      </c>
      <c r="M3094" s="73">
        <v>36</v>
      </c>
      <c r="N3094" s="71" t="s">
        <v>388</v>
      </c>
      <c r="O3094" s="73">
        <v>0.185</v>
      </c>
      <c r="P3094" s="71" t="s">
        <v>389</v>
      </c>
      <c r="Q3094" s="73">
        <v>100</v>
      </c>
      <c r="R3094" s="71" t="s">
        <v>388</v>
      </c>
      <c r="S3094" s="73">
        <v>0</v>
      </c>
      <c r="T3094" s="71" t="s">
        <v>390</v>
      </c>
      <c r="U3094" s="74">
        <v>1</v>
      </c>
      <c r="V3094" s="71" t="s">
        <v>391</v>
      </c>
      <c r="W3094" s="130">
        <v>46092.51458333333</v>
      </c>
      <c r="X3094" s="72">
        <v>46096.979166666664</v>
      </c>
      <c r="Y3094" s="72">
        <v>46103.791666666664</v>
      </c>
      <c r="Z3094" s="104" t="s">
        <v>405</v>
      </c>
      <c r="AA3094" s="104" t="s">
        <v>542</v>
      </c>
      <c r="AB3094" s="105">
        <v>46103.258333333331</v>
      </c>
      <c r="AC3094" s="105">
        <v>46103.370833333334</v>
      </c>
    </row>
    <row r="3095" s="70" customFormat="1" ht="11.25" customHeight="1">
      <c r="A3095" s="87"/>
      <c r="C3095" s="43" t="s">
        <v>5026</v>
      </c>
      <c r="D3095" s="71" t="s">
        <v>382</v>
      </c>
      <c r="E3095" s="71" t="str">
        <f>MID(D3095,1,2)</f>
        <v>IL</v>
      </c>
      <c r="F3095" s="71" t="s">
        <v>651</v>
      </c>
      <c r="G3095" s="71" t="str">
        <f>MID(F3095,1,2)</f>
        <v>BR</v>
      </c>
      <c r="H3095" s="43" t="s">
        <v>4226</v>
      </c>
      <c r="I3095" s="71" t="s">
        <v>5027</v>
      </c>
      <c r="J3095" s="71" t="s">
        <v>386</v>
      </c>
      <c r="K3095" s="43"/>
      <c r="L3095" s="71" t="s">
        <v>107</v>
      </c>
      <c r="M3095" s="73">
        <v>40</v>
      </c>
      <c r="N3095" s="71" t="s">
        <v>388</v>
      </c>
      <c r="O3095" s="73">
        <v>0.421</v>
      </c>
      <c r="P3095" s="71" t="s">
        <v>389</v>
      </c>
      <c r="Q3095" s="73">
        <v>70.5</v>
      </c>
      <c r="R3095" s="71" t="s">
        <v>388</v>
      </c>
      <c r="S3095" s="73">
        <v>0</v>
      </c>
      <c r="T3095" s="71" t="s">
        <v>390</v>
      </c>
      <c r="U3095" s="74">
        <v>2</v>
      </c>
      <c r="V3095" s="71" t="s">
        <v>391</v>
      </c>
      <c r="W3095" s="130">
        <v>46092.486111111109</v>
      </c>
      <c r="X3095" s="72">
        <v>46093.979166666664</v>
      </c>
      <c r="Y3095" s="72">
        <v>46101.375</v>
      </c>
      <c r="Z3095" s="104" t="s">
        <v>382</v>
      </c>
      <c r="AA3095" s="104" t="s">
        <v>408</v>
      </c>
      <c r="AB3095" s="105">
        <v>46096.902083333334</v>
      </c>
      <c r="AC3095" s="105"/>
    </row>
    <row r="3096" s="70" customFormat="1" ht="11.25" customHeight="1">
      <c r="A3096" s="87"/>
      <c r="C3096" s="43" t="s">
        <v>5026</v>
      </c>
      <c r="D3096" s="71" t="s">
        <v>382</v>
      </c>
      <c r="E3096" s="71" t="str">
        <f>MID(D3096,1,2)</f>
        <v>IL</v>
      </c>
      <c r="F3096" s="71" t="s">
        <v>651</v>
      </c>
      <c r="G3096" s="71" t="str">
        <f>MID(F3096,1,2)</f>
        <v>BR</v>
      </c>
      <c r="H3096" s="43" t="s">
        <v>4226</v>
      </c>
      <c r="I3096" s="71" t="s">
        <v>5027</v>
      </c>
      <c r="J3096" s="71" t="s">
        <v>386</v>
      </c>
      <c r="K3096" s="43"/>
      <c r="L3096" s="71" t="s">
        <v>107</v>
      </c>
      <c r="M3096" s="73">
        <v>40</v>
      </c>
      <c r="N3096" s="71" t="s">
        <v>388</v>
      </c>
      <c r="O3096" s="73">
        <v>0.421</v>
      </c>
      <c r="P3096" s="71" t="s">
        <v>389</v>
      </c>
      <c r="Q3096" s="73">
        <v>70.5</v>
      </c>
      <c r="R3096" s="71" t="s">
        <v>388</v>
      </c>
      <c r="S3096" s="73">
        <v>0</v>
      </c>
      <c r="T3096" s="71" t="s">
        <v>390</v>
      </c>
      <c r="U3096" s="74">
        <v>2</v>
      </c>
      <c r="V3096" s="71" t="s">
        <v>391</v>
      </c>
      <c r="W3096" s="130">
        <v>46092.486111111109</v>
      </c>
      <c r="X3096" s="72">
        <v>46093.979166666664</v>
      </c>
      <c r="Y3096" s="72">
        <v>46101.375</v>
      </c>
      <c r="Z3096" s="104" t="s">
        <v>408</v>
      </c>
      <c r="AA3096" s="104" t="s">
        <v>480</v>
      </c>
      <c r="AB3096" s="105">
        <v>46099.482638888891</v>
      </c>
      <c r="AC3096" s="105">
        <v>46099.616666666669</v>
      </c>
    </row>
    <row r="3097" s="70" customFormat="1" ht="11.25" customHeight="1">
      <c r="A3097" s="87"/>
      <c r="C3097" s="43" t="s">
        <v>5026</v>
      </c>
      <c r="D3097" s="71" t="s">
        <v>382</v>
      </c>
      <c r="E3097" s="71" t="str">
        <f>MID(D3097,1,2)</f>
        <v>IL</v>
      </c>
      <c r="F3097" s="71" t="s">
        <v>651</v>
      </c>
      <c r="G3097" s="71" t="str">
        <f>MID(F3097,1,2)</f>
        <v>BR</v>
      </c>
      <c r="H3097" s="43" t="s">
        <v>4226</v>
      </c>
      <c r="I3097" s="71" t="s">
        <v>5027</v>
      </c>
      <c r="J3097" s="71" t="s">
        <v>386</v>
      </c>
      <c r="K3097" s="43"/>
      <c r="L3097" s="71" t="s">
        <v>107</v>
      </c>
      <c r="M3097" s="73">
        <v>40</v>
      </c>
      <c r="N3097" s="71" t="s">
        <v>388</v>
      </c>
      <c r="O3097" s="73">
        <v>0.421</v>
      </c>
      <c r="P3097" s="71" t="s">
        <v>389</v>
      </c>
      <c r="Q3097" s="73">
        <v>70.5</v>
      </c>
      <c r="R3097" s="71" t="s">
        <v>388</v>
      </c>
      <c r="S3097" s="73">
        <v>0</v>
      </c>
      <c r="T3097" s="71" t="s">
        <v>390</v>
      </c>
      <c r="U3097" s="74">
        <v>2</v>
      </c>
      <c r="V3097" s="71" t="s">
        <v>391</v>
      </c>
      <c r="W3097" s="130">
        <v>46092.486111111109</v>
      </c>
      <c r="X3097" s="72">
        <v>46093.979166666664</v>
      </c>
      <c r="Y3097" s="72">
        <v>46101.375</v>
      </c>
      <c r="Z3097" s="104" t="s">
        <v>405</v>
      </c>
      <c r="AA3097" s="104" t="s">
        <v>651</v>
      </c>
      <c r="AB3097" s="105">
        <v>46100.909722222219</v>
      </c>
      <c r="AC3097" s="105">
        <v>46101.381944444445</v>
      </c>
    </row>
    <row r="3098" s="70" customFormat="1" ht="11.25" customHeight="1">
      <c r="A3098" s="87"/>
      <c r="C3098" s="43" t="s">
        <v>5028</v>
      </c>
      <c r="D3098" s="71" t="s">
        <v>382</v>
      </c>
      <c r="E3098" s="71" t="str">
        <f>MID(D3098,1,2)</f>
        <v>IL</v>
      </c>
      <c r="F3098" s="71" t="s">
        <v>651</v>
      </c>
      <c r="G3098" s="71" t="str">
        <f>MID(F3098,1,2)</f>
        <v>BR</v>
      </c>
      <c r="H3098" s="43" t="s">
        <v>4226</v>
      </c>
      <c r="I3098" s="71" t="s">
        <v>5029</v>
      </c>
      <c r="J3098" s="71" t="s">
        <v>386</v>
      </c>
      <c r="K3098" s="43"/>
      <c r="L3098" s="71" t="s">
        <v>107</v>
      </c>
      <c r="M3098" s="73">
        <v>37</v>
      </c>
      <c r="N3098" s="71" t="s">
        <v>388</v>
      </c>
      <c r="O3098" s="73">
        <v>0.164</v>
      </c>
      <c r="P3098" s="71" t="s">
        <v>389</v>
      </c>
      <c r="Q3098" s="73">
        <v>37</v>
      </c>
      <c r="R3098" s="71" t="s">
        <v>388</v>
      </c>
      <c r="S3098" s="73">
        <v>0</v>
      </c>
      <c r="T3098" s="71" t="s">
        <v>390</v>
      </c>
      <c r="U3098" s="74">
        <v>1</v>
      </c>
      <c r="V3098" s="71" t="s">
        <v>391</v>
      </c>
      <c r="W3098" s="130">
        <v>46092.507638888892</v>
      </c>
      <c r="X3098" s="72">
        <v>46093.979166666664</v>
      </c>
      <c r="Y3098" s="72">
        <v>46101.375</v>
      </c>
      <c r="Z3098" s="104" t="s">
        <v>382</v>
      </c>
      <c r="AA3098" s="104" t="s">
        <v>408</v>
      </c>
      <c r="AB3098" s="105">
        <v>46096.902083333334</v>
      </c>
      <c r="AC3098" s="105"/>
    </row>
    <row r="3099" s="70" customFormat="1" ht="11.25" customHeight="1">
      <c r="A3099" s="87"/>
      <c r="C3099" s="43" t="s">
        <v>5028</v>
      </c>
      <c r="D3099" s="71" t="s">
        <v>382</v>
      </c>
      <c r="E3099" s="71" t="str">
        <f>MID(D3099,1,2)</f>
        <v>IL</v>
      </c>
      <c r="F3099" s="71" t="s">
        <v>651</v>
      </c>
      <c r="G3099" s="71" t="str">
        <f>MID(F3099,1,2)</f>
        <v>BR</v>
      </c>
      <c r="H3099" s="43" t="s">
        <v>4226</v>
      </c>
      <c r="I3099" s="71" t="s">
        <v>5029</v>
      </c>
      <c r="J3099" s="71" t="s">
        <v>386</v>
      </c>
      <c r="K3099" s="43"/>
      <c r="L3099" s="71" t="s">
        <v>107</v>
      </c>
      <c r="M3099" s="73">
        <v>37</v>
      </c>
      <c r="N3099" s="71" t="s">
        <v>388</v>
      </c>
      <c r="O3099" s="73">
        <v>0.164</v>
      </c>
      <c r="P3099" s="71" t="s">
        <v>389</v>
      </c>
      <c r="Q3099" s="73">
        <v>37</v>
      </c>
      <c r="R3099" s="71" t="s">
        <v>388</v>
      </c>
      <c r="S3099" s="73">
        <v>0</v>
      </c>
      <c r="T3099" s="71" t="s">
        <v>390</v>
      </c>
      <c r="U3099" s="74">
        <v>1</v>
      </c>
      <c r="V3099" s="71" t="s">
        <v>391</v>
      </c>
      <c r="W3099" s="130">
        <v>46092.507638888892</v>
      </c>
      <c r="X3099" s="72">
        <v>46093.979166666664</v>
      </c>
      <c r="Y3099" s="72">
        <v>46101.375</v>
      </c>
      <c r="Z3099" s="104" t="s">
        <v>408</v>
      </c>
      <c r="AA3099" s="104" t="s">
        <v>480</v>
      </c>
      <c r="AB3099" s="105">
        <v>46099.482638888891</v>
      </c>
      <c r="AC3099" s="105">
        <v>46099.616666666669</v>
      </c>
    </row>
    <row r="3100" s="70" customFormat="1" ht="11.25" customHeight="1">
      <c r="A3100" s="87"/>
      <c r="C3100" s="43" t="s">
        <v>5028</v>
      </c>
      <c r="D3100" s="71" t="s">
        <v>382</v>
      </c>
      <c r="E3100" s="71" t="str">
        <f>MID(D3100,1,2)</f>
        <v>IL</v>
      </c>
      <c r="F3100" s="71" t="s">
        <v>651</v>
      </c>
      <c r="G3100" s="71" t="str">
        <f>MID(F3100,1,2)</f>
        <v>BR</v>
      </c>
      <c r="H3100" s="43" t="s">
        <v>4226</v>
      </c>
      <c r="I3100" s="71" t="s">
        <v>5029</v>
      </c>
      <c r="J3100" s="71" t="s">
        <v>386</v>
      </c>
      <c r="K3100" s="43"/>
      <c r="L3100" s="71" t="s">
        <v>107</v>
      </c>
      <c r="M3100" s="73">
        <v>37</v>
      </c>
      <c r="N3100" s="71" t="s">
        <v>388</v>
      </c>
      <c r="O3100" s="73">
        <v>0.164</v>
      </c>
      <c r="P3100" s="71" t="s">
        <v>389</v>
      </c>
      <c r="Q3100" s="73">
        <v>37</v>
      </c>
      <c r="R3100" s="71" t="s">
        <v>388</v>
      </c>
      <c r="S3100" s="73">
        <v>0</v>
      </c>
      <c r="T3100" s="71" t="s">
        <v>390</v>
      </c>
      <c r="U3100" s="74">
        <v>1</v>
      </c>
      <c r="V3100" s="71" t="s">
        <v>391</v>
      </c>
      <c r="W3100" s="130">
        <v>46092.507638888892</v>
      </c>
      <c r="X3100" s="72">
        <v>46093.979166666664</v>
      </c>
      <c r="Y3100" s="72">
        <v>46101.375</v>
      </c>
      <c r="Z3100" s="104" t="s">
        <v>405</v>
      </c>
      <c r="AA3100" s="104" t="s">
        <v>651</v>
      </c>
      <c r="AB3100" s="105">
        <v>46100.909722222219</v>
      </c>
      <c r="AC3100" s="105">
        <v>46101.381944444445</v>
      </c>
    </row>
    <row r="3101" s="70" customFormat="1" ht="11.25" customHeight="1">
      <c r="A3101" s="87"/>
      <c r="C3101" s="43" t="s">
        <v>5030</v>
      </c>
      <c r="D3101" s="71" t="s">
        <v>382</v>
      </c>
      <c r="E3101" s="71" t="str">
        <f>MID(D3101,1,2)</f>
        <v>IL</v>
      </c>
      <c r="F3101" s="71" t="s">
        <v>774</v>
      </c>
      <c r="G3101" s="71" t="str">
        <f>MID(F3101,1,2)</f>
        <v>CN</v>
      </c>
      <c r="H3101" s="43" t="s">
        <v>4950</v>
      </c>
      <c r="I3101" s="71" t="s">
        <v>5031</v>
      </c>
      <c r="J3101" s="71" t="s">
        <v>755</v>
      </c>
      <c r="K3101" s="43"/>
      <c r="L3101" s="71" t="s">
        <v>105</v>
      </c>
      <c r="M3101" s="73">
        <v>10</v>
      </c>
      <c r="N3101" s="71" t="s">
        <v>388</v>
      </c>
      <c r="O3101" s="73">
        <v>0.162</v>
      </c>
      <c r="P3101" s="71" t="s">
        <v>389</v>
      </c>
      <c r="Q3101" s="73">
        <v>27</v>
      </c>
      <c r="R3101" s="71" t="s">
        <v>388</v>
      </c>
      <c r="S3101" s="73">
        <v>0</v>
      </c>
      <c r="T3101" s="71" t="s">
        <v>390</v>
      </c>
      <c r="U3101" s="74">
        <v>1</v>
      </c>
      <c r="V3101" s="71" t="s">
        <v>391</v>
      </c>
      <c r="W3101" s="130">
        <v>46092.587245370371</v>
      </c>
      <c r="X3101" s="72">
        <v>46099.909722222219</v>
      </c>
      <c r="Y3101" s="72">
        <v>46102.84375</v>
      </c>
      <c r="Z3101" s="104" t="s">
        <v>382</v>
      </c>
      <c r="AA3101" s="104" t="s">
        <v>402</v>
      </c>
      <c r="AB3101" s="105">
        <v>46099.772916666669</v>
      </c>
      <c r="AC3101" s="105">
        <v>46099.724305555559</v>
      </c>
    </row>
    <row r="3102" s="70" customFormat="1" ht="11.25" customHeight="1">
      <c r="A3102" s="87"/>
      <c r="C3102" s="43" t="s">
        <v>5030</v>
      </c>
      <c r="D3102" s="71" t="s">
        <v>382</v>
      </c>
      <c r="E3102" s="71" t="str">
        <f>MID(D3102,1,2)</f>
        <v>IL</v>
      </c>
      <c r="F3102" s="71" t="s">
        <v>774</v>
      </c>
      <c r="G3102" s="71" t="str">
        <f>MID(F3102,1,2)</f>
        <v>CN</v>
      </c>
      <c r="H3102" s="43" t="s">
        <v>4950</v>
      </c>
      <c r="I3102" s="71" t="s">
        <v>5031</v>
      </c>
      <c r="J3102" s="71" t="s">
        <v>755</v>
      </c>
      <c r="K3102" s="43"/>
      <c r="L3102" s="71" t="s">
        <v>105</v>
      </c>
      <c r="M3102" s="73">
        <v>10</v>
      </c>
      <c r="N3102" s="71" t="s">
        <v>388</v>
      </c>
      <c r="O3102" s="73">
        <v>0.162</v>
      </c>
      <c r="P3102" s="71" t="s">
        <v>389</v>
      </c>
      <c r="Q3102" s="73">
        <v>27</v>
      </c>
      <c r="R3102" s="71" t="s">
        <v>388</v>
      </c>
      <c r="S3102" s="73">
        <v>0</v>
      </c>
      <c r="T3102" s="71" t="s">
        <v>390</v>
      </c>
      <c r="U3102" s="74">
        <v>1</v>
      </c>
      <c r="V3102" s="71" t="s">
        <v>391</v>
      </c>
      <c r="W3102" s="130">
        <v>46092.587245370371</v>
      </c>
      <c r="X3102" s="72">
        <v>46099.909722222219</v>
      </c>
      <c r="Y3102" s="72">
        <v>46102.84375</v>
      </c>
      <c r="Z3102" s="104" t="s">
        <v>402</v>
      </c>
      <c r="AA3102" s="104" t="s">
        <v>403</v>
      </c>
      <c r="AB3102" s="105">
        <v>46099.920138888891</v>
      </c>
      <c r="AC3102" s="105"/>
    </row>
    <row r="3103" s="70" customFormat="1" ht="11.25" customHeight="1">
      <c r="A3103" s="87"/>
      <c r="C3103" s="43" t="s">
        <v>5030</v>
      </c>
      <c r="D3103" s="71" t="s">
        <v>382</v>
      </c>
      <c r="E3103" s="71" t="str">
        <f>MID(D3103,1,2)</f>
        <v>IL</v>
      </c>
      <c r="F3103" s="71" t="s">
        <v>774</v>
      </c>
      <c r="G3103" s="71" t="str">
        <f>MID(F3103,1,2)</f>
        <v>CN</v>
      </c>
      <c r="H3103" s="43" t="s">
        <v>4950</v>
      </c>
      <c r="I3103" s="71" t="s">
        <v>5031</v>
      </c>
      <c r="J3103" s="71" t="s">
        <v>755</v>
      </c>
      <c r="K3103" s="43"/>
      <c r="L3103" s="71" t="s">
        <v>105</v>
      </c>
      <c r="M3103" s="73">
        <v>10</v>
      </c>
      <c r="N3103" s="71" t="s">
        <v>388</v>
      </c>
      <c r="O3103" s="73">
        <v>0.162</v>
      </c>
      <c r="P3103" s="71" t="s">
        <v>389</v>
      </c>
      <c r="Q3103" s="73">
        <v>27</v>
      </c>
      <c r="R3103" s="71" t="s">
        <v>388</v>
      </c>
      <c r="S3103" s="73">
        <v>0</v>
      </c>
      <c r="T3103" s="71" t="s">
        <v>390</v>
      </c>
      <c r="U3103" s="74">
        <v>1</v>
      </c>
      <c r="V3103" s="71" t="s">
        <v>391</v>
      </c>
      <c r="W3103" s="130">
        <v>46092.587245370371</v>
      </c>
      <c r="X3103" s="72">
        <v>46099.909722222219</v>
      </c>
      <c r="Y3103" s="72">
        <v>46102.84375</v>
      </c>
      <c r="Z3103" s="104" t="s">
        <v>403</v>
      </c>
      <c r="AA3103" s="104" t="s">
        <v>774</v>
      </c>
      <c r="AB3103" s="105">
        <v>46102.727083333331</v>
      </c>
      <c r="AC3103" s="105">
        <v>46102.822222222225</v>
      </c>
    </row>
    <row r="3104" s="70" customFormat="1" ht="11.25" customHeight="1">
      <c r="A3104" s="87"/>
      <c r="C3104" s="43" t="s">
        <v>5032</v>
      </c>
      <c r="D3104" s="71" t="s">
        <v>382</v>
      </c>
      <c r="E3104" s="71" t="str">
        <f>MID(D3104,1,2)</f>
        <v>IL</v>
      </c>
      <c r="F3104" s="71" t="s">
        <v>414</v>
      </c>
      <c r="G3104" s="71" t="str">
        <f>MID(F3104,1,2)</f>
        <v>US</v>
      </c>
      <c r="H3104" s="43" t="s">
        <v>3776</v>
      </c>
      <c r="I3104" s="71" t="s">
        <v>5033</v>
      </c>
      <c r="J3104" s="71" t="s">
        <v>483</v>
      </c>
      <c r="K3104" s="43"/>
      <c r="L3104" s="71" t="s">
        <v>105</v>
      </c>
      <c r="M3104" s="73">
        <v>3</v>
      </c>
      <c r="N3104" s="71" t="s">
        <v>388</v>
      </c>
      <c r="O3104" s="73">
        <v>0.022</v>
      </c>
      <c r="P3104" s="71" t="s">
        <v>389</v>
      </c>
      <c r="Q3104" s="73">
        <v>4</v>
      </c>
      <c r="R3104" s="71" t="s">
        <v>388</v>
      </c>
      <c r="S3104" s="73">
        <v>0</v>
      </c>
      <c r="T3104" s="71" t="s">
        <v>390</v>
      </c>
      <c r="U3104" s="74">
        <v>1</v>
      </c>
      <c r="V3104" s="71" t="s">
        <v>427</v>
      </c>
      <c r="W3104" s="130">
        <v>46092.542361111111</v>
      </c>
      <c r="X3104" s="72">
        <v>46099.854166666664</v>
      </c>
      <c r="Y3104" s="72">
        <v>46100.302083333336</v>
      </c>
      <c r="Z3104" s="104" t="s">
        <v>382</v>
      </c>
      <c r="AA3104" s="104" t="s">
        <v>414</v>
      </c>
      <c r="AB3104" s="105">
        <v>46100.102083333331</v>
      </c>
      <c r="AC3104" s="105">
        <v>46100.31527777778</v>
      </c>
    </row>
    <row r="3105" s="70" customFormat="1" ht="11.25" customHeight="1">
      <c r="A3105" s="87"/>
      <c r="C3105" s="43" t="s">
        <v>5034</v>
      </c>
      <c r="D3105" s="71" t="s">
        <v>382</v>
      </c>
      <c r="E3105" s="71" t="str">
        <f>MID(D3105,1,2)</f>
        <v>IL</v>
      </c>
      <c r="F3105" s="71" t="s">
        <v>978</v>
      </c>
      <c r="G3105" s="71" t="str">
        <f>MID(F3105,1,2)</f>
        <v>PL</v>
      </c>
      <c r="H3105" s="43" t="s">
        <v>5035</v>
      </c>
      <c r="I3105" s="71" t="s">
        <v>5036</v>
      </c>
      <c r="J3105" s="71" t="s">
        <v>454</v>
      </c>
      <c r="K3105" s="43"/>
      <c r="L3105" s="71" t="s">
        <v>107</v>
      </c>
      <c r="M3105" s="73">
        <v>36</v>
      </c>
      <c r="N3105" s="71" t="s">
        <v>388</v>
      </c>
      <c r="O3105" s="73">
        <v>0.256</v>
      </c>
      <c r="P3105" s="71" t="s">
        <v>389</v>
      </c>
      <c r="Q3105" s="73">
        <v>43</v>
      </c>
      <c r="R3105" s="71" t="s">
        <v>388</v>
      </c>
      <c r="S3105" s="73">
        <v>0</v>
      </c>
      <c r="T3105" s="71" t="s">
        <v>390</v>
      </c>
      <c r="U3105" s="74">
        <v>1</v>
      </c>
      <c r="V3105" s="71" t="s">
        <v>391</v>
      </c>
      <c r="W3105" s="130">
        <v>46092.739907407406</v>
      </c>
      <c r="X3105" s="72">
        <v>46097</v>
      </c>
      <c r="Y3105" s="72">
        <v>46097.544444444444</v>
      </c>
      <c r="Z3105" s="104" t="s">
        <v>382</v>
      </c>
      <c r="AA3105" s="104" t="s">
        <v>383</v>
      </c>
      <c r="AB3105" s="105">
        <v>46097.3875</v>
      </c>
      <c r="AC3105" s="105">
        <v>46097.550694444442</v>
      </c>
    </row>
    <row r="3106" s="70" customFormat="1" ht="11.25" customHeight="1">
      <c r="A3106" s="87"/>
      <c r="C3106" s="43" t="s">
        <v>5034</v>
      </c>
      <c r="D3106" s="71" t="s">
        <v>382</v>
      </c>
      <c r="E3106" s="71" t="str">
        <f>MID(D3106,1,2)</f>
        <v>IL</v>
      </c>
      <c r="F3106" s="71" t="s">
        <v>978</v>
      </c>
      <c r="G3106" s="71" t="str">
        <f>MID(F3106,1,2)</f>
        <v>PL</v>
      </c>
      <c r="H3106" s="43" t="s">
        <v>5035</v>
      </c>
      <c r="I3106" s="71" t="s">
        <v>5036</v>
      </c>
      <c r="J3106" s="71" t="s">
        <v>454</v>
      </c>
      <c r="K3106" s="43"/>
      <c r="L3106" s="71" t="s">
        <v>107</v>
      </c>
      <c r="M3106" s="73">
        <v>36</v>
      </c>
      <c r="N3106" s="71" t="s">
        <v>388</v>
      </c>
      <c r="O3106" s="73">
        <v>0.256</v>
      </c>
      <c r="P3106" s="71" t="s">
        <v>389</v>
      </c>
      <c r="Q3106" s="73">
        <v>43</v>
      </c>
      <c r="R3106" s="71" t="s">
        <v>388</v>
      </c>
      <c r="S3106" s="73">
        <v>0</v>
      </c>
      <c r="T3106" s="71" t="s">
        <v>390</v>
      </c>
      <c r="U3106" s="74">
        <v>1</v>
      </c>
      <c r="V3106" s="71" t="s">
        <v>391</v>
      </c>
      <c r="W3106" s="130">
        <v>46092.739907407406</v>
      </c>
      <c r="X3106" s="72">
        <v>46097</v>
      </c>
      <c r="Y3106" s="72">
        <v>46097.544444444444</v>
      </c>
      <c r="Z3106" s="104" t="s">
        <v>383</v>
      </c>
      <c r="AA3106" s="104" t="s">
        <v>978</v>
      </c>
      <c r="AB3106" s="105">
        <v>46098.54791666667</v>
      </c>
      <c r="AC3106" s="105">
        <v>46099.354166666664</v>
      </c>
    </row>
    <row r="3107" s="70" customFormat="1" ht="11.25" customHeight="1">
      <c r="A3107" s="87"/>
      <c r="C3107" s="43" t="s">
        <v>5034</v>
      </c>
      <c r="D3107" s="71" t="s">
        <v>382</v>
      </c>
      <c r="E3107" s="71" t="str">
        <f>MID(D3107,1,2)</f>
        <v>IL</v>
      </c>
      <c r="F3107" s="71" t="s">
        <v>978</v>
      </c>
      <c r="G3107" s="71" t="str">
        <f>MID(F3107,1,2)</f>
        <v>PL</v>
      </c>
      <c r="H3107" s="43" t="s">
        <v>5035</v>
      </c>
      <c r="I3107" s="71" t="s">
        <v>5036</v>
      </c>
      <c r="J3107" s="71" t="s">
        <v>454</v>
      </c>
      <c r="K3107" s="43"/>
      <c r="L3107" s="71" t="s">
        <v>107</v>
      </c>
      <c r="M3107" s="73">
        <v>36</v>
      </c>
      <c r="N3107" s="71" t="s">
        <v>388</v>
      </c>
      <c r="O3107" s="73">
        <v>0.256</v>
      </c>
      <c r="P3107" s="71" t="s">
        <v>389</v>
      </c>
      <c r="Q3107" s="73">
        <v>43</v>
      </c>
      <c r="R3107" s="71" t="s">
        <v>388</v>
      </c>
      <c r="S3107" s="73">
        <v>0</v>
      </c>
      <c r="T3107" s="71" t="s">
        <v>390</v>
      </c>
      <c r="U3107" s="74">
        <v>1</v>
      </c>
      <c r="V3107" s="71" t="s">
        <v>391</v>
      </c>
      <c r="W3107" s="130">
        <v>46092.739907407406</v>
      </c>
      <c r="X3107" s="72">
        <v>46097</v>
      </c>
      <c r="Y3107" s="72">
        <v>46097.544444444444</v>
      </c>
      <c r="Z3107" s="104" t="s">
        <v>978</v>
      </c>
      <c r="AA3107" s="104" t="s">
        <v>2201</v>
      </c>
      <c r="AB3107" s="105">
        <v>46101.25</v>
      </c>
      <c r="AC3107" s="105">
        <v>46101.5</v>
      </c>
    </row>
    <row r="3108" s="70" customFormat="1" ht="11.25" customHeight="1">
      <c r="A3108" s="87"/>
      <c r="C3108" s="43" t="s">
        <v>5037</v>
      </c>
      <c r="D3108" s="71" t="s">
        <v>382</v>
      </c>
      <c r="E3108" s="71" t="str">
        <f>MID(D3108,1,2)</f>
        <v>IL</v>
      </c>
      <c r="F3108" s="71" t="s">
        <v>383</v>
      </c>
      <c r="G3108" s="71" t="str">
        <f>MID(F3108,1,2)</f>
        <v>DE</v>
      </c>
      <c r="H3108" s="43" t="s">
        <v>4936</v>
      </c>
      <c r="I3108" s="71" t="s">
        <v>5038</v>
      </c>
      <c r="J3108" s="71" t="s">
        <v>454</v>
      </c>
      <c r="K3108" s="43"/>
      <c r="L3108" s="71" t="s">
        <v>107</v>
      </c>
      <c r="M3108" s="73">
        <v>19</v>
      </c>
      <c r="N3108" s="71" t="s">
        <v>388</v>
      </c>
      <c r="O3108" s="73">
        <v>0.152</v>
      </c>
      <c r="P3108" s="71" t="s">
        <v>389</v>
      </c>
      <c r="Q3108" s="73">
        <v>25.5</v>
      </c>
      <c r="R3108" s="71" t="s">
        <v>388</v>
      </c>
      <c r="S3108" s="73">
        <v>0</v>
      </c>
      <c r="T3108" s="71" t="s">
        <v>390</v>
      </c>
      <c r="U3108" s="74">
        <v>2</v>
      </c>
      <c r="V3108" s="71" t="s">
        <v>391</v>
      </c>
      <c r="W3108" s="130">
        <v>46093.660416666666</v>
      </c>
      <c r="X3108" s="72">
        <v>46099.5</v>
      </c>
      <c r="Y3108" s="72">
        <v>46104.513888888891</v>
      </c>
      <c r="Z3108" s="104" t="s">
        <v>382</v>
      </c>
      <c r="AA3108" s="104" t="s">
        <v>383</v>
      </c>
      <c r="AB3108" s="105">
        <v>46103.441666666666</v>
      </c>
      <c r="AC3108" s="105"/>
    </row>
    <row r="3109" s="70" customFormat="1" ht="11.25" customHeight="1">
      <c r="A3109" s="87"/>
      <c r="C3109" s="43" t="s">
        <v>5039</v>
      </c>
      <c r="D3109" s="71" t="s">
        <v>382</v>
      </c>
      <c r="E3109" s="71" t="str">
        <f>MID(D3109,1,2)</f>
        <v>IL</v>
      </c>
      <c r="F3109" s="71" t="s">
        <v>774</v>
      </c>
      <c r="G3109" s="71" t="str">
        <f>MID(F3109,1,2)</f>
        <v>CN</v>
      </c>
      <c r="H3109" s="43" t="s">
        <v>4950</v>
      </c>
      <c r="I3109" s="71" t="s">
        <v>5040</v>
      </c>
      <c r="J3109" s="71" t="s">
        <v>755</v>
      </c>
      <c r="K3109" s="43"/>
      <c r="L3109" s="71" t="s">
        <v>105</v>
      </c>
      <c r="M3109" s="73">
        <v>1</v>
      </c>
      <c r="N3109" s="71" t="s">
        <v>388</v>
      </c>
      <c r="O3109" s="73">
        <v>0.005</v>
      </c>
      <c r="P3109" s="71" t="s">
        <v>389</v>
      </c>
      <c r="Q3109" s="73">
        <v>1</v>
      </c>
      <c r="R3109" s="71" t="s">
        <v>388</v>
      </c>
      <c r="S3109" s="73">
        <v>0</v>
      </c>
      <c r="T3109" s="71" t="s">
        <v>390</v>
      </c>
      <c r="U3109" s="74">
        <v>1</v>
      </c>
      <c r="V3109" s="71" t="s">
        <v>391</v>
      </c>
      <c r="W3109" s="130">
        <v>46092.597743055558</v>
      </c>
      <c r="X3109" s="72">
        <v>46099.909722222219</v>
      </c>
      <c r="Y3109" s="72">
        <v>46102.84375</v>
      </c>
      <c r="Z3109" s="104" t="s">
        <v>382</v>
      </c>
      <c r="AA3109" s="104" t="s">
        <v>402</v>
      </c>
      <c r="AB3109" s="105">
        <v>46099.772916666669</v>
      </c>
      <c r="AC3109" s="105">
        <v>46099.724305555559</v>
      </c>
    </row>
    <row r="3110" s="70" customFormat="1" ht="11.25" customHeight="1">
      <c r="A3110" s="87"/>
      <c r="C3110" s="43" t="s">
        <v>5039</v>
      </c>
      <c r="D3110" s="71" t="s">
        <v>382</v>
      </c>
      <c r="E3110" s="71" t="str">
        <f>MID(D3110,1,2)</f>
        <v>IL</v>
      </c>
      <c r="F3110" s="71" t="s">
        <v>774</v>
      </c>
      <c r="G3110" s="71" t="str">
        <f>MID(F3110,1,2)</f>
        <v>CN</v>
      </c>
      <c r="H3110" s="43" t="s">
        <v>4950</v>
      </c>
      <c r="I3110" s="71" t="s">
        <v>5040</v>
      </c>
      <c r="J3110" s="71" t="s">
        <v>755</v>
      </c>
      <c r="K3110" s="43"/>
      <c r="L3110" s="71" t="s">
        <v>105</v>
      </c>
      <c r="M3110" s="73">
        <v>1</v>
      </c>
      <c r="N3110" s="71" t="s">
        <v>388</v>
      </c>
      <c r="O3110" s="73">
        <v>0.005</v>
      </c>
      <c r="P3110" s="71" t="s">
        <v>389</v>
      </c>
      <c r="Q3110" s="73">
        <v>1</v>
      </c>
      <c r="R3110" s="71" t="s">
        <v>388</v>
      </c>
      <c r="S3110" s="73">
        <v>0</v>
      </c>
      <c r="T3110" s="71" t="s">
        <v>390</v>
      </c>
      <c r="U3110" s="74">
        <v>1</v>
      </c>
      <c r="V3110" s="71" t="s">
        <v>391</v>
      </c>
      <c r="W3110" s="130">
        <v>46092.597743055558</v>
      </c>
      <c r="X3110" s="72">
        <v>46099.909722222219</v>
      </c>
      <c r="Y3110" s="72">
        <v>46102.84375</v>
      </c>
      <c r="Z3110" s="104" t="s">
        <v>402</v>
      </c>
      <c r="AA3110" s="104" t="s">
        <v>403</v>
      </c>
      <c r="AB3110" s="105">
        <v>46099.920138888891</v>
      </c>
      <c r="AC3110" s="105"/>
    </row>
    <row r="3111" s="70" customFormat="1" ht="11.25" customHeight="1">
      <c r="A3111" s="87"/>
      <c r="C3111" s="43" t="s">
        <v>5039</v>
      </c>
      <c r="D3111" s="71" t="s">
        <v>382</v>
      </c>
      <c r="E3111" s="71" t="str">
        <f>MID(D3111,1,2)</f>
        <v>IL</v>
      </c>
      <c r="F3111" s="71" t="s">
        <v>774</v>
      </c>
      <c r="G3111" s="71" t="str">
        <f>MID(F3111,1,2)</f>
        <v>CN</v>
      </c>
      <c r="H3111" s="43" t="s">
        <v>4950</v>
      </c>
      <c r="I3111" s="71" t="s">
        <v>5040</v>
      </c>
      <c r="J3111" s="71" t="s">
        <v>755</v>
      </c>
      <c r="K3111" s="43"/>
      <c r="L3111" s="71" t="s">
        <v>105</v>
      </c>
      <c r="M3111" s="73">
        <v>1</v>
      </c>
      <c r="N3111" s="71" t="s">
        <v>388</v>
      </c>
      <c r="O3111" s="73">
        <v>0.005</v>
      </c>
      <c r="P3111" s="71" t="s">
        <v>389</v>
      </c>
      <c r="Q3111" s="73">
        <v>1</v>
      </c>
      <c r="R3111" s="71" t="s">
        <v>388</v>
      </c>
      <c r="S3111" s="73">
        <v>0</v>
      </c>
      <c r="T3111" s="71" t="s">
        <v>390</v>
      </c>
      <c r="U3111" s="74">
        <v>1</v>
      </c>
      <c r="V3111" s="71" t="s">
        <v>391</v>
      </c>
      <c r="W3111" s="130">
        <v>46092.597743055558</v>
      </c>
      <c r="X3111" s="72">
        <v>46099.909722222219</v>
      </c>
      <c r="Y3111" s="72">
        <v>46102.84375</v>
      </c>
      <c r="Z3111" s="104" t="s">
        <v>403</v>
      </c>
      <c r="AA3111" s="104" t="s">
        <v>774</v>
      </c>
      <c r="AB3111" s="105">
        <v>46102.727083333331</v>
      </c>
      <c r="AC3111" s="105">
        <v>46102.822222222225</v>
      </c>
    </row>
    <row r="3112" s="70" customFormat="1" ht="11.25" customHeight="1">
      <c r="A3112" s="87"/>
      <c r="C3112" s="43" t="s">
        <v>5041</v>
      </c>
      <c r="D3112" s="71" t="s">
        <v>382</v>
      </c>
      <c r="E3112" s="71" t="str">
        <f>MID(D3112,1,2)</f>
        <v>IL</v>
      </c>
      <c r="F3112" s="71" t="s">
        <v>667</v>
      </c>
      <c r="G3112" s="71" t="str">
        <f>MID(F3112,1,2)</f>
        <v>DE</v>
      </c>
      <c r="H3112" s="43" t="s">
        <v>3495</v>
      </c>
      <c r="I3112" s="71" t="s">
        <v>5042</v>
      </c>
      <c r="J3112" s="71" t="s">
        <v>426</v>
      </c>
      <c r="K3112" s="43"/>
      <c r="L3112" s="71" t="s">
        <v>105</v>
      </c>
      <c r="M3112" s="73">
        <v>1</v>
      </c>
      <c r="N3112" s="71" t="s">
        <v>388</v>
      </c>
      <c r="O3112" s="73">
        <v>0.007</v>
      </c>
      <c r="P3112" s="71" t="s">
        <v>389</v>
      </c>
      <c r="Q3112" s="73">
        <v>1.5</v>
      </c>
      <c r="R3112" s="71" t="s">
        <v>388</v>
      </c>
      <c r="S3112" s="73">
        <v>0</v>
      </c>
      <c r="T3112" s="71" t="s">
        <v>390</v>
      </c>
      <c r="U3112" s="74">
        <v>1</v>
      </c>
      <c r="V3112" s="71" t="s">
        <v>391</v>
      </c>
      <c r="W3112" s="130">
        <v>46092.719224537039</v>
      </c>
      <c r="X3112" s="72">
        <v>46097</v>
      </c>
      <c r="Y3112" s="72">
        <v>46100.496527777781</v>
      </c>
      <c r="Z3112" s="104" t="s">
        <v>382</v>
      </c>
      <c r="AA3112" s="104" t="s">
        <v>383</v>
      </c>
      <c r="AB3112" s="105">
        <v>46100.42291666667</v>
      </c>
      <c r="AC3112" s="105">
        <v>46100.552777777775</v>
      </c>
    </row>
    <row r="3113" s="70" customFormat="1" ht="11.25" customHeight="1">
      <c r="A3113" s="87"/>
      <c r="C3113" s="43" t="s">
        <v>5043</v>
      </c>
      <c r="D3113" s="71" t="s">
        <v>382</v>
      </c>
      <c r="E3113" s="71" t="str">
        <f>MID(D3113,1,2)</f>
        <v>IL</v>
      </c>
      <c r="F3113" s="71" t="s">
        <v>414</v>
      </c>
      <c r="G3113" s="71" t="str">
        <f>MID(F3113,1,2)</f>
        <v>US</v>
      </c>
      <c r="H3113" s="43" t="s">
        <v>4697</v>
      </c>
      <c r="I3113" s="71" t="s">
        <v>5044</v>
      </c>
      <c r="J3113" s="71" t="s">
        <v>386</v>
      </c>
      <c r="K3113" s="43"/>
      <c r="L3113" s="71" t="s">
        <v>107</v>
      </c>
      <c r="M3113" s="73">
        <v>3</v>
      </c>
      <c r="N3113" s="71" t="s">
        <v>388</v>
      </c>
      <c r="O3113" s="73">
        <v>0.036</v>
      </c>
      <c r="P3113" s="71" t="s">
        <v>389</v>
      </c>
      <c r="Q3113" s="73">
        <v>6</v>
      </c>
      <c r="R3113" s="71" t="s">
        <v>388</v>
      </c>
      <c r="S3113" s="73">
        <v>0</v>
      </c>
      <c r="T3113" s="71" t="s">
        <v>390</v>
      </c>
      <c r="U3113" s="74">
        <v>1</v>
      </c>
      <c r="V3113" s="71" t="s">
        <v>446</v>
      </c>
      <c r="W3113" s="130">
        <v>46092.899756944447</v>
      </c>
      <c r="X3113" s="72">
        <v>46099.854166666664</v>
      </c>
      <c r="Y3113" s="72">
        <v>46102.791666666664</v>
      </c>
      <c r="Z3113" s="104" t="s">
        <v>382</v>
      </c>
      <c r="AA3113" s="104" t="s">
        <v>414</v>
      </c>
      <c r="AB3113" s="105">
        <v>46100.102083333331</v>
      </c>
      <c r="AC3113" s="105">
        <v>46100.31527777778</v>
      </c>
    </row>
    <row r="3114" s="70" customFormat="1" ht="11.25" customHeight="1">
      <c r="A3114" s="87"/>
      <c r="C3114" s="43" t="s">
        <v>5045</v>
      </c>
      <c r="D3114" s="71" t="s">
        <v>382</v>
      </c>
      <c r="E3114" s="71" t="str">
        <f>MID(D3114,1,2)</f>
        <v>IL</v>
      </c>
      <c r="F3114" s="71" t="s">
        <v>774</v>
      </c>
      <c r="G3114" s="71" t="str">
        <f>MID(F3114,1,2)</f>
        <v>CN</v>
      </c>
      <c r="H3114" s="43" t="s">
        <v>4950</v>
      </c>
      <c r="I3114" s="71" t="s">
        <v>5046</v>
      </c>
      <c r="J3114" s="71" t="s">
        <v>755</v>
      </c>
      <c r="K3114" s="43"/>
      <c r="L3114" s="71" t="s">
        <v>105</v>
      </c>
      <c r="M3114" s="73">
        <v>6</v>
      </c>
      <c r="N3114" s="71" t="s">
        <v>388</v>
      </c>
      <c r="O3114" s="73">
        <v>0.108</v>
      </c>
      <c r="P3114" s="71" t="s">
        <v>389</v>
      </c>
      <c r="Q3114" s="73">
        <v>18</v>
      </c>
      <c r="R3114" s="71" t="s">
        <v>388</v>
      </c>
      <c r="S3114" s="73">
        <v>0</v>
      </c>
      <c r="T3114" s="71" t="s">
        <v>390</v>
      </c>
      <c r="U3114" s="74">
        <v>1</v>
      </c>
      <c r="V3114" s="71" t="s">
        <v>391</v>
      </c>
      <c r="W3114" s="130">
        <v>46092.590555555558</v>
      </c>
      <c r="X3114" s="72">
        <v>46099.909722222219</v>
      </c>
      <c r="Y3114" s="72">
        <v>46102.84375</v>
      </c>
      <c r="Z3114" s="104" t="s">
        <v>382</v>
      </c>
      <c r="AA3114" s="104" t="s">
        <v>402</v>
      </c>
      <c r="AB3114" s="105">
        <v>46099.772916666669</v>
      </c>
      <c r="AC3114" s="105">
        <v>46099.724305555559</v>
      </c>
    </row>
    <row r="3115" s="70" customFormat="1" ht="11.25" customHeight="1">
      <c r="A3115" s="87"/>
      <c r="C3115" s="43" t="s">
        <v>5045</v>
      </c>
      <c r="D3115" s="71" t="s">
        <v>382</v>
      </c>
      <c r="E3115" s="71" t="str">
        <f>MID(D3115,1,2)</f>
        <v>IL</v>
      </c>
      <c r="F3115" s="71" t="s">
        <v>774</v>
      </c>
      <c r="G3115" s="71" t="str">
        <f>MID(F3115,1,2)</f>
        <v>CN</v>
      </c>
      <c r="H3115" s="43" t="s">
        <v>4950</v>
      </c>
      <c r="I3115" s="71" t="s">
        <v>5046</v>
      </c>
      <c r="J3115" s="71" t="s">
        <v>755</v>
      </c>
      <c r="K3115" s="43"/>
      <c r="L3115" s="71" t="s">
        <v>105</v>
      </c>
      <c r="M3115" s="73">
        <v>6</v>
      </c>
      <c r="N3115" s="71" t="s">
        <v>388</v>
      </c>
      <c r="O3115" s="73">
        <v>0.108</v>
      </c>
      <c r="P3115" s="71" t="s">
        <v>389</v>
      </c>
      <c r="Q3115" s="73">
        <v>18</v>
      </c>
      <c r="R3115" s="71" t="s">
        <v>388</v>
      </c>
      <c r="S3115" s="73">
        <v>0</v>
      </c>
      <c r="T3115" s="71" t="s">
        <v>390</v>
      </c>
      <c r="U3115" s="74">
        <v>1</v>
      </c>
      <c r="V3115" s="71" t="s">
        <v>391</v>
      </c>
      <c r="W3115" s="130">
        <v>46092.590555555558</v>
      </c>
      <c r="X3115" s="72">
        <v>46099.909722222219</v>
      </c>
      <c r="Y3115" s="72">
        <v>46102.84375</v>
      </c>
      <c r="Z3115" s="104" t="s">
        <v>402</v>
      </c>
      <c r="AA3115" s="104" t="s">
        <v>403</v>
      </c>
      <c r="AB3115" s="105">
        <v>46099.920138888891</v>
      </c>
      <c r="AC3115" s="105"/>
    </row>
    <row r="3116" s="70" customFormat="1" ht="11.25" customHeight="1">
      <c r="A3116" s="87"/>
      <c r="C3116" s="43" t="s">
        <v>5045</v>
      </c>
      <c r="D3116" s="71" t="s">
        <v>382</v>
      </c>
      <c r="E3116" s="71" t="str">
        <f>MID(D3116,1,2)</f>
        <v>IL</v>
      </c>
      <c r="F3116" s="71" t="s">
        <v>774</v>
      </c>
      <c r="G3116" s="71" t="str">
        <f>MID(F3116,1,2)</f>
        <v>CN</v>
      </c>
      <c r="H3116" s="43" t="s">
        <v>4950</v>
      </c>
      <c r="I3116" s="71" t="s">
        <v>5046</v>
      </c>
      <c r="J3116" s="71" t="s">
        <v>755</v>
      </c>
      <c r="K3116" s="43"/>
      <c r="L3116" s="71" t="s">
        <v>105</v>
      </c>
      <c r="M3116" s="73">
        <v>6</v>
      </c>
      <c r="N3116" s="71" t="s">
        <v>388</v>
      </c>
      <c r="O3116" s="73">
        <v>0.108</v>
      </c>
      <c r="P3116" s="71" t="s">
        <v>389</v>
      </c>
      <c r="Q3116" s="73">
        <v>18</v>
      </c>
      <c r="R3116" s="71" t="s">
        <v>388</v>
      </c>
      <c r="S3116" s="73">
        <v>0</v>
      </c>
      <c r="T3116" s="71" t="s">
        <v>390</v>
      </c>
      <c r="U3116" s="74">
        <v>1</v>
      </c>
      <c r="V3116" s="71" t="s">
        <v>391</v>
      </c>
      <c r="W3116" s="130">
        <v>46092.590555555558</v>
      </c>
      <c r="X3116" s="72">
        <v>46099.909722222219</v>
      </c>
      <c r="Y3116" s="72">
        <v>46102.84375</v>
      </c>
      <c r="Z3116" s="104" t="s">
        <v>403</v>
      </c>
      <c r="AA3116" s="104" t="s">
        <v>774</v>
      </c>
      <c r="AB3116" s="105">
        <v>46102.727083333331</v>
      </c>
      <c r="AC3116" s="105">
        <v>46102.822222222225</v>
      </c>
    </row>
    <row r="3117" s="70" customFormat="1" ht="11.25" customHeight="1">
      <c r="A3117" s="87"/>
      <c r="C3117" s="43" t="s">
        <v>5047</v>
      </c>
      <c r="D3117" s="71" t="s">
        <v>382</v>
      </c>
      <c r="E3117" s="71" t="str">
        <f>MID(D3117,1,2)</f>
        <v>IL</v>
      </c>
      <c r="F3117" s="71" t="s">
        <v>402</v>
      </c>
      <c r="G3117" s="71" t="str">
        <f>MID(F3117,1,2)</f>
        <v>CY</v>
      </c>
      <c r="H3117" s="43" t="s">
        <v>5048</v>
      </c>
      <c r="I3117" s="71" t="s">
        <v>5049</v>
      </c>
      <c r="J3117" s="71" t="s">
        <v>400</v>
      </c>
      <c r="K3117" s="43"/>
      <c r="L3117" s="71" t="s">
        <v>105</v>
      </c>
      <c r="M3117" s="73">
        <v>86</v>
      </c>
      <c r="N3117" s="71" t="s">
        <v>388</v>
      </c>
      <c r="O3117" s="73">
        <v>0.671</v>
      </c>
      <c r="P3117" s="71" t="s">
        <v>389</v>
      </c>
      <c r="Q3117" s="73">
        <v>112</v>
      </c>
      <c r="R3117" s="71" t="s">
        <v>388</v>
      </c>
      <c r="S3117" s="73">
        <v>0</v>
      </c>
      <c r="T3117" s="71" t="s">
        <v>390</v>
      </c>
      <c r="U3117" s="74">
        <v>1</v>
      </c>
      <c r="V3117" s="71" t="s">
        <v>391</v>
      </c>
      <c r="W3117" s="130">
        <v>46092.584027777775</v>
      </c>
      <c r="X3117" s="72">
        <v>46101</v>
      </c>
      <c r="Y3117" s="72">
        <v>46101.4375</v>
      </c>
      <c r="Z3117" s="104" t="s">
        <v>382</v>
      </c>
      <c r="AA3117" s="104" t="s">
        <v>402</v>
      </c>
      <c r="AB3117" s="105">
        <v>46101.38125</v>
      </c>
      <c r="AC3117" s="105">
        <v>46101.433333333334</v>
      </c>
    </row>
    <row r="3118" s="70" customFormat="1" ht="11.25" customHeight="1">
      <c r="A3118" s="87"/>
      <c r="C3118" s="43" t="s">
        <v>5050</v>
      </c>
      <c r="D3118" s="71" t="s">
        <v>382</v>
      </c>
      <c r="E3118" s="71" t="str">
        <f>MID(D3118,1,2)</f>
        <v>IL</v>
      </c>
      <c r="F3118" s="71" t="s">
        <v>919</v>
      </c>
      <c r="G3118" s="71" t="str">
        <f>MID(F3118,1,2)</f>
        <v>CN</v>
      </c>
      <c r="H3118" s="43" t="s">
        <v>4929</v>
      </c>
      <c r="I3118" s="71" t="s">
        <v>5051</v>
      </c>
      <c r="J3118" s="71" t="s">
        <v>755</v>
      </c>
      <c r="K3118" s="43"/>
      <c r="L3118" s="71" t="s">
        <v>105</v>
      </c>
      <c r="M3118" s="73">
        <v>4</v>
      </c>
      <c r="N3118" s="71" t="s">
        <v>388</v>
      </c>
      <c r="O3118" s="73">
        <v>0.108</v>
      </c>
      <c r="P3118" s="71" t="s">
        <v>389</v>
      </c>
      <c r="Q3118" s="73">
        <v>18</v>
      </c>
      <c r="R3118" s="71" t="s">
        <v>388</v>
      </c>
      <c r="S3118" s="73">
        <v>0</v>
      </c>
      <c r="T3118" s="71" t="s">
        <v>390</v>
      </c>
      <c r="U3118" s="74">
        <v>1</v>
      </c>
      <c r="V3118" s="71" t="s">
        <v>391</v>
      </c>
      <c r="W3118" s="130">
        <v>46092.590601851851</v>
      </c>
      <c r="X3118" s="72">
        <v>46099.583333333336</v>
      </c>
      <c r="Y3118" s="72">
        <v>46102.73541666667</v>
      </c>
      <c r="Z3118" s="104" t="s">
        <v>382</v>
      </c>
      <c r="AA3118" s="104" t="s">
        <v>402</v>
      </c>
      <c r="AB3118" s="105">
        <v>46099.754166666666</v>
      </c>
      <c r="AC3118" s="105"/>
    </row>
    <row r="3119" s="70" customFormat="1" ht="11.25" customHeight="1">
      <c r="A3119" s="87"/>
      <c r="C3119" s="43" t="s">
        <v>5050</v>
      </c>
      <c r="D3119" s="71" t="s">
        <v>382</v>
      </c>
      <c r="E3119" s="71" t="str">
        <f>MID(D3119,1,2)</f>
        <v>IL</v>
      </c>
      <c r="F3119" s="71" t="s">
        <v>919</v>
      </c>
      <c r="G3119" s="71" t="str">
        <f>MID(F3119,1,2)</f>
        <v>CN</v>
      </c>
      <c r="H3119" s="43" t="s">
        <v>4929</v>
      </c>
      <c r="I3119" s="71" t="s">
        <v>5051</v>
      </c>
      <c r="J3119" s="71" t="s">
        <v>755</v>
      </c>
      <c r="K3119" s="43"/>
      <c r="L3119" s="71" t="s">
        <v>105</v>
      </c>
      <c r="M3119" s="73">
        <v>4</v>
      </c>
      <c r="N3119" s="71" t="s">
        <v>388</v>
      </c>
      <c r="O3119" s="73">
        <v>0.108</v>
      </c>
      <c r="P3119" s="71" t="s">
        <v>389</v>
      </c>
      <c r="Q3119" s="73">
        <v>18</v>
      </c>
      <c r="R3119" s="71" t="s">
        <v>388</v>
      </c>
      <c r="S3119" s="73">
        <v>0</v>
      </c>
      <c r="T3119" s="71" t="s">
        <v>390</v>
      </c>
      <c r="U3119" s="74">
        <v>1</v>
      </c>
      <c r="V3119" s="71" t="s">
        <v>391</v>
      </c>
      <c r="W3119" s="130">
        <v>46092.590601851851</v>
      </c>
      <c r="X3119" s="72">
        <v>46099.583333333336</v>
      </c>
      <c r="Y3119" s="72">
        <v>46102.73541666667</v>
      </c>
      <c r="Z3119" s="104" t="s">
        <v>402</v>
      </c>
      <c r="AA3119" s="104" t="s">
        <v>403</v>
      </c>
      <c r="AB3119" s="105">
        <v>46099.92083333333</v>
      </c>
      <c r="AC3119" s="105"/>
    </row>
    <row r="3120" s="70" customFormat="1" ht="11.25" customHeight="1">
      <c r="A3120" s="87"/>
      <c r="C3120" s="43" t="s">
        <v>5050</v>
      </c>
      <c r="D3120" s="71" t="s">
        <v>382</v>
      </c>
      <c r="E3120" s="71" t="str">
        <f>MID(D3120,1,2)</f>
        <v>IL</v>
      </c>
      <c r="F3120" s="71" t="s">
        <v>919</v>
      </c>
      <c r="G3120" s="71" t="str">
        <f>MID(F3120,1,2)</f>
        <v>CN</v>
      </c>
      <c r="H3120" s="43" t="s">
        <v>4929</v>
      </c>
      <c r="I3120" s="71" t="s">
        <v>5051</v>
      </c>
      <c r="J3120" s="71" t="s">
        <v>755</v>
      </c>
      <c r="K3120" s="43"/>
      <c r="L3120" s="71" t="s">
        <v>105</v>
      </c>
      <c r="M3120" s="73">
        <v>4</v>
      </c>
      <c r="N3120" s="71" t="s">
        <v>388</v>
      </c>
      <c r="O3120" s="73">
        <v>0.108</v>
      </c>
      <c r="P3120" s="71" t="s">
        <v>389</v>
      </c>
      <c r="Q3120" s="73">
        <v>18</v>
      </c>
      <c r="R3120" s="71" t="s">
        <v>388</v>
      </c>
      <c r="S3120" s="73">
        <v>0</v>
      </c>
      <c r="T3120" s="71" t="s">
        <v>390</v>
      </c>
      <c r="U3120" s="74">
        <v>1</v>
      </c>
      <c r="V3120" s="71" t="s">
        <v>391</v>
      </c>
      <c r="W3120" s="130">
        <v>46092.590601851851</v>
      </c>
      <c r="X3120" s="72">
        <v>46099.583333333336</v>
      </c>
      <c r="Y3120" s="72">
        <v>46102.73541666667</v>
      </c>
      <c r="Z3120" s="104" t="s">
        <v>403</v>
      </c>
      <c r="AA3120" s="104" t="s">
        <v>919</v>
      </c>
      <c r="AB3120" s="105">
        <v>46102.611111111109</v>
      </c>
      <c r="AC3120" s="105">
        <v>46102.760416666664</v>
      </c>
    </row>
    <row r="3121" s="70" customFormat="1" ht="11.25" customHeight="1">
      <c r="A3121" s="87"/>
      <c r="C3121" s="43" t="s">
        <v>5052</v>
      </c>
      <c r="D3121" s="71" t="s">
        <v>382</v>
      </c>
      <c r="E3121" s="71" t="str">
        <f>MID(D3121,1,2)</f>
        <v>IL</v>
      </c>
      <c r="F3121" s="71" t="s">
        <v>3812</v>
      </c>
      <c r="G3121" s="71" t="str">
        <f>MID(F3121,1,2)</f>
        <v>CN</v>
      </c>
      <c r="H3121" s="43" t="s">
        <v>5053</v>
      </c>
      <c r="I3121" s="71" t="s">
        <v>5054</v>
      </c>
      <c r="J3121" s="71" t="s">
        <v>755</v>
      </c>
      <c r="K3121" s="43"/>
      <c r="L3121" s="71" t="s">
        <v>105</v>
      </c>
      <c r="M3121" s="73">
        <v>3.5</v>
      </c>
      <c r="N3121" s="71" t="s">
        <v>388</v>
      </c>
      <c r="O3121" s="73">
        <v>0.066</v>
      </c>
      <c r="P3121" s="71" t="s">
        <v>389</v>
      </c>
      <c r="Q3121" s="73">
        <v>11</v>
      </c>
      <c r="R3121" s="71" t="s">
        <v>388</v>
      </c>
      <c r="S3121" s="73">
        <v>0</v>
      </c>
      <c r="T3121" s="71" t="s">
        <v>390</v>
      </c>
      <c r="U3121" s="74">
        <v>1</v>
      </c>
      <c r="V3121" s="71" t="s">
        <v>391</v>
      </c>
      <c r="W3121" s="130">
        <v>46093.58394675926</v>
      </c>
      <c r="X3121" s="72">
        <v>46101.798611111109</v>
      </c>
      <c r="Y3121" s="72">
        <v>46102.8125</v>
      </c>
      <c r="Z3121" s="104" t="s">
        <v>382</v>
      </c>
      <c r="AA3121" s="104" t="s">
        <v>402</v>
      </c>
      <c r="AB3121" s="105">
        <v>46099.772916666669</v>
      </c>
      <c r="AC3121" s="105">
        <v>46099.724305555559</v>
      </c>
    </row>
    <row r="3122" s="70" customFormat="1" ht="11.25" customHeight="1">
      <c r="A3122" s="87"/>
      <c r="C3122" s="43" t="s">
        <v>5052</v>
      </c>
      <c r="D3122" s="71" t="s">
        <v>382</v>
      </c>
      <c r="E3122" s="71" t="str">
        <f>MID(D3122,1,2)</f>
        <v>IL</v>
      </c>
      <c r="F3122" s="71" t="s">
        <v>3812</v>
      </c>
      <c r="G3122" s="71" t="str">
        <f>MID(F3122,1,2)</f>
        <v>CN</v>
      </c>
      <c r="H3122" s="43" t="s">
        <v>5053</v>
      </c>
      <c r="I3122" s="71" t="s">
        <v>5054</v>
      </c>
      <c r="J3122" s="71" t="s">
        <v>755</v>
      </c>
      <c r="K3122" s="43"/>
      <c r="L3122" s="71" t="s">
        <v>105</v>
      </c>
      <c r="M3122" s="73">
        <v>3.5</v>
      </c>
      <c r="N3122" s="71" t="s">
        <v>388</v>
      </c>
      <c r="O3122" s="73">
        <v>0.066</v>
      </c>
      <c r="P3122" s="71" t="s">
        <v>389</v>
      </c>
      <c r="Q3122" s="73">
        <v>11</v>
      </c>
      <c r="R3122" s="71" t="s">
        <v>388</v>
      </c>
      <c r="S3122" s="73">
        <v>0</v>
      </c>
      <c r="T3122" s="71" t="s">
        <v>390</v>
      </c>
      <c r="U3122" s="74">
        <v>1</v>
      </c>
      <c r="V3122" s="71" t="s">
        <v>391</v>
      </c>
      <c r="W3122" s="130">
        <v>46093.58394675926</v>
      </c>
      <c r="X3122" s="72">
        <v>46101.798611111109</v>
      </c>
      <c r="Y3122" s="72">
        <v>46102.8125</v>
      </c>
      <c r="Z3122" s="104" t="s">
        <v>402</v>
      </c>
      <c r="AA3122" s="104" t="s">
        <v>403</v>
      </c>
      <c r="AB3122" s="105">
        <v>46099.941666666666</v>
      </c>
      <c r="AC3122" s="105"/>
    </row>
    <row r="3123" s="70" customFormat="1" ht="11.25" customHeight="1">
      <c r="A3123" s="87"/>
      <c r="C3123" s="43" t="s">
        <v>5052</v>
      </c>
      <c r="D3123" s="71" t="s">
        <v>382</v>
      </c>
      <c r="E3123" s="71" t="str">
        <f>MID(D3123,1,2)</f>
        <v>IL</v>
      </c>
      <c r="F3123" s="71" t="s">
        <v>3812</v>
      </c>
      <c r="G3123" s="71" t="str">
        <f>MID(F3123,1,2)</f>
        <v>CN</v>
      </c>
      <c r="H3123" s="43" t="s">
        <v>5053</v>
      </c>
      <c r="I3123" s="71" t="s">
        <v>5054</v>
      </c>
      <c r="J3123" s="71" t="s">
        <v>755</v>
      </c>
      <c r="K3123" s="43"/>
      <c r="L3123" s="71" t="s">
        <v>105</v>
      </c>
      <c r="M3123" s="73">
        <v>3.5</v>
      </c>
      <c r="N3123" s="71" t="s">
        <v>388</v>
      </c>
      <c r="O3123" s="73">
        <v>0.066</v>
      </c>
      <c r="P3123" s="71" t="s">
        <v>389</v>
      </c>
      <c r="Q3123" s="73">
        <v>11</v>
      </c>
      <c r="R3123" s="71" t="s">
        <v>388</v>
      </c>
      <c r="S3123" s="73">
        <v>0</v>
      </c>
      <c r="T3123" s="71" t="s">
        <v>390</v>
      </c>
      <c r="U3123" s="74">
        <v>1</v>
      </c>
      <c r="V3123" s="71" t="s">
        <v>391</v>
      </c>
      <c r="W3123" s="130">
        <v>46093.58394675926</v>
      </c>
      <c r="X3123" s="72">
        <v>46101.798611111109</v>
      </c>
      <c r="Y3123" s="72">
        <v>46102.8125</v>
      </c>
      <c r="Z3123" s="104" t="s">
        <v>403</v>
      </c>
      <c r="AA3123" s="104" t="s">
        <v>3812</v>
      </c>
      <c r="AB3123" s="105">
        <v>46102.750694444447</v>
      </c>
      <c r="AC3123" s="105">
        <v>46102.80972222222</v>
      </c>
    </row>
    <row r="3124" s="70" customFormat="1" ht="11.25" customHeight="1">
      <c r="A3124" s="87"/>
      <c r="C3124" s="43" t="s">
        <v>5055</v>
      </c>
      <c r="D3124" s="71" t="s">
        <v>382</v>
      </c>
      <c r="E3124" s="71" t="str">
        <f>MID(D3124,1,2)</f>
        <v>IL</v>
      </c>
      <c r="F3124" s="71" t="s">
        <v>414</v>
      </c>
      <c r="G3124" s="71" t="str">
        <f>MID(F3124,1,2)</f>
        <v>US</v>
      </c>
      <c r="H3124" s="43" t="s">
        <v>3776</v>
      </c>
      <c r="I3124" s="71" t="s">
        <v>5056</v>
      </c>
      <c r="J3124" s="71" t="s">
        <v>386</v>
      </c>
      <c r="K3124" s="43"/>
      <c r="L3124" s="71" t="s">
        <v>107</v>
      </c>
      <c r="M3124" s="73">
        <v>181</v>
      </c>
      <c r="N3124" s="71" t="s">
        <v>388</v>
      </c>
      <c r="O3124" s="73">
        <v>1.641</v>
      </c>
      <c r="P3124" s="71" t="s">
        <v>389</v>
      </c>
      <c r="Q3124" s="73">
        <v>273.5</v>
      </c>
      <c r="R3124" s="71" t="s">
        <v>388</v>
      </c>
      <c r="S3124" s="73">
        <v>0</v>
      </c>
      <c r="T3124" s="71" t="s">
        <v>390</v>
      </c>
      <c r="U3124" s="74">
        <v>1</v>
      </c>
      <c r="V3124" s="71" t="s">
        <v>391</v>
      </c>
      <c r="W3124" s="130">
        <v>46092.598611111112</v>
      </c>
      <c r="X3124" s="72">
        <v>46099.854166666664</v>
      </c>
      <c r="Y3124" s="72">
        <v>46100.302083333336</v>
      </c>
      <c r="Z3124" s="104" t="s">
        <v>382</v>
      </c>
      <c r="AA3124" s="104" t="s">
        <v>414</v>
      </c>
      <c r="AB3124" s="105">
        <v>46100.102083333331</v>
      </c>
      <c r="AC3124" s="105">
        <v>46100.31527777778</v>
      </c>
    </row>
    <row r="3125" s="70" customFormat="1" ht="11.25" customHeight="1">
      <c r="A3125" s="87"/>
      <c r="C3125" s="43" t="s">
        <v>5057</v>
      </c>
      <c r="D3125" s="71" t="s">
        <v>382</v>
      </c>
      <c r="E3125" s="71" t="str">
        <f>MID(D3125,1,2)</f>
        <v>IL</v>
      </c>
      <c r="F3125" s="71" t="s">
        <v>414</v>
      </c>
      <c r="G3125" s="71" t="str">
        <f>MID(F3125,1,2)</f>
        <v>US</v>
      </c>
      <c r="H3125" s="43" t="s">
        <v>5058</v>
      </c>
      <c r="I3125" s="71" t="s">
        <v>5059</v>
      </c>
      <c r="J3125" s="71" t="s">
        <v>386</v>
      </c>
      <c r="K3125" s="43"/>
      <c r="L3125" s="71" t="s">
        <v>107</v>
      </c>
      <c r="M3125" s="73">
        <v>62</v>
      </c>
      <c r="N3125" s="71" t="s">
        <v>388</v>
      </c>
      <c r="O3125" s="73">
        <v>0.605</v>
      </c>
      <c r="P3125" s="71" t="s">
        <v>389</v>
      </c>
      <c r="Q3125" s="73">
        <v>101</v>
      </c>
      <c r="R3125" s="71" t="s">
        <v>388</v>
      </c>
      <c r="S3125" s="73">
        <v>0</v>
      </c>
      <c r="T3125" s="71" t="s">
        <v>390</v>
      </c>
      <c r="U3125" s="74">
        <v>1</v>
      </c>
      <c r="V3125" s="71" t="s">
        <v>446</v>
      </c>
      <c r="W3125" s="130">
        <v>46093.653506944444</v>
      </c>
      <c r="X3125" s="72">
        <v>46099.854166666664</v>
      </c>
      <c r="Y3125" s="72">
        <v>46101.323611111111</v>
      </c>
      <c r="Z3125" s="104" t="s">
        <v>382</v>
      </c>
      <c r="AA3125" s="104" t="s">
        <v>414</v>
      </c>
      <c r="AB3125" s="105">
        <v>46100.102083333331</v>
      </c>
      <c r="AC3125" s="105">
        <v>46100.31527777778</v>
      </c>
    </row>
    <row r="3126" s="70" customFormat="1" ht="11.25" customHeight="1">
      <c r="A3126" s="87"/>
      <c r="C3126" s="43" t="s">
        <v>5060</v>
      </c>
      <c r="D3126" s="71" t="s">
        <v>382</v>
      </c>
      <c r="E3126" s="71" t="str">
        <f>MID(D3126,1,2)</f>
        <v>IL</v>
      </c>
      <c r="F3126" s="71" t="s">
        <v>522</v>
      </c>
      <c r="G3126" s="71" t="str">
        <f>MID(F3126,1,2)</f>
        <v>CZ</v>
      </c>
      <c r="H3126" s="43" t="s">
        <v>4182</v>
      </c>
      <c r="I3126" s="71" t="s">
        <v>5061</v>
      </c>
      <c r="J3126" s="71" t="s">
        <v>386</v>
      </c>
      <c r="K3126" s="43"/>
      <c r="L3126" s="71" t="s">
        <v>107</v>
      </c>
      <c r="M3126" s="73">
        <v>10</v>
      </c>
      <c r="N3126" s="71" t="s">
        <v>388</v>
      </c>
      <c r="O3126" s="73">
        <v>0.055</v>
      </c>
      <c r="P3126" s="71" t="s">
        <v>389</v>
      </c>
      <c r="Q3126" s="73">
        <v>10</v>
      </c>
      <c r="R3126" s="71" t="s">
        <v>388</v>
      </c>
      <c r="S3126" s="73">
        <v>0</v>
      </c>
      <c r="T3126" s="71" t="s">
        <v>390</v>
      </c>
      <c r="U3126" s="74">
        <v>1</v>
      </c>
      <c r="V3126" s="71" t="s">
        <v>391</v>
      </c>
      <c r="W3126" s="130">
        <v>46092.611805555556</v>
      </c>
      <c r="X3126" s="72">
        <v>46096.229166666664</v>
      </c>
      <c r="Y3126" s="72">
        <v>46103.336805555555</v>
      </c>
      <c r="Z3126" s="104" t="s">
        <v>382</v>
      </c>
      <c r="AA3126" s="104" t="s">
        <v>408</v>
      </c>
      <c r="AB3126" s="105">
        <v>46096.147916666669</v>
      </c>
      <c r="AC3126" s="105"/>
    </row>
    <row r="3127" s="70" customFormat="1" ht="11.25" customHeight="1">
      <c r="A3127" s="87"/>
      <c r="C3127" s="43" t="s">
        <v>5060</v>
      </c>
      <c r="D3127" s="71" t="s">
        <v>382</v>
      </c>
      <c r="E3127" s="71" t="str">
        <f>MID(D3127,1,2)</f>
        <v>IL</v>
      </c>
      <c r="F3127" s="71" t="s">
        <v>522</v>
      </c>
      <c r="G3127" s="71" t="str">
        <f>MID(F3127,1,2)</f>
        <v>CZ</v>
      </c>
      <c r="H3127" s="43" t="s">
        <v>4182</v>
      </c>
      <c r="I3127" s="71" t="s">
        <v>5061</v>
      </c>
      <c r="J3127" s="71" t="s">
        <v>386</v>
      </c>
      <c r="K3127" s="43"/>
      <c r="L3127" s="71" t="s">
        <v>107</v>
      </c>
      <c r="M3127" s="73">
        <v>10</v>
      </c>
      <c r="N3127" s="71" t="s">
        <v>388</v>
      </c>
      <c r="O3127" s="73">
        <v>0.055</v>
      </c>
      <c r="P3127" s="71" t="s">
        <v>389</v>
      </c>
      <c r="Q3127" s="73">
        <v>10</v>
      </c>
      <c r="R3127" s="71" t="s">
        <v>388</v>
      </c>
      <c r="S3127" s="73">
        <v>0</v>
      </c>
      <c r="T3127" s="71" t="s">
        <v>390</v>
      </c>
      <c r="U3127" s="74">
        <v>1</v>
      </c>
      <c r="V3127" s="71" t="s">
        <v>391</v>
      </c>
      <c r="W3127" s="130">
        <v>46092.611805555556</v>
      </c>
      <c r="X3127" s="72">
        <v>46096.229166666664</v>
      </c>
      <c r="Y3127" s="72">
        <v>46103.336805555555</v>
      </c>
      <c r="Z3127" s="104" t="s">
        <v>408</v>
      </c>
      <c r="AA3127" s="104" t="s">
        <v>3173</v>
      </c>
      <c r="AB3127" s="105"/>
      <c r="AC3127" s="105"/>
    </row>
    <row r="3128" s="70" customFormat="1" ht="11.25" customHeight="1">
      <c r="A3128" s="87"/>
      <c r="C3128" s="43" t="s">
        <v>5060</v>
      </c>
      <c r="D3128" s="71" t="s">
        <v>382</v>
      </c>
      <c r="E3128" s="71" t="str">
        <f>MID(D3128,1,2)</f>
        <v>IL</v>
      </c>
      <c r="F3128" s="71" t="s">
        <v>522</v>
      </c>
      <c r="G3128" s="71" t="str">
        <f>MID(F3128,1,2)</f>
        <v>CZ</v>
      </c>
      <c r="H3128" s="43" t="s">
        <v>4182</v>
      </c>
      <c r="I3128" s="71" t="s">
        <v>5061</v>
      </c>
      <c r="J3128" s="71" t="s">
        <v>386</v>
      </c>
      <c r="K3128" s="43"/>
      <c r="L3128" s="71" t="s">
        <v>107</v>
      </c>
      <c r="M3128" s="73">
        <v>10</v>
      </c>
      <c r="N3128" s="71" t="s">
        <v>388</v>
      </c>
      <c r="O3128" s="73">
        <v>0.055</v>
      </c>
      <c r="P3128" s="71" t="s">
        <v>389</v>
      </c>
      <c r="Q3128" s="73">
        <v>10</v>
      </c>
      <c r="R3128" s="71" t="s">
        <v>388</v>
      </c>
      <c r="S3128" s="73">
        <v>0</v>
      </c>
      <c r="T3128" s="71" t="s">
        <v>390</v>
      </c>
      <c r="U3128" s="74">
        <v>1</v>
      </c>
      <c r="V3128" s="71" t="s">
        <v>391</v>
      </c>
      <c r="W3128" s="130">
        <v>46092.611805555556</v>
      </c>
      <c r="X3128" s="72">
        <v>46096.229166666664</v>
      </c>
      <c r="Y3128" s="72">
        <v>46103.336805555555</v>
      </c>
      <c r="Z3128" s="104" t="s">
        <v>3173</v>
      </c>
      <c r="AA3128" s="104" t="s">
        <v>522</v>
      </c>
      <c r="AB3128" s="105"/>
      <c r="AC3128" s="105"/>
    </row>
    <row r="3129" s="70" customFormat="1" ht="11.25" customHeight="1">
      <c r="A3129" s="87"/>
      <c r="C3129" s="43" t="s">
        <v>5062</v>
      </c>
      <c r="D3129" s="71" t="s">
        <v>382</v>
      </c>
      <c r="E3129" s="71" t="str">
        <f>MID(D3129,1,2)</f>
        <v>IL</v>
      </c>
      <c r="F3129" s="71" t="s">
        <v>774</v>
      </c>
      <c r="G3129" s="71" t="str">
        <f>MID(F3129,1,2)</f>
        <v>CN</v>
      </c>
      <c r="H3129" s="43" t="s">
        <v>4950</v>
      </c>
      <c r="I3129" s="71" t="s">
        <v>5063</v>
      </c>
      <c r="J3129" s="71" t="s">
        <v>755</v>
      </c>
      <c r="K3129" s="43"/>
      <c r="L3129" s="71" t="s">
        <v>105</v>
      </c>
      <c r="M3129" s="73">
        <v>54</v>
      </c>
      <c r="N3129" s="71" t="s">
        <v>388</v>
      </c>
      <c r="O3129" s="73">
        <v>0.53</v>
      </c>
      <c r="P3129" s="71" t="s">
        <v>389</v>
      </c>
      <c r="Q3129" s="73">
        <v>88.5</v>
      </c>
      <c r="R3129" s="71" t="s">
        <v>388</v>
      </c>
      <c r="S3129" s="73">
        <v>0</v>
      </c>
      <c r="T3129" s="71" t="s">
        <v>390</v>
      </c>
      <c r="U3129" s="74">
        <v>1</v>
      </c>
      <c r="V3129" s="71" t="s">
        <v>391</v>
      </c>
      <c r="W3129" s="130">
        <v>46092.601006944446</v>
      </c>
      <c r="X3129" s="72">
        <v>46099.909722222219</v>
      </c>
      <c r="Y3129" s="72">
        <v>46102.84375</v>
      </c>
      <c r="Z3129" s="104" t="s">
        <v>382</v>
      </c>
      <c r="AA3129" s="104" t="s">
        <v>402</v>
      </c>
      <c r="AB3129" s="105">
        <v>46099.772916666669</v>
      </c>
      <c r="AC3129" s="105">
        <v>46099.724305555559</v>
      </c>
    </row>
    <row r="3130" s="70" customFormat="1" ht="11.25" customHeight="1">
      <c r="A3130" s="87"/>
      <c r="C3130" s="43" t="s">
        <v>5062</v>
      </c>
      <c r="D3130" s="71" t="s">
        <v>382</v>
      </c>
      <c r="E3130" s="71" t="str">
        <f>MID(D3130,1,2)</f>
        <v>IL</v>
      </c>
      <c r="F3130" s="71" t="s">
        <v>774</v>
      </c>
      <c r="G3130" s="71" t="str">
        <f>MID(F3130,1,2)</f>
        <v>CN</v>
      </c>
      <c r="H3130" s="43" t="s">
        <v>4950</v>
      </c>
      <c r="I3130" s="71" t="s">
        <v>5063</v>
      </c>
      <c r="J3130" s="71" t="s">
        <v>755</v>
      </c>
      <c r="K3130" s="43"/>
      <c r="L3130" s="71" t="s">
        <v>105</v>
      </c>
      <c r="M3130" s="73">
        <v>54</v>
      </c>
      <c r="N3130" s="71" t="s">
        <v>388</v>
      </c>
      <c r="O3130" s="73">
        <v>0.53</v>
      </c>
      <c r="P3130" s="71" t="s">
        <v>389</v>
      </c>
      <c r="Q3130" s="73">
        <v>88.5</v>
      </c>
      <c r="R3130" s="71" t="s">
        <v>388</v>
      </c>
      <c r="S3130" s="73">
        <v>0</v>
      </c>
      <c r="T3130" s="71" t="s">
        <v>390</v>
      </c>
      <c r="U3130" s="74">
        <v>1</v>
      </c>
      <c r="V3130" s="71" t="s">
        <v>391</v>
      </c>
      <c r="W3130" s="130">
        <v>46092.601006944446</v>
      </c>
      <c r="X3130" s="72">
        <v>46099.909722222219</v>
      </c>
      <c r="Y3130" s="72">
        <v>46102.84375</v>
      </c>
      <c r="Z3130" s="104" t="s">
        <v>402</v>
      </c>
      <c r="AA3130" s="104" t="s">
        <v>403</v>
      </c>
      <c r="AB3130" s="105">
        <v>46099.920138888891</v>
      </c>
      <c r="AC3130" s="105"/>
    </row>
    <row r="3131" s="70" customFormat="1" ht="11.25" customHeight="1">
      <c r="A3131" s="87"/>
      <c r="C3131" s="43" t="s">
        <v>5062</v>
      </c>
      <c r="D3131" s="71" t="s">
        <v>382</v>
      </c>
      <c r="E3131" s="71" t="str">
        <f>MID(D3131,1,2)</f>
        <v>IL</v>
      </c>
      <c r="F3131" s="71" t="s">
        <v>774</v>
      </c>
      <c r="G3131" s="71" t="str">
        <f>MID(F3131,1,2)</f>
        <v>CN</v>
      </c>
      <c r="H3131" s="43" t="s">
        <v>4950</v>
      </c>
      <c r="I3131" s="71" t="s">
        <v>5063</v>
      </c>
      <c r="J3131" s="71" t="s">
        <v>755</v>
      </c>
      <c r="K3131" s="43"/>
      <c r="L3131" s="71" t="s">
        <v>105</v>
      </c>
      <c r="M3131" s="73">
        <v>54</v>
      </c>
      <c r="N3131" s="71" t="s">
        <v>388</v>
      </c>
      <c r="O3131" s="73">
        <v>0.53</v>
      </c>
      <c r="P3131" s="71" t="s">
        <v>389</v>
      </c>
      <c r="Q3131" s="73">
        <v>88.5</v>
      </c>
      <c r="R3131" s="71" t="s">
        <v>388</v>
      </c>
      <c r="S3131" s="73">
        <v>0</v>
      </c>
      <c r="T3131" s="71" t="s">
        <v>390</v>
      </c>
      <c r="U3131" s="74">
        <v>1</v>
      </c>
      <c r="V3131" s="71" t="s">
        <v>391</v>
      </c>
      <c r="W3131" s="130">
        <v>46092.601006944446</v>
      </c>
      <c r="X3131" s="72">
        <v>46099.909722222219</v>
      </c>
      <c r="Y3131" s="72">
        <v>46102.84375</v>
      </c>
      <c r="Z3131" s="104" t="s">
        <v>403</v>
      </c>
      <c r="AA3131" s="104" t="s">
        <v>774</v>
      </c>
      <c r="AB3131" s="105">
        <v>46102.727083333331</v>
      </c>
      <c r="AC3131" s="105">
        <v>46102.822222222225</v>
      </c>
    </row>
    <row r="3132" s="70" customFormat="1" ht="11.25" customHeight="1">
      <c r="A3132" s="87"/>
      <c r="C3132" s="43" t="s">
        <v>5064</v>
      </c>
      <c r="D3132" s="71" t="s">
        <v>382</v>
      </c>
      <c r="E3132" s="71" t="str">
        <f>MID(D3132,1,2)</f>
        <v>IL</v>
      </c>
      <c r="F3132" s="71" t="s">
        <v>963</v>
      </c>
      <c r="G3132" s="71" t="str">
        <f>MID(F3132,1,2)</f>
        <v>IN</v>
      </c>
      <c r="H3132" s="43" t="s">
        <v>5065</v>
      </c>
      <c r="I3132" s="71" t="s">
        <v>5066</v>
      </c>
      <c r="J3132" s="71" t="s">
        <v>426</v>
      </c>
      <c r="K3132" s="43"/>
      <c r="L3132" s="71" t="s">
        <v>105</v>
      </c>
      <c r="M3132" s="73">
        <v>1</v>
      </c>
      <c r="N3132" s="71" t="s">
        <v>388</v>
      </c>
      <c r="O3132" s="73">
        <v>0.007</v>
      </c>
      <c r="P3132" s="71" t="s">
        <v>389</v>
      </c>
      <c r="Q3132" s="73">
        <v>1.5</v>
      </c>
      <c r="R3132" s="71" t="s">
        <v>388</v>
      </c>
      <c r="S3132" s="73">
        <v>0</v>
      </c>
      <c r="T3132" s="71" t="s">
        <v>390</v>
      </c>
      <c r="U3132" s="74">
        <v>1</v>
      </c>
      <c r="V3132" s="71" t="s">
        <v>391</v>
      </c>
      <c r="W3132" s="130">
        <v>46092.625</v>
      </c>
      <c r="X3132" s="72">
        <v>46095.489583333336</v>
      </c>
      <c r="Y3132" s="72">
        <v>46099.666666666664</v>
      </c>
      <c r="Z3132" s="104" t="s">
        <v>382</v>
      </c>
      <c r="AA3132" s="104" t="s">
        <v>402</v>
      </c>
      <c r="AB3132" s="105">
        <v>46095.523611111108</v>
      </c>
      <c r="AC3132" s="105">
        <v>46095.556944444441</v>
      </c>
    </row>
    <row r="3133" s="70" customFormat="1" ht="11.25" customHeight="1">
      <c r="A3133" s="87"/>
      <c r="C3133" s="43" t="s">
        <v>5064</v>
      </c>
      <c r="D3133" s="71" t="s">
        <v>382</v>
      </c>
      <c r="E3133" s="71" t="str">
        <f>MID(D3133,1,2)</f>
        <v>IL</v>
      </c>
      <c r="F3133" s="71" t="s">
        <v>963</v>
      </c>
      <c r="G3133" s="71" t="str">
        <f>MID(F3133,1,2)</f>
        <v>IN</v>
      </c>
      <c r="H3133" s="43" t="s">
        <v>5065</v>
      </c>
      <c r="I3133" s="71" t="s">
        <v>5066</v>
      </c>
      <c r="J3133" s="71" t="s">
        <v>426</v>
      </c>
      <c r="K3133" s="43"/>
      <c r="L3133" s="71" t="s">
        <v>105</v>
      </c>
      <c r="M3133" s="73">
        <v>1</v>
      </c>
      <c r="N3133" s="71" t="s">
        <v>388</v>
      </c>
      <c r="O3133" s="73">
        <v>0.007</v>
      </c>
      <c r="P3133" s="71" t="s">
        <v>389</v>
      </c>
      <c r="Q3133" s="73">
        <v>1.5</v>
      </c>
      <c r="R3133" s="71" t="s">
        <v>388</v>
      </c>
      <c r="S3133" s="73">
        <v>0</v>
      </c>
      <c r="T3133" s="71" t="s">
        <v>390</v>
      </c>
      <c r="U3133" s="74">
        <v>1</v>
      </c>
      <c r="V3133" s="71" t="s">
        <v>391</v>
      </c>
      <c r="W3133" s="130">
        <v>46092.625</v>
      </c>
      <c r="X3133" s="72">
        <v>46095.489583333336</v>
      </c>
      <c r="Y3133" s="72">
        <v>46099.666666666664</v>
      </c>
      <c r="Z3133" s="104" t="s">
        <v>402</v>
      </c>
      <c r="AA3133" s="104" t="s">
        <v>809</v>
      </c>
      <c r="AB3133" s="105">
        <v>46095.61875</v>
      </c>
      <c r="AC3133" s="105">
        <v>46096.006944444445</v>
      </c>
    </row>
    <row r="3134" s="70" customFormat="1" ht="11.25" customHeight="1">
      <c r="A3134" s="87"/>
      <c r="C3134" s="43" t="s">
        <v>5064</v>
      </c>
      <c r="D3134" s="71" t="s">
        <v>382</v>
      </c>
      <c r="E3134" s="71" t="str">
        <f>MID(D3134,1,2)</f>
        <v>IL</v>
      </c>
      <c r="F3134" s="71" t="s">
        <v>963</v>
      </c>
      <c r="G3134" s="71" t="str">
        <f>MID(F3134,1,2)</f>
        <v>IN</v>
      </c>
      <c r="H3134" s="43" t="s">
        <v>5065</v>
      </c>
      <c r="I3134" s="71" t="s">
        <v>5066</v>
      </c>
      <c r="J3134" s="71" t="s">
        <v>426</v>
      </c>
      <c r="K3134" s="43"/>
      <c r="L3134" s="71" t="s">
        <v>105</v>
      </c>
      <c r="M3134" s="73">
        <v>1</v>
      </c>
      <c r="N3134" s="71" t="s">
        <v>388</v>
      </c>
      <c r="O3134" s="73">
        <v>0.007</v>
      </c>
      <c r="P3134" s="71" t="s">
        <v>389</v>
      </c>
      <c r="Q3134" s="73">
        <v>1.5</v>
      </c>
      <c r="R3134" s="71" t="s">
        <v>388</v>
      </c>
      <c r="S3134" s="73">
        <v>0</v>
      </c>
      <c r="T3134" s="71" t="s">
        <v>390</v>
      </c>
      <c r="U3134" s="74">
        <v>1</v>
      </c>
      <c r="V3134" s="71" t="s">
        <v>391</v>
      </c>
      <c r="W3134" s="130">
        <v>46092.625</v>
      </c>
      <c r="X3134" s="72">
        <v>46095.489583333336</v>
      </c>
      <c r="Y3134" s="72">
        <v>46099.666666666664</v>
      </c>
      <c r="Z3134" s="104" t="s">
        <v>809</v>
      </c>
      <c r="AA3134" s="104" t="s">
        <v>963</v>
      </c>
      <c r="AB3134" s="105">
        <v>46098.340277777781</v>
      </c>
      <c r="AC3134" s="105">
        <v>46099.831944444442</v>
      </c>
    </row>
    <row r="3135" s="70" customFormat="1" ht="11.25" customHeight="1">
      <c r="A3135" s="87"/>
      <c r="C3135" s="43" t="s">
        <v>5067</v>
      </c>
      <c r="D3135" s="71" t="s">
        <v>382</v>
      </c>
      <c r="E3135" s="71" t="str">
        <f>MID(D3135,1,2)</f>
        <v>IL</v>
      </c>
      <c r="F3135" s="71" t="s">
        <v>405</v>
      </c>
      <c r="G3135" s="71" t="str">
        <f>MID(F3135,1,2)</f>
        <v>CA</v>
      </c>
      <c r="H3135" s="43" t="s">
        <v>5068</v>
      </c>
      <c r="I3135" s="71" t="s">
        <v>5069</v>
      </c>
      <c r="J3135" s="71" t="s">
        <v>435</v>
      </c>
      <c r="K3135" s="43"/>
      <c r="L3135" s="71" t="s">
        <v>105</v>
      </c>
      <c r="M3135" s="73">
        <v>482</v>
      </c>
      <c r="N3135" s="71" t="s">
        <v>388</v>
      </c>
      <c r="O3135" s="73">
        <v>1.109</v>
      </c>
      <c r="P3135" s="71" t="s">
        <v>389</v>
      </c>
      <c r="Q3135" s="73">
        <v>482</v>
      </c>
      <c r="R3135" s="71" t="s">
        <v>388</v>
      </c>
      <c r="S3135" s="73">
        <v>0</v>
      </c>
      <c r="T3135" s="71" t="s">
        <v>390</v>
      </c>
      <c r="U3135" s="74">
        <v>1</v>
      </c>
      <c r="V3135" s="71" t="s">
        <v>391</v>
      </c>
      <c r="W3135" s="130">
        <v>46092.625</v>
      </c>
      <c r="X3135" s="72">
        <v>46096.979166666664</v>
      </c>
      <c r="Y3135" s="72">
        <v>46100.708333333336</v>
      </c>
      <c r="Z3135" s="104" t="s">
        <v>382</v>
      </c>
      <c r="AA3135" s="104" t="s">
        <v>408</v>
      </c>
      <c r="AB3135" s="105">
        <v>46096.147916666669</v>
      </c>
      <c r="AC3135" s="105"/>
    </row>
    <row r="3136" s="70" customFormat="1" ht="11.25" customHeight="1">
      <c r="A3136" s="87"/>
      <c r="C3136" s="43" t="s">
        <v>5067</v>
      </c>
      <c r="D3136" s="71" t="s">
        <v>382</v>
      </c>
      <c r="E3136" s="71" t="str">
        <f>MID(D3136,1,2)</f>
        <v>IL</v>
      </c>
      <c r="F3136" s="71" t="s">
        <v>405</v>
      </c>
      <c r="G3136" s="71" t="str">
        <f>MID(F3136,1,2)</f>
        <v>CA</v>
      </c>
      <c r="H3136" s="43" t="s">
        <v>5068</v>
      </c>
      <c r="I3136" s="71" t="s">
        <v>5069</v>
      </c>
      <c r="J3136" s="71" t="s">
        <v>435</v>
      </c>
      <c r="K3136" s="43"/>
      <c r="L3136" s="71" t="s">
        <v>105</v>
      </c>
      <c r="M3136" s="73">
        <v>482</v>
      </c>
      <c r="N3136" s="71" t="s">
        <v>388</v>
      </c>
      <c r="O3136" s="73">
        <v>1.109</v>
      </c>
      <c r="P3136" s="71" t="s">
        <v>389</v>
      </c>
      <c r="Q3136" s="73">
        <v>482</v>
      </c>
      <c r="R3136" s="71" t="s">
        <v>388</v>
      </c>
      <c r="S3136" s="73">
        <v>0</v>
      </c>
      <c r="T3136" s="71" t="s">
        <v>390</v>
      </c>
      <c r="U3136" s="74">
        <v>1</v>
      </c>
      <c r="V3136" s="71" t="s">
        <v>391</v>
      </c>
      <c r="W3136" s="130">
        <v>46092.625</v>
      </c>
      <c r="X3136" s="72">
        <v>46096.979166666664</v>
      </c>
      <c r="Y3136" s="72">
        <v>46100.708333333336</v>
      </c>
      <c r="Z3136" s="104" t="s">
        <v>408</v>
      </c>
      <c r="AA3136" s="104" t="s">
        <v>405</v>
      </c>
      <c r="AB3136" s="105">
        <v>46100.503472222219</v>
      </c>
      <c r="AC3136" s="105">
        <v>46100.6875</v>
      </c>
    </row>
    <row r="3137" s="70" customFormat="1" ht="11.25" customHeight="1">
      <c r="A3137" s="87"/>
      <c r="C3137" s="43" t="s">
        <v>5070</v>
      </c>
      <c r="D3137" s="71" t="s">
        <v>382</v>
      </c>
      <c r="E3137" s="71" t="str">
        <f>MID(D3137,1,2)</f>
        <v>IL</v>
      </c>
      <c r="F3137" s="71" t="s">
        <v>963</v>
      </c>
      <c r="G3137" s="71" t="str">
        <f>MID(F3137,1,2)</f>
        <v>IN</v>
      </c>
      <c r="H3137" s="43" t="s">
        <v>5065</v>
      </c>
      <c r="I3137" s="71" t="s">
        <v>5071</v>
      </c>
      <c r="J3137" s="71" t="s">
        <v>426</v>
      </c>
      <c r="K3137" s="43"/>
      <c r="L3137" s="71" t="s">
        <v>105</v>
      </c>
      <c r="M3137" s="73">
        <v>24</v>
      </c>
      <c r="N3137" s="71" t="s">
        <v>388</v>
      </c>
      <c r="O3137" s="73">
        <v>0.252</v>
      </c>
      <c r="P3137" s="71" t="s">
        <v>389</v>
      </c>
      <c r="Q3137" s="73">
        <v>42</v>
      </c>
      <c r="R3137" s="71" t="s">
        <v>388</v>
      </c>
      <c r="S3137" s="73">
        <v>0</v>
      </c>
      <c r="T3137" s="71" t="s">
        <v>390</v>
      </c>
      <c r="U3137" s="74">
        <v>1</v>
      </c>
      <c r="V3137" s="71" t="s">
        <v>391</v>
      </c>
      <c r="W3137" s="130">
        <v>46092.625</v>
      </c>
      <c r="X3137" s="72">
        <v>46095.489583333336</v>
      </c>
      <c r="Y3137" s="72">
        <v>46099.666666666664</v>
      </c>
      <c r="Z3137" s="104" t="s">
        <v>382</v>
      </c>
      <c r="AA3137" s="104" t="s">
        <v>402</v>
      </c>
      <c r="AB3137" s="105">
        <v>46095.523611111108</v>
      </c>
      <c r="AC3137" s="105">
        <v>46095.556944444441</v>
      </c>
    </row>
    <row r="3138" s="70" customFormat="1" ht="11.25" customHeight="1">
      <c r="A3138" s="87"/>
      <c r="C3138" s="43" t="s">
        <v>5070</v>
      </c>
      <c r="D3138" s="71" t="s">
        <v>382</v>
      </c>
      <c r="E3138" s="71" t="str">
        <f>MID(D3138,1,2)</f>
        <v>IL</v>
      </c>
      <c r="F3138" s="71" t="s">
        <v>963</v>
      </c>
      <c r="G3138" s="71" t="str">
        <f>MID(F3138,1,2)</f>
        <v>IN</v>
      </c>
      <c r="H3138" s="43" t="s">
        <v>5065</v>
      </c>
      <c r="I3138" s="71" t="s">
        <v>5071</v>
      </c>
      <c r="J3138" s="71" t="s">
        <v>426</v>
      </c>
      <c r="K3138" s="43"/>
      <c r="L3138" s="71" t="s">
        <v>105</v>
      </c>
      <c r="M3138" s="73">
        <v>24</v>
      </c>
      <c r="N3138" s="71" t="s">
        <v>388</v>
      </c>
      <c r="O3138" s="73">
        <v>0.252</v>
      </c>
      <c r="P3138" s="71" t="s">
        <v>389</v>
      </c>
      <c r="Q3138" s="73">
        <v>42</v>
      </c>
      <c r="R3138" s="71" t="s">
        <v>388</v>
      </c>
      <c r="S3138" s="73">
        <v>0</v>
      </c>
      <c r="T3138" s="71" t="s">
        <v>390</v>
      </c>
      <c r="U3138" s="74">
        <v>1</v>
      </c>
      <c r="V3138" s="71" t="s">
        <v>391</v>
      </c>
      <c r="W3138" s="130">
        <v>46092.625</v>
      </c>
      <c r="X3138" s="72">
        <v>46095.489583333336</v>
      </c>
      <c r="Y3138" s="72">
        <v>46099.666666666664</v>
      </c>
      <c r="Z3138" s="104" t="s">
        <v>402</v>
      </c>
      <c r="AA3138" s="104" t="s">
        <v>809</v>
      </c>
      <c r="AB3138" s="105">
        <v>46095.61875</v>
      </c>
      <c r="AC3138" s="105">
        <v>46096.006944444445</v>
      </c>
    </row>
    <row r="3139" s="70" customFormat="1" ht="11.25" customHeight="1">
      <c r="A3139" s="87"/>
      <c r="C3139" s="43" t="s">
        <v>5070</v>
      </c>
      <c r="D3139" s="71" t="s">
        <v>382</v>
      </c>
      <c r="E3139" s="71" t="str">
        <f>MID(D3139,1,2)</f>
        <v>IL</v>
      </c>
      <c r="F3139" s="71" t="s">
        <v>963</v>
      </c>
      <c r="G3139" s="71" t="str">
        <f>MID(F3139,1,2)</f>
        <v>IN</v>
      </c>
      <c r="H3139" s="43" t="s">
        <v>5065</v>
      </c>
      <c r="I3139" s="71" t="s">
        <v>5071</v>
      </c>
      <c r="J3139" s="71" t="s">
        <v>426</v>
      </c>
      <c r="K3139" s="43"/>
      <c r="L3139" s="71" t="s">
        <v>105</v>
      </c>
      <c r="M3139" s="73">
        <v>24</v>
      </c>
      <c r="N3139" s="71" t="s">
        <v>388</v>
      </c>
      <c r="O3139" s="73">
        <v>0.252</v>
      </c>
      <c r="P3139" s="71" t="s">
        <v>389</v>
      </c>
      <c r="Q3139" s="73">
        <v>42</v>
      </c>
      <c r="R3139" s="71" t="s">
        <v>388</v>
      </c>
      <c r="S3139" s="73">
        <v>0</v>
      </c>
      <c r="T3139" s="71" t="s">
        <v>390</v>
      </c>
      <c r="U3139" s="74">
        <v>1</v>
      </c>
      <c r="V3139" s="71" t="s">
        <v>391</v>
      </c>
      <c r="W3139" s="130">
        <v>46092.625</v>
      </c>
      <c r="X3139" s="72">
        <v>46095.489583333336</v>
      </c>
      <c r="Y3139" s="72">
        <v>46099.666666666664</v>
      </c>
      <c r="Z3139" s="104" t="s">
        <v>809</v>
      </c>
      <c r="AA3139" s="104" t="s">
        <v>963</v>
      </c>
      <c r="AB3139" s="105">
        <v>46098.340277777781</v>
      </c>
      <c r="AC3139" s="105">
        <v>46099.831944444442</v>
      </c>
    </row>
    <row r="3140" s="70" customFormat="1" ht="11.25" customHeight="1">
      <c r="A3140" s="87"/>
      <c r="C3140" s="43" t="s">
        <v>5072</v>
      </c>
      <c r="D3140" s="71" t="s">
        <v>382</v>
      </c>
      <c r="E3140" s="71" t="str">
        <f>MID(D3140,1,2)</f>
        <v>IL</v>
      </c>
      <c r="F3140" s="71" t="s">
        <v>485</v>
      </c>
      <c r="G3140" s="71" t="str">
        <f>MID(F3140,1,2)</f>
        <v>US</v>
      </c>
      <c r="H3140" s="43" t="s">
        <v>4446</v>
      </c>
      <c r="I3140" s="71" t="s">
        <v>5073</v>
      </c>
      <c r="J3140" s="71" t="s">
        <v>386</v>
      </c>
      <c r="K3140" s="43"/>
      <c r="L3140" s="71" t="s">
        <v>107</v>
      </c>
      <c r="M3140" s="73">
        <v>88</v>
      </c>
      <c r="N3140" s="71" t="s">
        <v>388</v>
      </c>
      <c r="O3140" s="73">
        <v>0.864</v>
      </c>
      <c r="P3140" s="71" t="s">
        <v>389</v>
      </c>
      <c r="Q3140" s="73">
        <v>144</v>
      </c>
      <c r="R3140" s="71" t="s">
        <v>388</v>
      </c>
      <c r="S3140" s="73">
        <v>0</v>
      </c>
      <c r="T3140" s="71" t="s">
        <v>390</v>
      </c>
      <c r="U3140" s="74">
        <v>1</v>
      </c>
      <c r="V3140" s="71" t="s">
        <v>391</v>
      </c>
      <c r="W3140" s="130">
        <v>46092.63958333333</v>
      </c>
      <c r="X3140" s="72">
        <v>46096.25</v>
      </c>
      <c r="Y3140" s="72">
        <v>46104.833333333336</v>
      </c>
      <c r="Z3140" s="104" t="s">
        <v>382</v>
      </c>
      <c r="AA3140" s="104" t="s">
        <v>408</v>
      </c>
      <c r="AB3140" s="105">
        <v>46096.154166666667</v>
      </c>
      <c r="AC3140" s="105"/>
    </row>
    <row r="3141" s="70" customFormat="1" ht="11.25" customHeight="1">
      <c r="A3141" s="87"/>
      <c r="C3141" s="43" t="s">
        <v>5072</v>
      </c>
      <c r="D3141" s="71" t="s">
        <v>382</v>
      </c>
      <c r="E3141" s="71" t="str">
        <f>MID(D3141,1,2)</f>
        <v>IL</v>
      </c>
      <c r="F3141" s="71" t="s">
        <v>485</v>
      </c>
      <c r="G3141" s="71" t="str">
        <f>MID(F3141,1,2)</f>
        <v>US</v>
      </c>
      <c r="H3141" s="43" t="s">
        <v>4446</v>
      </c>
      <c r="I3141" s="71" t="s">
        <v>5073</v>
      </c>
      <c r="J3141" s="71" t="s">
        <v>386</v>
      </c>
      <c r="K3141" s="43"/>
      <c r="L3141" s="71" t="s">
        <v>107</v>
      </c>
      <c r="M3141" s="73">
        <v>88</v>
      </c>
      <c r="N3141" s="71" t="s">
        <v>388</v>
      </c>
      <c r="O3141" s="73">
        <v>0.864</v>
      </c>
      <c r="P3141" s="71" t="s">
        <v>389</v>
      </c>
      <c r="Q3141" s="73">
        <v>144</v>
      </c>
      <c r="R3141" s="71" t="s">
        <v>388</v>
      </c>
      <c r="S3141" s="73">
        <v>0</v>
      </c>
      <c r="T3141" s="71" t="s">
        <v>390</v>
      </c>
      <c r="U3141" s="74">
        <v>1</v>
      </c>
      <c r="V3141" s="71" t="s">
        <v>391</v>
      </c>
      <c r="W3141" s="130">
        <v>46092.63958333333</v>
      </c>
      <c r="X3141" s="72">
        <v>46096.25</v>
      </c>
      <c r="Y3141" s="72">
        <v>46104.833333333336</v>
      </c>
      <c r="Z3141" s="104" t="s">
        <v>408</v>
      </c>
      <c r="AA3141" s="104" t="s">
        <v>405</v>
      </c>
      <c r="AB3141" s="105">
        <v>46102.511111111111</v>
      </c>
      <c r="AC3141" s="105">
        <v>46102.6875</v>
      </c>
    </row>
    <row r="3142" s="70" customFormat="1" ht="11.25" customHeight="1">
      <c r="A3142" s="87"/>
      <c r="C3142" s="43" t="s">
        <v>5072</v>
      </c>
      <c r="D3142" s="71" t="s">
        <v>382</v>
      </c>
      <c r="E3142" s="71" t="str">
        <f>MID(D3142,1,2)</f>
        <v>IL</v>
      </c>
      <c r="F3142" s="71" t="s">
        <v>485</v>
      </c>
      <c r="G3142" s="71" t="str">
        <f>MID(F3142,1,2)</f>
        <v>US</v>
      </c>
      <c r="H3142" s="43" t="s">
        <v>4446</v>
      </c>
      <c r="I3142" s="71" t="s">
        <v>5073</v>
      </c>
      <c r="J3142" s="71" t="s">
        <v>386</v>
      </c>
      <c r="K3142" s="43"/>
      <c r="L3142" s="71" t="s">
        <v>107</v>
      </c>
      <c r="M3142" s="73">
        <v>88</v>
      </c>
      <c r="N3142" s="71" t="s">
        <v>388</v>
      </c>
      <c r="O3142" s="73">
        <v>0.864</v>
      </c>
      <c r="P3142" s="71" t="s">
        <v>389</v>
      </c>
      <c r="Q3142" s="73">
        <v>144</v>
      </c>
      <c r="R3142" s="71" t="s">
        <v>388</v>
      </c>
      <c r="S3142" s="73">
        <v>0</v>
      </c>
      <c r="T3142" s="71" t="s">
        <v>390</v>
      </c>
      <c r="U3142" s="74">
        <v>1</v>
      </c>
      <c r="V3142" s="71" t="s">
        <v>391</v>
      </c>
      <c r="W3142" s="130">
        <v>46092.63958333333</v>
      </c>
      <c r="X3142" s="72">
        <v>46096.25</v>
      </c>
      <c r="Y3142" s="72">
        <v>46104.833333333336</v>
      </c>
      <c r="Z3142" s="104" t="s">
        <v>405</v>
      </c>
      <c r="AA3142" s="104" t="s">
        <v>485</v>
      </c>
      <c r="AB3142" s="105"/>
      <c r="AC3142" s="105"/>
    </row>
    <row r="3143" s="70" customFormat="1" ht="11.25" customHeight="1">
      <c r="A3143" s="87"/>
      <c r="C3143" s="43" t="s">
        <v>5074</v>
      </c>
      <c r="D3143" s="71" t="s">
        <v>382</v>
      </c>
      <c r="E3143" s="71" t="str">
        <f>MID(D3143,1,2)</f>
        <v>IL</v>
      </c>
      <c r="F3143" s="71" t="s">
        <v>414</v>
      </c>
      <c r="G3143" s="71" t="str">
        <f>MID(F3143,1,2)</f>
        <v>US</v>
      </c>
      <c r="H3143" s="43" t="s">
        <v>3776</v>
      </c>
      <c r="I3143" s="71" t="s">
        <v>5075</v>
      </c>
      <c r="J3143" s="71" t="s">
        <v>386</v>
      </c>
      <c r="K3143" s="43"/>
      <c r="L3143" s="71" t="s">
        <v>107</v>
      </c>
      <c r="M3143" s="73">
        <v>3</v>
      </c>
      <c r="N3143" s="71" t="s">
        <v>388</v>
      </c>
      <c r="O3143" s="73">
        <v>0.036</v>
      </c>
      <c r="P3143" s="71" t="s">
        <v>389</v>
      </c>
      <c r="Q3143" s="73">
        <v>6</v>
      </c>
      <c r="R3143" s="71" t="s">
        <v>388</v>
      </c>
      <c r="S3143" s="73">
        <v>0</v>
      </c>
      <c r="T3143" s="71" t="s">
        <v>390</v>
      </c>
      <c r="U3143" s="74">
        <v>1</v>
      </c>
      <c r="V3143" s="71" t="s">
        <v>427</v>
      </c>
      <c r="W3143" s="130">
        <v>46092.646527777775</v>
      </c>
      <c r="X3143" s="72">
        <v>46099.854166666664</v>
      </c>
      <c r="Y3143" s="72">
        <v>46100.302083333336</v>
      </c>
      <c r="Z3143" s="104" t="s">
        <v>382</v>
      </c>
      <c r="AA3143" s="104" t="s">
        <v>414</v>
      </c>
      <c r="AB3143" s="105">
        <v>46100.102083333331</v>
      </c>
      <c r="AC3143" s="105">
        <v>46100.31527777778</v>
      </c>
    </row>
    <row r="3144" s="70" customFormat="1" ht="11.25" customHeight="1">
      <c r="A3144" s="87"/>
      <c r="C3144" s="43" t="s">
        <v>5076</v>
      </c>
      <c r="D3144" s="71" t="s">
        <v>382</v>
      </c>
      <c r="E3144" s="71" t="str">
        <f>MID(D3144,1,2)</f>
        <v>IL</v>
      </c>
      <c r="F3144" s="71" t="s">
        <v>402</v>
      </c>
      <c r="G3144" s="71" t="str">
        <f>MID(F3144,1,2)</f>
        <v>CY</v>
      </c>
      <c r="H3144" s="43" t="s">
        <v>5077</v>
      </c>
      <c r="I3144" s="71" t="s">
        <v>5078</v>
      </c>
      <c r="J3144" s="71" t="s">
        <v>400</v>
      </c>
      <c r="K3144" s="43"/>
      <c r="L3144" s="71" t="s">
        <v>105</v>
      </c>
      <c r="M3144" s="73">
        <v>373</v>
      </c>
      <c r="N3144" s="71" t="s">
        <v>388</v>
      </c>
      <c r="O3144" s="73">
        <v>2.108</v>
      </c>
      <c r="P3144" s="71" t="s">
        <v>389</v>
      </c>
      <c r="Q3144" s="73">
        <v>2500</v>
      </c>
      <c r="R3144" s="71" t="s">
        <v>388</v>
      </c>
      <c r="S3144" s="73">
        <v>0</v>
      </c>
      <c r="T3144" s="71" t="s">
        <v>390</v>
      </c>
      <c r="U3144" s="74">
        <v>1</v>
      </c>
      <c r="V3144" s="71" t="s">
        <v>391</v>
      </c>
      <c r="W3144" s="130">
        <v>46096.66875</v>
      </c>
      <c r="X3144" s="72">
        <v>46099</v>
      </c>
      <c r="Y3144" s="72">
        <v>46114.583333333336</v>
      </c>
      <c r="Z3144" s="104" t="s">
        <v>382</v>
      </c>
      <c r="AA3144" s="104" t="s">
        <v>402</v>
      </c>
      <c r="AB3144" s="105"/>
      <c r="AC3144" s="105"/>
    </row>
    <row r="3145" s="70" customFormat="1" ht="11.25" customHeight="1">
      <c r="A3145" s="87"/>
      <c r="C3145" s="43" t="s">
        <v>5079</v>
      </c>
      <c r="D3145" s="71" t="s">
        <v>382</v>
      </c>
      <c r="E3145" s="71" t="str">
        <f>MID(D3145,1,2)</f>
        <v>IL</v>
      </c>
      <c r="F3145" s="71" t="s">
        <v>774</v>
      </c>
      <c r="G3145" s="71" t="str">
        <f>MID(F3145,1,2)</f>
        <v>CN</v>
      </c>
      <c r="H3145" s="43" t="s">
        <v>4950</v>
      </c>
      <c r="I3145" s="71" t="s">
        <v>5080</v>
      </c>
      <c r="J3145" s="71" t="s">
        <v>755</v>
      </c>
      <c r="K3145" s="43"/>
      <c r="L3145" s="71" t="s">
        <v>105</v>
      </c>
      <c r="M3145" s="73">
        <v>3.5</v>
      </c>
      <c r="N3145" s="71" t="s">
        <v>388</v>
      </c>
      <c r="O3145" s="73">
        <v>0.066</v>
      </c>
      <c r="P3145" s="71" t="s">
        <v>389</v>
      </c>
      <c r="Q3145" s="73">
        <v>11</v>
      </c>
      <c r="R3145" s="71" t="s">
        <v>388</v>
      </c>
      <c r="S3145" s="73">
        <v>0</v>
      </c>
      <c r="T3145" s="71" t="s">
        <v>390</v>
      </c>
      <c r="U3145" s="74">
        <v>1</v>
      </c>
      <c r="V3145" s="71" t="s">
        <v>391</v>
      </c>
      <c r="W3145" s="130">
        <v>46093.587511574071</v>
      </c>
      <c r="X3145" s="72">
        <v>46099.909722222219</v>
      </c>
      <c r="Y3145" s="72">
        <v>46102.84375</v>
      </c>
      <c r="Z3145" s="104" t="s">
        <v>382</v>
      </c>
      <c r="AA3145" s="104" t="s">
        <v>402</v>
      </c>
      <c r="AB3145" s="105">
        <v>46099.772916666669</v>
      </c>
      <c r="AC3145" s="105">
        <v>46099.724305555559</v>
      </c>
    </row>
    <row r="3146" s="70" customFormat="1" ht="11.25" customHeight="1">
      <c r="A3146" s="87"/>
      <c r="C3146" s="43" t="s">
        <v>5079</v>
      </c>
      <c r="D3146" s="71" t="s">
        <v>382</v>
      </c>
      <c r="E3146" s="71" t="str">
        <f>MID(D3146,1,2)</f>
        <v>IL</v>
      </c>
      <c r="F3146" s="71" t="s">
        <v>774</v>
      </c>
      <c r="G3146" s="71" t="str">
        <f>MID(F3146,1,2)</f>
        <v>CN</v>
      </c>
      <c r="H3146" s="43" t="s">
        <v>4950</v>
      </c>
      <c r="I3146" s="71" t="s">
        <v>5080</v>
      </c>
      <c r="J3146" s="71" t="s">
        <v>755</v>
      </c>
      <c r="K3146" s="43"/>
      <c r="L3146" s="71" t="s">
        <v>105</v>
      </c>
      <c r="M3146" s="73">
        <v>3.5</v>
      </c>
      <c r="N3146" s="71" t="s">
        <v>388</v>
      </c>
      <c r="O3146" s="73">
        <v>0.066</v>
      </c>
      <c r="P3146" s="71" t="s">
        <v>389</v>
      </c>
      <c r="Q3146" s="73">
        <v>11</v>
      </c>
      <c r="R3146" s="71" t="s">
        <v>388</v>
      </c>
      <c r="S3146" s="73">
        <v>0</v>
      </c>
      <c r="T3146" s="71" t="s">
        <v>390</v>
      </c>
      <c r="U3146" s="74">
        <v>1</v>
      </c>
      <c r="V3146" s="71" t="s">
        <v>391</v>
      </c>
      <c r="W3146" s="130">
        <v>46093.587511574071</v>
      </c>
      <c r="X3146" s="72">
        <v>46099.909722222219</v>
      </c>
      <c r="Y3146" s="72">
        <v>46102.84375</v>
      </c>
      <c r="Z3146" s="104" t="s">
        <v>402</v>
      </c>
      <c r="AA3146" s="104" t="s">
        <v>403</v>
      </c>
      <c r="AB3146" s="105">
        <v>46099.920138888891</v>
      </c>
      <c r="AC3146" s="105"/>
    </row>
    <row r="3147" s="70" customFormat="1" ht="11.25" customHeight="1">
      <c r="A3147" s="87"/>
      <c r="C3147" s="43" t="s">
        <v>5079</v>
      </c>
      <c r="D3147" s="71" t="s">
        <v>382</v>
      </c>
      <c r="E3147" s="71" t="str">
        <f>MID(D3147,1,2)</f>
        <v>IL</v>
      </c>
      <c r="F3147" s="71" t="s">
        <v>774</v>
      </c>
      <c r="G3147" s="71" t="str">
        <f>MID(F3147,1,2)</f>
        <v>CN</v>
      </c>
      <c r="H3147" s="43" t="s">
        <v>4950</v>
      </c>
      <c r="I3147" s="71" t="s">
        <v>5080</v>
      </c>
      <c r="J3147" s="71" t="s">
        <v>755</v>
      </c>
      <c r="K3147" s="43"/>
      <c r="L3147" s="71" t="s">
        <v>105</v>
      </c>
      <c r="M3147" s="73">
        <v>3.5</v>
      </c>
      <c r="N3147" s="71" t="s">
        <v>388</v>
      </c>
      <c r="O3147" s="73">
        <v>0.066</v>
      </c>
      <c r="P3147" s="71" t="s">
        <v>389</v>
      </c>
      <c r="Q3147" s="73">
        <v>11</v>
      </c>
      <c r="R3147" s="71" t="s">
        <v>388</v>
      </c>
      <c r="S3147" s="73">
        <v>0</v>
      </c>
      <c r="T3147" s="71" t="s">
        <v>390</v>
      </c>
      <c r="U3147" s="74">
        <v>1</v>
      </c>
      <c r="V3147" s="71" t="s">
        <v>391</v>
      </c>
      <c r="W3147" s="130">
        <v>46093.587511574071</v>
      </c>
      <c r="X3147" s="72">
        <v>46099.909722222219</v>
      </c>
      <c r="Y3147" s="72">
        <v>46102.84375</v>
      </c>
      <c r="Z3147" s="104" t="s">
        <v>403</v>
      </c>
      <c r="AA3147" s="104" t="s">
        <v>774</v>
      </c>
      <c r="AB3147" s="105">
        <v>46102.727083333331</v>
      </c>
      <c r="AC3147" s="105">
        <v>46102.822222222225</v>
      </c>
    </row>
    <row r="3148" s="70" customFormat="1" ht="11.25" customHeight="1">
      <c r="A3148" s="87"/>
      <c r="C3148" s="43" t="s">
        <v>5081</v>
      </c>
      <c r="D3148" s="71" t="s">
        <v>382</v>
      </c>
      <c r="E3148" s="71" t="str">
        <f>MID(D3148,1,2)</f>
        <v>IL</v>
      </c>
      <c r="F3148" s="71" t="s">
        <v>414</v>
      </c>
      <c r="G3148" s="71" t="str">
        <f>MID(F3148,1,2)</f>
        <v>US</v>
      </c>
      <c r="H3148" s="43" t="s">
        <v>3776</v>
      </c>
      <c r="I3148" s="71" t="s">
        <v>5082</v>
      </c>
      <c r="J3148" s="71" t="s">
        <v>426</v>
      </c>
      <c r="K3148" s="43"/>
      <c r="L3148" s="71" t="s">
        <v>105</v>
      </c>
      <c r="M3148" s="73">
        <v>44</v>
      </c>
      <c r="N3148" s="71" t="s">
        <v>388</v>
      </c>
      <c r="O3148" s="73">
        <v>0.2</v>
      </c>
      <c r="P3148" s="71" t="s">
        <v>389</v>
      </c>
      <c r="Q3148" s="73">
        <v>44</v>
      </c>
      <c r="R3148" s="71" t="s">
        <v>388</v>
      </c>
      <c r="S3148" s="73">
        <v>0</v>
      </c>
      <c r="T3148" s="71" t="s">
        <v>390</v>
      </c>
      <c r="U3148" s="74">
        <v>2</v>
      </c>
      <c r="V3148" s="71" t="s">
        <v>391</v>
      </c>
      <c r="W3148" s="130">
        <v>46092.652777777781</v>
      </c>
      <c r="X3148" s="72">
        <v>46099.854166666664</v>
      </c>
      <c r="Y3148" s="72">
        <v>46100.302083333336</v>
      </c>
      <c r="Z3148" s="104" t="s">
        <v>382</v>
      </c>
      <c r="AA3148" s="104" t="s">
        <v>414</v>
      </c>
      <c r="AB3148" s="105">
        <v>46100.102083333331</v>
      </c>
      <c r="AC3148" s="105">
        <v>46100.31527777778</v>
      </c>
    </row>
    <row r="3149" s="70" customFormat="1" ht="11.25" customHeight="1">
      <c r="A3149" s="87"/>
      <c r="C3149" s="43" t="s">
        <v>5083</v>
      </c>
      <c r="D3149" s="71" t="s">
        <v>382</v>
      </c>
      <c r="E3149" s="71" t="str">
        <f>MID(D3149,1,2)</f>
        <v>IL</v>
      </c>
      <c r="F3149" s="71" t="s">
        <v>595</v>
      </c>
      <c r="G3149" s="71" t="str">
        <f>MID(F3149,1,2)</f>
        <v>AT</v>
      </c>
      <c r="H3149" s="43" t="s">
        <v>5084</v>
      </c>
      <c r="I3149" s="71" t="s">
        <v>5085</v>
      </c>
      <c r="J3149" s="71" t="s">
        <v>400</v>
      </c>
      <c r="K3149" s="43"/>
      <c r="L3149" s="71" t="s">
        <v>105</v>
      </c>
      <c r="M3149" s="73">
        <v>284</v>
      </c>
      <c r="N3149" s="71" t="s">
        <v>388</v>
      </c>
      <c r="O3149" s="73">
        <v>2.235</v>
      </c>
      <c r="P3149" s="71" t="s">
        <v>389</v>
      </c>
      <c r="Q3149" s="73">
        <v>372.5</v>
      </c>
      <c r="R3149" s="71" t="s">
        <v>388</v>
      </c>
      <c r="S3149" s="73">
        <v>0</v>
      </c>
      <c r="T3149" s="71" t="s">
        <v>390</v>
      </c>
      <c r="U3149" s="74">
        <v>2</v>
      </c>
      <c r="V3149" s="71" t="s">
        <v>391</v>
      </c>
      <c r="W3149" s="130">
        <v>46096.417361111111</v>
      </c>
      <c r="X3149" s="72">
        <v>46098.59375</v>
      </c>
      <c r="Y3149" s="72">
        <v>46105.385416666664</v>
      </c>
      <c r="Z3149" s="104" t="s">
        <v>408</v>
      </c>
      <c r="AA3149" s="104" t="s">
        <v>595</v>
      </c>
      <c r="AB3149" s="105"/>
      <c r="AC3149" s="105"/>
    </row>
    <row r="3150" s="70" customFormat="1" ht="11.25" customHeight="1">
      <c r="A3150" s="87"/>
      <c r="C3150" s="43" t="s">
        <v>5083</v>
      </c>
      <c r="D3150" s="71" t="s">
        <v>382</v>
      </c>
      <c r="E3150" s="71" t="str">
        <f>MID(D3150,1,2)</f>
        <v>IL</v>
      </c>
      <c r="F3150" s="71" t="s">
        <v>595</v>
      </c>
      <c r="G3150" s="71" t="str">
        <f>MID(F3150,1,2)</f>
        <v>AT</v>
      </c>
      <c r="H3150" s="43" t="s">
        <v>5084</v>
      </c>
      <c r="I3150" s="71" t="s">
        <v>5085</v>
      </c>
      <c r="J3150" s="71" t="s">
        <v>400</v>
      </c>
      <c r="K3150" s="43"/>
      <c r="L3150" s="71" t="s">
        <v>105</v>
      </c>
      <c r="M3150" s="73">
        <v>284</v>
      </c>
      <c r="N3150" s="71" t="s">
        <v>388</v>
      </c>
      <c r="O3150" s="73">
        <v>2.235</v>
      </c>
      <c r="P3150" s="71" t="s">
        <v>389</v>
      </c>
      <c r="Q3150" s="73">
        <v>372.5</v>
      </c>
      <c r="R3150" s="71" t="s">
        <v>388</v>
      </c>
      <c r="S3150" s="73">
        <v>0</v>
      </c>
      <c r="T3150" s="71" t="s">
        <v>390</v>
      </c>
      <c r="U3150" s="74">
        <v>2</v>
      </c>
      <c r="V3150" s="71" t="s">
        <v>391</v>
      </c>
      <c r="W3150" s="130">
        <v>46096.417361111111</v>
      </c>
      <c r="X3150" s="72">
        <v>46098.59375</v>
      </c>
      <c r="Y3150" s="72">
        <v>46105.385416666664</v>
      </c>
      <c r="Z3150" s="104" t="s">
        <v>382</v>
      </c>
      <c r="AA3150" s="104" t="s">
        <v>408</v>
      </c>
      <c r="AB3150" s="105">
        <v>46100.279861111114</v>
      </c>
      <c r="AC3150" s="105">
        <v>46100.378472222219</v>
      </c>
    </row>
    <row r="3151" s="70" customFormat="1" ht="11.25" customHeight="1">
      <c r="A3151" s="87"/>
      <c r="C3151" s="43" t="s">
        <v>5086</v>
      </c>
      <c r="D3151" s="71" t="s">
        <v>382</v>
      </c>
      <c r="E3151" s="71" t="str">
        <f>MID(D3151,1,2)</f>
        <v>IL</v>
      </c>
      <c r="F3151" s="71" t="s">
        <v>414</v>
      </c>
      <c r="G3151" s="71" t="str">
        <f>MID(F3151,1,2)</f>
        <v>US</v>
      </c>
      <c r="H3151" s="43" t="s">
        <v>3776</v>
      </c>
      <c r="I3151" s="71" t="s">
        <v>5087</v>
      </c>
      <c r="J3151" s="71" t="s">
        <v>386</v>
      </c>
      <c r="K3151" s="43"/>
      <c r="L3151" s="71" t="s">
        <v>107</v>
      </c>
      <c r="M3151" s="73">
        <v>314</v>
      </c>
      <c r="N3151" s="71" t="s">
        <v>388</v>
      </c>
      <c r="O3151" s="73">
        <v>4.696</v>
      </c>
      <c r="P3151" s="71" t="s">
        <v>389</v>
      </c>
      <c r="Q3151" s="73">
        <v>783</v>
      </c>
      <c r="R3151" s="71" t="s">
        <v>388</v>
      </c>
      <c r="S3151" s="73">
        <v>0</v>
      </c>
      <c r="T3151" s="71" t="s">
        <v>390</v>
      </c>
      <c r="U3151" s="74">
        <v>4</v>
      </c>
      <c r="V3151" s="71" t="s">
        <v>391</v>
      </c>
      <c r="W3151" s="130">
        <v>46092.673611111109</v>
      </c>
      <c r="X3151" s="72">
        <v>46099.854166666664</v>
      </c>
      <c r="Y3151" s="72">
        <v>46100.302083333336</v>
      </c>
      <c r="Z3151" s="104" t="s">
        <v>382</v>
      </c>
      <c r="AA3151" s="104" t="s">
        <v>414</v>
      </c>
      <c r="AB3151" s="105">
        <v>46100.102083333331</v>
      </c>
      <c r="AC3151" s="105">
        <v>46100.31527777778</v>
      </c>
    </row>
    <row r="3152" s="70" customFormat="1" ht="11.25" customHeight="1">
      <c r="A3152" s="87"/>
      <c r="C3152" s="43" t="s">
        <v>5088</v>
      </c>
      <c r="D3152" s="71" t="s">
        <v>382</v>
      </c>
      <c r="E3152" s="71" t="str">
        <f>MID(D3152,1,2)</f>
        <v>IL</v>
      </c>
      <c r="F3152" s="71" t="s">
        <v>414</v>
      </c>
      <c r="G3152" s="71" t="str">
        <f>MID(F3152,1,2)</f>
        <v>US</v>
      </c>
      <c r="H3152" s="43" t="s">
        <v>3776</v>
      </c>
      <c r="I3152" s="71" t="s">
        <v>5089</v>
      </c>
      <c r="J3152" s="71" t="s">
        <v>386</v>
      </c>
      <c r="K3152" s="43"/>
      <c r="L3152" s="71" t="s">
        <v>107</v>
      </c>
      <c r="M3152" s="73">
        <v>1</v>
      </c>
      <c r="N3152" s="71" t="s">
        <v>388</v>
      </c>
      <c r="O3152" s="73">
        <v>0.009</v>
      </c>
      <c r="P3152" s="71" t="s">
        <v>389</v>
      </c>
      <c r="Q3152" s="73">
        <v>1.5</v>
      </c>
      <c r="R3152" s="71" t="s">
        <v>388</v>
      </c>
      <c r="S3152" s="73">
        <v>0</v>
      </c>
      <c r="T3152" s="71" t="s">
        <v>390</v>
      </c>
      <c r="U3152" s="74">
        <v>1</v>
      </c>
      <c r="V3152" s="71" t="s">
        <v>427</v>
      </c>
      <c r="W3152" s="130">
        <v>46092.805555555555</v>
      </c>
      <c r="X3152" s="72">
        <v>46099.854166666664</v>
      </c>
      <c r="Y3152" s="72">
        <v>46100.302083333336</v>
      </c>
      <c r="Z3152" s="104" t="s">
        <v>382</v>
      </c>
      <c r="AA3152" s="104" t="s">
        <v>414</v>
      </c>
      <c r="AB3152" s="105">
        <v>46100.102083333331</v>
      </c>
      <c r="AC3152" s="105">
        <v>46100.31527777778</v>
      </c>
    </row>
    <row r="3153" s="70" customFormat="1" ht="11.25" customHeight="1">
      <c r="A3153" s="87"/>
      <c r="C3153" s="43" t="s">
        <v>5090</v>
      </c>
      <c r="D3153" s="71" t="s">
        <v>382</v>
      </c>
      <c r="E3153" s="71" t="str">
        <f>MID(D3153,1,2)</f>
        <v>IL</v>
      </c>
      <c r="F3153" s="71" t="s">
        <v>414</v>
      </c>
      <c r="G3153" s="71" t="str">
        <f>MID(F3153,1,2)</f>
        <v>US</v>
      </c>
      <c r="H3153" s="43" t="s">
        <v>5091</v>
      </c>
      <c r="I3153" s="71" t="s">
        <v>5092</v>
      </c>
      <c r="J3153" s="71" t="s">
        <v>386</v>
      </c>
      <c r="K3153" s="43"/>
      <c r="L3153" s="71" t="s">
        <v>107</v>
      </c>
      <c r="M3153" s="73">
        <v>450</v>
      </c>
      <c r="N3153" s="71" t="s">
        <v>388</v>
      </c>
      <c r="O3153" s="73">
        <v>3.357</v>
      </c>
      <c r="P3153" s="71" t="s">
        <v>389</v>
      </c>
      <c r="Q3153" s="73">
        <v>559.5</v>
      </c>
      <c r="R3153" s="71" t="s">
        <v>388</v>
      </c>
      <c r="S3153" s="73">
        <v>0</v>
      </c>
      <c r="T3153" s="71" t="s">
        <v>390</v>
      </c>
      <c r="U3153" s="74">
        <v>1</v>
      </c>
      <c r="V3153" s="71" t="s">
        <v>446</v>
      </c>
      <c r="W3153" s="130">
        <v>46096.375694444447</v>
      </c>
      <c r="X3153" s="72">
        <v>46099.854166666664</v>
      </c>
      <c r="Y3153" s="72">
        <v>46102.813888888886</v>
      </c>
      <c r="Z3153" s="104" t="s">
        <v>382</v>
      </c>
      <c r="AA3153" s="104" t="s">
        <v>414</v>
      </c>
      <c r="AB3153" s="105">
        <v>46100.102083333331</v>
      </c>
      <c r="AC3153" s="105">
        <v>46100.31527777778</v>
      </c>
    </row>
    <row r="3154" s="70" customFormat="1" ht="11.25" customHeight="1">
      <c r="A3154" s="87"/>
      <c r="C3154" s="43" t="s">
        <v>5093</v>
      </c>
      <c r="D3154" s="71" t="s">
        <v>382</v>
      </c>
      <c r="E3154" s="71" t="str">
        <f>MID(D3154,1,2)</f>
        <v>IL</v>
      </c>
      <c r="F3154" s="71" t="s">
        <v>1169</v>
      </c>
      <c r="G3154" s="71" t="str">
        <f>MID(F3154,1,2)</f>
        <v>HU</v>
      </c>
      <c r="H3154" s="43" t="s">
        <v>5094</v>
      </c>
      <c r="I3154" s="71" t="s">
        <v>5094</v>
      </c>
      <c r="J3154" s="71" t="s">
        <v>400</v>
      </c>
      <c r="K3154" s="43"/>
      <c r="L3154" s="71" t="s">
        <v>105</v>
      </c>
      <c r="M3154" s="73">
        <v>7</v>
      </c>
      <c r="N3154" s="71" t="s">
        <v>388</v>
      </c>
      <c r="O3154" s="73">
        <v>0.142</v>
      </c>
      <c r="P3154" s="71" t="s">
        <v>389</v>
      </c>
      <c r="Q3154" s="73">
        <v>29</v>
      </c>
      <c r="R3154" s="71" t="s">
        <v>388</v>
      </c>
      <c r="S3154" s="73">
        <v>0</v>
      </c>
      <c r="T3154" s="71" t="s">
        <v>390</v>
      </c>
      <c r="U3154" s="74">
        <v>1</v>
      </c>
      <c r="V3154" s="71" t="s">
        <v>391</v>
      </c>
      <c r="W3154" s="130"/>
      <c r="X3154" s="72">
        <v>46092.842361111114</v>
      </c>
      <c r="Y3154" s="72">
        <v>46097.842361111114</v>
      </c>
      <c r="Z3154" s="104" t="s">
        <v>382</v>
      </c>
      <c r="AA3154" s="104" t="s">
        <v>1169</v>
      </c>
      <c r="AB3154" s="105">
        <v>46095.849305555559</v>
      </c>
      <c r="AC3154" s="105"/>
    </row>
    <row r="3155" s="70" customFormat="1" ht="11.25" customHeight="1">
      <c r="A3155" s="87"/>
      <c r="C3155" s="43" t="s">
        <v>5095</v>
      </c>
      <c r="D3155" s="71" t="s">
        <v>382</v>
      </c>
      <c r="E3155" s="71" t="str">
        <f>MID(D3155,1,2)</f>
        <v>IL</v>
      </c>
      <c r="F3155" s="71" t="s">
        <v>414</v>
      </c>
      <c r="G3155" s="71" t="str">
        <f>MID(F3155,1,2)</f>
        <v>US</v>
      </c>
      <c r="H3155" s="43" t="s">
        <v>3776</v>
      </c>
      <c r="I3155" s="71" t="s">
        <v>5096</v>
      </c>
      <c r="J3155" s="71" t="s">
        <v>483</v>
      </c>
      <c r="K3155" s="43"/>
      <c r="L3155" s="71" t="s">
        <v>105</v>
      </c>
      <c r="M3155" s="73">
        <v>112</v>
      </c>
      <c r="N3155" s="71" t="s">
        <v>388</v>
      </c>
      <c r="O3155" s="73">
        <v>0.768</v>
      </c>
      <c r="P3155" s="71" t="s">
        <v>389</v>
      </c>
      <c r="Q3155" s="73">
        <v>128</v>
      </c>
      <c r="R3155" s="71" t="s">
        <v>388</v>
      </c>
      <c r="S3155" s="73">
        <v>0</v>
      </c>
      <c r="T3155" s="71" t="s">
        <v>390</v>
      </c>
      <c r="U3155" s="74">
        <v>1</v>
      </c>
      <c r="V3155" s="71" t="s">
        <v>391</v>
      </c>
      <c r="W3155" s="130">
        <v>46093.354861111111</v>
      </c>
      <c r="X3155" s="72">
        <v>46099.854166666664</v>
      </c>
      <c r="Y3155" s="72">
        <v>46100.302083333336</v>
      </c>
      <c r="Z3155" s="104" t="s">
        <v>382</v>
      </c>
      <c r="AA3155" s="104" t="s">
        <v>414</v>
      </c>
      <c r="AB3155" s="105">
        <v>46100.102083333331</v>
      </c>
      <c r="AC3155" s="105">
        <v>46100.31527777778</v>
      </c>
    </row>
    <row r="3156" s="70" customFormat="1" ht="11.25" customHeight="1">
      <c r="A3156" s="87"/>
      <c r="C3156" s="43" t="s">
        <v>5097</v>
      </c>
      <c r="D3156" s="71" t="s">
        <v>382</v>
      </c>
      <c r="E3156" s="71" t="str">
        <f>MID(D3156,1,2)</f>
        <v>IL</v>
      </c>
      <c r="F3156" s="71" t="s">
        <v>963</v>
      </c>
      <c r="G3156" s="71" t="str">
        <f>MID(F3156,1,2)</f>
        <v>IN</v>
      </c>
      <c r="H3156" s="43" t="s">
        <v>5065</v>
      </c>
      <c r="I3156" s="71" t="s">
        <v>5098</v>
      </c>
      <c r="J3156" s="71" t="s">
        <v>426</v>
      </c>
      <c r="K3156" s="43"/>
      <c r="L3156" s="71" t="s">
        <v>105</v>
      </c>
      <c r="M3156" s="73">
        <v>82</v>
      </c>
      <c r="N3156" s="71" t="s">
        <v>388</v>
      </c>
      <c r="O3156" s="73">
        <v>0.541</v>
      </c>
      <c r="P3156" s="71" t="s">
        <v>389</v>
      </c>
      <c r="Q3156" s="73">
        <v>90.5</v>
      </c>
      <c r="R3156" s="71" t="s">
        <v>388</v>
      </c>
      <c r="S3156" s="73">
        <v>0</v>
      </c>
      <c r="T3156" s="71" t="s">
        <v>390</v>
      </c>
      <c r="U3156" s="74">
        <v>1</v>
      </c>
      <c r="V3156" s="71" t="s">
        <v>391</v>
      </c>
      <c r="W3156" s="130">
        <v>46093.361111111109</v>
      </c>
      <c r="X3156" s="72">
        <v>46095.489583333336</v>
      </c>
      <c r="Y3156" s="72">
        <v>46099.666666666664</v>
      </c>
      <c r="Z3156" s="104" t="s">
        <v>382</v>
      </c>
      <c r="AA3156" s="104" t="s">
        <v>402</v>
      </c>
      <c r="AB3156" s="105">
        <v>46095.523611111108</v>
      </c>
      <c r="AC3156" s="105">
        <v>46095.556944444441</v>
      </c>
    </row>
    <row r="3157" s="70" customFormat="1" ht="11.25" customHeight="1">
      <c r="A3157" s="87"/>
      <c r="C3157" s="43" t="s">
        <v>5097</v>
      </c>
      <c r="D3157" s="71" t="s">
        <v>382</v>
      </c>
      <c r="E3157" s="71" t="str">
        <f>MID(D3157,1,2)</f>
        <v>IL</v>
      </c>
      <c r="F3157" s="71" t="s">
        <v>963</v>
      </c>
      <c r="G3157" s="71" t="str">
        <f>MID(F3157,1,2)</f>
        <v>IN</v>
      </c>
      <c r="H3157" s="43" t="s">
        <v>5065</v>
      </c>
      <c r="I3157" s="71" t="s">
        <v>5098</v>
      </c>
      <c r="J3157" s="71" t="s">
        <v>426</v>
      </c>
      <c r="K3157" s="43"/>
      <c r="L3157" s="71" t="s">
        <v>105</v>
      </c>
      <c r="M3157" s="73">
        <v>82</v>
      </c>
      <c r="N3157" s="71" t="s">
        <v>388</v>
      </c>
      <c r="O3157" s="73">
        <v>0.541</v>
      </c>
      <c r="P3157" s="71" t="s">
        <v>389</v>
      </c>
      <c r="Q3157" s="73">
        <v>90.5</v>
      </c>
      <c r="R3157" s="71" t="s">
        <v>388</v>
      </c>
      <c r="S3157" s="73">
        <v>0</v>
      </c>
      <c r="T3157" s="71" t="s">
        <v>390</v>
      </c>
      <c r="U3157" s="74">
        <v>1</v>
      </c>
      <c r="V3157" s="71" t="s">
        <v>391</v>
      </c>
      <c r="W3157" s="130">
        <v>46093.361111111109</v>
      </c>
      <c r="X3157" s="72">
        <v>46095.489583333336</v>
      </c>
      <c r="Y3157" s="72">
        <v>46099.666666666664</v>
      </c>
      <c r="Z3157" s="104" t="s">
        <v>402</v>
      </c>
      <c r="AA3157" s="104" t="s">
        <v>809</v>
      </c>
      <c r="AB3157" s="105">
        <v>46095.61875</v>
      </c>
      <c r="AC3157" s="105">
        <v>46096.006944444445</v>
      </c>
    </row>
    <row r="3158" s="70" customFormat="1" ht="11.25" customHeight="1">
      <c r="A3158" s="87"/>
      <c r="C3158" s="43" t="s">
        <v>5097</v>
      </c>
      <c r="D3158" s="71" t="s">
        <v>382</v>
      </c>
      <c r="E3158" s="71" t="str">
        <f>MID(D3158,1,2)</f>
        <v>IL</v>
      </c>
      <c r="F3158" s="71" t="s">
        <v>963</v>
      </c>
      <c r="G3158" s="71" t="str">
        <f>MID(F3158,1,2)</f>
        <v>IN</v>
      </c>
      <c r="H3158" s="43" t="s">
        <v>5065</v>
      </c>
      <c r="I3158" s="71" t="s">
        <v>5098</v>
      </c>
      <c r="J3158" s="71" t="s">
        <v>426</v>
      </c>
      <c r="K3158" s="43"/>
      <c r="L3158" s="71" t="s">
        <v>105</v>
      </c>
      <c r="M3158" s="73">
        <v>82</v>
      </c>
      <c r="N3158" s="71" t="s">
        <v>388</v>
      </c>
      <c r="O3158" s="73">
        <v>0.541</v>
      </c>
      <c r="P3158" s="71" t="s">
        <v>389</v>
      </c>
      <c r="Q3158" s="73">
        <v>90.5</v>
      </c>
      <c r="R3158" s="71" t="s">
        <v>388</v>
      </c>
      <c r="S3158" s="73">
        <v>0</v>
      </c>
      <c r="T3158" s="71" t="s">
        <v>390</v>
      </c>
      <c r="U3158" s="74">
        <v>1</v>
      </c>
      <c r="V3158" s="71" t="s">
        <v>391</v>
      </c>
      <c r="W3158" s="130">
        <v>46093.361111111109</v>
      </c>
      <c r="X3158" s="72">
        <v>46095.489583333336</v>
      </c>
      <c r="Y3158" s="72">
        <v>46099.666666666664</v>
      </c>
      <c r="Z3158" s="104" t="s">
        <v>809</v>
      </c>
      <c r="AA3158" s="104" t="s">
        <v>963</v>
      </c>
      <c r="AB3158" s="105">
        <v>46098.340277777781</v>
      </c>
      <c r="AC3158" s="105">
        <v>46099.831944444442</v>
      </c>
    </row>
    <row r="3159" s="70" customFormat="1" ht="11.25" customHeight="1">
      <c r="A3159" s="87"/>
      <c r="C3159" s="43" t="s">
        <v>5099</v>
      </c>
      <c r="D3159" s="71" t="s">
        <v>382</v>
      </c>
      <c r="E3159" s="71" t="str">
        <f>MID(D3159,1,2)</f>
        <v>IL</v>
      </c>
      <c r="F3159" s="71" t="s">
        <v>1200</v>
      </c>
      <c r="G3159" s="71" t="str">
        <f>MID(F3159,1,2)</f>
        <v>US</v>
      </c>
      <c r="H3159" s="43" t="s">
        <v>5100</v>
      </c>
      <c r="I3159" s="71" t="s">
        <v>5101</v>
      </c>
      <c r="J3159" s="71" t="s">
        <v>386</v>
      </c>
      <c r="K3159" s="43"/>
      <c r="L3159" s="71" t="s">
        <v>107</v>
      </c>
      <c r="M3159" s="73">
        <v>137</v>
      </c>
      <c r="N3159" s="71" t="s">
        <v>388</v>
      </c>
      <c r="O3159" s="73">
        <v>0.578</v>
      </c>
      <c r="P3159" s="71" t="s">
        <v>389</v>
      </c>
      <c r="Q3159" s="73">
        <v>137</v>
      </c>
      <c r="R3159" s="71" t="s">
        <v>388</v>
      </c>
      <c r="S3159" s="73">
        <v>0</v>
      </c>
      <c r="T3159" s="71" t="s">
        <v>390</v>
      </c>
      <c r="U3159" s="74">
        <v>1</v>
      </c>
      <c r="V3159" s="71" t="s">
        <v>391</v>
      </c>
      <c r="W3159" s="130">
        <v>46098.65457175926</v>
      </c>
      <c r="X3159" s="72">
        <v>46100.333333333336</v>
      </c>
      <c r="Y3159" s="72">
        <v>46102.706944444442</v>
      </c>
      <c r="Z3159" s="104" t="s">
        <v>382</v>
      </c>
      <c r="AA3159" s="104" t="s">
        <v>471</v>
      </c>
      <c r="AB3159" s="105">
        <v>46100.780555555553</v>
      </c>
      <c r="AC3159" s="105"/>
    </row>
    <row r="3160" s="70" customFormat="1" ht="11.25" customHeight="1">
      <c r="A3160" s="87"/>
      <c r="C3160" s="43" t="s">
        <v>5099</v>
      </c>
      <c r="D3160" s="71" t="s">
        <v>382</v>
      </c>
      <c r="E3160" s="71" t="str">
        <f>MID(D3160,1,2)</f>
        <v>IL</v>
      </c>
      <c r="F3160" s="71" t="s">
        <v>1200</v>
      </c>
      <c r="G3160" s="71" t="str">
        <f>MID(F3160,1,2)</f>
        <v>US</v>
      </c>
      <c r="H3160" s="43" t="s">
        <v>5100</v>
      </c>
      <c r="I3160" s="71" t="s">
        <v>5101</v>
      </c>
      <c r="J3160" s="71" t="s">
        <v>386</v>
      </c>
      <c r="K3160" s="43"/>
      <c r="L3160" s="71" t="s">
        <v>107</v>
      </c>
      <c r="M3160" s="73">
        <v>137</v>
      </c>
      <c r="N3160" s="71" t="s">
        <v>388</v>
      </c>
      <c r="O3160" s="73">
        <v>0.578</v>
      </c>
      <c r="P3160" s="71" t="s">
        <v>389</v>
      </c>
      <c r="Q3160" s="73">
        <v>137</v>
      </c>
      <c r="R3160" s="71" t="s">
        <v>388</v>
      </c>
      <c r="S3160" s="73">
        <v>0</v>
      </c>
      <c r="T3160" s="71" t="s">
        <v>390</v>
      </c>
      <c r="U3160" s="74">
        <v>1</v>
      </c>
      <c r="V3160" s="71" t="s">
        <v>391</v>
      </c>
      <c r="W3160" s="130">
        <v>46098.65457175926</v>
      </c>
      <c r="X3160" s="72">
        <v>46100.333333333336</v>
      </c>
      <c r="Y3160" s="72">
        <v>46102.706944444442</v>
      </c>
      <c r="Z3160" s="104" t="s">
        <v>471</v>
      </c>
      <c r="AA3160" s="104" t="s">
        <v>1200</v>
      </c>
      <c r="AB3160" s="105">
        <v>46102.309027777781</v>
      </c>
      <c r="AC3160" s="105">
        <v>46102.379166666666</v>
      </c>
    </row>
    <row r="3161" s="70" customFormat="1" ht="11.25" customHeight="1">
      <c r="A3161" s="87"/>
      <c r="C3161" s="43" t="s">
        <v>5102</v>
      </c>
      <c r="D3161" s="71" t="s">
        <v>382</v>
      </c>
      <c r="E3161" s="71" t="str">
        <f>MID(D3161,1,2)</f>
        <v>IL</v>
      </c>
      <c r="F3161" s="71" t="s">
        <v>414</v>
      </c>
      <c r="G3161" s="71" t="str">
        <f>MID(F3161,1,2)</f>
        <v>US</v>
      </c>
      <c r="H3161" s="43" t="s">
        <v>5103</v>
      </c>
      <c r="I3161" s="71" t="s">
        <v>5104</v>
      </c>
      <c r="J3161" s="71" t="s">
        <v>454</v>
      </c>
      <c r="K3161" s="43"/>
      <c r="L3161" s="71" t="s">
        <v>107</v>
      </c>
      <c r="M3161" s="73">
        <v>5</v>
      </c>
      <c r="N3161" s="71" t="s">
        <v>388</v>
      </c>
      <c r="O3161" s="73">
        <v>0.036</v>
      </c>
      <c r="P3161" s="71" t="s">
        <v>389</v>
      </c>
      <c r="Q3161" s="73">
        <v>6</v>
      </c>
      <c r="R3161" s="71" t="s">
        <v>388</v>
      </c>
      <c r="S3161" s="73">
        <v>0</v>
      </c>
      <c r="T3161" s="71" t="s">
        <v>390</v>
      </c>
      <c r="U3161" s="74">
        <v>1</v>
      </c>
      <c r="V3161" s="71" t="s">
        <v>427</v>
      </c>
      <c r="W3161" s="130">
        <v>46093.511099537034</v>
      </c>
      <c r="X3161" s="72">
        <v>46096.25</v>
      </c>
      <c r="Y3161" s="72">
        <v>46104.416666666664</v>
      </c>
      <c r="Z3161" s="104" t="s">
        <v>382</v>
      </c>
      <c r="AA3161" s="104" t="s">
        <v>471</v>
      </c>
      <c r="AB3161" s="105">
        <v>46098.510416666664</v>
      </c>
      <c r="AC3161" s="105"/>
    </row>
    <row r="3162" s="70" customFormat="1" ht="11.25" customHeight="1">
      <c r="A3162" s="87"/>
      <c r="C3162" s="43" t="s">
        <v>5102</v>
      </c>
      <c r="D3162" s="71" t="s">
        <v>382</v>
      </c>
      <c r="E3162" s="71" t="str">
        <f>MID(D3162,1,2)</f>
        <v>IL</v>
      </c>
      <c r="F3162" s="71" t="s">
        <v>414</v>
      </c>
      <c r="G3162" s="71" t="str">
        <f>MID(F3162,1,2)</f>
        <v>US</v>
      </c>
      <c r="H3162" s="43" t="s">
        <v>5103</v>
      </c>
      <c r="I3162" s="71" t="s">
        <v>5104</v>
      </c>
      <c r="J3162" s="71" t="s">
        <v>454</v>
      </c>
      <c r="K3162" s="43"/>
      <c r="L3162" s="71" t="s">
        <v>107</v>
      </c>
      <c r="M3162" s="73">
        <v>5</v>
      </c>
      <c r="N3162" s="71" t="s">
        <v>388</v>
      </c>
      <c r="O3162" s="73">
        <v>0.036</v>
      </c>
      <c r="P3162" s="71" t="s">
        <v>389</v>
      </c>
      <c r="Q3162" s="73">
        <v>6</v>
      </c>
      <c r="R3162" s="71" t="s">
        <v>388</v>
      </c>
      <c r="S3162" s="73">
        <v>0</v>
      </c>
      <c r="T3162" s="71" t="s">
        <v>390</v>
      </c>
      <c r="U3162" s="74">
        <v>1</v>
      </c>
      <c r="V3162" s="71" t="s">
        <v>427</v>
      </c>
      <c r="W3162" s="130">
        <v>46093.511099537034</v>
      </c>
      <c r="X3162" s="72">
        <v>46096.25</v>
      </c>
      <c r="Y3162" s="72">
        <v>46104.416666666664</v>
      </c>
      <c r="Z3162" s="104" t="s">
        <v>471</v>
      </c>
      <c r="AA3162" s="104" t="s">
        <v>414</v>
      </c>
      <c r="AB3162" s="105"/>
      <c r="AC3162" s="105"/>
    </row>
    <row r="3163" s="70" customFormat="1" ht="11.25" customHeight="1">
      <c r="A3163" s="87"/>
      <c r="C3163" s="43" t="s">
        <v>5105</v>
      </c>
      <c r="D3163" s="71" t="s">
        <v>382</v>
      </c>
      <c r="E3163" s="71" t="str">
        <f>MID(D3163,1,2)</f>
        <v>IL</v>
      </c>
      <c r="F3163" s="71" t="s">
        <v>651</v>
      </c>
      <c r="G3163" s="71" t="str">
        <f>MID(F3163,1,2)</f>
        <v>BR</v>
      </c>
      <c r="H3163" s="43" t="s">
        <v>4226</v>
      </c>
      <c r="I3163" s="71" t="s">
        <v>5106</v>
      </c>
      <c r="J3163" s="71" t="s">
        <v>386</v>
      </c>
      <c r="K3163" s="43"/>
      <c r="L3163" s="71" t="s">
        <v>107</v>
      </c>
      <c r="M3163" s="73">
        <v>8.4</v>
      </c>
      <c r="N3163" s="71" t="s">
        <v>388</v>
      </c>
      <c r="O3163" s="73">
        <v>0.048</v>
      </c>
      <c r="P3163" s="71" t="s">
        <v>389</v>
      </c>
      <c r="Q3163" s="73">
        <v>8.5</v>
      </c>
      <c r="R3163" s="71" t="s">
        <v>388</v>
      </c>
      <c r="S3163" s="73">
        <v>0</v>
      </c>
      <c r="T3163" s="71" t="s">
        <v>390</v>
      </c>
      <c r="U3163" s="74">
        <v>2</v>
      </c>
      <c r="V3163" s="71" t="s">
        <v>391</v>
      </c>
      <c r="W3163" s="130">
        <v>46093.38958333333</v>
      </c>
      <c r="X3163" s="72">
        <v>46093.979166666664</v>
      </c>
      <c r="Y3163" s="72">
        <v>46101.375</v>
      </c>
      <c r="Z3163" s="104" t="s">
        <v>382</v>
      </c>
      <c r="AA3163" s="104" t="s">
        <v>408</v>
      </c>
      <c r="AB3163" s="105">
        <v>46096.902083333334</v>
      </c>
      <c r="AC3163" s="105"/>
    </row>
    <row r="3164" s="70" customFormat="1" ht="11.25" customHeight="1">
      <c r="A3164" s="87"/>
      <c r="C3164" s="43" t="s">
        <v>5105</v>
      </c>
      <c r="D3164" s="71" t="s">
        <v>382</v>
      </c>
      <c r="E3164" s="71" t="str">
        <f>MID(D3164,1,2)</f>
        <v>IL</v>
      </c>
      <c r="F3164" s="71" t="s">
        <v>651</v>
      </c>
      <c r="G3164" s="71" t="str">
        <f>MID(F3164,1,2)</f>
        <v>BR</v>
      </c>
      <c r="H3164" s="43" t="s">
        <v>4226</v>
      </c>
      <c r="I3164" s="71" t="s">
        <v>5106</v>
      </c>
      <c r="J3164" s="71" t="s">
        <v>386</v>
      </c>
      <c r="K3164" s="43"/>
      <c r="L3164" s="71" t="s">
        <v>107</v>
      </c>
      <c r="M3164" s="73">
        <v>8.4</v>
      </c>
      <c r="N3164" s="71" t="s">
        <v>388</v>
      </c>
      <c r="O3164" s="73">
        <v>0.048</v>
      </c>
      <c r="P3164" s="71" t="s">
        <v>389</v>
      </c>
      <c r="Q3164" s="73">
        <v>8.5</v>
      </c>
      <c r="R3164" s="71" t="s">
        <v>388</v>
      </c>
      <c r="S3164" s="73">
        <v>0</v>
      </c>
      <c r="T3164" s="71" t="s">
        <v>390</v>
      </c>
      <c r="U3164" s="74">
        <v>2</v>
      </c>
      <c r="V3164" s="71" t="s">
        <v>391</v>
      </c>
      <c r="W3164" s="130">
        <v>46093.38958333333</v>
      </c>
      <c r="X3164" s="72">
        <v>46093.979166666664</v>
      </c>
      <c r="Y3164" s="72">
        <v>46101.375</v>
      </c>
      <c r="Z3164" s="104" t="s">
        <v>408</v>
      </c>
      <c r="AA3164" s="104" t="s">
        <v>480</v>
      </c>
      <c r="AB3164" s="105">
        <v>46099.482638888891</v>
      </c>
      <c r="AC3164" s="105">
        <v>46099.616666666669</v>
      </c>
    </row>
    <row r="3165" s="70" customFormat="1" ht="11.25" customHeight="1">
      <c r="A3165" s="87"/>
      <c r="C3165" s="43" t="s">
        <v>5105</v>
      </c>
      <c r="D3165" s="71" t="s">
        <v>382</v>
      </c>
      <c r="E3165" s="71" t="str">
        <f>MID(D3165,1,2)</f>
        <v>IL</v>
      </c>
      <c r="F3165" s="71" t="s">
        <v>651</v>
      </c>
      <c r="G3165" s="71" t="str">
        <f>MID(F3165,1,2)</f>
        <v>BR</v>
      </c>
      <c r="H3165" s="43" t="s">
        <v>4226</v>
      </c>
      <c r="I3165" s="71" t="s">
        <v>5106</v>
      </c>
      <c r="J3165" s="71" t="s">
        <v>386</v>
      </c>
      <c r="K3165" s="43"/>
      <c r="L3165" s="71" t="s">
        <v>107</v>
      </c>
      <c r="M3165" s="73">
        <v>8.4</v>
      </c>
      <c r="N3165" s="71" t="s">
        <v>388</v>
      </c>
      <c r="O3165" s="73">
        <v>0.048</v>
      </c>
      <c r="P3165" s="71" t="s">
        <v>389</v>
      </c>
      <c r="Q3165" s="73">
        <v>8.5</v>
      </c>
      <c r="R3165" s="71" t="s">
        <v>388</v>
      </c>
      <c r="S3165" s="73">
        <v>0</v>
      </c>
      <c r="T3165" s="71" t="s">
        <v>390</v>
      </c>
      <c r="U3165" s="74">
        <v>2</v>
      </c>
      <c r="V3165" s="71" t="s">
        <v>391</v>
      </c>
      <c r="W3165" s="130">
        <v>46093.38958333333</v>
      </c>
      <c r="X3165" s="72">
        <v>46093.979166666664</v>
      </c>
      <c r="Y3165" s="72">
        <v>46101.375</v>
      </c>
      <c r="Z3165" s="104" t="s">
        <v>405</v>
      </c>
      <c r="AA3165" s="104" t="s">
        <v>651</v>
      </c>
      <c r="AB3165" s="105">
        <v>46100.909722222219</v>
      </c>
      <c r="AC3165" s="105">
        <v>46101.381944444445</v>
      </c>
    </row>
    <row r="3166" s="70" customFormat="1" ht="11.25" customHeight="1">
      <c r="A3166" s="87"/>
      <c r="C3166" s="43" t="s">
        <v>5107</v>
      </c>
      <c r="D3166" s="71" t="s">
        <v>382</v>
      </c>
      <c r="E3166" s="71" t="str">
        <f>MID(D3166,1,2)</f>
        <v>IL</v>
      </c>
      <c r="F3166" s="71" t="s">
        <v>3998</v>
      </c>
      <c r="G3166" s="71" t="str">
        <f>MID(F3166,1,2)</f>
        <v>RO</v>
      </c>
      <c r="H3166" s="43" t="s">
        <v>3999</v>
      </c>
      <c r="I3166" s="71" t="s">
        <v>5108</v>
      </c>
      <c r="J3166" s="71" t="s">
        <v>386</v>
      </c>
      <c r="K3166" s="43"/>
      <c r="L3166" s="71" t="s">
        <v>107</v>
      </c>
      <c r="M3166" s="73">
        <v>3</v>
      </c>
      <c r="N3166" s="71" t="s">
        <v>388</v>
      </c>
      <c r="O3166" s="73">
        <v>0.052</v>
      </c>
      <c r="P3166" s="71" t="s">
        <v>389</v>
      </c>
      <c r="Q3166" s="73">
        <v>9</v>
      </c>
      <c r="R3166" s="71" t="s">
        <v>388</v>
      </c>
      <c r="S3166" s="73">
        <v>0</v>
      </c>
      <c r="T3166" s="71" t="s">
        <v>390</v>
      </c>
      <c r="U3166" s="74">
        <v>1</v>
      </c>
      <c r="V3166" s="71" t="s">
        <v>391</v>
      </c>
      <c r="W3166" s="130">
        <v>46093.35119212963</v>
      </c>
      <c r="X3166" s="72">
        <v>46093</v>
      </c>
      <c r="Y3166" s="72">
        <v>46096.572916666664</v>
      </c>
      <c r="Z3166" s="104" t="s">
        <v>382</v>
      </c>
      <c r="AA3166" s="104" t="s">
        <v>496</v>
      </c>
      <c r="AB3166" s="105">
        <v>46096.452777777777</v>
      </c>
      <c r="AC3166" s="105">
        <v>46096.5625</v>
      </c>
    </row>
    <row r="3167" s="70" customFormat="1" ht="11.25" customHeight="1">
      <c r="A3167" s="87"/>
      <c r="C3167" s="43" t="s">
        <v>5109</v>
      </c>
      <c r="D3167" s="71" t="s">
        <v>382</v>
      </c>
      <c r="E3167" s="71" t="str">
        <f>MID(D3167,1,2)</f>
        <v>IL</v>
      </c>
      <c r="F3167" s="71" t="s">
        <v>402</v>
      </c>
      <c r="G3167" s="71" t="str">
        <f>MID(F3167,1,2)</f>
        <v>CY</v>
      </c>
      <c r="H3167" s="43" t="s">
        <v>5048</v>
      </c>
      <c r="I3167" s="71" t="s">
        <v>5110</v>
      </c>
      <c r="J3167" s="71" t="s">
        <v>400</v>
      </c>
      <c r="K3167" s="43"/>
      <c r="L3167" s="71" t="s">
        <v>105</v>
      </c>
      <c r="M3167" s="73">
        <v>11</v>
      </c>
      <c r="N3167" s="71" t="s">
        <v>388</v>
      </c>
      <c r="O3167" s="73">
        <v>0.052</v>
      </c>
      <c r="P3167" s="71" t="s">
        <v>389</v>
      </c>
      <c r="Q3167" s="73">
        <v>11</v>
      </c>
      <c r="R3167" s="71" t="s">
        <v>388</v>
      </c>
      <c r="S3167" s="73">
        <v>0</v>
      </c>
      <c r="T3167" s="71" t="s">
        <v>390</v>
      </c>
      <c r="U3167" s="74">
        <v>1</v>
      </c>
      <c r="V3167" s="71" t="s">
        <v>446</v>
      </c>
      <c r="W3167" s="130">
        <v>46093.396527777775</v>
      </c>
      <c r="X3167" s="72">
        <v>46099</v>
      </c>
      <c r="Y3167" s="72">
        <v>46103.583333333336</v>
      </c>
      <c r="Z3167" s="104" t="s">
        <v>382</v>
      </c>
      <c r="AA3167" s="104" t="s">
        <v>402</v>
      </c>
      <c r="AB3167" s="105">
        <v>46101.38125</v>
      </c>
      <c r="AC3167" s="105">
        <v>46101.433333333334</v>
      </c>
    </row>
    <row r="3168" s="70" customFormat="1" ht="11.25" customHeight="1">
      <c r="A3168" s="87"/>
      <c r="C3168" s="43" t="s">
        <v>5111</v>
      </c>
      <c r="D3168" s="71" t="s">
        <v>382</v>
      </c>
      <c r="E3168" s="71" t="str">
        <f>MID(D3168,1,2)</f>
        <v>IL</v>
      </c>
      <c r="F3168" s="71" t="s">
        <v>414</v>
      </c>
      <c r="G3168" s="71" t="str">
        <f>MID(F3168,1,2)</f>
        <v>US</v>
      </c>
      <c r="H3168" s="43" t="s">
        <v>3776</v>
      </c>
      <c r="I3168" s="71" t="s">
        <v>5112</v>
      </c>
      <c r="J3168" s="71" t="s">
        <v>386</v>
      </c>
      <c r="K3168" s="43"/>
      <c r="L3168" s="71" t="s">
        <v>107</v>
      </c>
      <c r="M3168" s="73">
        <v>85</v>
      </c>
      <c r="N3168" s="71" t="s">
        <v>388</v>
      </c>
      <c r="O3168" s="73">
        <v>0.888</v>
      </c>
      <c r="P3168" s="71" t="s">
        <v>389</v>
      </c>
      <c r="Q3168" s="73">
        <v>148</v>
      </c>
      <c r="R3168" s="71" t="s">
        <v>388</v>
      </c>
      <c r="S3168" s="73">
        <v>0</v>
      </c>
      <c r="T3168" s="71" t="s">
        <v>390</v>
      </c>
      <c r="U3168" s="74">
        <v>1</v>
      </c>
      <c r="V3168" s="71" t="s">
        <v>391</v>
      </c>
      <c r="W3168" s="130">
        <v>46093.40347222222</v>
      </c>
      <c r="X3168" s="72">
        <v>46099.854166666664</v>
      </c>
      <c r="Y3168" s="72">
        <v>46100.302083333336</v>
      </c>
      <c r="Z3168" s="104" t="s">
        <v>382</v>
      </c>
      <c r="AA3168" s="104" t="s">
        <v>414</v>
      </c>
      <c r="AB3168" s="105">
        <v>46100.102083333331</v>
      </c>
      <c r="AC3168" s="105">
        <v>46100.31527777778</v>
      </c>
    </row>
    <row r="3169" s="70" customFormat="1" ht="11.25" customHeight="1">
      <c r="A3169" s="87"/>
      <c r="C3169" s="43" t="s">
        <v>5113</v>
      </c>
      <c r="D3169" s="71" t="s">
        <v>382</v>
      </c>
      <c r="E3169" s="71" t="str">
        <f>MID(D3169,1,2)</f>
        <v>IL</v>
      </c>
      <c r="F3169" s="71" t="s">
        <v>383</v>
      </c>
      <c r="G3169" s="71" t="str">
        <f>MID(F3169,1,2)</f>
        <v>DE</v>
      </c>
      <c r="H3169" s="43" t="s">
        <v>3495</v>
      </c>
      <c r="I3169" s="71" t="s">
        <v>5114</v>
      </c>
      <c r="J3169" s="71" t="s">
        <v>400</v>
      </c>
      <c r="K3169" s="43"/>
      <c r="L3169" s="71" t="s">
        <v>105</v>
      </c>
      <c r="M3169" s="73">
        <v>1</v>
      </c>
      <c r="N3169" s="71" t="s">
        <v>388</v>
      </c>
      <c r="O3169" s="73">
        <v>0.012</v>
      </c>
      <c r="P3169" s="71" t="s">
        <v>389</v>
      </c>
      <c r="Q3169" s="73">
        <v>2</v>
      </c>
      <c r="R3169" s="71" t="s">
        <v>388</v>
      </c>
      <c r="S3169" s="73">
        <v>0</v>
      </c>
      <c r="T3169" s="71" t="s">
        <v>390</v>
      </c>
      <c r="U3169" s="74">
        <v>1</v>
      </c>
      <c r="V3169" s="71" t="s">
        <v>391</v>
      </c>
      <c r="W3169" s="130">
        <v>46093.410416666666</v>
      </c>
      <c r="X3169" s="72">
        <v>46097</v>
      </c>
      <c r="Y3169" s="72">
        <v>46100.496527777781</v>
      </c>
      <c r="Z3169" s="104" t="s">
        <v>382</v>
      </c>
      <c r="AA3169" s="104" t="s">
        <v>383</v>
      </c>
      <c r="AB3169" s="105">
        <v>46100.42291666667</v>
      </c>
      <c r="AC3169" s="105">
        <v>46100.552777777775</v>
      </c>
    </row>
    <row r="3170" s="70" customFormat="1" ht="11.25" customHeight="1">
      <c r="A3170" s="87"/>
      <c r="C3170" s="43" t="s">
        <v>5115</v>
      </c>
      <c r="D3170" s="71" t="s">
        <v>382</v>
      </c>
      <c r="E3170" s="71" t="str">
        <f>MID(D3170,1,2)</f>
        <v>IL</v>
      </c>
      <c r="F3170" s="71" t="s">
        <v>402</v>
      </c>
      <c r="G3170" s="71" t="str">
        <f>MID(F3170,1,2)</f>
        <v>CY</v>
      </c>
      <c r="H3170" s="43" t="s">
        <v>5048</v>
      </c>
      <c r="I3170" s="71" t="s">
        <v>5116</v>
      </c>
      <c r="J3170" s="71" t="s">
        <v>400</v>
      </c>
      <c r="K3170" s="43"/>
      <c r="L3170" s="71" t="s">
        <v>105</v>
      </c>
      <c r="M3170" s="73">
        <v>3</v>
      </c>
      <c r="N3170" s="71" t="s">
        <v>388</v>
      </c>
      <c r="O3170" s="73">
        <v>0.012</v>
      </c>
      <c r="P3170" s="71" t="s">
        <v>389</v>
      </c>
      <c r="Q3170" s="73">
        <v>3</v>
      </c>
      <c r="R3170" s="71" t="s">
        <v>388</v>
      </c>
      <c r="S3170" s="73">
        <v>0</v>
      </c>
      <c r="T3170" s="71" t="s">
        <v>390</v>
      </c>
      <c r="U3170" s="74">
        <v>1</v>
      </c>
      <c r="V3170" s="71" t="s">
        <v>446</v>
      </c>
      <c r="W3170" s="130">
        <v>46100.67625</v>
      </c>
      <c r="X3170" s="72">
        <v>46101</v>
      </c>
      <c r="Y3170" s="72">
        <v>46101.4375</v>
      </c>
      <c r="Z3170" s="104" t="s">
        <v>382</v>
      </c>
      <c r="AA3170" s="104" t="s">
        <v>402</v>
      </c>
      <c r="AB3170" s="105">
        <v>46101.38125</v>
      </c>
      <c r="AC3170" s="105">
        <v>46101.433333333334</v>
      </c>
    </row>
    <row r="3171" s="70" customFormat="1" ht="11.25" customHeight="1">
      <c r="A3171" s="87"/>
      <c r="C3171" s="43" t="s">
        <v>5117</v>
      </c>
      <c r="D3171" s="71" t="s">
        <v>382</v>
      </c>
      <c r="E3171" s="71" t="str">
        <f>MID(D3171,1,2)</f>
        <v>IL</v>
      </c>
      <c r="F3171" s="71" t="s">
        <v>476</v>
      </c>
      <c r="G3171" s="71" t="str">
        <f>MID(F3171,1,2)</f>
        <v>SG</v>
      </c>
      <c r="H3171" s="43" t="s">
        <v>5118</v>
      </c>
      <c r="I3171" s="71" t="s">
        <v>5119</v>
      </c>
      <c r="J3171" s="71" t="s">
        <v>454</v>
      </c>
      <c r="K3171" s="43"/>
      <c r="L3171" s="71" t="s">
        <v>107</v>
      </c>
      <c r="M3171" s="73">
        <v>440</v>
      </c>
      <c r="N3171" s="71" t="s">
        <v>388</v>
      </c>
      <c r="O3171" s="73">
        <v>4.394</v>
      </c>
      <c r="P3171" s="71" t="s">
        <v>389</v>
      </c>
      <c r="Q3171" s="73">
        <v>732.5</v>
      </c>
      <c r="R3171" s="71" t="s">
        <v>388</v>
      </c>
      <c r="S3171" s="73">
        <v>0</v>
      </c>
      <c r="T3171" s="71" t="s">
        <v>390</v>
      </c>
      <c r="U3171" s="74">
        <v>4</v>
      </c>
      <c r="V3171" s="71" t="s">
        <v>391</v>
      </c>
      <c r="W3171" s="130">
        <v>46093.611805555556</v>
      </c>
      <c r="X3171" s="72">
        <v>46095.645833333336</v>
      </c>
      <c r="Y3171" s="72">
        <v>46109.506944444445</v>
      </c>
      <c r="Z3171" s="104" t="s">
        <v>382</v>
      </c>
      <c r="AA3171" s="104" t="s">
        <v>4692</v>
      </c>
      <c r="AB3171" s="105">
        <v>46101.996527777781</v>
      </c>
      <c r="AC3171" s="105">
        <v>46102.125</v>
      </c>
    </row>
    <row r="3172" s="70" customFormat="1" ht="11.25" customHeight="1">
      <c r="A3172" s="87"/>
      <c r="C3172" s="43" t="s">
        <v>5117</v>
      </c>
      <c r="D3172" s="71" t="s">
        <v>382</v>
      </c>
      <c r="E3172" s="71" t="str">
        <f>MID(D3172,1,2)</f>
        <v>IL</v>
      </c>
      <c r="F3172" s="71" t="s">
        <v>476</v>
      </c>
      <c r="G3172" s="71" t="str">
        <f>MID(F3172,1,2)</f>
        <v>SG</v>
      </c>
      <c r="H3172" s="43" t="s">
        <v>5118</v>
      </c>
      <c r="I3172" s="71" t="s">
        <v>5119</v>
      </c>
      <c r="J3172" s="71" t="s">
        <v>454</v>
      </c>
      <c r="K3172" s="43"/>
      <c r="L3172" s="71" t="s">
        <v>107</v>
      </c>
      <c r="M3172" s="73">
        <v>440</v>
      </c>
      <c r="N3172" s="71" t="s">
        <v>388</v>
      </c>
      <c r="O3172" s="73">
        <v>4.394</v>
      </c>
      <c r="P3172" s="71" t="s">
        <v>389</v>
      </c>
      <c r="Q3172" s="73">
        <v>732.5</v>
      </c>
      <c r="R3172" s="71" t="s">
        <v>388</v>
      </c>
      <c r="S3172" s="73">
        <v>0</v>
      </c>
      <c r="T3172" s="71" t="s">
        <v>390</v>
      </c>
      <c r="U3172" s="74">
        <v>4</v>
      </c>
      <c r="V3172" s="71" t="s">
        <v>391</v>
      </c>
      <c r="W3172" s="130">
        <v>46093.611805555556</v>
      </c>
      <c r="X3172" s="72">
        <v>46095.645833333336</v>
      </c>
      <c r="Y3172" s="72">
        <v>46109.506944444445</v>
      </c>
      <c r="Z3172" s="104" t="s">
        <v>4692</v>
      </c>
      <c r="AA3172" s="104" t="s">
        <v>465</v>
      </c>
      <c r="AB3172" s="105"/>
      <c r="AC3172" s="105"/>
    </row>
    <row r="3173" s="70" customFormat="1" ht="11.25" customHeight="1">
      <c r="A3173" s="87"/>
      <c r="C3173" s="43" t="s">
        <v>5117</v>
      </c>
      <c r="D3173" s="71" t="s">
        <v>382</v>
      </c>
      <c r="E3173" s="71" t="str">
        <f>MID(D3173,1,2)</f>
        <v>IL</v>
      </c>
      <c r="F3173" s="71" t="s">
        <v>476</v>
      </c>
      <c r="G3173" s="71" t="str">
        <f>MID(F3173,1,2)</f>
        <v>SG</v>
      </c>
      <c r="H3173" s="43" t="s">
        <v>5118</v>
      </c>
      <c r="I3173" s="71" t="s">
        <v>5119</v>
      </c>
      <c r="J3173" s="71" t="s">
        <v>454</v>
      </c>
      <c r="K3173" s="43"/>
      <c r="L3173" s="71" t="s">
        <v>107</v>
      </c>
      <c r="M3173" s="73">
        <v>440</v>
      </c>
      <c r="N3173" s="71" t="s">
        <v>388</v>
      </c>
      <c r="O3173" s="73">
        <v>4.394</v>
      </c>
      <c r="P3173" s="71" t="s">
        <v>389</v>
      </c>
      <c r="Q3173" s="73">
        <v>732.5</v>
      </c>
      <c r="R3173" s="71" t="s">
        <v>388</v>
      </c>
      <c r="S3173" s="73">
        <v>0</v>
      </c>
      <c r="T3173" s="71" t="s">
        <v>390</v>
      </c>
      <c r="U3173" s="74">
        <v>4</v>
      </c>
      <c r="V3173" s="71" t="s">
        <v>391</v>
      </c>
      <c r="W3173" s="130">
        <v>46093.611805555556</v>
      </c>
      <c r="X3173" s="72">
        <v>46095.645833333336</v>
      </c>
      <c r="Y3173" s="72">
        <v>46109.506944444445</v>
      </c>
      <c r="Z3173" s="104" t="s">
        <v>465</v>
      </c>
      <c r="AA3173" s="104" t="s">
        <v>476</v>
      </c>
      <c r="AB3173" s="105"/>
      <c r="AC3173" s="105"/>
    </row>
    <row r="3174" s="70" customFormat="1" ht="11.25" customHeight="1">
      <c r="A3174" s="87"/>
      <c r="C3174" s="43" t="s">
        <v>5120</v>
      </c>
      <c r="D3174" s="71" t="s">
        <v>382</v>
      </c>
      <c r="E3174" s="71" t="str">
        <f>MID(D3174,1,2)</f>
        <v>IL</v>
      </c>
      <c r="F3174" s="71" t="s">
        <v>618</v>
      </c>
      <c r="G3174" s="71" t="str">
        <f>MID(F3174,1,2)</f>
        <v>CO</v>
      </c>
      <c r="H3174" s="43" t="s">
        <v>5121</v>
      </c>
      <c r="I3174" s="71" t="s">
        <v>5122</v>
      </c>
      <c r="J3174" s="71" t="s">
        <v>386</v>
      </c>
      <c r="K3174" s="43"/>
      <c r="L3174" s="71" t="s">
        <v>107</v>
      </c>
      <c r="M3174" s="73">
        <v>195</v>
      </c>
      <c r="N3174" s="71" t="s">
        <v>388</v>
      </c>
      <c r="O3174" s="73">
        <v>1.827</v>
      </c>
      <c r="P3174" s="71" t="s">
        <v>389</v>
      </c>
      <c r="Q3174" s="73">
        <v>304.5</v>
      </c>
      <c r="R3174" s="71" t="s">
        <v>388</v>
      </c>
      <c r="S3174" s="73">
        <v>0</v>
      </c>
      <c r="T3174" s="71" t="s">
        <v>390</v>
      </c>
      <c r="U3174" s="74">
        <v>6</v>
      </c>
      <c r="V3174" s="71" t="s">
        <v>391</v>
      </c>
      <c r="W3174" s="130">
        <v>46096.4375</v>
      </c>
      <c r="X3174" s="72">
        <v>46098.517361111109</v>
      </c>
      <c r="Y3174" s="72">
        <v>46102.28402777778</v>
      </c>
      <c r="Z3174" s="104" t="s">
        <v>382</v>
      </c>
      <c r="AA3174" s="104" t="s">
        <v>408</v>
      </c>
      <c r="AB3174" s="105">
        <v>46098.529166666667</v>
      </c>
      <c r="AC3174" s="105"/>
    </row>
    <row r="3175" s="70" customFormat="1" ht="11.25" customHeight="1">
      <c r="A3175" s="87"/>
      <c r="C3175" s="43" t="s">
        <v>5120</v>
      </c>
      <c r="D3175" s="71" t="s">
        <v>382</v>
      </c>
      <c r="E3175" s="71" t="str">
        <f>MID(D3175,1,2)</f>
        <v>IL</v>
      </c>
      <c r="F3175" s="71" t="s">
        <v>618</v>
      </c>
      <c r="G3175" s="71" t="str">
        <f>MID(F3175,1,2)</f>
        <v>CO</v>
      </c>
      <c r="H3175" s="43" t="s">
        <v>5121</v>
      </c>
      <c r="I3175" s="71" t="s">
        <v>5122</v>
      </c>
      <c r="J3175" s="71" t="s">
        <v>386</v>
      </c>
      <c r="K3175" s="43"/>
      <c r="L3175" s="71" t="s">
        <v>107</v>
      </c>
      <c r="M3175" s="73">
        <v>195</v>
      </c>
      <c r="N3175" s="71" t="s">
        <v>388</v>
      </c>
      <c r="O3175" s="73">
        <v>1.827</v>
      </c>
      <c r="P3175" s="71" t="s">
        <v>389</v>
      </c>
      <c r="Q3175" s="73">
        <v>304.5</v>
      </c>
      <c r="R3175" s="71" t="s">
        <v>388</v>
      </c>
      <c r="S3175" s="73">
        <v>0</v>
      </c>
      <c r="T3175" s="71" t="s">
        <v>390</v>
      </c>
      <c r="U3175" s="74">
        <v>6</v>
      </c>
      <c r="V3175" s="71" t="s">
        <v>391</v>
      </c>
      <c r="W3175" s="130">
        <v>46096.4375</v>
      </c>
      <c r="X3175" s="72">
        <v>46098.517361111109</v>
      </c>
      <c r="Y3175" s="72">
        <v>46102.28402777778</v>
      </c>
      <c r="Z3175" s="104" t="s">
        <v>408</v>
      </c>
      <c r="AA3175" s="104" t="s">
        <v>405</v>
      </c>
      <c r="AB3175" s="105">
        <v>46100.503472222219</v>
      </c>
      <c r="AC3175" s="105">
        <v>46100.6875</v>
      </c>
    </row>
    <row r="3176" s="70" customFormat="1" ht="11.25" customHeight="1">
      <c r="A3176" s="87"/>
      <c r="C3176" s="43" t="s">
        <v>5120</v>
      </c>
      <c r="D3176" s="71" t="s">
        <v>382</v>
      </c>
      <c r="E3176" s="71" t="str">
        <f>MID(D3176,1,2)</f>
        <v>IL</v>
      </c>
      <c r="F3176" s="71" t="s">
        <v>618</v>
      </c>
      <c r="G3176" s="71" t="str">
        <f>MID(F3176,1,2)</f>
        <v>CO</v>
      </c>
      <c r="H3176" s="43" t="s">
        <v>5121</v>
      </c>
      <c r="I3176" s="71" t="s">
        <v>5122</v>
      </c>
      <c r="J3176" s="71" t="s">
        <v>386</v>
      </c>
      <c r="K3176" s="43"/>
      <c r="L3176" s="71" t="s">
        <v>107</v>
      </c>
      <c r="M3176" s="73">
        <v>195</v>
      </c>
      <c r="N3176" s="71" t="s">
        <v>388</v>
      </c>
      <c r="O3176" s="73">
        <v>1.827</v>
      </c>
      <c r="P3176" s="71" t="s">
        <v>389</v>
      </c>
      <c r="Q3176" s="73">
        <v>304.5</v>
      </c>
      <c r="R3176" s="71" t="s">
        <v>388</v>
      </c>
      <c r="S3176" s="73">
        <v>0</v>
      </c>
      <c r="T3176" s="71" t="s">
        <v>390</v>
      </c>
      <c r="U3176" s="74">
        <v>6</v>
      </c>
      <c r="V3176" s="71" t="s">
        <v>391</v>
      </c>
      <c r="W3176" s="130">
        <v>46096.4375</v>
      </c>
      <c r="X3176" s="72">
        <v>46098.517361111109</v>
      </c>
      <c r="Y3176" s="72">
        <v>46102.28402777778</v>
      </c>
      <c r="Z3176" s="104" t="s">
        <v>405</v>
      </c>
      <c r="AA3176" s="104" t="s">
        <v>618</v>
      </c>
      <c r="AB3176" s="105">
        <v>46102.09097222222</v>
      </c>
      <c r="AC3176" s="105">
        <v>46102.279861111114</v>
      </c>
    </row>
    <row r="3177" s="70" customFormat="1" ht="11.25" customHeight="1">
      <c r="A3177" s="87"/>
      <c r="C3177" s="43" t="s">
        <v>5123</v>
      </c>
      <c r="D3177" s="71" t="s">
        <v>382</v>
      </c>
      <c r="E3177" s="71" t="str">
        <f>MID(D3177,1,2)</f>
        <v>IL</v>
      </c>
      <c r="F3177" s="71" t="s">
        <v>471</v>
      </c>
      <c r="G3177" s="71" t="str">
        <f>MID(F3177,1,2)</f>
        <v>US</v>
      </c>
      <c r="H3177" s="43" t="s">
        <v>4343</v>
      </c>
      <c r="I3177" s="71" t="s">
        <v>5124</v>
      </c>
      <c r="J3177" s="71" t="s">
        <v>386</v>
      </c>
      <c r="K3177" s="43"/>
      <c r="L3177" s="71" t="s">
        <v>107</v>
      </c>
      <c r="M3177" s="73">
        <v>215</v>
      </c>
      <c r="N3177" s="71" t="s">
        <v>388</v>
      </c>
      <c r="O3177" s="73">
        <v>0.669</v>
      </c>
      <c r="P3177" s="71" t="s">
        <v>389</v>
      </c>
      <c r="Q3177" s="73">
        <v>215</v>
      </c>
      <c r="R3177" s="71" t="s">
        <v>388</v>
      </c>
      <c r="S3177" s="73">
        <v>0</v>
      </c>
      <c r="T3177" s="71" t="s">
        <v>390</v>
      </c>
      <c r="U3177" s="74">
        <v>1</v>
      </c>
      <c r="V3177" s="71" t="s">
        <v>391</v>
      </c>
      <c r="W3177" s="130">
        <v>46093.597222222219</v>
      </c>
      <c r="X3177" s="72">
        <v>46095.003472222219</v>
      </c>
      <c r="Y3177" s="72">
        <v>46103.25</v>
      </c>
      <c r="Z3177" s="104" t="s">
        <v>382</v>
      </c>
      <c r="AA3177" s="104" t="s">
        <v>471</v>
      </c>
      <c r="AB3177" s="105">
        <v>46098.508333333331</v>
      </c>
      <c r="AC3177" s="105">
        <v>46098.666666666664</v>
      </c>
    </row>
    <row r="3178" s="70" customFormat="1" ht="11.25" customHeight="1">
      <c r="A3178" s="87"/>
      <c r="C3178" s="43" t="s">
        <v>5125</v>
      </c>
      <c r="D3178" s="71" t="s">
        <v>382</v>
      </c>
      <c r="E3178" s="71" t="str">
        <f>MID(D3178,1,2)</f>
        <v>IL</v>
      </c>
      <c r="F3178" s="71" t="s">
        <v>414</v>
      </c>
      <c r="G3178" s="71" t="str">
        <f>MID(F3178,1,2)</f>
        <v>US</v>
      </c>
      <c r="H3178" s="43" t="s">
        <v>5126</v>
      </c>
      <c r="I3178" s="71" t="s">
        <v>5127</v>
      </c>
      <c r="J3178" s="71" t="s">
        <v>454</v>
      </c>
      <c r="K3178" s="43"/>
      <c r="L3178" s="71" t="s">
        <v>107</v>
      </c>
      <c r="M3178" s="73">
        <v>9</v>
      </c>
      <c r="N3178" s="71" t="s">
        <v>388</v>
      </c>
      <c r="O3178" s="73">
        <v>0.031</v>
      </c>
      <c r="P3178" s="71" t="s">
        <v>389</v>
      </c>
      <c r="Q3178" s="73">
        <v>9</v>
      </c>
      <c r="R3178" s="71" t="s">
        <v>388</v>
      </c>
      <c r="S3178" s="73">
        <v>0</v>
      </c>
      <c r="T3178" s="71" t="s">
        <v>390</v>
      </c>
      <c r="U3178" s="74">
        <v>1</v>
      </c>
      <c r="V3178" s="71" t="s">
        <v>391</v>
      </c>
      <c r="W3178" s="130">
        <v>46096.591238425928</v>
      </c>
      <c r="X3178" s="72">
        <v>46099.854166666664</v>
      </c>
      <c r="Y3178" s="72">
        <v>46101.510416666664</v>
      </c>
      <c r="Z3178" s="104" t="s">
        <v>382</v>
      </c>
      <c r="AA3178" s="104" t="s">
        <v>414</v>
      </c>
      <c r="AB3178" s="105">
        <v>46101.299305555556</v>
      </c>
      <c r="AC3178" s="105">
        <v>46101.519444444442</v>
      </c>
    </row>
    <row r="3179" s="70" customFormat="1" ht="11.25" customHeight="1">
      <c r="A3179" s="87"/>
      <c r="C3179" s="43" t="s">
        <v>5128</v>
      </c>
      <c r="D3179" s="71" t="s">
        <v>382</v>
      </c>
      <c r="E3179" s="71" t="str">
        <f>MID(D3179,1,2)</f>
        <v>IL</v>
      </c>
      <c r="F3179" s="71" t="s">
        <v>1234</v>
      </c>
      <c r="G3179" s="71" t="str">
        <f>MID(F3179,1,2)</f>
        <v>PH</v>
      </c>
      <c r="H3179" s="43" t="s">
        <v>5129</v>
      </c>
      <c r="I3179" s="71" t="s">
        <v>5130</v>
      </c>
      <c r="J3179" s="71" t="s">
        <v>483</v>
      </c>
      <c r="K3179" s="43"/>
      <c r="L3179" s="71" t="s">
        <v>105</v>
      </c>
      <c r="M3179" s="73">
        <v>93</v>
      </c>
      <c r="N3179" s="71" t="s">
        <v>388</v>
      </c>
      <c r="O3179" s="73">
        <v>0.768</v>
      </c>
      <c r="P3179" s="71" t="s">
        <v>389</v>
      </c>
      <c r="Q3179" s="73">
        <v>128</v>
      </c>
      <c r="R3179" s="71" t="s">
        <v>388</v>
      </c>
      <c r="S3179" s="73">
        <v>0</v>
      </c>
      <c r="T3179" s="71" t="s">
        <v>390</v>
      </c>
      <c r="U3179" s="74">
        <v>1</v>
      </c>
      <c r="V3179" s="71" t="s">
        <v>391</v>
      </c>
      <c r="W3179" s="130">
        <v>46093.490277777775</v>
      </c>
      <c r="X3179" s="72">
        <v>46096.25</v>
      </c>
      <c r="Y3179" s="72">
        <v>46104.875</v>
      </c>
      <c r="Z3179" s="104" t="s">
        <v>382</v>
      </c>
      <c r="AA3179" s="104" t="s">
        <v>471</v>
      </c>
      <c r="AB3179" s="105">
        <v>46098.510416666664</v>
      </c>
      <c r="AC3179" s="105"/>
    </row>
    <row r="3180" s="70" customFormat="1" ht="11.25" customHeight="1">
      <c r="A3180" s="87"/>
      <c r="C3180" s="43" t="s">
        <v>5128</v>
      </c>
      <c r="D3180" s="71" t="s">
        <v>382</v>
      </c>
      <c r="E3180" s="71" t="str">
        <f>MID(D3180,1,2)</f>
        <v>IL</v>
      </c>
      <c r="F3180" s="71" t="s">
        <v>1234</v>
      </c>
      <c r="G3180" s="71" t="str">
        <f>MID(F3180,1,2)</f>
        <v>PH</v>
      </c>
      <c r="H3180" s="43" t="s">
        <v>5129</v>
      </c>
      <c r="I3180" s="71" t="s">
        <v>5130</v>
      </c>
      <c r="J3180" s="71" t="s">
        <v>483</v>
      </c>
      <c r="K3180" s="43"/>
      <c r="L3180" s="71" t="s">
        <v>105</v>
      </c>
      <c r="M3180" s="73">
        <v>93</v>
      </c>
      <c r="N3180" s="71" t="s">
        <v>388</v>
      </c>
      <c r="O3180" s="73">
        <v>0.768</v>
      </c>
      <c r="P3180" s="71" t="s">
        <v>389</v>
      </c>
      <c r="Q3180" s="73">
        <v>128</v>
      </c>
      <c r="R3180" s="71" t="s">
        <v>388</v>
      </c>
      <c r="S3180" s="73">
        <v>0</v>
      </c>
      <c r="T3180" s="71" t="s">
        <v>390</v>
      </c>
      <c r="U3180" s="74">
        <v>1</v>
      </c>
      <c r="V3180" s="71" t="s">
        <v>391</v>
      </c>
      <c r="W3180" s="130">
        <v>46093.490277777775</v>
      </c>
      <c r="X3180" s="72">
        <v>46096.25</v>
      </c>
      <c r="Y3180" s="72">
        <v>46104.875</v>
      </c>
      <c r="Z3180" s="104" t="s">
        <v>471</v>
      </c>
      <c r="AA3180" s="104" t="s">
        <v>443</v>
      </c>
      <c r="AB3180" s="105">
        <v>46102.697916666664</v>
      </c>
      <c r="AC3180" s="105"/>
    </row>
    <row r="3181" s="70" customFormat="1" ht="11.25" customHeight="1">
      <c r="A3181" s="87"/>
      <c r="C3181" s="43" t="s">
        <v>5128</v>
      </c>
      <c r="D3181" s="71" t="s">
        <v>382</v>
      </c>
      <c r="E3181" s="71" t="str">
        <f>MID(D3181,1,2)</f>
        <v>IL</v>
      </c>
      <c r="F3181" s="71" t="s">
        <v>1234</v>
      </c>
      <c r="G3181" s="71" t="str">
        <f>MID(F3181,1,2)</f>
        <v>PH</v>
      </c>
      <c r="H3181" s="43" t="s">
        <v>5129</v>
      </c>
      <c r="I3181" s="71" t="s">
        <v>5130</v>
      </c>
      <c r="J3181" s="71" t="s">
        <v>483</v>
      </c>
      <c r="K3181" s="43"/>
      <c r="L3181" s="71" t="s">
        <v>105</v>
      </c>
      <c r="M3181" s="73">
        <v>93</v>
      </c>
      <c r="N3181" s="71" t="s">
        <v>388</v>
      </c>
      <c r="O3181" s="73">
        <v>0.768</v>
      </c>
      <c r="P3181" s="71" t="s">
        <v>389</v>
      </c>
      <c r="Q3181" s="73">
        <v>128</v>
      </c>
      <c r="R3181" s="71" t="s">
        <v>388</v>
      </c>
      <c r="S3181" s="73">
        <v>0</v>
      </c>
      <c r="T3181" s="71" t="s">
        <v>390</v>
      </c>
      <c r="U3181" s="74">
        <v>1</v>
      </c>
      <c r="V3181" s="71" t="s">
        <v>391</v>
      </c>
      <c r="W3181" s="130">
        <v>46093.490277777775</v>
      </c>
      <c r="X3181" s="72">
        <v>46096.25</v>
      </c>
      <c r="Y3181" s="72">
        <v>46104.875</v>
      </c>
      <c r="Z3181" s="104" t="s">
        <v>443</v>
      </c>
      <c r="AA3181" s="104" t="s">
        <v>1234</v>
      </c>
      <c r="AB3181" s="105"/>
      <c r="AC3181" s="105"/>
    </row>
    <row r="3182" s="70" customFormat="1" ht="11.25" customHeight="1">
      <c r="A3182" s="87"/>
      <c r="C3182" s="43" t="s">
        <v>5131</v>
      </c>
      <c r="D3182" s="71" t="s">
        <v>382</v>
      </c>
      <c r="E3182" s="71" t="str">
        <f>MID(D3182,1,2)</f>
        <v>IL</v>
      </c>
      <c r="F3182" s="71" t="s">
        <v>667</v>
      </c>
      <c r="G3182" s="71" t="str">
        <f>MID(F3182,1,2)</f>
        <v>DE</v>
      </c>
      <c r="H3182" s="43" t="s">
        <v>3495</v>
      </c>
      <c r="I3182" s="71" t="s">
        <v>5132</v>
      </c>
      <c r="J3182" s="71" t="s">
        <v>559</v>
      </c>
      <c r="K3182" s="43"/>
      <c r="L3182" s="71" t="s">
        <v>107</v>
      </c>
      <c r="M3182" s="73">
        <v>90</v>
      </c>
      <c r="N3182" s="71" t="s">
        <v>388</v>
      </c>
      <c r="O3182" s="73">
        <v>0.325</v>
      </c>
      <c r="P3182" s="71" t="s">
        <v>389</v>
      </c>
      <c r="Q3182" s="73">
        <v>90</v>
      </c>
      <c r="R3182" s="71" t="s">
        <v>388</v>
      </c>
      <c r="S3182" s="73">
        <v>0</v>
      </c>
      <c r="T3182" s="71" t="s">
        <v>390</v>
      </c>
      <c r="U3182" s="74">
        <v>1</v>
      </c>
      <c r="V3182" s="71" t="s">
        <v>391</v>
      </c>
      <c r="W3182" s="130">
        <v>46093.535416666666</v>
      </c>
      <c r="X3182" s="72">
        <v>46097</v>
      </c>
      <c r="Y3182" s="72">
        <v>46104.25</v>
      </c>
      <c r="Z3182" s="104" t="s">
        <v>383</v>
      </c>
      <c r="AA3182" s="104" t="s">
        <v>667</v>
      </c>
      <c r="AB3182" s="105"/>
      <c r="AC3182" s="105"/>
    </row>
    <row r="3183" s="70" customFormat="1" ht="11.25" customHeight="1">
      <c r="A3183" s="87"/>
      <c r="C3183" s="43" t="s">
        <v>5131</v>
      </c>
      <c r="D3183" s="71" t="s">
        <v>382</v>
      </c>
      <c r="E3183" s="71" t="str">
        <f>MID(D3183,1,2)</f>
        <v>IL</v>
      </c>
      <c r="F3183" s="71" t="s">
        <v>667</v>
      </c>
      <c r="G3183" s="71" t="str">
        <f>MID(F3183,1,2)</f>
        <v>DE</v>
      </c>
      <c r="H3183" s="43" t="s">
        <v>3495</v>
      </c>
      <c r="I3183" s="71" t="s">
        <v>5132</v>
      </c>
      <c r="J3183" s="71" t="s">
        <v>559</v>
      </c>
      <c r="K3183" s="43"/>
      <c r="L3183" s="71" t="s">
        <v>107</v>
      </c>
      <c r="M3183" s="73">
        <v>90</v>
      </c>
      <c r="N3183" s="71" t="s">
        <v>388</v>
      </c>
      <c r="O3183" s="73">
        <v>0.325</v>
      </c>
      <c r="P3183" s="71" t="s">
        <v>389</v>
      </c>
      <c r="Q3183" s="73">
        <v>90</v>
      </c>
      <c r="R3183" s="71" t="s">
        <v>388</v>
      </c>
      <c r="S3183" s="73">
        <v>0</v>
      </c>
      <c r="T3183" s="71" t="s">
        <v>390</v>
      </c>
      <c r="U3183" s="74">
        <v>1</v>
      </c>
      <c r="V3183" s="71" t="s">
        <v>391</v>
      </c>
      <c r="W3183" s="130">
        <v>46093.535416666666</v>
      </c>
      <c r="X3183" s="72">
        <v>46097</v>
      </c>
      <c r="Y3183" s="72">
        <v>46104.25</v>
      </c>
      <c r="Z3183" s="104" t="s">
        <v>382</v>
      </c>
      <c r="AA3183" s="104" t="s">
        <v>383</v>
      </c>
      <c r="AB3183" s="105">
        <v>46100.42291666667</v>
      </c>
      <c r="AC3183" s="105">
        <v>46100.552777777775</v>
      </c>
    </row>
    <row r="3184" s="70" customFormat="1" ht="11.25" customHeight="1">
      <c r="A3184" s="87"/>
      <c r="C3184" s="43" t="s">
        <v>5133</v>
      </c>
      <c r="D3184" s="71" t="s">
        <v>382</v>
      </c>
      <c r="E3184" s="71" t="str">
        <f>MID(D3184,1,2)</f>
        <v>IL</v>
      </c>
      <c r="F3184" s="71" t="s">
        <v>414</v>
      </c>
      <c r="G3184" s="71" t="str">
        <f>MID(F3184,1,2)</f>
        <v>US</v>
      </c>
      <c r="H3184" s="43" t="s">
        <v>5126</v>
      </c>
      <c r="I3184" s="71" t="s">
        <v>5134</v>
      </c>
      <c r="J3184" s="71" t="s">
        <v>426</v>
      </c>
      <c r="K3184" s="43"/>
      <c r="L3184" s="71" t="s">
        <v>105</v>
      </c>
      <c r="M3184" s="73">
        <v>2</v>
      </c>
      <c r="N3184" s="71" t="s">
        <v>388</v>
      </c>
      <c r="O3184" s="73">
        <v>0.009</v>
      </c>
      <c r="P3184" s="71" t="s">
        <v>389</v>
      </c>
      <c r="Q3184" s="73">
        <v>2</v>
      </c>
      <c r="R3184" s="71" t="s">
        <v>388</v>
      </c>
      <c r="S3184" s="73">
        <v>0</v>
      </c>
      <c r="T3184" s="71" t="s">
        <v>390</v>
      </c>
      <c r="U3184" s="74">
        <v>1</v>
      </c>
      <c r="V3184" s="71" t="s">
        <v>427</v>
      </c>
      <c r="W3184" s="130">
        <v>46096.883043981485</v>
      </c>
      <c r="X3184" s="72">
        <v>46099.854166666664</v>
      </c>
      <c r="Y3184" s="72">
        <v>46101.510416666664</v>
      </c>
      <c r="Z3184" s="104" t="s">
        <v>382</v>
      </c>
      <c r="AA3184" s="104" t="s">
        <v>414</v>
      </c>
      <c r="AB3184" s="105">
        <v>46101.299305555556</v>
      </c>
      <c r="AC3184" s="105">
        <v>46101.519444444442</v>
      </c>
    </row>
    <row r="3185" s="70" customFormat="1" ht="11.25" customHeight="1">
      <c r="A3185" s="87"/>
      <c r="C3185" s="43" t="s">
        <v>5135</v>
      </c>
      <c r="D3185" s="71" t="s">
        <v>382</v>
      </c>
      <c r="E3185" s="71" t="str">
        <f>MID(D3185,1,2)</f>
        <v>IL</v>
      </c>
      <c r="F3185" s="71" t="s">
        <v>383</v>
      </c>
      <c r="G3185" s="71" t="str">
        <f>MID(F3185,1,2)</f>
        <v>DE</v>
      </c>
      <c r="H3185" s="43" t="s">
        <v>4936</v>
      </c>
      <c r="I3185" s="71" t="s">
        <v>5136</v>
      </c>
      <c r="J3185" s="71" t="s">
        <v>386</v>
      </c>
      <c r="K3185" s="43"/>
      <c r="L3185" s="71" t="s">
        <v>107</v>
      </c>
      <c r="M3185" s="73">
        <v>54</v>
      </c>
      <c r="N3185" s="71" t="s">
        <v>388</v>
      </c>
      <c r="O3185" s="73">
        <v>0.529</v>
      </c>
      <c r="P3185" s="71" t="s">
        <v>389</v>
      </c>
      <c r="Q3185" s="73">
        <v>88.5</v>
      </c>
      <c r="R3185" s="71" t="s">
        <v>388</v>
      </c>
      <c r="S3185" s="73">
        <v>0</v>
      </c>
      <c r="T3185" s="71" t="s">
        <v>390</v>
      </c>
      <c r="U3185" s="74">
        <v>1</v>
      </c>
      <c r="V3185" s="71" t="s">
        <v>391</v>
      </c>
      <c r="W3185" s="130">
        <v>46096.458333333336</v>
      </c>
      <c r="X3185" s="72">
        <v>46099.5</v>
      </c>
      <c r="Y3185" s="72">
        <v>46104.513888888891</v>
      </c>
      <c r="Z3185" s="104" t="s">
        <v>382</v>
      </c>
      <c r="AA3185" s="104" t="s">
        <v>383</v>
      </c>
      <c r="AB3185" s="105">
        <v>46103.441666666666</v>
      </c>
      <c r="AC3185" s="105"/>
    </row>
    <row r="3186" s="70" customFormat="1" ht="11.25" customHeight="1">
      <c r="A3186" s="87"/>
      <c r="C3186" s="43" t="s">
        <v>5137</v>
      </c>
      <c r="D3186" s="71" t="s">
        <v>382</v>
      </c>
      <c r="E3186" s="71" t="str">
        <f>MID(D3186,1,2)</f>
        <v>IL</v>
      </c>
      <c r="F3186" s="71" t="s">
        <v>414</v>
      </c>
      <c r="G3186" s="71" t="str">
        <f>MID(F3186,1,2)</f>
        <v>US</v>
      </c>
      <c r="H3186" s="43" t="s">
        <v>5126</v>
      </c>
      <c r="I3186" s="71" t="s">
        <v>5138</v>
      </c>
      <c r="J3186" s="71" t="s">
        <v>454</v>
      </c>
      <c r="K3186" s="43"/>
      <c r="L3186" s="71" t="s">
        <v>107</v>
      </c>
      <c r="M3186" s="73">
        <v>7</v>
      </c>
      <c r="N3186" s="71" t="s">
        <v>388</v>
      </c>
      <c r="O3186" s="73">
        <v>0.083</v>
      </c>
      <c r="P3186" s="71" t="s">
        <v>389</v>
      </c>
      <c r="Q3186" s="73">
        <v>14</v>
      </c>
      <c r="R3186" s="71" t="s">
        <v>388</v>
      </c>
      <c r="S3186" s="73">
        <v>0</v>
      </c>
      <c r="T3186" s="71" t="s">
        <v>390</v>
      </c>
      <c r="U3186" s="74">
        <v>1</v>
      </c>
      <c r="V3186" s="71" t="s">
        <v>427</v>
      </c>
      <c r="W3186" s="130">
        <v>46098.383645833332</v>
      </c>
      <c r="X3186" s="72">
        <v>46099.854166666664</v>
      </c>
      <c r="Y3186" s="72">
        <v>46101.510416666664</v>
      </c>
      <c r="Z3186" s="104" t="s">
        <v>382</v>
      </c>
      <c r="AA3186" s="104" t="s">
        <v>414</v>
      </c>
      <c r="AB3186" s="105">
        <v>46101.299305555556</v>
      </c>
      <c r="AC3186" s="105">
        <v>46101.519444444442</v>
      </c>
    </row>
    <row r="3187" s="70" customFormat="1" ht="11.25" customHeight="1">
      <c r="A3187" s="87"/>
      <c r="C3187" s="43" t="s">
        <v>5139</v>
      </c>
      <c r="D3187" s="71" t="s">
        <v>382</v>
      </c>
      <c r="E3187" s="71" t="str">
        <f>MID(D3187,1,2)</f>
        <v>IL</v>
      </c>
      <c r="F3187" s="71" t="s">
        <v>414</v>
      </c>
      <c r="G3187" s="71" t="str">
        <f>MID(F3187,1,2)</f>
        <v>US</v>
      </c>
      <c r="H3187" s="43" t="s">
        <v>3776</v>
      </c>
      <c r="I3187" s="71" t="s">
        <v>5140</v>
      </c>
      <c r="J3187" s="71" t="s">
        <v>426</v>
      </c>
      <c r="K3187" s="43"/>
      <c r="L3187" s="71" t="s">
        <v>105</v>
      </c>
      <c r="M3187" s="73">
        <v>89</v>
      </c>
      <c r="N3187" s="71" t="s">
        <v>388</v>
      </c>
      <c r="O3187" s="73">
        <v>0.827</v>
      </c>
      <c r="P3187" s="71" t="s">
        <v>389</v>
      </c>
      <c r="Q3187" s="73">
        <v>138</v>
      </c>
      <c r="R3187" s="71" t="s">
        <v>388</v>
      </c>
      <c r="S3187" s="73">
        <v>0</v>
      </c>
      <c r="T3187" s="71" t="s">
        <v>390</v>
      </c>
      <c r="U3187" s="74">
        <v>1</v>
      </c>
      <c r="V3187" s="71" t="s">
        <v>391</v>
      </c>
      <c r="W3187" s="130">
        <v>46093.486111111109</v>
      </c>
      <c r="X3187" s="72">
        <v>46099.635416666664</v>
      </c>
      <c r="Y3187" s="72">
        <v>46102.708333333336</v>
      </c>
      <c r="Z3187" s="104" t="s">
        <v>382</v>
      </c>
      <c r="AA3187" s="104" t="s">
        <v>414</v>
      </c>
      <c r="AB3187" s="105">
        <v>46100.102083333331</v>
      </c>
      <c r="AC3187" s="105">
        <v>46100.31527777778</v>
      </c>
    </row>
    <row r="3188" s="70" customFormat="1" ht="11.25" customHeight="1">
      <c r="A3188" s="87"/>
      <c r="C3188" s="43" t="s">
        <v>5141</v>
      </c>
      <c r="D3188" s="71" t="s">
        <v>382</v>
      </c>
      <c r="E3188" s="71" t="str">
        <f>MID(D3188,1,2)</f>
        <v>IL</v>
      </c>
      <c r="F3188" s="71" t="s">
        <v>774</v>
      </c>
      <c r="G3188" s="71" t="str">
        <f>MID(F3188,1,2)</f>
        <v>CN</v>
      </c>
      <c r="H3188" s="43" t="s">
        <v>4950</v>
      </c>
      <c r="I3188" s="71" t="s">
        <v>5142</v>
      </c>
      <c r="J3188" s="71" t="s">
        <v>755</v>
      </c>
      <c r="K3188" s="43"/>
      <c r="L3188" s="71" t="s">
        <v>105</v>
      </c>
      <c r="M3188" s="73">
        <v>9</v>
      </c>
      <c r="N3188" s="71" t="s">
        <v>388</v>
      </c>
      <c r="O3188" s="73">
        <v>0.214</v>
      </c>
      <c r="P3188" s="71" t="s">
        <v>389</v>
      </c>
      <c r="Q3188" s="73">
        <v>36</v>
      </c>
      <c r="R3188" s="71" t="s">
        <v>388</v>
      </c>
      <c r="S3188" s="73">
        <v>0</v>
      </c>
      <c r="T3188" s="71" t="s">
        <v>390</v>
      </c>
      <c r="U3188" s="74">
        <v>1</v>
      </c>
      <c r="V3188" s="71" t="s">
        <v>391</v>
      </c>
      <c r="W3188" s="130">
        <v>46093.587534722225</v>
      </c>
      <c r="X3188" s="72">
        <v>46099.909722222219</v>
      </c>
      <c r="Y3188" s="72">
        <v>46102.84375</v>
      </c>
      <c r="Z3188" s="104" t="s">
        <v>382</v>
      </c>
      <c r="AA3188" s="104" t="s">
        <v>402</v>
      </c>
      <c r="AB3188" s="105">
        <v>46099.772916666669</v>
      </c>
      <c r="AC3188" s="105">
        <v>46099.724305555559</v>
      </c>
    </row>
    <row r="3189" s="70" customFormat="1" ht="11.25" customHeight="1">
      <c r="A3189" s="87"/>
      <c r="C3189" s="43" t="s">
        <v>5141</v>
      </c>
      <c r="D3189" s="71" t="s">
        <v>382</v>
      </c>
      <c r="E3189" s="71" t="str">
        <f>MID(D3189,1,2)</f>
        <v>IL</v>
      </c>
      <c r="F3189" s="71" t="s">
        <v>774</v>
      </c>
      <c r="G3189" s="71" t="str">
        <f>MID(F3189,1,2)</f>
        <v>CN</v>
      </c>
      <c r="H3189" s="43" t="s">
        <v>4950</v>
      </c>
      <c r="I3189" s="71" t="s">
        <v>5142</v>
      </c>
      <c r="J3189" s="71" t="s">
        <v>755</v>
      </c>
      <c r="K3189" s="43"/>
      <c r="L3189" s="71" t="s">
        <v>105</v>
      </c>
      <c r="M3189" s="73">
        <v>9</v>
      </c>
      <c r="N3189" s="71" t="s">
        <v>388</v>
      </c>
      <c r="O3189" s="73">
        <v>0.214</v>
      </c>
      <c r="P3189" s="71" t="s">
        <v>389</v>
      </c>
      <c r="Q3189" s="73">
        <v>36</v>
      </c>
      <c r="R3189" s="71" t="s">
        <v>388</v>
      </c>
      <c r="S3189" s="73">
        <v>0</v>
      </c>
      <c r="T3189" s="71" t="s">
        <v>390</v>
      </c>
      <c r="U3189" s="74">
        <v>1</v>
      </c>
      <c r="V3189" s="71" t="s">
        <v>391</v>
      </c>
      <c r="W3189" s="130">
        <v>46093.587534722225</v>
      </c>
      <c r="X3189" s="72">
        <v>46099.909722222219</v>
      </c>
      <c r="Y3189" s="72">
        <v>46102.84375</v>
      </c>
      <c r="Z3189" s="104" t="s">
        <v>402</v>
      </c>
      <c r="AA3189" s="104" t="s">
        <v>403</v>
      </c>
      <c r="AB3189" s="105">
        <v>46099.920138888891</v>
      </c>
      <c r="AC3189" s="105"/>
    </row>
    <row r="3190" s="70" customFormat="1" ht="11.25" customHeight="1">
      <c r="A3190" s="87"/>
      <c r="C3190" s="43" t="s">
        <v>5141</v>
      </c>
      <c r="D3190" s="71" t="s">
        <v>382</v>
      </c>
      <c r="E3190" s="71" t="str">
        <f>MID(D3190,1,2)</f>
        <v>IL</v>
      </c>
      <c r="F3190" s="71" t="s">
        <v>774</v>
      </c>
      <c r="G3190" s="71" t="str">
        <f>MID(F3190,1,2)</f>
        <v>CN</v>
      </c>
      <c r="H3190" s="43" t="s">
        <v>4950</v>
      </c>
      <c r="I3190" s="71" t="s">
        <v>5142</v>
      </c>
      <c r="J3190" s="71" t="s">
        <v>755</v>
      </c>
      <c r="K3190" s="43"/>
      <c r="L3190" s="71" t="s">
        <v>105</v>
      </c>
      <c r="M3190" s="73">
        <v>9</v>
      </c>
      <c r="N3190" s="71" t="s">
        <v>388</v>
      </c>
      <c r="O3190" s="73">
        <v>0.214</v>
      </c>
      <c r="P3190" s="71" t="s">
        <v>389</v>
      </c>
      <c r="Q3190" s="73">
        <v>36</v>
      </c>
      <c r="R3190" s="71" t="s">
        <v>388</v>
      </c>
      <c r="S3190" s="73">
        <v>0</v>
      </c>
      <c r="T3190" s="71" t="s">
        <v>390</v>
      </c>
      <c r="U3190" s="74">
        <v>1</v>
      </c>
      <c r="V3190" s="71" t="s">
        <v>391</v>
      </c>
      <c r="W3190" s="130">
        <v>46093.587534722225</v>
      </c>
      <c r="X3190" s="72">
        <v>46099.909722222219</v>
      </c>
      <c r="Y3190" s="72">
        <v>46102.84375</v>
      </c>
      <c r="Z3190" s="104" t="s">
        <v>403</v>
      </c>
      <c r="AA3190" s="104" t="s">
        <v>774</v>
      </c>
      <c r="AB3190" s="105">
        <v>46102.727083333331</v>
      </c>
      <c r="AC3190" s="105">
        <v>46102.822222222225</v>
      </c>
    </row>
    <row r="3191" s="70" customFormat="1" ht="11.25" customHeight="1">
      <c r="A3191" s="87"/>
      <c r="C3191" s="43" t="s">
        <v>5143</v>
      </c>
      <c r="D3191" s="71" t="s">
        <v>382</v>
      </c>
      <c r="E3191" s="71" t="str">
        <f>MID(D3191,1,2)</f>
        <v>IL</v>
      </c>
      <c r="F3191" s="71" t="s">
        <v>397</v>
      </c>
      <c r="G3191" s="71" t="str">
        <f>MID(F3191,1,2)</f>
        <v>IN</v>
      </c>
      <c r="H3191" s="43" t="s">
        <v>4168</v>
      </c>
      <c r="I3191" s="71" t="s">
        <v>5144</v>
      </c>
      <c r="J3191" s="71" t="s">
        <v>426</v>
      </c>
      <c r="K3191" s="43"/>
      <c r="L3191" s="71" t="s">
        <v>105</v>
      </c>
      <c r="M3191" s="73">
        <v>2</v>
      </c>
      <c r="N3191" s="71" t="s">
        <v>388</v>
      </c>
      <c r="O3191" s="73">
        <v>0.021</v>
      </c>
      <c r="P3191" s="71" t="s">
        <v>389</v>
      </c>
      <c r="Q3191" s="73">
        <v>3.5</v>
      </c>
      <c r="R3191" s="71" t="s">
        <v>388</v>
      </c>
      <c r="S3191" s="73">
        <v>0</v>
      </c>
      <c r="T3191" s="71" t="s">
        <v>390</v>
      </c>
      <c r="U3191" s="74">
        <v>1</v>
      </c>
      <c r="V3191" s="71" t="s">
        <v>391</v>
      </c>
      <c r="W3191" s="130">
        <v>46099.60260416667</v>
      </c>
      <c r="X3191" s="72">
        <v>46100.417361111111</v>
      </c>
      <c r="Y3191" s="72">
        <v>46110.892361111109</v>
      </c>
      <c r="Z3191" s="104" t="s">
        <v>382</v>
      </c>
      <c r="AA3191" s="104" t="s">
        <v>408</v>
      </c>
      <c r="AB3191" s="105">
        <v>46101.170138888891</v>
      </c>
      <c r="AC3191" s="105"/>
    </row>
    <row r="3192" s="70" customFormat="1" ht="11.25" customHeight="1">
      <c r="A3192" s="87"/>
      <c r="C3192" s="43" t="s">
        <v>5143</v>
      </c>
      <c r="D3192" s="71" t="s">
        <v>382</v>
      </c>
      <c r="E3192" s="71" t="str">
        <f>MID(D3192,1,2)</f>
        <v>IL</v>
      </c>
      <c r="F3192" s="71" t="s">
        <v>397</v>
      </c>
      <c r="G3192" s="71" t="str">
        <f>MID(F3192,1,2)</f>
        <v>IN</v>
      </c>
      <c r="H3192" s="43" t="s">
        <v>4168</v>
      </c>
      <c r="I3192" s="71" t="s">
        <v>5144</v>
      </c>
      <c r="J3192" s="71" t="s">
        <v>426</v>
      </c>
      <c r="K3192" s="43"/>
      <c r="L3192" s="71" t="s">
        <v>105</v>
      </c>
      <c r="M3192" s="73">
        <v>2</v>
      </c>
      <c r="N3192" s="71" t="s">
        <v>388</v>
      </c>
      <c r="O3192" s="73">
        <v>0.021</v>
      </c>
      <c r="P3192" s="71" t="s">
        <v>389</v>
      </c>
      <c r="Q3192" s="73">
        <v>3.5</v>
      </c>
      <c r="R3192" s="71" t="s">
        <v>388</v>
      </c>
      <c r="S3192" s="73">
        <v>0</v>
      </c>
      <c r="T3192" s="71" t="s">
        <v>390</v>
      </c>
      <c r="U3192" s="74">
        <v>1</v>
      </c>
      <c r="V3192" s="71" t="s">
        <v>391</v>
      </c>
      <c r="W3192" s="130">
        <v>46099.60260416667</v>
      </c>
      <c r="X3192" s="72">
        <v>46100.417361111111</v>
      </c>
      <c r="Y3192" s="72">
        <v>46110.892361111109</v>
      </c>
      <c r="Z3192" s="104" t="s">
        <v>408</v>
      </c>
      <c r="AA3192" s="104" t="s">
        <v>383</v>
      </c>
      <c r="AB3192" s="105"/>
      <c r="AC3192" s="105"/>
    </row>
    <row r="3193" s="70" customFormat="1" ht="11.25" customHeight="1">
      <c r="A3193" s="87"/>
      <c r="C3193" s="43" t="s">
        <v>5143</v>
      </c>
      <c r="D3193" s="71" t="s">
        <v>382</v>
      </c>
      <c r="E3193" s="71" t="str">
        <f>MID(D3193,1,2)</f>
        <v>IL</v>
      </c>
      <c r="F3193" s="71" t="s">
        <v>397</v>
      </c>
      <c r="G3193" s="71" t="str">
        <f>MID(F3193,1,2)</f>
        <v>IN</v>
      </c>
      <c r="H3193" s="43" t="s">
        <v>4168</v>
      </c>
      <c r="I3193" s="71" t="s">
        <v>5144</v>
      </c>
      <c r="J3193" s="71" t="s">
        <v>426</v>
      </c>
      <c r="K3193" s="43"/>
      <c r="L3193" s="71" t="s">
        <v>105</v>
      </c>
      <c r="M3193" s="73">
        <v>2</v>
      </c>
      <c r="N3193" s="71" t="s">
        <v>388</v>
      </c>
      <c r="O3193" s="73">
        <v>0.021</v>
      </c>
      <c r="P3193" s="71" t="s">
        <v>389</v>
      </c>
      <c r="Q3193" s="73">
        <v>3.5</v>
      </c>
      <c r="R3193" s="71" t="s">
        <v>388</v>
      </c>
      <c r="S3193" s="73">
        <v>0</v>
      </c>
      <c r="T3193" s="71" t="s">
        <v>390</v>
      </c>
      <c r="U3193" s="74">
        <v>1</v>
      </c>
      <c r="V3193" s="71" t="s">
        <v>391</v>
      </c>
      <c r="W3193" s="130">
        <v>46099.60260416667</v>
      </c>
      <c r="X3193" s="72">
        <v>46100.417361111111</v>
      </c>
      <c r="Y3193" s="72">
        <v>46110.892361111109</v>
      </c>
      <c r="Z3193" s="104" t="s">
        <v>383</v>
      </c>
      <c r="AA3193" s="104" t="s">
        <v>397</v>
      </c>
      <c r="AB3193" s="105"/>
      <c r="AC3193" s="105"/>
    </row>
    <row r="3194" s="70" customFormat="1" ht="11.25" customHeight="1">
      <c r="A3194" s="87"/>
      <c r="C3194" s="43" t="s">
        <v>5145</v>
      </c>
      <c r="D3194" s="71" t="s">
        <v>382</v>
      </c>
      <c r="E3194" s="71" t="str">
        <f>MID(D3194,1,2)</f>
        <v>IL</v>
      </c>
      <c r="F3194" s="71" t="s">
        <v>414</v>
      </c>
      <c r="G3194" s="71" t="str">
        <f>MID(F3194,1,2)</f>
        <v>US</v>
      </c>
      <c r="H3194" s="43" t="s">
        <v>3776</v>
      </c>
      <c r="I3194" s="71" t="s">
        <v>5146</v>
      </c>
      <c r="J3194" s="71" t="s">
        <v>386</v>
      </c>
      <c r="K3194" s="43"/>
      <c r="L3194" s="71" t="s">
        <v>107</v>
      </c>
      <c r="M3194" s="73">
        <v>56</v>
      </c>
      <c r="N3194" s="71" t="s">
        <v>388</v>
      </c>
      <c r="O3194" s="73">
        <v>1.103</v>
      </c>
      <c r="P3194" s="71" t="s">
        <v>389</v>
      </c>
      <c r="Q3194" s="73">
        <v>184</v>
      </c>
      <c r="R3194" s="71" t="s">
        <v>388</v>
      </c>
      <c r="S3194" s="73">
        <v>0</v>
      </c>
      <c r="T3194" s="71" t="s">
        <v>390</v>
      </c>
      <c r="U3194" s="74">
        <v>1</v>
      </c>
      <c r="V3194" s="71" t="s">
        <v>391</v>
      </c>
      <c r="W3194" s="130">
        <v>46093.87641203704</v>
      </c>
      <c r="X3194" s="72">
        <v>46099.854166666664</v>
      </c>
      <c r="Y3194" s="72">
        <v>46100.302083333336</v>
      </c>
      <c r="Z3194" s="104" t="s">
        <v>382</v>
      </c>
      <c r="AA3194" s="104" t="s">
        <v>414</v>
      </c>
      <c r="AB3194" s="105">
        <v>46100.102083333331</v>
      </c>
      <c r="AC3194" s="105">
        <v>46100.31527777778</v>
      </c>
    </row>
    <row r="3195" s="70" customFormat="1" ht="11.25" customHeight="1">
      <c r="A3195" s="87"/>
      <c r="C3195" s="43" t="s">
        <v>5147</v>
      </c>
      <c r="D3195" s="71" t="s">
        <v>382</v>
      </c>
      <c r="E3195" s="71" t="str">
        <f>MID(D3195,1,2)</f>
        <v>IL</v>
      </c>
      <c r="F3195" s="71" t="s">
        <v>414</v>
      </c>
      <c r="G3195" s="71" t="str">
        <f>MID(F3195,1,2)</f>
        <v>US</v>
      </c>
      <c r="H3195" s="43" t="s">
        <v>3776</v>
      </c>
      <c r="I3195" s="71" t="s">
        <v>5148</v>
      </c>
      <c r="J3195" s="71" t="s">
        <v>386</v>
      </c>
      <c r="K3195" s="43"/>
      <c r="L3195" s="71" t="s">
        <v>107</v>
      </c>
      <c r="M3195" s="73">
        <v>4</v>
      </c>
      <c r="N3195" s="71" t="s">
        <v>388</v>
      </c>
      <c r="O3195" s="73">
        <v>0.074</v>
      </c>
      <c r="P3195" s="71" t="s">
        <v>389</v>
      </c>
      <c r="Q3195" s="73">
        <v>12.5</v>
      </c>
      <c r="R3195" s="71" t="s">
        <v>388</v>
      </c>
      <c r="S3195" s="73">
        <v>0</v>
      </c>
      <c r="T3195" s="71" t="s">
        <v>390</v>
      </c>
      <c r="U3195" s="74">
        <v>1</v>
      </c>
      <c r="V3195" s="71" t="s">
        <v>427</v>
      </c>
      <c r="W3195" s="130">
        <v>46093.486111111109</v>
      </c>
      <c r="X3195" s="72">
        <v>46099.854166666664</v>
      </c>
      <c r="Y3195" s="72">
        <v>46100.302083333336</v>
      </c>
      <c r="Z3195" s="104" t="s">
        <v>382</v>
      </c>
      <c r="AA3195" s="104" t="s">
        <v>414</v>
      </c>
      <c r="AB3195" s="105">
        <v>46100.102083333331</v>
      </c>
      <c r="AC3195" s="105">
        <v>46100.31527777778</v>
      </c>
    </row>
    <row r="3196" s="70" customFormat="1" ht="11.25" customHeight="1">
      <c r="A3196" s="87"/>
      <c r="C3196" s="43" t="s">
        <v>5149</v>
      </c>
      <c r="D3196" s="71" t="s">
        <v>382</v>
      </c>
      <c r="E3196" s="71" t="str">
        <f>MID(D3196,1,2)</f>
        <v>IL</v>
      </c>
      <c r="F3196" s="71" t="s">
        <v>471</v>
      </c>
      <c r="G3196" s="71" t="str">
        <f>MID(F3196,1,2)</f>
        <v>US</v>
      </c>
      <c r="H3196" s="43" t="s">
        <v>5150</v>
      </c>
      <c r="I3196" s="71" t="s">
        <v>5151</v>
      </c>
      <c r="J3196" s="71" t="s">
        <v>400</v>
      </c>
      <c r="K3196" s="43"/>
      <c r="L3196" s="71" t="s">
        <v>105</v>
      </c>
      <c r="M3196" s="73">
        <v>4</v>
      </c>
      <c r="N3196" s="71" t="s">
        <v>388</v>
      </c>
      <c r="O3196" s="73">
        <v>0.045</v>
      </c>
      <c r="P3196" s="71" t="s">
        <v>389</v>
      </c>
      <c r="Q3196" s="73">
        <v>7.5</v>
      </c>
      <c r="R3196" s="71" t="s">
        <v>388</v>
      </c>
      <c r="S3196" s="73">
        <v>0</v>
      </c>
      <c r="T3196" s="71" t="s">
        <v>390</v>
      </c>
      <c r="U3196" s="74">
        <v>1</v>
      </c>
      <c r="V3196" s="71" t="s">
        <v>391</v>
      </c>
      <c r="W3196" s="130">
        <v>46093.403298611112</v>
      </c>
      <c r="X3196" s="72">
        <v>46093.482638888891</v>
      </c>
      <c r="Y3196" s="72">
        <v>46099.396527777775</v>
      </c>
      <c r="Z3196" s="104" t="s">
        <v>382</v>
      </c>
      <c r="AA3196" s="104" t="s">
        <v>471</v>
      </c>
      <c r="AB3196" s="105">
        <v>46098.510416666664</v>
      </c>
      <c r="AC3196" s="105">
        <v>46099.396527777775</v>
      </c>
    </row>
    <row r="3197" s="70" customFormat="1" ht="11.25" customHeight="1">
      <c r="A3197" s="87"/>
      <c r="C3197" s="43" t="s">
        <v>5152</v>
      </c>
      <c r="D3197" s="71" t="s">
        <v>382</v>
      </c>
      <c r="E3197" s="71" t="str">
        <f>MID(D3197,1,2)</f>
        <v>IL</v>
      </c>
      <c r="F3197" s="71" t="s">
        <v>443</v>
      </c>
      <c r="G3197" s="71" t="str">
        <f>MID(F3197,1,2)</f>
        <v>US</v>
      </c>
      <c r="H3197" s="43" t="s">
        <v>4945</v>
      </c>
      <c r="I3197" s="71" t="s">
        <v>5153</v>
      </c>
      <c r="J3197" s="71" t="s">
        <v>386</v>
      </c>
      <c r="K3197" s="43"/>
      <c r="L3197" s="71" t="s">
        <v>107</v>
      </c>
      <c r="M3197" s="73">
        <v>124</v>
      </c>
      <c r="N3197" s="71" t="s">
        <v>388</v>
      </c>
      <c r="O3197" s="73">
        <v>1.8</v>
      </c>
      <c r="P3197" s="71" t="s">
        <v>389</v>
      </c>
      <c r="Q3197" s="73">
        <v>300</v>
      </c>
      <c r="R3197" s="71" t="s">
        <v>388</v>
      </c>
      <c r="S3197" s="73">
        <v>0</v>
      </c>
      <c r="T3197" s="71" t="s">
        <v>390</v>
      </c>
      <c r="U3197" s="74">
        <v>2</v>
      </c>
      <c r="V3197" s="71" t="s">
        <v>536</v>
      </c>
      <c r="W3197" s="130">
        <v>46093.952777777777</v>
      </c>
      <c r="X3197" s="72">
        <v>46097.37777777778</v>
      </c>
      <c r="Y3197" s="72">
        <v>46102.441666666666</v>
      </c>
      <c r="Z3197" s="104" t="s">
        <v>382</v>
      </c>
      <c r="AA3197" s="104" t="s">
        <v>471</v>
      </c>
      <c r="AB3197" s="105">
        <v>46098.510416666664</v>
      </c>
      <c r="AC3197" s="105"/>
    </row>
    <row r="3198" s="70" customFormat="1" ht="11.25" customHeight="1">
      <c r="A3198" s="87"/>
      <c r="C3198" s="43" t="s">
        <v>5152</v>
      </c>
      <c r="D3198" s="71" t="s">
        <v>382</v>
      </c>
      <c r="E3198" s="71" t="str">
        <f>MID(D3198,1,2)</f>
        <v>IL</v>
      </c>
      <c r="F3198" s="71" t="s">
        <v>443</v>
      </c>
      <c r="G3198" s="71" t="str">
        <f>MID(F3198,1,2)</f>
        <v>US</v>
      </c>
      <c r="H3198" s="43" t="s">
        <v>4945</v>
      </c>
      <c r="I3198" s="71" t="s">
        <v>5153</v>
      </c>
      <c r="J3198" s="71" t="s">
        <v>386</v>
      </c>
      <c r="K3198" s="43"/>
      <c r="L3198" s="71" t="s">
        <v>107</v>
      </c>
      <c r="M3198" s="73">
        <v>124</v>
      </c>
      <c r="N3198" s="71" t="s">
        <v>388</v>
      </c>
      <c r="O3198" s="73">
        <v>1.8</v>
      </c>
      <c r="P3198" s="71" t="s">
        <v>389</v>
      </c>
      <c r="Q3198" s="73">
        <v>300</v>
      </c>
      <c r="R3198" s="71" t="s">
        <v>388</v>
      </c>
      <c r="S3198" s="73">
        <v>0</v>
      </c>
      <c r="T3198" s="71" t="s">
        <v>390</v>
      </c>
      <c r="U3198" s="74">
        <v>2</v>
      </c>
      <c r="V3198" s="71" t="s">
        <v>536</v>
      </c>
      <c r="W3198" s="130">
        <v>46093.952777777777</v>
      </c>
      <c r="X3198" s="72">
        <v>46097.37777777778</v>
      </c>
      <c r="Y3198" s="72">
        <v>46102.441666666666</v>
      </c>
      <c r="Z3198" s="104" t="s">
        <v>471</v>
      </c>
      <c r="AA3198" s="104" t="s">
        <v>443</v>
      </c>
      <c r="AB3198" s="105">
        <v>46102.320138888892</v>
      </c>
      <c r="AC3198" s="105">
        <v>46102.411111111112</v>
      </c>
    </row>
    <row r="3199" s="70" customFormat="1" ht="11.25" customHeight="1">
      <c r="A3199" s="87"/>
      <c r="C3199" s="43" t="s">
        <v>5154</v>
      </c>
      <c r="D3199" s="71" t="s">
        <v>382</v>
      </c>
      <c r="E3199" s="71" t="str">
        <f>MID(D3199,1,2)</f>
        <v>IL</v>
      </c>
      <c r="F3199" s="71" t="s">
        <v>443</v>
      </c>
      <c r="G3199" s="71" t="str">
        <f>MID(F3199,1,2)</f>
        <v>US</v>
      </c>
      <c r="H3199" s="43" t="s">
        <v>4945</v>
      </c>
      <c r="I3199" s="71" t="s">
        <v>5155</v>
      </c>
      <c r="J3199" s="71" t="s">
        <v>386</v>
      </c>
      <c r="K3199" s="43"/>
      <c r="L3199" s="71" t="s">
        <v>107</v>
      </c>
      <c r="M3199" s="73">
        <v>54</v>
      </c>
      <c r="N3199" s="71" t="s">
        <v>388</v>
      </c>
      <c r="O3199" s="73">
        <v>0.9</v>
      </c>
      <c r="P3199" s="71" t="s">
        <v>389</v>
      </c>
      <c r="Q3199" s="73">
        <v>150</v>
      </c>
      <c r="R3199" s="71" t="s">
        <v>388</v>
      </c>
      <c r="S3199" s="73">
        <v>0</v>
      </c>
      <c r="T3199" s="71" t="s">
        <v>390</v>
      </c>
      <c r="U3199" s="74">
        <v>1</v>
      </c>
      <c r="V3199" s="71" t="s">
        <v>536</v>
      </c>
      <c r="W3199" s="130">
        <v>46093.5</v>
      </c>
      <c r="X3199" s="72">
        <v>46097.37777777778</v>
      </c>
      <c r="Y3199" s="72">
        <v>46102.441666666666</v>
      </c>
      <c r="Z3199" s="104" t="s">
        <v>382</v>
      </c>
      <c r="AA3199" s="104" t="s">
        <v>471</v>
      </c>
      <c r="AB3199" s="105">
        <v>46098.510416666664</v>
      </c>
      <c r="AC3199" s="105"/>
    </row>
    <row r="3200" s="70" customFormat="1" ht="11.25" customHeight="1">
      <c r="A3200" s="87"/>
      <c r="C3200" s="43" t="s">
        <v>5154</v>
      </c>
      <c r="D3200" s="71" t="s">
        <v>382</v>
      </c>
      <c r="E3200" s="71" t="str">
        <f>MID(D3200,1,2)</f>
        <v>IL</v>
      </c>
      <c r="F3200" s="71" t="s">
        <v>443</v>
      </c>
      <c r="G3200" s="71" t="str">
        <f>MID(F3200,1,2)</f>
        <v>US</v>
      </c>
      <c r="H3200" s="43" t="s">
        <v>4945</v>
      </c>
      <c r="I3200" s="71" t="s">
        <v>5155</v>
      </c>
      <c r="J3200" s="71" t="s">
        <v>386</v>
      </c>
      <c r="K3200" s="43"/>
      <c r="L3200" s="71" t="s">
        <v>107</v>
      </c>
      <c r="M3200" s="73">
        <v>54</v>
      </c>
      <c r="N3200" s="71" t="s">
        <v>388</v>
      </c>
      <c r="O3200" s="73">
        <v>0.9</v>
      </c>
      <c r="P3200" s="71" t="s">
        <v>389</v>
      </c>
      <c r="Q3200" s="73">
        <v>150</v>
      </c>
      <c r="R3200" s="71" t="s">
        <v>388</v>
      </c>
      <c r="S3200" s="73">
        <v>0</v>
      </c>
      <c r="T3200" s="71" t="s">
        <v>390</v>
      </c>
      <c r="U3200" s="74">
        <v>1</v>
      </c>
      <c r="V3200" s="71" t="s">
        <v>536</v>
      </c>
      <c r="W3200" s="130">
        <v>46093.5</v>
      </c>
      <c r="X3200" s="72">
        <v>46097.37777777778</v>
      </c>
      <c r="Y3200" s="72">
        <v>46102.441666666666</v>
      </c>
      <c r="Z3200" s="104" t="s">
        <v>471</v>
      </c>
      <c r="AA3200" s="104" t="s">
        <v>443</v>
      </c>
      <c r="AB3200" s="105">
        <v>46102.320138888892</v>
      </c>
      <c r="AC3200" s="105">
        <v>46102.411111111112</v>
      </c>
    </row>
    <row r="3201" s="70" customFormat="1" ht="11.25" customHeight="1">
      <c r="A3201" s="87"/>
      <c r="C3201" s="43" t="s">
        <v>5156</v>
      </c>
      <c r="D3201" s="71" t="s">
        <v>382</v>
      </c>
      <c r="E3201" s="71" t="str">
        <f>MID(D3201,1,2)</f>
        <v>IL</v>
      </c>
      <c r="F3201" s="71" t="s">
        <v>414</v>
      </c>
      <c r="G3201" s="71" t="str">
        <f>MID(F3201,1,2)</f>
        <v>US</v>
      </c>
      <c r="H3201" s="43" t="s">
        <v>3776</v>
      </c>
      <c r="I3201" s="71" t="s">
        <v>5157</v>
      </c>
      <c r="J3201" s="71" t="s">
        <v>426</v>
      </c>
      <c r="K3201" s="43"/>
      <c r="L3201" s="71" t="s">
        <v>105</v>
      </c>
      <c r="M3201" s="73">
        <v>8</v>
      </c>
      <c r="N3201" s="71" t="s">
        <v>388</v>
      </c>
      <c r="O3201" s="73">
        <v>0.041</v>
      </c>
      <c r="P3201" s="71" t="s">
        <v>389</v>
      </c>
      <c r="Q3201" s="73">
        <v>8</v>
      </c>
      <c r="R3201" s="71" t="s">
        <v>388</v>
      </c>
      <c r="S3201" s="73">
        <v>0</v>
      </c>
      <c r="T3201" s="71" t="s">
        <v>390</v>
      </c>
      <c r="U3201" s="74">
        <v>1</v>
      </c>
      <c r="V3201" s="71" t="s">
        <v>391</v>
      </c>
      <c r="W3201" s="130">
        <v>46093.615208333336</v>
      </c>
      <c r="X3201" s="72">
        <v>46099.635416666664</v>
      </c>
      <c r="Y3201" s="72">
        <v>46102.708333333336</v>
      </c>
      <c r="Z3201" s="104" t="s">
        <v>382</v>
      </c>
      <c r="AA3201" s="104" t="s">
        <v>414</v>
      </c>
      <c r="AB3201" s="105">
        <v>46100.102083333331</v>
      </c>
      <c r="AC3201" s="105">
        <v>46100.31527777778</v>
      </c>
    </row>
    <row r="3202" s="70" customFormat="1" ht="11.25" customHeight="1">
      <c r="A3202" s="87"/>
      <c r="C3202" s="43" t="s">
        <v>5158</v>
      </c>
      <c r="D3202" s="71" t="s">
        <v>382</v>
      </c>
      <c r="E3202" s="71" t="str">
        <f>MID(D3202,1,2)</f>
        <v>IL</v>
      </c>
      <c r="F3202" s="71" t="s">
        <v>443</v>
      </c>
      <c r="G3202" s="71" t="str">
        <f>MID(F3202,1,2)</f>
        <v>US</v>
      </c>
      <c r="H3202" s="43" t="s">
        <v>4945</v>
      </c>
      <c r="I3202" s="71" t="s">
        <v>5159</v>
      </c>
      <c r="J3202" s="71" t="s">
        <v>386</v>
      </c>
      <c r="K3202" s="43"/>
      <c r="L3202" s="71" t="s">
        <v>107</v>
      </c>
      <c r="M3202" s="73">
        <v>57</v>
      </c>
      <c r="N3202" s="71" t="s">
        <v>388</v>
      </c>
      <c r="O3202" s="73">
        <v>0.9</v>
      </c>
      <c r="P3202" s="71" t="s">
        <v>389</v>
      </c>
      <c r="Q3202" s="73">
        <v>150</v>
      </c>
      <c r="R3202" s="71" t="s">
        <v>388</v>
      </c>
      <c r="S3202" s="73">
        <v>0</v>
      </c>
      <c r="T3202" s="71" t="s">
        <v>390</v>
      </c>
      <c r="U3202" s="74">
        <v>1</v>
      </c>
      <c r="V3202" s="71" t="s">
        <v>536</v>
      </c>
      <c r="W3202" s="130">
        <v>46093.958333333336</v>
      </c>
      <c r="X3202" s="72">
        <v>46097.37777777778</v>
      </c>
      <c r="Y3202" s="72">
        <v>46102.441666666666</v>
      </c>
      <c r="Z3202" s="104" t="s">
        <v>382</v>
      </c>
      <c r="AA3202" s="104" t="s">
        <v>471</v>
      </c>
      <c r="AB3202" s="105">
        <v>46098.510416666664</v>
      </c>
      <c r="AC3202" s="105"/>
    </row>
    <row r="3203" s="70" customFormat="1" ht="11.25" customHeight="1">
      <c r="A3203" s="87"/>
      <c r="C3203" s="43" t="s">
        <v>5158</v>
      </c>
      <c r="D3203" s="71" t="s">
        <v>382</v>
      </c>
      <c r="E3203" s="71" t="str">
        <f>MID(D3203,1,2)</f>
        <v>IL</v>
      </c>
      <c r="F3203" s="71" t="s">
        <v>443</v>
      </c>
      <c r="G3203" s="71" t="str">
        <f>MID(F3203,1,2)</f>
        <v>US</v>
      </c>
      <c r="H3203" s="43" t="s">
        <v>4945</v>
      </c>
      <c r="I3203" s="71" t="s">
        <v>5159</v>
      </c>
      <c r="J3203" s="71" t="s">
        <v>386</v>
      </c>
      <c r="K3203" s="43"/>
      <c r="L3203" s="71" t="s">
        <v>107</v>
      </c>
      <c r="M3203" s="73">
        <v>57</v>
      </c>
      <c r="N3203" s="71" t="s">
        <v>388</v>
      </c>
      <c r="O3203" s="73">
        <v>0.9</v>
      </c>
      <c r="P3203" s="71" t="s">
        <v>389</v>
      </c>
      <c r="Q3203" s="73">
        <v>150</v>
      </c>
      <c r="R3203" s="71" t="s">
        <v>388</v>
      </c>
      <c r="S3203" s="73">
        <v>0</v>
      </c>
      <c r="T3203" s="71" t="s">
        <v>390</v>
      </c>
      <c r="U3203" s="74">
        <v>1</v>
      </c>
      <c r="V3203" s="71" t="s">
        <v>536</v>
      </c>
      <c r="W3203" s="130">
        <v>46093.958333333336</v>
      </c>
      <c r="X3203" s="72">
        <v>46097.37777777778</v>
      </c>
      <c r="Y3203" s="72">
        <v>46102.441666666666</v>
      </c>
      <c r="Z3203" s="104" t="s">
        <v>471</v>
      </c>
      <c r="AA3203" s="104" t="s">
        <v>443</v>
      </c>
      <c r="AB3203" s="105">
        <v>46102.320138888892</v>
      </c>
      <c r="AC3203" s="105">
        <v>46102.411111111112</v>
      </c>
    </row>
    <row r="3204" s="70" customFormat="1" ht="11.25" customHeight="1">
      <c r="A3204" s="87"/>
      <c r="C3204" s="43" t="s">
        <v>5160</v>
      </c>
      <c r="D3204" s="71" t="s">
        <v>382</v>
      </c>
      <c r="E3204" s="71" t="str">
        <f>MID(D3204,1,2)</f>
        <v>IL</v>
      </c>
      <c r="F3204" s="71" t="s">
        <v>443</v>
      </c>
      <c r="G3204" s="71" t="str">
        <f>MID(F3204,1,2)</f>
        <v>US</v>
      </c>
      <c r="H3204" s="43" t="s">
        <v>4945</v>
      </c>
      <c r="I3204" s="71" t="s">
        <v>5161</v>
      </c>
      <c r="J3204" s="71" t="s">
        <v>386</v>
      </c>
      <c r="K3204" s="43"/>
      <c r="L3204" s="71" t="s">
        <v>107</v>
      </c>
      <c r="M3204" s="73">
        <v>68</v>
      </c>
      <c r="N3204" s="71" t="s">
        <v>388</v>
      </c>
      <c r="O3204" s="73">
        <v>0.9</v>
      </c>
      <c r="P3204" s="71" t="s">
        <v>389</v>
      </c>
      <c r="Q3204" s="73">
        <v>150</v>
      </c>
      <c r="R3204" s="71" t="s">
        <v>388</v>
      </c>
      <c r="S3204" s="73">
        <v>0</v>
      </c>
      <c r="T3204" s="71" t="s">
        <v>390</v>
      </c>
      <c r="U3204" s="74">
        <v>1</v>
      </c>
      <c r="V3204" s="71" t="s">
        <v>536</v>
      </c>
      <c r="W3204" s="130">
        <v>46093.507638888892</v>
      </c>
      <c r="X3204" s="72">
        <v>46097.37777777778</v>
      </c>
      <c r="Y3204" s="72">
        <v>46102.441666666666</v>
      </c>
      <c r="Z3204" s="104" t="s">
        <v>382</v>
      </c>
      <c r="AA3204" s="104" t="s">
        <v>471</v>
      </c>
      <c r="AB3204" s="105">
        <v>46098.510416666664</v>
      </c>
      <c r="AC3204" s="105"/>
    </row>
    <row r="3205" s="70" customFormat="1" ht="11.25" customHeight="1">
      <c r="A3205" s="87"/>
      <c r="C3205" s="43" t="s">
        <v>5160</v>
      </c>
      <c r="D3205" s="71" t="s">
        <v>382</v>
      </c>
      <c r="E3205" s="71" t="str">
        <f>MID(D3205,1,2)</f>
        <v>IL</v>
      </c>
      <c r="F3205" s="71" t="s">
        <v>443</v>
      </c>
      <c r="G3205" s="71" t="str">
        <f>MID(F3205,1,2)</f>
        <v>US</v>
      </c>
      <c r="H3205" s="43" t="s">
        <v>4945</v>
      </c>
      <c r="I3205" s="71" t="s">
        <v>5161</v>
      </c>
      <c r="J3205" s="71" t="s">
        <v>386</v>
      </c>
      <c r="K3205" s="43"/>
      <c r="L3205" s="71" t="s">
        <v>107</v>
      </c>
      <c r="M3205" s="73">
        <v>68</v>
      </c>
      <c r="N3205" s="71" t="s">
        <v>388</v>
      </c>
      <c r="O3205" s="73">
        <v>0.9</v>
      </c>
      <c r="P3205" s="71" t="s">
        <v>389</v>
      </c>
      <c r="Q3205" s="73">
        <v>150</v>
      </c>
      <c r="R3205" s="71" t="s">
        <v>388</v>
      </c>
      <c r="S3205" s="73">
        <v>0</v>
      </c>
      <c r="T3205" s="71" t="s">
        <v>390</v>
      </c>
      <c r="U3205" s="74">
        <v>1</v>
      </c>
      <c r="V3205" s="71" t="s">
        <v>536</v>
      </c>
      <c r="W3205" s="130">
        <v>46093.507638888892</v>
      </c>
      <c r="X3205" s="72">
        <v>46097.37777777778</v>
      </c>
      <c r="Y3205" s="72">
        <v>46102.441666666666</v>
      </c>
      <c r="Z3205" s="104" t="s">
        <v>471</v>
      </c>
      <c r="AA3205" s="104" t="s">
        <v>443</v>
      </c>
      <c r="AB3205" s="105">
        <v>46102.320138888892</v>
      </c>
      <c r="AC3205" s="105">
        <v>46102.411111111112</v>
      </c>
    </row>
    <row r="3206" s="70" customFormat="1" ht="11.25" customHeight="1">
      <c r="A3206" s="87"/>
      <c r="C3206" s="43" t="s">
        <v>5162</v>
      </c>
      <c r="D3206" s="71" t="s">
        <v>382</v>
      </c>
      <c r="E3206" s="71" t="str">
        <f>MID(D3206,1,2)</f>
        <v>IL</v>
      </c>
      <c r="F3206" s="71" t="s">
        <v>408</v>
      </c>
      <c r="G3206" s="71" t="str">
        <f>MID(F3206,1,2)</f>
        <v>GR</v>
      </c>
      <c r="H3206" s="43" t="s">
        <v>5163</v>
      </c>
      <c r="I3206" s="71" t="s">
        <v>5164</v>
      </c>
      <c r="J3206" s="71" t="s">
        <v>400</v>
      </c>
      <c r="K3206" s="43"/>
      <c r="L3206" s="71" t="s">
        <v>105</v>
      </c>
      <c r="M3206" s="73">
        <v>16</v>
      </c>
      <c r="N3206" s="71" t="s">
        <v>388</v>
      </c>
      <c r="O3206" s="73">
        <v>0.082</v>
      </c>
      <c r="P3206" s="71" t="s">
        <v>389</v>
      </c>
      <c r="Q3206" s="73">
        <v>16</v>
      </c>
      <c r="R3206" s="71" t="s">
        <v>388</v>
      </c>
      <c r="S3206" s="73">
        <v>0</v>
      </c>
      <c r="T3206" s="71" t="s">
        <v>390</v>
      </c>
      <c r="U3206" s="74">
        <v>1</v>
      </c>
      <c r="V3206" s="71" t="s">
        <v>391</v>
      </c>
      <c r="W3206" s="130">
        <v>46093.521527777775</v>
      </c>
      <c r="X3206" s="72">
        <v>46099</v>
      </c>
      <c r="Y3206" s="72">
        <v>46101.260416666664</v>
      </c>
      <c r="Z3206" s="104" t="s">
        <v>382</v>
      </c>
      <c r="AA3206" s="104" t="s">
        <v>408</v>
      </c>
      <c r="AB3206" s="105">
        <v>46100.151388888888</v>
      </c>
      <c r="AC3206" s="105">
        <v>46100.239583333336</v>
      </c>
    </row>
    <row r="3207" s="70" customFormat="1" ht="11.25" customHeight="1">
      <c r="A3207" s="87"/>
      <c r="C3207" s="43" t="s">
        <v>5165</v>
      </c>
      <c r="D3207" s="71" t="s">
        <v>382</v>
      </c>
      <c r="E3207" s="71" t="str">
        <f>MID(D3207,1,2)</f>
        <v>IL</v>
      </c>
      <c r="F3207" s="71" t="s">
        <v>774</v>
      </c>
      <c r="G3207" s="71" t="str">
        <f>MID(F3207,1,2)</f>
        <v>CN</v>
      </c>
      <c r="H3207" s="43" t="s">
        <v>5166</v>
      </c>
      <c r="I3207" s="71" t="s">
        <v>5167</v>
      </c>
      <c r="J3207" s="71" t="s">
        <v>454</v>
      </c>
      <c r="K3207" s="43"/>
      <c r="L3207" s="71" t="s">
        <v>107</v>
      </c>
      <c r="M3207" s="73">
        <v>406</v>
      </c>
      <c r="N3207" s="71" t="s">
        <v>388</v>
      </c>
      <c r="O3207" s="73">
        <v>4.959</v>
      </c>
      <c r="P3207" s="71" t="s">
        <v>389</v>
      </c>
      <c r="Q3207" s="73">
        <v>826.5</v>
      </c>
      <c r="R3207" s="71" t="s">
        <v>388</v>
      </c>
      <c r="S3207" s="73">
        <v>0</v>
      </c>
      <c r="T3207" s="71" t="s">
        <v>390</v>
      </c>
      <c r="U3207" s="74">
        <v>4</v>
      </c>
      <c r="V3207" s="71" t="s">
        <v>391</v>
      </c>
      <c r="W3207" s="130">
        <v>46097.588113425925</v>
      </c>
      <c r="X3207" s="72">
        <v>46098.75</v>
      </c>
      <c r="Y3207" s="72">
        <v>46102.75</v>
      </c>
      <c r="Z3207" s="104" t="s">
        <v>382</v>
      </c>
      <c r="AA3207" s="104" t="s">
        <v>402</v>
      </c>
      <c r="AB3207" s="105">
        <v>46099.763194444444</v>
      </c>
      <c r="AC3207" s="105"/>
    </row>
    <row r="3208" s="70" customFormat="1" ht="11.25" customHeight="1">
      <c r="A3208" s="87"/>
      <c r="C3208" s="43" t="s">
        <v>5165</v>
      </c>
      <c r="D3208" s="71" t="s">
        <v>382</v>
      </c>
      <c r="E3208" s="71" t="str">
        <f>MID(D3208,1,2)</f>
        <v>IL</v>
      </c>
      <c r="F3208" s="71" t="s">
        <v>774</v>
      </c>
      <c r="G3208" s="71" t="str">
        <f>MID(F3208,1,2)</f>
        <v>CN</v>
      </c>
      <c r="H3208" s="43" t="s">
        <v>5166</v>
      </c>
      <c r="I3208" s="71" t="s">
        <v>5167</v>
      </c>
      <c r="J3208" s="71" t="s">
        <v>454</v>
      </c>
      <c r="K3208" s="43"/>
      <c r="L3208" s="71" t="s">
        <v>107</v>
      </c>
      <c r="M3208" s="73">
        <v>406</v>
      </c>
      <c r="N3208" s="71" t="s">
        <v>388</v>
      </c>
      <c r="O3208" s="73">
        <v>4.959</v>
      </c>
      <c r="P3208" s="71" t="s">
        <v>389</v>
      </c>
      <c r="Q3208" s="73">
        <v>826.5</v>
      </c>
      <c r="R3208" s="71" t="s">
        <v>388</v>
      </c>
      <c r="S3208" s="73">
        <v>0</v>
      </c>
      <c r="T3208" s="71" t="s">
        <v>390</v>
      </c>
      <c r="U3208" s="74">
        <v>4</v>
      </c>
      <c r="V3208" s="71" t="s">
        <v>391</v>
      </c>
      <c r="W3208" s="130">
        <v>46097.588113425925</v>
      </c>
      <c r="X3208" s="72">
        <v>46098.75</v>
      </c>
      <c r="Y3208" s="72">
        <v>46102.75</v>
      </c>
      <c r="Z3208" s="104" t="s">
        <v>402</v>
      </c>
      <c r="AA3208" s="104" t="s">
        <v>403</v>
      </c>
      <c r="AB3208" s="105">
        <v>46099.929861111108</v>
      </c>
      <c r="AC3208" s="105"/>
    </row>
    <row r="3209" s="70" customFormat="1" ht="11.25" customHeight="1">
      <c r="A3209" s="87"/>
      <c r="C3209" s="43" t="s">
        <v>5165</v>
      </c>
      <c r="D3209" s="71" t="s">
        <v>382</v>
      </c>
      <c r="E3209" s="71" t="str">
        <f>MID(D3209,1,2)</f>
        <v>IL</v>
      </c>
      <c r="F3209" s="71" t="s">
        <v>774</v>
      </c>
      <c r="G3209" s="71" t="str">
        <f>MID(F3209,1,2)</f>
        <v>CN</v>
      </c>
      <c r="H3209" s="43" t="s">
        <v>5166</v>
      </c>
      <c r="I3209" s="71" t="s">
        <v>5167</v>
      </c>
      <c r="J3209" s="71" t="s">
        <v>454</v>
      </c>
      <c r="K3209" s="43"/>
      <c r="L3209" s="71" t="s">
        <v>107</v>
      </c>
      <c r="M3209" s="73">
        <v>406</v>
      </c>
      <c r="N3209" s="71" t="s">
        <v>388</v>
      </c>
      <c r="O3209" s="73">
        <v>4.959</v>
      </c>
      <c r="P3209" s="71" t="s">
        <v>389</v>
      </c>
      <c r="Q3209" s="73">
        <v>826.5</v>
      </c>
      <c r="R3209" s="71" t="s">
        <v>388</v>
      </c>
      <c r="S3209" s="73">
        <v>0</v>
      </c>
      <c r="T3209" s="71" t="s">
        <v>390</v>
      </c>
      <c r="U3209" s="74">
        <v>4</v>
      </c>
      <c r="V3209" s="71" t="s">
        <v>391</v>
      </c>
      <c r="W3209" s="130">
        <v>46097.588113425925</v>
      </c>
      <c r="X3209" s="72">
        <v>46098.75</v>
      </c>
      <c r="Y3209" s="72">
        <v>46102.75</v>
      </c>
      <c r="Z3209" s="104" t="s">
        <v>403</v>
      </c>
      <c r="AA3209" s="104" t="s">
        <v>774</v>
      </c>
      <c r="AB3209" s="105">
        <v>46102.634722222225</v>
      </c>
      <c r="AC3209" s="105">
        <v>46102.73333333333</v>
      </c>
    </row>
    <row r="3210" s="70" customFormat="1" ht="11.25" customHeight="1">
      <c r="A3210" s="87"/>
      <c r="C3210" s="43" t="s">
        <v>5168</v>
      </c>
      <c r="D3210" s="71" t="s">
        <v>382</v>
      </c>
      <c r="E3210" s="71" t="str">
        <f>MID(D3210,1,2)</f>
        <v>IL</v>
      </c>
      <c r="F3210" s="71" t="s">
        <v>414</v>
      </c>
      <c r="G3210" s="71" t="str">
        <f>MID(F3210,1,2)</f>
        <v>US</v>
      </c>
      <c r="H3210" s="43" t="s">
        <v>5126</v>
      </c>
      <c r="I3210" s="71" t="s">
        <v>5169</v>
      </c>
      <c r="J3210" s="71" t="s">
        <v>454</v>
      </c>
      <c r="K3210" s="43"/>
      <c r="L3210" s="71" t="s">
        <v>107</v>
      </c>
      <c r="M3210" s="73">
        <v>58</v>
      </c>
      <c r="N3210" s="71" t="s">
        <v>388</v>
      </c>
      <c r="O3210" s="73">
        <v>1.103</v>
      </c>
      <c r="P3210" s="71" t="s">
        <v>389</v>
      </c>
      <c r="Q3210" s="73">
        <v>184</v>
      </c>
      <c r="R3210" s="71" t="s">
        <v>388</v>
      </c>
      <c r="S3210" s="73">
        <v>0</v>
      </c>
      <c r="T3210" s="71" t="s">
        <v>390</v>
      </c>
      <c r="U3210" s="74">
        <v>1</v>
      </c>
      <c r="V3210" s="71" t="s">
        <v>391</v>
      </c>
      <c r="W3210" s="130">
        <v>46096.326388888891</v>
      </c>
      <c r="X3210" s="72">
        <v>46099.854166666664</v>
      </c>
      <c r="Y3210" s="72">
        <v>46101.510416666664</v>
      </c>
      <c r="Z3210" s="104" t="s">
        <v>382</v>
      </c>
      <c r="AA3210" s="104" t="s">
        <v>414</v>
      </c>
      <c r="AB3210" s="105">
        <v>46101.299305555556</v>
      </c>
      <c r="AC3210" s="105">
        <v>46101.519444444442</v>
      </c>
    </row>
    <row r="3211" s="70" customFormat="1" ht="11.25" customHeight="1">
      <c r="A3211" s="87"/>
      <c r="C3211" s="43" t="s">
        <v>5170</v>
      </c>
      <c r="D3211" s="71" t="s">
        <v>382</v>
      </c>
      <c r="E3211" s="71" t="str">
        <f>MID(D3211,1,2)</f>
        <v>IL</v>
      </c>
      <c r="F3211" s="71" t="s">
        <v>4692</v>
      </c>
      <c r="G3211" s="71" t="str">
        <f>MID(F3211,1,2)</f>
        <v>DE</v>
      </c>
      <c r="H3211" s="43" t="s">
        <v>5171</v>
      </c>
      <c r="I3211" s="71"/>
      <c r="J3211" s="71" t="s">
        <v>435</v>
      </c>
      <c r="K3211" s="43"/>
      <c r="L3211" s="71" t="s">
        <v>105</v>
      </c>
      <c r="M3211" s="73">
        <v>137</v>
      </c>
      <c r="N3211" s="71" t="s">
        <v>388</v>
      </c>
      <c r="O3211" s="73">
        <v>1.461</v>
      </c>
      <c r="P3211" s="71" t="s">
        <v>389</v>
      </c>
      <c r="Q3211" s="73">
        <v>243.5</v>
      </c>
      <c r="R3211" s="71" t="s">
        <v>388</v>
      </c>
      <c r="S3211" s="73">
        <v>0</v>
      </c>
      <c r="T3211" s="71" t="s">
        <v>390</v>
      </c>
      <c r="U3211" s="74">
        <v>2</v>
      </c>
      <c r="V3211" s="71" t="s">
        <v>391</v>
      </c>
      <c r="W3211" s="130">
        <v>46093.555555555555</v>
      </c>
      <c r="X3211" s="72">
        <v>46097.402083333334</v>
      </c>
      <c r="Y3211" s="72">
        <v>46097.583333333336</v>
      </c>
      <c r="Z3211" s="104" t="s">
        <v>382</v>
      </c>
      <c r="AA3211" s="104" t="s">
        <v>4692</v>
      </c>
      <c r="AB3211" s="105">
        <v>46095.946527777778</v>
      </c>
      <c r="AC3211" s="105">
        <v>46096.071527777778</v>
      </c>
    </row>
    <row r="3212" s="70" customFormat="1" ht="11.25" customHeight="1">
      <c r="A3212" s="87"/>
      <c r="C3212" s="43" t="s">
        <v>5172</v>
      </c>
      <c r="D3212" s="71" t="s">
        <v>382</v>
      </c>
      <c r="E3212" s="71" t="str">
        <f>MID(D3212,1,2)</f>
        <v>IL</v>
      </c>
      <c r="F3212" s="71" t="s">
        <v>414</v>
      </c>
      <c r="G3212" s="71" t="str">
        <f>MID(F3212,1,2)</f>
        <v>US</v>
      </c>
      <c r="H3212" s="43" t="s">
        <v>3776</v>
      </c>
      <c r="I3212" s="71" t="s">
        <v>5173</v>
      </c>
      <c r="J3212" s="71" t="s">
        <v>386</v>
      </c>
      <c r="K3212" s="43"/>
      <c r="L3212" s="71" t="s">
        <v>107</v>
      </c>
      <c r="M3212" s="73">
        <v>30</v>
      </c>
      <c r="N3212" s="71" t="s">
        <v>388</v>
      </c>
      <c r="O3212" s="73">
        <v>0.704</v>
      </c>
      <c r="P3212" s="71" t="s">
        <v>389</v>
      </c>
      <c r="Q3212" s="73">
        <v>117.5</v>
      </c>
      <c r="R3212" s="71" t="s">
        <v>388</v>
      </c>
      <c r="S3212" s="73">
        <v>0</v>
      </c>
      <c r="T3212" s="71" t="s">
        <v>390</v>
      </c>
      <c r="U3212" s="74">
        <v>1</v>
      </c>
      <c r="V3212" s="71" t="s">
        <v>391</v>
      </c>
      <c r="W3212" s="130">
        <v>46093.5625</v>
      </c>
      <c r="X3212" s="72">
        <v>46099.854166666664</v>
      </c>
      <c r="Y3212" s="72">
        <v>46100.302083333336</v>
      </c>
      <c r="Z3212" s="104" t="s">
        <v>382</v>
      </c>
      <c r="AA3212" s="104" t="s">
        <v>414</v>
      </c>
      <c r="AB3212" s="105">
        <v>46100.102083333331</v>
      </c>
      <c r="AC3212" s="105">
        <v>46100.31527777778</v>
      </c>
    </row>
    <row r="3213" s="70" customFormat="1" ht="11.25" customHeight="1">
      <c r="A3213" s="87"/>
      <c r="C3213" s="43" t="s">
        <v>5174</v>
      </c>
      <c r="D3213" s="71" t="s">
        <v>382</v>
      </c>
      <c r="E3213" s="71" t="str">
        <f>MID(D3213,1,2)</f>
        <v>IL</v>
      </c>
      <c r="F3213" s="71" t="s">
        <v>476</v>
      </c>
      <c r="G3213" s="71" t="str">
        <f>MID(F3213,1,2)</f>
        <v>SG</v>
      </c>
      <c r="H3213" s="43" t="s">
        <v>5118</v>
      </c>
      <c r="I3213" s="71" t="s">
        <v>5175</v>
      </c>
      <c r="J3213" s="71" t="s">
        <v>400</v>
      </c>
      <c r="K3213" s="43" t="s">
        <v>1729</v>
      </c>
      <c r="L3213" s="71" t="s">
        <v>105</v>
      </c>
      <c r="M3213" s="73">
        <v>235</v>
      </c>
      <c r="N3213" s="71" t="s">
        <v>388</v>
      </c>
      <c r="O3213" s="73">
        <v>2.934</v>
      </c>
      <c r="P3213" s="71" t="s">
        <v>389</v>
      </c>
      <c r="Q3213" s="73">
        <v>489</v>
      </c>
      <c r="R3213" s="71" t="s">
        <v>388</v>
      </c>
      <c r="S3213" s="73">
        <v>0</v>
      </c>
      <c r="T3213" s="71" t="s">
        <v>390</v>
      </c>
      <c r="U3213" s="74">
        <v>2</v>
      </c>
      <c r="V3213" s="71" t="s">
        <v>391</v>
      </c>
      <c r="W3213" s="130">
        <v>46093.695138888892</v>
      </c>
      <c r="X3213" s="72">
        <v>46095.645833333336</v>
      </c>
      <c r="Y3213" s="72">
        <v>46109.506944444445</v>
      </c>
      <c r="Z3213" s="104" t="s">
        <v>382</v>
      </c>
      <c r="AA3213" s="104" t="s">
        <v>4692</v>
      </c>
      <c r="AB3213" s="105">
        <v>46101.996527777781</v>
      </c>
      <c r="AC3213" s="105">
        <v>46102.125</v>
      </c>
    </row>
    <row r="3214" s="70" customFormat="1" ht="11.25" customHeight="1">
      <c r="A3214" s="87"/>
      <c r="C3214" s="43" t="s">
        <v>5174</v>
      </c>
      <c r="D3214" s="71" t="s">
        <v>382</v>
      </c>
      <c r="E3214" s="71" t="str">
        <f>MID(D3214,1,2)</f>
        <v>IL</v>
      </c>
      <c r="F3214" s="71" t="s">
        <v>476</v>
      </c>
      <c r="G3214" s="71" t="str">
        <f>MID(F3214,1,2)</f>
        <v>SG</v>
      </c>
      <c r="H3214" s="43" t="s">
        <v>5118</v>
      </c>
      <c r="I3214" s="71" t="s">
        <v>5175</v>
      </c>
      <c r="J3214" s="71" t="s">
        <v>400</v>
      </c>
      <c r="K3214" s="43" t="s">
        <v>1729</v>
      </c>
      <c r="L3214" s="71" t="s">
        <v>105</v>
      </c>
      <c r="M3214" s="73">
        <v>235</v>
      </c>
      <c r="N3214" s="71" t="s">
        <v>388</v>
      </c>
      <c r="O3214" s="73">
        <v>2.934</v>
      </c>
      <c r="P3214" s="71" t="s">
        <v>389</v>
      </c>
      <c r="Q3214" s="73">
        <v>489</v>
      </c>
      <c r="R3214" s="71" t="s">
        <v>388</v>
      </c>
      <c r="S3214" s="73">
        <v>0</v>
      </c>
      <c r="T3214" s="71" t="s">
        <v>390</v>
      </c>
      <c r="U3214" s="74">
        <v>2</v>
      </c>
      <c r="V3214" s="71" t="s">
        <v>391</v>
      </c>
      <c r="W3214" s="130">
        <v>46093.695138888892</v>
      </c>
      <c r="X3214" s="72">
        <v>46095.645833333336</v>
      </c>
      <c r="Y3214" s="72">
        <v>46109.506944444445</v>
      </c>
      <c r="Z3214" s="104" t="s">
        <v>4692</v>
      </c>
      <c r="AA3214" s="104" t="s">
        <v>465</v>
      </c>
      <c r="AB3214" s="105"/>
      <c r="AC3214" s="105"/>
    </row>
    <row r="3215" s="70" customFormat="1" ht="11.25" customHeight="1">
      <c r="A3215" s="87"/>
      <c r="C3215" s="43" t="s">
        <v>5174</v>
      </c>
      <c r="D3215" s="71" t="s">
        <v>382</v>
      </c>
      <c r="E3215" s="71" t="str">
        <f>MID(D3215,1,2)</f>
        <v>IL</v>
      </c>
      <c r="F3215" s="71" t="s">
        <v>476</v>
      </c>
      <c r="G3215" s="71" t="str">
        <f>MID(F3215,1,2)</f>
        <v>SG</v>
      </c>
      <c r="H3215" s="43" t="s">
        <v>5118</v>
      </c>
      <c r="I3215" s="71" t="s">
        <v>5175</v>
      </c>
      <c r="J3215" s="71" t="s">
        <v>400</v>
      </c>
      <c r="K3215" s="43" t="s">
        <v>1729</v>
      </c>
      <c r="L3215" s="71" t="s">
        <v>105</v>
      </c>
      <c r="M3215" s="73">
        <v>235</v>
      </c>
      <c r="N3215" s="71" t="s">
        <v>388</v>
      </c>
      <c r="O3215" s="73">
        <v>2.934</v>
      </c>
      <c r="P3215" s="71" t="s">
        <v>389</v>
      </c>
      <c r="Q3215" s="73">
        <v>489</v>
      </c>
      <c r="R3215" s="71" t="s">
        <v>388</v>
      </c>
      <c r="S3215" s="73">
        <v>0</v>
      </c>
      <c r="T3215" s="71" t="s">
        <v>390</v>
      </c>
      <c r="U3215" s="74">
        <v>2</v>
      </c>
      <c r="V3215" s="71" t="s">
        <v>391</v>
      </c>
      <c r="W3215" s="130">
        <v>46093.695138888892</v>
      </c>
      <c r="X3215" s="72">
        <v>46095.645833333336</v>
      </c>
      <c r="Y3215" s="72">
        <v>46109.506944444445</v>
      </c>
      <c r="Z3215" s="104" t="s">
        <v>465</v>
      </c>
      <c r="AA3215" s="104" t="s">
        <v>476</v>
      </c>
      <c r="AB3215" s="105"/>
      <c r="AC3215" s="105"/>
    </row>
    <row r="3216" s="70" customFormat="1" ht="11.25" customHeight="1">
      <c r="A3216" s="87"/>
      <c r="C3216" s="43" t="s">
        <v>5176</v>
      </c>
      <c r="D3216" s="71" t="s">
        <v>382</v>
      </c>
      <c r="E3216" s="71" t="str">
        <f>MID(D3216,1,2)</f>
        <v>IL</v>
      </c>
      <c r="F3216" s="71" t="s">
        <v>383</v>
      </c>
      <c r="G3216" s="71" t="str">
        <f>MID(F3216,1,2)</f>
        <v>DE</v>
      </c>
      <c r="H3216" s="43" t="s">
        <v>3495</v>
      </c>
      <c r="I3216" s="71" t="s">
        <v>5177</v>
      </c>
      <c r="J3216" s="71" t="s">
        <v>426</v>
      </c>
      <c r="K3216" s="43"/>
      <c r="L3216" s="71" t="s">
        <v>105</v>
      </c>
      <c r="M3216" s="73">
        <v>132</v>
      </c>
      <c r="N3216" s="71" t="s">
        <v>388</v>
      </c>
      <c r="O3216" s="73">
        <v>0.432</v>
      </c>
      <c r="P3216" s="71" t="s">
        <v>389</v>
      </c>
      <c r="Q3216" s="73">
        <v>132</v>
      </c>
      <c r="R3216" s="71" t="s">
        <v>388</v>
      </c>
      <c r="S3216" s="73">
        <v>0</v>
      </c>
      <c r="T3216" s="71" t="s">
        <v>390</v>
      </c>
      <c r="U3216" s="74">
        <v>1</v>
      </c>
      <c r="V3216" s="71" t="s">
        <v>391</v>
      </c>
      <c r="W3216" s="130">
        <v>46093.979166666664</v>
      </c>
      <c r="X3216" s="72">
        <v>46097</v>
      </c>
      <c r="Y3216" s="72">
        <v>46100.496527777781</v>
      </c>
      <c r="Z3216" s="104" t="s">
        <v>382</v>
      </c>
      <c r="AA3216" s="104" t="s">
        <v>383</v>
      </c>
      <c r="AB3216" s="105">
        <v>46100.42291666667</v>
      </c>
      <c r="AC3216" s="105">
        <v>46100.552777777775</v>
      </c>
    </row>
    <row r="3217" s="70" customFormat="1" ht="11.25" customHeight="1">
      <c r="A3217" s="87"/>
      <c r="C3217" s="43" t="s">
        <v>5178</v>
      </c>
      <c r="D3217" s="71" t="s">
        <v>382</v>
      </c>
      <c r="E3217" s="71" t="str">
        <f>MID(D3217,1,2)</f>
        <v>IL</v>
      </c>
      <c r="F3217" s="71" t="s">
        <v>414</v>
      </c>
      <c r="G3217" s="71" t="str">
        <f>MID(F3217,1,2)</f>
        <v>US</v>
      </c>
      <c r="H3217" s="43" t="s">
        <v>3776</v>
      </c>
      <c r="I3217" s="71" t="s">
        <v>5179</v>
      </c>
      <c r="J3217" s="71" t="s">
        <v>386</v>
      </c>
      <c r="K3217" s="43"/>
      <c r="L3217" s="71" t="s">
        <v>107</v>
      </c>
      <c r="M3217" s="73">
        <v>1</v>
      </c>
      <c r="N3217" s="71" t="s">
        <v>388</v>
      </c>
      <c r="O3217" s="73">
        <v>0.012</v>
      </c>
      <c r="P3217" s="71" t="s">
        <v>389</v>
      </c>
      <c r="Q3217" s="73">
        <v>2</v>
      </c>
      <c r="R3217" s="71" t="s">
        <v>388</v>
      </c>
      <c r="S3217" s="73">
        <v>0</v>
      </c>
      <c r="T3217" s="71" t="s">
        <v>390</v>
      </c>
      <c r="U3217" s="74">
        <v>1</v>
      </c>
      <c r="V3217" s="71" t="s">
        <v>427</v>
      </c>
      <c r="W3217" s="130">
        <v>46093.570833333331</v>
      </c>
      <c r="X3217" s="72">
        <v>46099.854166666664</v>
      </c>
      <c r="Y3217" s="72">
        <v>46100.302083333336</v>
      </c>
      <c r="Z3217" s="104" t="s">
        <v>382</v>
      </c>
      <c r="AA3217" s="104" t="s">
        <v>414</v>
      </c>
      <c r="AB3217" s="105">
        <v>46100.102083333331</v>
      </c>
      <c r="AC3217" s="105">
        <v>46100.31527777778</v>
      </c>
    </row>
    <row r="3218" s="70" customFormat="1" ht="11.25" customHeight="1">
      <c r="A3218" s="87"/>
      <c r="C3218" s="43" t="s">
        <v>5180</v>
      </c>
      <c r="D3218" s="71" t="s">
        <v>382</v>
      </c>
      <c r="E3218" s="71" t="str">
        <f>MID(D3218,1,2)</f>
        <v>IL</v>
      </c>
      <c r="F3218" s="71" t="s">
        <v>414</v>
      </c>
      <c r="G3218" s="71" t="str">
        <f>MID(F3218,1,2)</f>
        <v>US</v>
      </c>
      <c r="H3218" s="43" t="s">
        <v>3776</v>
      </c>
      <c r="I3218" s="71" t="s">
        <v>5181</v>
      </c>
      <c r="J3218" s="71" t="s">
        <v>483</v>
      </c>
      <c r="K3218" s="43"/>
      <c r="L3218" s="71" t="s">
        <v>105</v>
      </c>
      <c r="M3218" s="73">
        <v>1</v>
      </c>
      <c r="N3218" s="71" t="s">
        <v>388</v>
      </c>
      <c r="O3218" s="73">
        <v>0.007</v>
      </c>
      <c r="P3218" s="71" t="s">
        <v>389</v>
      </c>
      <c r="Q3218" s="73">
        <v>1.5</v>
      </c>
      <c r="R3218" s="71" t="s">
        <v>388</v>
      </c>
      <c r="S3218" s="73">
        <v>0</v>
      </c>
      <c r="T3218" s="71" t="s">
        <v>390</v>
      </c>
      <c r="U3218" s="74">
        <v>1</v>
      </c>
      <c r="V3218" s="71" t="s">
        <v>427</v>
      </c>
      <c r="W3218" s="130">
        <v>46093.57708333333</v>
      </c>
      <c r="X3218" s="72">
        <v>46099.854166666664</v>
      </c>
      <c r="Y3218" s="72">
        <v>46100.302083333336</v>
      </c>
      <c r="Z3218" s="104" t="s">
        <v>382</v>
      </c>
      <c r="AA3218" s="104" t="s">
        <v>414</v>
      </c>
      <c r="AB3218" s="105">
        <v>46100.102083333331</v>
      </c>
      <c r="AC3218" s="105">
        <v>46100.31527777778</v>
      </c>
    </row>
    <row r="3219" s="70" customFormat="1" ht="11.25" customHeight="1">
      <c r="A3219" s="87"/>
      <c r="C3219" s="43" t="s">
        <v>5182</v>
      </c>
      <c r="D3219" s="71" t="s">
        <v>382</v>
      </c>
      <c r="E3219" s="71" t="str">
        <f>MID(D3219,1,2)</f>
        <v>IL</v>
      </c>
      <c r="F3219" s="71" t="s">
        <v>414</v>
      </c>
      <c r="G3219" s="71" t="str">
        <f>MID(F3219,1,2)</f>
        <v>US</v>
      </c>
      <c r="H3219" s="43" t="s">
        <v>3776</v>
      </c>
      <c r="I3219" s="71" t="s">
        <v>5183</v>
      </c>
      <c r="J3219" s="71" t="s">
        <v>386</v>
      </c>
      <c r="K3219" s="43"/>
      <c r="L3219" s="71" t="s">
        <v>107</v>
      </c>
      <c r="M3219" s="73">
        <v>2</v>
      </c>
      <c r="N3219" s="71" t="s">
        <v>388</v>
      </c>
      <c r="O3219" s="73">
        <v>0.022</v>
      </c>
      <c r="P3219" s="71" t="s">
        <v>389</v>
      </c>
      <c r="Q3219" s="73">
        <v>4</v>
      </c>
      <c r="R3219" s="71" t="s">
        <v>388</v>
      </c>
      <c r="S3219" s="73">
        <v>0</v>
      </c>
      <c r="T3219" s="71" t="s">
        <v>390</v>
      </c>
      <c r="U3219" s="74">
        <v>1</v>
      </c>
      <c r="V3219" s="71" t="s">
        <v>427</v>
      </c>
      <c r="W3219" s="130">
        <v>46093.597222222219</v>
      </c>
      <c r="X3219" s="72">
        <v>46099.854166666664</v>
      </c>
      <c r="Y3219" s="72">
        <v>46100.302083333336</v>
      </c>
      <c r="Z3219" s="104" t="s">
        <v>382</v>
      </c>
      <c r="AA3219" s="104" t="s">
        <v>414</v>
      </c>
      <c r="AB3219" s="105">
        <v>46100.102083333331</v>
      </c>
      <c r="AC3219" s="105">
        <v>46100.31527777778</v>
      </c>
    </row>
    <row r="3220" s="70" customFormat="1" ht="11.25" customHeight="1">
      <c r="A3220" s="87"/>
      <c r="C3220" s="43" t="s">
        <v>5184</v>
      </c>
      <c r="D3220" s="71" t="s">
        <v>382</v>
      </c>
      <c r="E3220" s="71" t="str">
        <f>MID(D3220,1,2)</f>
        <v>IL</v>
      </c>
      <c r="F3220" s="71" t="s">
        <v>414</v>
      </c>
      <c r="G3220" s="71" t="str">
        <f>MID(F3220,1,2)</f>
        <v>US</v>
      </c>
      <c r="H3220" s="43" t="s">
        <v>3776</v>
      </c>
      <c r="I3220" s="71" t="s">
        <v>5185</v>
      </c>
      <c r="J3220" s="71" t="s">
        <v>386</v>
      </c>
      <c r="K3220" s="43"/>
      <c r="L3220" s="71" t="s">
        <v>107</v>
      </c>
      <c r="M3220" s="73">
        <v>55</v>
      </c>
      <c r="N3220" s="71" t="s">
        <v>388</v>
      </c>
      <c r="O3220" s="73">
        <v>0.704</v>
      </c>
      <c r="P3220" s="71" t="s">
        <v>389</v>
      </c>
      <c r="Q3220" s="73">
        <v>117.5</v>
      </c>
      <c r="R3220" s="71" t="s">
        <v>388</v>
      </c>
      <c r="S3220" s="73">
        <v>0</v>
      </c>
      <c r="T3220" s="71" t="s">
        <v>390</v>
      </c>
      <c r="U3220" s="74">
        <v>1</v>
      </c>
      <c r="V3220" s="71" t="s">
        <v>391</v>
      </c>
      <c r="W3220" s="130">
        <v>46093.876180555555</v>
      </c>
      <c r="X3220" s="72">
        <v>46099.854166666664</v>
      </c>
      <c r="Y3220" s="72">
        <v>46100.302083333336</v>
      </c>
      <c r="Z3220" s="104" t="s">
        <v>382</v>
      </c>
      <c r="AA3220" s="104" t="s">
        <v>414</v>
      </c>
      <c r="AB3220" s="105">
        <v>46100.102083333331</v>
      </c>
      <c r="AC3220" s="105">
        <v>46100.31527777778</v>
      </c>
    </row>
    <row r="3221" s="70" customFormat="1" ht="11.25" customHeight="1">
      <c r="A3221" s="87"/>
      <c r="C3221" s="43" t="s">
        <v>5186</v>
      </c>
      <c r="D3221" s="71" t="s">
        <v>382</v>
      </c>
      <c r="E3221" s="71" t="str">
        <f>MID(D3221,1,2)</f>
        <v>IL</v>
      </c>
      <c r="F3221" s="71" t="s">
        <v>414</v>
      </c>
      <c r="G3221" s="71" t="str">
        <f>MID(F3221,1,2)</f>
        <v>US</v>
      </c>
      <c r="H3221" s="43" t="s">
        <v>3776</v>
      </c>
      <c r="I3221" s="71" t="s">
        <v>5187</v>
      </c>
      <c r="J3221" s="71" t="s">
        <v>386</v>
      </c>
      <c r="K3221" s="43"/>
      <c r="L3221" s="71" t="s">
        <v>107</v>
      </c>
      <c r="M3221" s="73">
        <v>1</v>
      </c>
      <c r="N3221" s="71" t="s">
        <v>388</v>
      </c>
      <c r="O3221" s="73">
        <v>0.022</v>
      </c>
      <c r="P3221" s="71" t="s">
        <v>389</v>
      </c>
      <c r="Q3221" s="73">
        <v>4</v>
      </c>
      <c r="R3221" s="71" t="s">
        <v>388</v>
      </c>
      <c r="S3221" s="73">
        <v>0</v>
      </c>
      <c r="T3221" s="71" t="s">
        <v>390</v>
      </c>
      <c r="U3221" s="74">
        <v>1</v>
      </c>
      <c r="V3221" s="71" t="s">
        <v>427</v>
      </c>
      <c r="W3221" s="130">
        <v>46093.876481481479</v>
      </c>
      <c r="X3221" s="72">
        <v>46099.854166666664</v>
      </c>
      <c r="Y3221" s="72">
        <v>46100.302083333336</v>
      </c>
      <c r="Z3221" s="104" t="s">
        <v>382</v>
      </c>
      <c r="AA3221" s="104" t="s">
        <v>414</v>
      </c>
      <c r="AB3221" s="105">
        <v>46100.102083333331</v>
      </c>
      <c r="AC3221" s="105">
        <v>46100.31527777778</v>
      </c>
    </row>
    <row r="3222" s="70" customFormat="1" ht="11.25" customHeight="1">
      <c r="A3222" s="87"/>
      <c r="C3222" s="43" t="s">
        <v>5188</v>
      </c>
      <c r="D3222" s="71" t="s">
        <v>382</v>
      </c>
      <c r="E3222" s="71" t="str">
        <f>MID(D3222,1,2)</f>
        <v>IL</v>
      </c>
      <c r="F3222" s="71" t="s">
        <v>468</v>
      </c>
      <c r="G3222" s="71" t="str">
        <f>MID(F3222,1,2)</f>
        <v>US</v>
      </c>
      <c r="H3222" s="43" t="s">
        <v>5189</v>
      </c>
      <c r="I3222" s="71" t="s">
        <v>5190</v>
      </c>
      <c r="J3222" s="71" t="s">
        <v>386</v>
      </c>
      <c r="K3222" s="43"/>
      <c r="L3222" s="71" t="s">
        <v>107</v>
      </c>
      <c r="M3222" s="73">
        <v>72</v>
      </c>
      <c r="N3222" s="71" t="s">
        <v>388</v>
      </c>
      <c r="O3222" s="73">
        <v>0.333</v>
      </c>
      <c r="P3222" s="71" t="s">
        <v>389</v>
      </c>
      <c r="Q3222" s="73">
        <v>72</v>
      </c>
      <c r="R3222" s="71" t="s">
        <v>388</v>
      </c>
      <c r="S3222" s="73">
        <v>0</v>
      </c>
      <c r="T3222" s="71" t="s">
        <v>390</v>
      </c>
      <c r="U3222" s="74">
        <v>6</v>
      </c>
      <c r="V3222" s="71" t="s">
        <v>446</v>
      </c>
      <c r="W3222" s="130">
        <v>46096.368055555555</v>
      </c>
      <c r="X3222" s="72">
        <v>46100.333333333336</v>
      </c>
      <c r="Y3222" s="72">
        <v>46105.375</v>
      </c>
      <c r="Z3222" s="104" t="s">
        <v>382</v>
      </c>
      <c r="AA3222" s="104" t="s">
        <v>471</v>
      </c>
      <c r="AB3222" s="105">
        <v>46100.772916666669</v>
      </c>
      <c r="AC3222" s="105"/>
    </row>
    <row r="3223" s="70" customFormat="1" ht="11.25" customHeight="1">
      <c r="A3223" s="87"/>
      <c r="C3223" s="43" t="s">
        <v>5188</v>
      </c>
      <c r="D3223" s="71" t="s">
        <v>382</v>
      </c>
      <c r="E3223" s="71" t="str">
        <f>MID(D3223,1,2)</f>
        <v>IL</v>
      </c>
      <c r="F3223" s="71" t="s">
        <v>468</v>
      </c>
      <c r="G3223" s="71" t="str">
        <f>MID(F3223,1,2)</f>
        <v>US</v>
      </c>
      <c r="H3223" s="43" t="s">
        <v>5189</v>
      </c>
      <c r="I3223" s="71" t="s">
        <v>5190</v>
      </c>
      <c r="J3223" s="71" t="s">
        <v>386</v>
      </c>
      <c r="K3223" s="43"/>
      <c r="L3223" s="71" t="s">
        <v>107</v>
      </c>
      <c r="M3223" s="73">
        <v>72</v>
      </c>
      <c r="N3223" s="71" t="s">
        <v>388</v>
      </c>
      <c r="O3223" s="73">
        <v>0.333</v>
      </c>
      <c r="P3223" s="71" t="s">
        <v>389</v>
      </c>
      <c r="Q3223" s="73">
        <v>72</v>
      </c>
      <c r="R3223" s="71" t="s">
        <v>388</v>
      </c>
      <c r="S3223" s="73">
        <v>0</v>
      </c>
      <c r="T3223" s="71" t="s">
        <v>390</v>
      </c>
      <c r="U3223" s="74">
        <v>6</v>
      </c>
      <c r="V3223" s="71" t="s">
        <v>446</v>
      </c>
      <c r="W3223" s="130">
        <v>46096.368055555555</v>
      </c>
      <c r="X3223" s="72">
        <v>46100.333333333336</v>
      </c>
      <c r="Y3223" s="72">
        <v>46105.375</v>
      </c>
      <c r="Z3223" s="104" t="s">
        <v>471</v>
      </c>
      <c r="AA3223" s="104" t="s">
        <v>468</v>
      </c>
      <c r="AB3223" s="105"/>
      <c r="AC3223" s="105"/>
    </row>
    <row r="3224" s="70" customFormat="1" ht="11.25" customHeight="1">
      <c r="A3224" s="87"/>
      <c r="C3224" s="43" t="s">
        <v>5191</v>
      </c>
      <c r="D3224" s="71" t="s">
        <v>382</v>
      </c>
      <c r="E3224" s="71" t="str">
        <f>MID(D3224,1,2)</f>
        <v>IL</v>
      </c>
      <c r="F3224" s="71" t="s">
        <v>414</v>
      </c>
      <c r="G3224" s="71" t="str">
        <f>MID(F3224,1,2)</f>
        <v>US</v>
      </c>
      <c r="H3224" s="43" t="s">
        <v>4697</v>
      </c>
      <c r="I3224" s="71" t="s">
        <v>5192</v>
      </c>
      <c r="J3224" s="71" t="s">
        <v>386</v>
      </c>
      <c r="K3224" s="43"/>
      <c r="L3224" s="71" t="s">
        <v>107</v>
      </c>
      <c r="M3224" s="73">
        <v>2</v>
      </c>
      <c r="N3224" s="71" t="s">
        <v>388</v>
      </c>
      <c r="O3224" s="73">
        <v>0.022</v>
      </c>
      <c r="P3224" s="71" t="s">
        <v>389</v>
      </c>
      <c r="Q3224" s="73">
        <v>4</v>
      </c>
      <c r="R3224" s="71" t="s">
        <v>388</v>
      </c>
      <c r="S3224" s="73">
        <v>0</v>
      </c>
      <c r="T3224" s="71" t="s">
        <v>390</v>
      </c>
      <c r="U3224" s="74">
        <v>1</v>
      </c>
      <c r="V3224" s="71" t="s">
        <v>446</v>
      </c>
      <c r="W3224" s="130">
        <v>46093.65347222222</v>
      </c>
      <c r="X3224" s="72">
        <v>46099.854166666664</v>
      </c>
      <c r="Y3224" s="72">
        <v>46102.791666666664</v>
      </c>
      <c r="Z3224" s="104" t="s">
        <v>382</v>
      </c>
      <c r="AA3224" s="104" t="s">
        <v>414</v>
      </c>
      <c r="AB3224" s="105">
        <v>46100.102083333331</v>
      </c>
      <c r="AC3224" s="105">
        <v>46100.31527777778</v>
      </c>
    </row>
    <row r="3225" s="70" customFormat="1" ht="11.25" customHeight="1">
      <c r="A3225" s="87"/>
      <c r="C3225" s="43" t="s">
        <v>5193</v>
      </c>
      <c r="D3225" s="71" t="s">
        <v>382</v>
      </c>
      <c r="E3225" s="71" t="str">
        <f>MID(D3225,1,2)</f>
        <v>IL</v>
      </c>
      <c r="F3225" s="71" t="s">
        <v>443</v>
      </c>
      <c r="G3225" s="71" t="str">
        <f>MID(F3225,1,2)</f>
        <v>US</v>
      </c>
      <c r="H3225" s="43" t="s">
        <v>5194</v>
      </c>
      <c r="I3225" s="71" t="s">
        <v>5195</v>
      </c>
      <c r="J3225" s="71" t="s">
        <v>386</v>
      </c>
      <c r="K3225" s="43"/>
      <c r="L3225" s="71" t="s">
        <v>107</v>
      </c>
      <c r="M3225" s="73">
        <v>91</v>
      </c>
      <c r="N3225" s="71" t="s">
        <v>388</v>
      </c>
      <c r="O3225" s="73">
        <v>0.595</v>
      </c>
      <c r="P3225" s="71" t="s">
        <v>389</v>
      </c>
      <c r="Q3225" s="73">
        <v>100</v>
      </c>
      <c r="R3225" s="71" t="s">
        <v>388</v>
      </c>
      <c r="S3225" s="73">
        <v>0</v>
      </c>
      <c r="T3225" s="71" t="s">
        <v>390</v>
      </c>
      <c r="U3225" s="74">
        <v>1</v>
      </c>
      <c r="V3225" s="71" t="s">
        <v>446</v>
      </c>
      <c r="W3225" s="130">
        <v>46097.49375</v>
      </c>
      <c r="X3225" s="72">
        <v>46100.333333333336</v>
      </c>
      <c r="Y3225" s="72">
        <v>46103.441666666666</v>
      </c>
      <c r="Z3225" s="104" t="s">
        <v>382</v>
      </c>
      <c r="AA3225" s="104" t="s">
        <v>471</v>
      </c>
      <c r="AB3225" s="105">
        <v>46100.77847222222</v>
      </c>
      <c r="AC3225" s="105"/>
    </row>
    <row r="3226" s="70" customFormat="1" ht="11.25" customHeight="1">
      <c r="A3226" s="87"/>
      <c r="C3226" s="43" t="s">
        <v>5193</v>
      </c>
      <c r="D3226" s="71" t="s">
        <v>382</v>
      </c>
      <c r="E3226" s="71" t="str">
        <f>MID(D3226,1,2)</f>
        <v>IL</v>
      </c>
      <c r="F3226" s="71" t="s">
        <v>443</v>
      </c>
      <c r="G3226" s="71" t="str">
        <f>MID(F3226,1,2)</f>
        <v>US</v>
      </c>
      <c r="H3226" s="43" t="s">
        <v>5194</v>
      </c>
      <c r="I3226" s="71" t="s">
        <v>5195</v>
      </c>
      <c r="J3226" s="71" t="s">
        <v>386</v>
      </c>
      <c r="K3226" s="43"/>
      <c r="L3226" s="71" t="s">
        <v>107</v>
      </c>
      <c r="M3226" s="73">
        <v>91</v>
      </c>
      <c r="N3226" s="71" t="s">
        <v>388</v>
      </c>
      <c r="O3226" s="73">
        <v>0.595</v>
      </c>
      <c r="P3226" s="71" t="s">
        <v>389</v>
      </c>
      <c r="Q3226" s="73">
        <v>100</v>
      </c>
      <c r="R3226" s="71" t="s">
        <v>388</v>
      </c>
      <c r="S3226" s="73">
        <v>0</v>
      </c>
      <c r="T3226" s="71" t="s">
        <v>390</v>
      </c>
      <c r="U3226" s="74">
        <v>1</v>
      </c>
      <c r="V3226" s="71" t="s">
        <v>446</v>
      </c>
      <c r="W3226" s="130">
        <v>46097.49375</v>
      </c>
      <c r="X3226" s="72">
        <v>46100.333333333336</v>
      </c>
      <c r="Y3226" s="72">
        <v>46103.441666666666</v>
      </c>
      <c r="Z3226" s="104" t="s">
        <v>471</v>
      </c>
      <c r="AA3226" s="104" t="s">
        <v>443</v>
      </c>
      <c r="AB3226" s="105"/>
      <c r="AC3226" s="105"/>
    </row>
    <row r="3227" s="70" customFormat="1" ht="11.25" customHeight="1">
      <c r="A3227" s="87"/>
      <c r="C3227" s="43" t="s">
        <v>5196</v>
      </c>
      <c r="D3227" s="71" t="s">
        <v>808</v>
      </c>
      <c r="E3227" s="71" t="str">
        <f>MID(D3227,1,2)</f>
        <v>IL</v>
      </c>
      <c r="F3227" s="71" t="s">
        <v>809</v>
      </c>
      <c r="G3227" s="71" t="str">
        <f>MID(F3227,1,2)</f>
        <v>IN</v>
      </c>
      <c r="H3227" s="43"/>
      <c r="I3227" s="71" t="s">
        <v>5197</v>
      </c>
      <c r="J3227" s="71" t="s">
        <v>811</v>
      </c>
      <c r="K3227" s="43"/>
      <c r="L3227" s="71" t="s">
        <v>105</v>
      </c>
      <c r="M3227" s="73">
        <v>0</v>
      </c>
      <c r="N3227" s="71" t="s">
        <v>388</v>
      </c>
      <c r="O3227" s="73">
        <v>0</v>
      </c>
      <c r="P3227" s="71" t="s">
        <v>389</v>
      </c>
      <c r="Q3227" s="73">
        <v>0</v>
      </c>
      <c r="R3227" s="71" t="s">
        <v>388</v>
      </c>
      <c r="S3227" s="73">
        <v>0</v>
      </c>
      <c r="T3227" s="71" t="s">
        <v>390</v>
      </c>
      <c r="U3227" s="74">
        <v>0</v>
      </c>
      <c r="V3227" s="71" t="s">
        <v>391</v>
      </c>
      <c r="W3227" s="130"/>
      <c r="X3227" s="72">
        <v>46093.603472222225</v>
      </c>
      <c r="Y3227" s="72">
        <v>46094.603472222225</v>
      </c>
      <c r="Z3227" s="104"/>
      <c r="AA3227" s="104"/>
      <c r="AB3227" s="105"/>
      <c r="AC3227" s="105"/>
    </row>
    <row r="3228" s="70" customFormat="1" ht="11.25" customHeight="1">
      <c r="A3228" s="87"/>
      <c r="C3228" s="43" t="s">
        <v>5198</v>
      </c>
      <c r="D3228" s="71" t="s">
        <v>382</v>
      </c>
      <c r="E3228" s="71" t="str">
        <f>MID(D3228,1,2)</f>
        <v>IL</v>
      </c>
      <c r="F3228" s="71" t="s">
        <v>414</v>
      </c>
      <c r="G3228" s="71" t="str">
        <f>MID(F3228,1,2)</f>
        <v>US</v>
      </c>
      <c r="H3228" s="43" t="s">
        <v>3776</v>
      </c>
      <c r="I3228" s="71" t="s">
        <v>5199</v>
      </c>
      <c r="J3228" s="71" t="s">
        <v>386</v>
      </c>
      <c r="K3228" s="43"/>
      <c r="L3228" s="71" t="s">
        <v>107</v>
      </c>
      <c r="M3228" s="73">
        <v>172</v>
      </c>
      <c r="N3228" s="71" t="s">
        <v>388</v>
      </c>
      <c r="O3228" s="73">
        <v>1.334</v>
      </c>
      <c r="P3228" s="71" t="s">
        <v>389</v>
      </c>
      <c r="Q3228" s="73">
        <v>222.5</v>
      </c>
      <c r="R3228" s="71" t="s">
        <v>388</v>
      </c>
      <c r="S3228" s="73">
        <v>0</v>
      </c>
      <c r="T3228" s="71" t="s">
        <v>390</v>
      </c>
      <c r="U3228" s="74">
        <v>5</v>
      </c>
      <c r="V3228" s="71" t="s">
        <v>391</v>
      </c>
      <c r="W3228" s="130">
        <v>46093.645833333336</v>
      </c>
      <c r="X3228" s="72">
        <v>46099.854166666664</v>
      </c>
      <c r="Y3228" s="72">
        <v>46100.302083333336</v>
      </c>
      <c r="Z3228" s="104" t="s">
        <v>382</v>
      </c>
      <c r="AA3228" s="104" t="s">
        <v>414</v>
      </c>
      <c r="AB3228" s="105">
        <v>46100.102083333331</v>
      </c>
      <c r="AC3228" s="105">
        <v>46100.31527777778</v>
      </c>
    </row>
    <row r="3229" s="70" customFormat="1" ht="11.25" customHeight="1">
      <c r="A3229" s="87"/>
      <c r="C3229" s="43" t="s">
        <v>5200</v>
      </c>
      <c r="D3229" s="71" t="s">
        <v>382</v>
      </c>
      <c r="E3229" s="71" t="str">
        <f>MID(D3229,1,2)</f>
        <v>IL</v>
      </c>
      <c r="F3229" s="71" t="s">
        <v>414</v>
      </c>
      <c r="G3229" s="71" t="str">
        <f>MID(F3229,1,2)</f>
        <v>US</v>
      </c>
      <c r="H3229" s="43" t="s">
        <v>3776</v>
      </c>
      <c r="I3229" s="71" t="s">
        <v>5201</v>
      </c>
      <c r="J3229" s="71" t="s">
        <v>386</v>
      </c>
      <c r="K3229" s="43"/>
      <c r="L3229" s="71" t="s">
        <v>107</v>
      </c>
      <c r="M3229" s="73">
        <v>1</v>
      </c>
      <c r="N3229" s="71" t="s">
        <v>388</v>
      </c>
      <c r="O3229" s="73">
        <v>0.012</v>
      </c>
      <c r="P3229" s="71" t="s">
        <v>389</v>
      </c>
      <c r="Q3229" s="73">
        <v>2</v>
      </c>
      <c r="R3229" s="71" t="s">
        <v>388</v>
      </c>
      <c r="S3229" s="73">
        <v>0</v>
      </c>
      <c r="T3229" s="71" t="s">
        <v>390</v>
      </c>
      <c r="U3229" s="74">
        <v>1</v>
      </c>
      <c r="V3229" s="71" t="s">
        <v>427</v>
      </c>
      <c r="W3229" s="130">
        <v>46093.876226851855</v>
      </c>
      <c r="X3229" s="72">
        <v>46099.854166666664</v>
      </c>
      <c r="Y3229" s="72">
        <v>46100.302083333336</v>
      </c>
      <c r="Z3229" s="104" t="s">
        <v>382</v>
      </c>
      <c r="AA3229" s="104" t="s">
        <v>414</v>
      </c>
      <c r="AB3229" s="105">
        <v>46100.102083333331</v>
      </c>
      <c r="AC3229" s="105">
        <v>46100.31527777778</v>
      </c>
    </row>
    <row r="3230" s="70" customFormat="1" ht="11.25" customHeight="1">
      <c r="A3230" s="87"/>
      <c r="C3230" s="43" t="s">
        <v>5202</v>
      </c>
      <c r="D3230" s="71" t="s">
        <v>382</v>
      </c>
      <c r="E3230" s="71" t="str">
        <f>MID(D3230,1,2)</f>
        <v>IL</v>
      </c>
      <c r="F3230" s="71" t="s">
        <v>476</v>
      </c>
      <c r="G3230" s="71" t="str">
        <f>MID(F3230,1,2)</f>
        <v>SG</v>
      </c>
      <c r="H3230" s="43" t="s">
        <v>5118</v>
      </c>
      <c r="I3230" s="71" t="s">
        <v>5203</v>
      </c>
      <c r="J3230" s="71" t="s">
        <v>454</v>
      </c>
      <c r="K3230" s="43"/>
      <c r="L3230" s="71" t="s">
        <v>107</v>
      </c>
      <c r="M3230" s="73">
        <v>18</v>
      </c>
      <c r="N3230" s="71" t="s">
        <v>388</v>
      </c>
      <c r="O3230" s="73">
        <v>0.092</v>
      </c>
      <c r="P3230" s="71" t="s">
        <v>389</v>
      </c>
      <c r="Q3230" s="73">
        <v>18</v>
      </c>
      <c r="R3230" s="71" t="s">
        <v>388</v>
      </c>
      <c r="S3230" s="73">
        <v>0</v>
      </c>
      <c r="T3230" s="71" t="s">
        <v>390</v>
      </c>
      <c r="U3230" s="74">
        <v>2</v>
      </c>
      <c r="V3230" s="71" t="s">
        <v>391</v>
      </c>
      <c r="W3230" s="130">
        <v>46093.667361111111</v>
      </c>
      <c r="X3230" s="72">
        <v>46095.645833333336</v>
      </c>
      <c r="Y3230" s="72">
        <v>46109.506944444445</v>
      </c>
      <c r="Z3230" s="104" t="s">
        <v>382</v>
      </c>
      <c r="AA3230" s="104" t="s">
        <v>4692</v>
      </c>
      <c r="AB3230" s="105">
        <v>46101.996527777781</v>
      </c>
      <c r="AC3230" s="105">
        <v>46102.125</v>
      </c>
    </row>
    <row r="3231" s="70" customFormat="1" ht="11.25" customHeight="1">
      <c r="A3231" s="87"/>
      <c r="C3231" s="43" t="s">
        <v>5202</v>
      </c>
      <c r="D3231" s="71" t="s">
        <v>382</v>
      </c>
      <c r="E3231" s="71" t="str">
        <f>MID(D3231,1,2)</f>
        <v>IL</v>
      </c>
      <c r="F3231" s="71" t="s">
        <v>476</v>
      </c>
      <c r="G3231" s="71" t="str">
        <f>MID(F3231,1,2)</f>
        <v>SG</v>
      </c>
      <c r="H3231" s="43" t="s">
        <v>5118</v>
      </c>
      <c r="I3231" s="71" t="s">
        <v>5203</v>
      </c>
      <c r="J3231" s="71" t="s">
        <v>454</v>
      </c>
      <c r="K3231" s="43"/>
      <c r="L3231" s="71" t="s">
        <v>107</v>
      </c>
      <c r="M3231" s="73">
        <v>18</v>
      </c>
      <c r="N3231" s="71" t="s">
        <v>388</v>
      </c>
      <c r="O3231" s="73">
        <v>0.092</v>
      </c>
      <c r="P3231" s="71" t="s">
        <v>389</v>
      </c>
      <c r="Q3231" s="73">
        <v>18</v>
      </c>
      <c r="R3231" s="71" t="s">
        <v>388</v>
      </c>
      <c r="S3231" s="73">
        <v>0</v>
      </c>
      <c r="T3231" s="71" t="s">
        <v>390</v>
      </c>
      <c r="U3231" s="74">
        <v>2</v>
      </c>
      <c r="V3231" s="71" t="s">
        <v>391</v>
      </c>
      <c r="W3231" s="130">
        <v>46093.667361111111</v>
      </c>
      <c r="X3231" s="72">
        <v>46095.645833333336</v>
      </c>
      <c r="Y3231" s="72">
        <v>46109.506944444445</v>
      </c>
      <c r="Z3231" s="104" t="s">
        <v>4692</v>
      </c>
      <c r="AA3231" s="104" t="s">
        <v>465</v>
      </c>
      <c r="AB3231" s="105"/>
      <c r="AC3231" s="105"/>
    </row>
    <row r="3232" s="70" customFormat="1" ht="11.25" customHeight="1">
      <c r="A3232" s="87"/>
      <c r="C3232" s="43" t="s">
        <v>5202</v>
      </c>
      <c r="D3232" s="71" t="s">
        <v>382</v>
      </c>
      <c r="E3232" s="71" t="str">
        <f>MID(D3232,1,2)</f>
        <v>IL</v>
      </c>
      <c r="F3232" s="71" t="s">
        <v>476</v>
      </c>
      <c r="G3232" s="71" t="str">
        <f>MID(F3232,1,2)</f>
        <v>SG</v>
      </c>
      <c r="H3232" s="43" t="s">
        <v>5118</v>
      </c>
      <c r="I3232" s="71" t="s">
        <v>5203</v>
      </c>
      <c r="J3232" s="71" t="s">
        <v>454</v>
      </c>
      <c r="K3232" s="43"/>
      <c r="L3232" s="71" t="s">
        <v>107</v>
      </c>
      <c r="M3232" s="73">
        <v>18</v>
      </c>
      <c r="N3232" s="71" t="s">
        <v>388</v>
      </c>
      <c r="O3232" s="73">
        <v>0.092</v>
      </c>
      <c r="P3232" s="71" t="s">
        <v>389</v>
      </c>
      <c r="Q3232" s="73">
        <v>18</v>
      </c>
      <c r="R3232" s="71" t="s">
        <v>388</v>
      </c>
      <c r="S3232" s="73">
        <v>0</v>
      </c>
      <c r="T3232" s="71" t="s">
        <v>390</v>
      </c>
      <c r="U3232" s="74">
        <v>2</v>
      </c>
      <c r="V3232" s="71" t="s">
        <v>391</v>
      </c>
      <c r="W3232" s="130">
        <v>46093.667361111111</v>
      </c>
      <c r="X3232" s="72">
        <v>46095.645833333336</v>
      </c>
      <c r="Y3232" s="72">
        <v>46109.506944444445</v>
      </c>
      <c r="Z3232" s="104" t="s">
        <v>465</v>
      </c>
      <c r="AA3232" s="104" t="s">
        <v>476</v>
      </c>
      <c r="AB3232" s="105"/>
      <c r="AC3232" s="105"/>
    </row>
    <row r="3233" s="70" customFormat="1" ht="11.25" customHeight="1">
      <c r="A3233" s="87"/>
      <c r="C3233" s="43" t="s">
        <v>5204</v>
      </c>
      <c r="D3233" s="71" t="s">
        <v>382</v>
      </c>
      <c r="E3233" s="71" t="str">
        <f>MID(D3233,1,2)</f>
        <v>IL</v>
      </c>
      <c r="F3233" s="71" t="s">
        <v>2393</v>
      </c>
      <c r="G3233" s="71" t="str">
        <f>MID(F3233,1,2)</f>
        <v>ES</v>
      </c>
      <c r="H3233" s="43"/>
      <c r="I3233" s="71" t="s">
        <v>5205</v>
      </c>
      <c r="J3233" s="71" t="s">
        <v>454</v>
      </c>
      <c r="K3233" s="43"/>
      <c r="L3233" s="71" t="s">
        <v>107</v>
      </c>
      <c r="M3233" s="73">
        <v>0</v>
      </c>
      <c r="N3233" s="71" t="s">
        <v>388</v>
      </c>
      <c r="O3233" s="73">
        <v>0</v>
      </c>
      <c r="P3233" s="71" t="s">
        <v>389</v>
      </c>
      <c r="Q3233" s="73">
        <v>0</v>
      </c>
      <c r="R3233" s="71" t="s">
        <v>388</v>
      </c>
      <c r="S3233" s="73">
        <v>0</v>
      </c>
      <c r="T3233" s="71" t="s">
        <v>390</v>
      </c>
      <c r="U3233" s="74">
        <v>0</v>
      </c>
      <c r="V3233" s="71" t="s">
        <v>391</v>
      </c>
      <c r="W3233" s="130"/>
      <c r="X3233" s="72">
        <v>46096.396527777775</v>
      </c>
      <c r="Y3233" s="72">
        <v>46096.396527777775</v>
      </c>
      <c r="Z3233" s="104"/>
      <c r="AA3233" s="104"/>
      <c r="AB3233" s="105"/>
      <c r="AC3233" s="105"/>
    </row>
    <row r="3234" s="70" customFormat="1" ht="11.25" customHeight="1">
      <c r="A3234" s="87"/>
      <c r="C3234" s="43" t="s">
        <v>5206</v>
      </c>
      <c r="D3234" s="71" t="s">
        <v>382</v>
      </c>
      <c r="E3234" s="71" t="str">
        <f>MID(D3234,1,2)</f>
        <v>IL</v>
      </c>
      <c r="F3234" s="71" t="s">
        <v>774</v>
      </c>
      <c r="G3234" s="71" t="str">
        <f>MID(F3234,1,2)</f>
        <v>CN</v>
      </c>
      <c r="H3234" s="43" t="s">
        <v>5166</v>
      </c>
      <c r="I3234" s="71" t="s">
        <v>5207</v>
      </c>
      <c r="J3234" s="71" t="s">
        <v>454</v>
      </c>
      <c r="K3234" s="43"/>
      <c r="L3234" s="71" t="s">
        <v>107</v>
      </c>
      <c r="M3234" s="73">
        <v>8</v>
      </c>
      <c r="N3234" s="71" t="s">
        <v>388</v>
      </c>
      <c r="O3234" s="73">
        <v>0.063</v>
      </c>
      <c r="P3234" s="71" t="s">
        <v>389</v>
      </c>
      <c r="Q3234" s="73">
        <v>10.5</v>
      </c>
      <c r="R3234" s="71" t="s">
        <v>388</v>
      </c>
      <c r="S3234" s="73">
        <v>0</v>
      </c>
      <c r="T3234" s="71" t="s">
        <v>390</v>
      </c>
      <c r="U3234" s="74">
        <v>1</v>
      </c>
      <c r="V3234" s="71" t="s">
        <v>391</v>
      </c>
      <c r="W3234" s="130">
        <v>46096.646828703706</v>
      </c>
      <c r="X3234" s="72">
        <v>46098.75</v>
      </c>
      <c r="Y3234" s="72">
        <v>46102.75</v>
      </c>
      <c r="Z3234" s="104" t="s">
        <v>382</v>
      </c>
      <c r="AA3234" s="104" t="s">
        <v>402</v>
      </c>
      <c r="AB3234" s="105">
        <v>46099.763194444444</v>
      </c>
      <c r="AC3234" s="105"/>
    </row>
    <row r="3235" s="70" customFormat="1" ht="11.25" customHeight="1">
      <c r="A3235" s="87"/>
      <c r="C3235" s="43" t="s">
        <v>5206</v>
      </c>
      <c r="D3235" s="71" t="s">
        <v>382</v>
      </c>
      <c r="E3235" s="71" t="str">
        <f>MID(D3235,1,2)</f>
        <v>IL</v>
      </c>
      <c r="F3235" s="71" t="s">
        <v>774</v>
      </c>
      <c r="G3235" s="71" t="str">
        <f>MID(F3235,1,2)</f>
        <v>CN</v>
      </c>
      <c r="H3235" s="43" t="s">
        <v>5166</v>
      </c>
      <c r="I3235" s="71" t="s">
        <v>5207</v>
      </c>
      <c r="J3235" s="71" t="s">
        <v>454</v>
      </c>
      <c r="K3235" s="43"/>
      <c r="L3235" s="71" t="s">
        <v>107</v>
      </c>
      <c r="M3235" s="73">
        <v>8</v>
      </c>
      <c r="N3235" s="71" t="s">
        <v>388</v>
      </c>
      <c r="O3235" s="73">
        <v>0.063</v>
      </c>
      <c r="P3235" s="71" t="s">
        <v>389</v>
      </c>
      <c r="Q3235" s="73">
        <v>10.5</v>
      </c>
      <c r="R3235" s="71" t="s">
        <v>388</v>
      </c>
      <c r="S3235" s="73">
        <v>0</v>
      </c>
      <c r="T3235" s="71" t="s">
        <v>390</v>
      </c>
      <c r="U3235" s="74">
        <v>1</v>
      </c>
      <c r="V3235" s="71" t="s">
        <v>391</v>
      </c>
      <c r="W3235" s="130">
        <v>46096.646828703706</v>
      </c>
      <c r="X3235" s="72">
        <v>46098.75</v>
      </c>
      <c r="Y3235" s="72">
        <v>46102.75</v>
      </c>
      <c r="Z3235" s="104" t="s">
        <v>402</v>
      </c>
      <c r="AA3235" s="104" t="s">
        <v>403</v>
      </c>
      <c r="AB3235" s="105">
        <v>46099.929861111108</v>
      </c>
      <c r="AC3235" s="105"/>
    </row>
    <row r="3236" s="70" customFormat="1" ht="11.25" customHeight="1">
      <c r="A3236" s="87"/>
      <c r="C3236" s="43" t="s">
        <v>5206</v>
      </c>
      <c r="D3236" s="71" t="s">
        <v>382</v>
      </c>
      <c r="E3236" s="71" t="str">
        <f>MID(D3236,1,2)</f>
        <v>IL</v>
      </c>
      <c r="F3236" s="71" t="s">
        <v>774</v>
      </c>
      <c r="G3236" s="71" t="str">
        <f>MID(F3236,1,2)</f>
        <v>CN</v>
      </c>
      <c r="H3236" s="43" t="s">
        <v>5166</v>
      </c>
      <c r="I3236" s="71" t="s">
        <v>5207</v>
      </c>
      <c r="J3236" s="71" t="s">
        <v>454</v>
      </c>
      <c r="K3236" s="43"/>
      <c r="L3236" s="71" t="s">
        <v>107</v>
      </c>
      <c r="M3236" s="73">
        <v>8</v>
      </c>
      <c r="N3236" s="71" t="s">
        <v>388</v>
      </c>
      <c r="O3236" s="73">
        <v>0.063</v>
      </c>
      <c r="P3236" s="71" t="s">
        <v>389</v>
      </c>
      <c r="Q3236" s="73">
        <v>10.5</v>
      </c>
      <c r="R3236" s="71" t="s">
        <v>388</v>
      </c>
      <c r="S3236" s="73">
        <v>0</v>
      </c>
      <c r="T3236" s="71" t="s">
        <v>390</v>
      </c>
      <c r="U3236" s="74">
        <v>1</v>
      </c>
      <c r="V3236" s="71" t="s">
        <v>391</v>
      </c>
      <c r="W3236" s="130">
        <v>46096.646828703706</v>
      </c>
      <c r="X3236" s="72">
        <v>46098.75</v>
      </c>
      <c r="Y3236" s="72">
        <v>46102.75</v>
      </c>
      <c r="Z3236" s="104" t="s">
        <v>403</v>
      </c>
      <c r="AA3236" s="104" t="s">
        <v>774</v>
      </c>
      <c r="AB3236" s="105">
        <v>46102.634722222225</v>
      </c>
      <c r="AC3236" s="105">
        <v>46102.73333333333</v>
      </c>
    </row>
    <row r="3237" s="70" customFormat="1" ht="11.25" customHeight="1">
      <c r="A3237" s="87"/>
      <c r="C3237" s="43" t="s">
        <v>5208</v>
      </c>
      <c r="D3237" s="71" t="s">
        <v>382</v>
      </c>
      <c r="E3237" s="71" t="str">
        <f>MID(D3237,1,2)</f>
        <v>IL</v>
      </c>
      <c r="F3237" s="71" t="s">
        <v>419</v>
      </c>
      <c r="G3237" s="71" t="str">
        <f>MID(F3237,1,2)</f>
        <v>US</v>
      </c>
      <c r="H3237" s="43" t="s">
        <v>5209</v>
      </c>
      <c r="I3237" s="71" t="s">
        <v>5210</v>
      </c>
      <c r="J3237" s="71" t="s">
        <v>426</v>
      </c>
      <c r="K3237" s="43"/>
      <c r="L3237" s="71" t="s">
        <v>105</v>
      </c>
      <c r="M3237" s="73">
        <v>25</v>
      </c>
      <c r="N3237" s="71" t="s">
        <v>388</v>
      </c>
      <c r="O3237" s="73">
        <v>0.106</v>
      </c>
      <c r="P3237" s="71" t="s">
        <v>389</v>
      </c>
      <c r="Q3237" s="73">
        <v>100</v>
      </c>
      <c r="R3237" s="71" t="s">
        <v>388</v>
      </c>
      <c r="S3237" s="73">
        <v>0</v>
      </c>
      <c r="T3237" s="71" t="s">
        <v>390</v>
      </c>
      <c r="U3237" s="74">
        <v>1</v>
      </c>
      <c r="V3237" s="71" t="s">
        <v>391</v>
      </c>
      <c r="W3237" s="130">
        <v>46094.382777777777</v>
      </c>
      <c r="X3237" s="72">
        <v>46087.539583333331</v>
      </c>
      <c r="Y3237" s="72">
        <v>46100.833333333336</v>
      </c>
      <c r="Z3237" s="104" t="s">
        <v>382</v>
      </c>
      <c r="AA3237" s="104" t="s">
        <v>408</v>
      </c>
      <c r="AB3237" s="105">
        <v>46096.147916666669</v>
      </c>
      <c r="AC3237" s="105"/>
    </row>
    <row r="3238" s="70" customFormat="1" ht="11.25" customHeight="1">
      <c r="A3238" s="87"/>
      <c r="C3238" s="43" t="s">
        <v>5208</v>
      </c>
      <c r="D3238" s="71" t="s">
        <v>382</v>
      </c>
      <c r="E3238" s="71" t="str">
        <f>MID(D3238,1,2)</f>
        <v>IL</v>
      </c>
      <c r="F3238" s="71" t="s">
        <v>419</v>
      </c>
      <c r="G3238" s="71" t="str">
        <f>MID(F3238,1,2)</f>
        <v>US</v>
      </c>
      <c r="H3238" s="43" t="s">
        <v>5209</v>
      </c>
      <c r="I3238" s="71" t="s">
        <v>5210</v>
      </c>
      <c r="J3238" s="71" t="s">
        <v>426</v>
      </c>
      <c r="K3238" s="43"/>
      <c r="L3238" s="71" t="s">
        <v>105</v>
      </c>
      <c r="M3238" s="73">
        <v>25</v>
      </c>
      <c r="N3238" s="71" t="s">
        <v>388</v>
      </c>
      <c r="O3238" s="73">
        <v>0.106</v>
      </c>
      <c r="P3238" s="71" t="s">
        <v>389</v>
      </c>
      <c r="Q3238" s="73">
        <v>100</v>
      </c>
      <c r="R3238" s="71" t="s">
        <v>388</v>
      </c>
      <c r="S3238" s="73">
        <v>0</v>
      </c>
      <c r="T3238" s="71" t="s">
        <v>390</v>
      </c>
      <c r="U3238" s="74">
        <v>1</v>
      </c>
      <c r="V3238" s="71" t="s">
        <v>391</v>
      </c>
      <c r="W3238" s="130">
        <v>46094.382777777777</v>
      </c>
      <c r="X3238" s="72">
        <v>46087.539583333331</v>
      </c>
      <c r="Y3238" s="72">
        <v>46100.833333333336</v>
      </c>
      <c r="Z3238" s="104" t="s">
        <v>408</v>
      </c>
      <c r="AA3238" s="104" t="s">
        <v>405</v>
      </c>
      <c r="AB3238" s="105">
        <v>46098.541666666664</v>
      </c>
      <c r="AC3238" s="105">
        <v>46098.732638888891</v>
      </c>
    </row>
    <row r="3239" s="70" customFormat="1" ht="11.25" customHeight="1">
      <c r="A3239" s="87"/>
      <c r="C3239" s="43" t="s">
        <v>5208</v>
      </c>
      <c r="D3239" s="71" t="s">
        <v>382</v>
      </c>
      <c r="E3239" s="71" t="str">
        <f>MID(D3239,1,2)</f>
        <v>IL</v>
      </c>
      <c r="F3239" s="71" t="s">
        <v>419</v>
      </c>
      <c r="G3239" s="71" t="str">
        <f>MID(F3239,1,2)</f>
        <v>US</v>
      </c>
      <c r="H3239" s="43" t="s">
        <v>5209</v>
      </c>
      <c r="I3239" s="71" t="s">
        <v>5210</v>
      </c>
      <c r="J3239" s="71" t="s">
        <v>426</v>
      </c>
      <c r="K3239" s="43"/>
      <c r="L3239" s="71" t="s">
        <v>105</v>
      </c>
      <c r="M3239" s="73">
        <v>25</v>
      </c>
      <c r="N3239" s="71" t="s">
        <v>388</v>
      </c>
      <c r="O3239" s="73">
        <v>0.106</v>
      </c>
      <c r="P3239" s="71" t="s">
        <v>389</v>
      </c>
      <c r="Q3239" s="73">
        <v>100</v>
      </c>
      <c r="R3239" s="71" t="s">
        <v>388</v>
      </c>
      <c r="S3239" s="73">
        <v>0</v>
      </c>
      <c r="T3239" s="71" t="s">
        <v>390</v>
      </c>
      <c r="U3239" s="74">
        <v>1</v>
      </c>
      <c r="V3239" s="71" t="s">
        <v>391</v>
      </c>
      <c r="W3239" s="130">
        <v>46094.382777777777</v>
      </c>
      <c r="X3239" s="72">
        <v>46087.539583333331</v>
      </c>
      <c r="Y3239" s="72">
        <v>46100.833333333336</v>
      </c>
      <c r="Z3239" s="104" t="s">
        <v>405</v>
      </c>
      <c r="AA3239" s="104" t="s">
        <v>419</v>
      </c>
      <c r="AB3239" s="105">
        <v>46099.46597222222</v>
      </c>
      <c r="AC3239" s="105">
        <v>46099.555555555555</v>
      </c>
    </row>
    <row r="3240" s="70" customFormat="1" ht="11.25" customHeight="1">
      <c r="A3240" s="87"/>
      <c r="C3240" s="43" t="s">
        <v>5211</v>
      </c>
      <c r="D3240" s="71" t="s">
        <v>382</v>
      </c>
      <c r="E3240" s="71" t="str">
        <f>MID(D3240,1,2)</f>
        <v>IL</v>
      </c>
      <c r="F3240" s="71" t="s">
        <v>414</v>
      </c>
      <c r="G3240" s="71" t="str">
        <f>MID(F3240,1,2)</f>
        <v>US</v>
      </c>
      <c r="H3240" s="43" t="s">
        <v>3776</v>
      </c>
      <c r="I3240" s="71" t="s">
        <v>5212</v>
      </c>
      <c r="J3240" s="71" t="s">
        <v>426</v>
      </c>
      <c r="K3240" s="43"/>
      <c r="L3240" s="71" t="s">
        <v>105</v>
      </c>
      <c r="M3240" s="73">
        <v>222</v>
      </c>
      <c r="N3240" s="71" t="s">
        <v>388</v>
      </c>
      <c r="O3240" s="73">
        <v>1.158</v>
      </c>
      <c r="P3240" s="71" t="s">
        <v>389</v>
      </c>
      <c r="Q3240" s="73">
        <v>222</v>
      </c>
      <c r="R3240" s="71" t="s">
        <v>388</v>
      </c>
      <c r="S3240" s="73">
        <v>0</v>
      </c>
      <c r="T3240" s="71" t="s">
        <v>390</v>
      </c>
      <c r="U3240" s="74">
        <v>1</v>
      </c>
      <c r="V3240" s="71" t="s">
        <v>391</v>
      </c>
      <c r="W3240" s="130">
        <v>46093.820138888892</v>
      </c>
      <c r="X3240" s="72">
        <v>46099.635416666664</v>
      </c>
      <c r="Y3240" s="72">
        <v>46102.708333333336</v>
      </c>
      <c r="Z3240" s="104" t="s">
        <v>382</v>
      </c>
      <c r="AA3240" s="104" t="s">
        <v>414</v>
      </c>
      <c r="AB3240" s="105">
        <v>46100.102083333331</v>
      </c>
      <c r="AC3240" s="105">
        <v>46100.31527777778</v>
      </c>
    </row>
    <row r="3241" s="70" customFormat="1" ht="11.25" customHeight="1">
      <c r="A3241" s="87"/>
      <c r="C3241" s="43" t="s">
        <v>5213</v>
      </c>
      <c r="D3241" s="71" t="s">
        <v>382</v>
      </c>
      <c r="E3241" s="71" t="str">
        <f>MID(D3241,1,2)</f>
        <v>IL</v>
      </c>
      <c r="F3241" s="71" t="s">
        <v>468</v>
      </c>
      <c r="G3241" s="71" t="str">
        <f>MID(F3241,1,2)</f>
        <v>US</v>
      </c>
      <c r="H3241" s="43" t="s">
        <v>5189</v>
      </c>
      <c r="I3241" s="71" t="s">
        <v>5214</v>
      </c>
      <c r="J3241" s="71" t="s">
        <v>386</v>
      </c>
      <c r="K3241" s="43"/>
      <c r="L3241" s="71" t="s">
        <v>107</v>
      </c>
      <c r="M3241" s="73">
        <v>39</v>
      </c>
      <c r="N3241" s="71" t="s">
        <v>388</v>
      </c>
      <c r="O3241" s="73">
        <v>0.358</v>
      </c>
      <c r="P3241" s="71" t="s">
        <v>389</v>
      </c>
      <c r="Q3241" s="73">
        <v>60</v>
      </c>
      <c r="R3241" s="71" t="s">
        <v>388</v>
      </c>
      <c r="S3241" s="73">
        <v>0</v>
      </c>
      <c r="T3241" s="71" t="s">
        <v>390</v>
      </c>
      <c r="U3241" s="74">
        <v>1</v>
      </c>
      <c r="V3241" s="71" t="s">
        <v>446</v>
      </c>
      <c r="W3241" s="130">
        <v>46097.472222222219</v>
      </c>
      <c r="X3241" s="72">
        <v>46100.333333333336</v>
      </c>
      <c r="Y3241" s="72">
        <v>46105.375</v>
      </c>
      <c r="Z3241" s="104" t="s">
        <v>382</v>
      </c>
      <c r="AA3241" s="104" t="s">
        <v>471</v>
      </c>
      <c r="AB3241" s="105">
        <v>46100.772916666669</v>
      </c>
      <c r="AC3241" s="105"/>
    </row>
    <row r="3242" s="70" customFormat="1" ht="11.25" customHeight="1">
      <c r="A3242" s="87"/>
      <c r="C3242" s="43" t="s">
        <v>5213</v>
      </c>
      <c r="D3242" s="71" t="s">
        <v>382</v>
      </c>
      <c r="E3242" s="71" t="str">
        <f>MID(D3242,1,2)</f>
        <v>IL</v>
      </c>
      <c r="F3242" s="71" t="s">
        <v>468</v>
      </c>
      <c r="G3242" s="71" t="str">
        <f>MID(F3242,1,2)</f>
        <v>US</v>
      </c>
      <c r="H3242" s="43" t="s">
        <v>5189</v>
      </c>
      <c r="I3242" s="71" t="s">
        <v>5214</v>
      </c>
      <c r="J3242" s="71" t="s">
        <v>386</v>
      </c>
      <c r="K3242" s="43"/>
      <c r="L3242" s="71" t="s">
        <v>107</v>
      </c>
      <c r="M3242" s="73">
        <v>39</v>
      </c>
      <c r="N3242" s="71" t="s">
        <v>388</v>
      </c>
      <c r="O3242" s="73">
        <v>0.358</v>
      </c>
      <c r="P3242" s="71" t="s">
        <v>389</v>
      </c>
      <c r="Q3242" s="73">
        <v>60</v>
      </c>
      <c r="R3242" s="71" t="s">
        <v>388</v>
      </c>
      <c r="S3242" s="73">
        <v>0</v>
      </c>
      <c r="T3242" s="71" t="s">
        <v>390</v>
      </c>
      <c r="U3242" s="74">
        <v>1</v>
      </c>
      <c r="V3242" s="71" t="s">
        <v>446</v>
      </c>
      <c r="W3242" s="130">
        <v>46097.472222222219</v>
      </c>
      <c r="X3242" s="72">
        <v>46100.333333333336</v>
      </c>
      <c r="Y3242" s="72">
        <v>46105.375</v>
      </c>
      <c r="Z3242" s="104" t="s">
        <v>471</v>
      </c>
      <c r="AA3242" s="104" t="s">
        <v>468</v>
      </c>
      <c r="AB3242" s="105"/>
      <c r="AC3242" s="105"/>
    </row>
    <row r="3243" s="70" customFormat="1" ht="11.25" customHeight="1">
      <c r="A3243" s="87"/>
      <c r="C3243" s="43" t="s">
        <v>5215</v>
      </c>
      <c r="D3243" s="71" t="s">
        <v>382</v>
      </c>
      <c r="E3243" s="71" t="str">
        <f>MID(D3243,1,2)</f>
        <v>IL</v>
      </c>
      <c r="F3243" s="71" t="s">
        <v>414</v>
      </c>
      <c r="G3243" s="71" t="str">
        <f>MID(F3243,1,2)</f>
        <v>US</v>
      </c>
      <c r="H3243" s="43" t="s">
        <v>5216</v>
      </c>
      <c r="I3243" s="71" t="s">
        <v>5217</v>
      </c>
      <c r="J3243" s="71" t="s">
        <v>386</v>
      </c>
      <c r="K3243" s="43"/>
      <c r="L3243" s="71" t="s">
        <v>107</v>
      </c>
      <c r="M3243" s="73">
        <v>231</v>
      </c>
      <c r="N3243" s="71" t="s">
        <v>388</v>
      </c>
      <c r="O3243" s="73">
        <v>1.673</v>
      </c>
      <c r="P3243" s="71" t="s">
        <v>389</v>
      </c>
      <c r="Q3243" s="73">
        <v>279</v>
      </c>
      <c r="R3243" s="71" t="s">
        <v>388</v>
      </c>
      <c r="S3243" s="73">
        <v>0</v>
      </c>
      <c r="T3243" s="71" t="s">
        <v>390</v>
      </c>
      <c r="U3243" s="74">
        <v>1</v>
      </c>
      <c r="V3243" s="71" t="s">
        <v>446</v>
      </c>
      <c r="W3243" s="130">
        <v>46097.520833333336</v>
      </c>
      <c r="X3243" s="72">
        <v>46101.299305555556</v>
      </c>
      <c r="Y3243" s="72">
        <v>46102.197222222225</v>
      </c>
      <c r="Z3243" s="104" t="s">
        <v>382</v>
      </c>
      <c r="AA3243" s="104" t="s">
        <v>414</v>
      </c>
      <c r="AB3243" s="105">
        <v>46101.299305555556</v>
      </c>
      <c r="AC3243" s="105">
        <v>46101.519444444442</v>
      </c>
    </row>
    <row r="3244" s="70" customFormat="1" ht="11.25" customHeight="1">
      <c r="A3244" s="87"/>
      <c r="C3244" s="43" t="s">
        <v>5218</v>
      </c>
      <c r="D3244" s="71" t="s">
        <v>382</v>
      </c>
      <c r="E3244" s="71" t="str">
        <f>MID(D3244,1,2)</f>
        <v>IL</v>
      </c>
      <c r="F3244" s="71" t="s">
        <v>414</v>
      </c>
      <c r="G3244" s="71" t="str">
        <f>MID(F3244,1,2)</f>
        <v>US</v>
      </c>
      <c r="H3244" s="43" t="s">
        <v>5126</v>
      </c>
      <c r="I3244" s="71" t="s">
        <v>5219</v>
      </c>
      <c r="J3244" s="71" t="s">
        <v>386</v>
      </c>
      <c r="K3244" s="43"/>
      <c r="L3244" s="71" t="s">
        <v>107</v>
      </c>
      <c r="M3244" s="73">
        <v>17</v>
      </c>
      <c r="N3244" s="71" t="s">
        <v>388</v>
      </c>
      <c r="O3244" s="73">
        <v>0.302</v>
      </c>
      <c r="P3244" s="71" t="s">
        <v>389</v>
      </c>
      <c r="Q3244" s="73">
        <v>50.5</v>
      </c>
      <c r="R3244" s="71" t="s">
        <v>388</v>
      </c>
      <c r="S3244" s="73">
        <v>0</v>
      </c>
      <c r="T3244" s="71" t="s">
        <v>390</v>
      </c>
      <c r="U3244" s="74">
        <v>7</v>
      </c>
      <c r="V3244" s="71" t="s">
        <v>427</v>
      </c>
      <c r="W3244" s="130">
        <v>46096.326388888891</v>
      </c>
      <c r="X3244" s="72">
        <v>46099.854166666664</v>
      </c>
      <c r="Y3244" s="72">
        <v>46101.510416666664</v>
      </c>
      <c r="Z3244" s="104" t="s">
        <v>382</v>
      </c>
      <c r="AA3244" s="104" t="s">
        <v>414</v>
      </c>
      <c r="AB3244" s="105">
        <v>46101.299305555556</v>
      </c>
      <c r="AC3244" s="105">
        <v>46101.519444444442</v>
      </c>
    </row>
    <row r="3245" s="70" customFormat="1" ht="11.25" customHeight="1">
      <c r="A3245" s="87"/>
      <c r="C3245" s="43" t="s">
        <v>5220</v>
      </c>
      <c r="D3245" s="71" t="s">
        <v>382</v>
      </c>
      <c r="E3245" s="71" t="str">
        <f>MID(D3245,1,2)</f>
        <v>IL</v>
      </c>
      <c r="F3245" s="71" t="s">
        <v>414</v>
      </c>
      <c r="G3245" s="71" t="str">
        <f>MID(F3245,1,2)</f>
        <v>US</v>
      </c>
      <c r="H3245" s="43" t="s">
        <v>5126</v>
      </c>
      <c r="I3245" s="71" t="s">
        <v>5221</v>
      </c>
      <c r="J3245" s="71" t="s">
        <v>386</v>
      </c>
      <c r="K3245" s="43"/>
      <c r="L3245" s="71" t="s">
        <v>107</v>
      </c>
      <c r="M3245" s="73">
        <v>1</v>
      </c>
      <c r="N3245" s="71" t="s">
        <v>388</v>
      </c>
      <c r="O3245" s="73">
        <v>0.036</v>
      </c>
      <c r="P3245" s="71" t="s">
        <v>389</v>
      </c>
      <c r="Q3245" s="73">
        <v>6</v>
      </c>
      <c r="R3245" s="71" t="s">
        <v>388</v>
      </c>
      <c r="S3245" s="73">
        <v>0</v>
      </c>
      <c r="T3245" s="71" t="s">
        <v>390</v>
      </c>
      <c r="U3245" s="74">
        <v>1</v>
      </c>
      <c r="V3245" s="71" t="s">
        <v>427</v>
      </c>
      <c r="W3245" s="130">
        <v>46096.334027777775</v>
      </c>
      <c r="X3245" s="72">
        <v>46099.854166666664</v>
      </c>
      <c r="Y3245" s="72">
        <v>46101.510416666664</v>
      </c>
      <c r="Z3245" s="104" t="s">
        <v>382</v>
      </c>
      <c r="AA3245" s="104" t="s">
        <v>414</v>
      </c>
      <c r="AB3245" s="105">
        <v>46101.299305555556</v>
      </c>
      <c r="AC3245" s="105">
        <v>46101.519444444442</v>
      </c>
    </row>
    <row r="3246" s="70" customFormat="1" ht="11.25" customHeight="1">
      <c r="A3246" s="87"/>
      <c r="C3246" s="43" t="s">
        <v>5222</v>
      </c>
      <c r="D3246" s="71" t="s">
        <v>382</v>
      </c>
      <c r="E3246" s="71" t="str">
        <f>MID(D3246,1,2)</f>
        <v>IL</v>
      </c>
      <c r="F3246" s="71" t="s">
        <v>414</v>
      </c>
      <c r="G3246" s="71" t="str">
        <f>MID(F3246,1,2)</f>
        <v>US</v>
      </c>
      <c r="H3246" s="43" t="s">
        <v>5126</v>
      </c>
      <c r="I3246" s="71" t="s">
        <v>5223</v>
      </c>
      <c r="J3246" s="71" t="s">
        <v>386</v>
      </c>
      <c r="K3246" s="43"/>
      <c r="L3246" s="71" t="s">
        <v>107</v>
      </c>
      <c r="M3246" s="73">
        <v>2</v>
      </c>
      <c r="N3246" s="71" t="s">
        <v>388</v>
      </c>
      <c r="O3246" s="73">
        <v>0.029</v>
      </c>
      <c r="P3246" s="71" t="s">
        <v>389</v>
      </c>
      <c r="Q3246" s="73">
        <v>5</v>
      </c>
      <c r="R3246" s="71" t="s">
        <v>388</v>
      </c>
      <c r="S3246" s="73">
        <v>0</v>
      </c>
      <c r="T3246" s="71" t="s">
        <v>390</v>
      </c>
      <c r="U3246" s="74">
        <v>1</v>
      </c>
      <c r="V3246" s="71" t="s">
        <v>427</v>
      </c>
      <c r="W3246" s="130">
        <v>46096.38958333333</v>
      </c>
      <c r="X3246" s="72">
        <v>46099.854166666664</v>
      </c>
      <c r="Y3246" s="72">
        <v>46101.510416666664</v>
      </c>
      <c r="Z3246" s="104" t="s">
        <v>382</v>
      </c>
      <c r="AA3246" s="104" t="s">
        <v>414</v>
      </c>
      <c r="AB3246" s="105">
        <v>46101.299305555556</v>
      </c>
      <c r="AC3246" s="105">
        <v>46101.519444444442</v>
      </c>
    </row>
    <row r="3247" s="70" customFormat="1" ht="11.25" customHeight="1">
      <c r="A3247" s="87"/>
      <c r="C3247" s="43" t="s">
        <v>5224</v>
      </c>
      <c r="D3247" s="71" t="s">
        <v>382</v>
      </c>
      <c r="E3247" s="71" t="str">
        <f>MID(D3247,1,2)</f>
        <v>IL</v>
      </c>
      <c r="F3247" s="71" t="s">
        <v>414</v>
      </c>
      <c r="G3247" s="71" t="str">
        <f>MID(F3247,1,2)</f>
        <v>US</v>
      </c>
      <c r="H3247" s="43" t="s">
        <v>5126</v>
      </c>
      <c r="I3247" s="71" t="s">
        <v>5225</v>
      </c>
      <c r="J3247" s="71" t="s">
        <v>386</v>
      </c>
      <c r="K3247" s="43"/>
      <c r="L3247" s="71" t="s">
        <v>107</v>
      </c>
      <c r="M3247" s="73">
        <v>5</v>
      </c>
      <c r="N3247" s="71" t="s">
        <v>388</v>
      </c>
      <c r="O3247" s="73">
        <v>0.074</v>
      </c>
      <c r="P3247" s="71" t="s">
        <v>389</v>
      </c>
      <c r="Q3247" s="73">
        <v>12.5</v>
      </c>
      <c r="R3247" s="71" t="s">
        <v>388</v>
      </c>
      <c r="S3247" s="73">
        <v>0</v>
      </c>
      <c r="T3247" s="71" t="s">
        <v>390</v>
      </c>
      <c r="U3247" s="74">
        <v>1</v>
      </c>
      <c r="V3247" s="71" t="s">
        <v>427</v>
      </c>
      <c r="W3247" s="130">
        <v>46096.402777777781</v>
      </c>
      <c r="X3247" s="72">
        <v>46099.854166666664</v>
      </c>
      <c r="Y3247" s="72">
        <v>46101.510416666664</v>
      </c>
      <c r="Z3247" s="104" t="s">
        <v>382</v>
      </c>
      <c r="AA3247" s="104" t="s">
        <v>414</v>
      </c>
      <c r="AB3247" s="105">
        <v>46101.299305555556</v>
      </c>
      <c r="AC3247" s="105">
        <v>46101.519444444442</v>
      </c>
    </row>
    <row r="3248" s="70" customFormat="1" ht="11.25" customHeight="1">
      <c r="A3248" s="87"/>
      <c r="C3248" s="43" t="s">
        <v>5226</v>
      </c>
      <c r="D3248" s="71" t="s">
        <v>382</v>
      </c>
      <c r="E3248" s="71" t="str">
        <f>MID(D3248,1,2)</f>
        <v>IL</v>
      </c>
      <c r="F3248" s="71" t="s">
        <v>5227</v>
      </c>
      <c r="G3248" s="71" t="str">
        <f>MID(F3248,1,2)</f>
        <v>US</v>
      </c>
      <c r="H3248" s="43" t="s">
        <v>5228</v>
      </c>
      <c r="I3248" s="71" t="s">
        <v>5229</v>
      </c>
      <c r="J3248" s="71" t="s">
        <v>426</v>
      </c>
      <c r="K3248" s="43"/>
      <c r="L3248" s="71" t="s">
        <v>105</v>
      </c>
      <c r="M3248" s="73">
        <v>117</v>
      </c>
      <c r="N3248" s="71" t="s">
        <v>388</v>
      </c>
      <c r="O3248" s="73">
        <v>0.254</v>
      </c>
      <c r="P3248" s="71" t="s">
        <v>389</v>
      </c>
      <c r="Q3248" s="73">
        <v>117</v>
      </c>
      <c r="R3248" s="71" t="s">
        <v>388</v>
      </c>
      <c r="S3248" s="73">
        <v>0</v>
      </c>
      <c r="T3248" s="71" t="s">
        <v>390</v>
      </c>
      <c r="U3248" s="74">
        <v>1</v>
      </c>
      <c r="V3248" s="71" t="s">
        <v>391</v>
      </c>
      <c r="W3248" s="130">
        <v>46096.45208333333</v>
      </c>
      <c r="X3248" s="72">
        <v>46100.333333333336</v>
      </c>
      <c r="Y3248" s="72">
        <v>46104.416666666664</v>
      </c>
      <c r="Z3248" s="104" t="s">
        <v>382</v>
      </c>
      <c r="AA3248" s="104" t="s">
        <v>471</v>
      </c>
      <c r="AB3248" s="105">
        <v>46100.781944444447</v>
      </c>
      <c r="AC3248" s="105"/>
    </row>
    <row r="3249" s="70" customFormat="1" ht="11.25" customHeight="1">
      <c r="A3249" s="87"/>
      <c r="C3249" s="43" t="s">
        <v>5226</v>
      </c>
      <c r="D3249" s="71" t="s">
        <v>382</v>
      </c>
      <c r="E3249" s="71" t="str">
        <f>MID(D3249,1,2)</f>
        <v>IL</v>
      </c>
      <c r="F3249" s="71" t="s">
        <v>5227</v>
      </c>
      <c r="G3249" s="71" t="str">
        <f>MID(F3249,1,2)</f>
        <v>US</v>
      </c>
      <c r="H3249" s="43" t="s">
        <v>5228</v>
      </c>
      <c r="I3249" s="71" t="s">
        <v>5229</v>
      </c>
      <c r="J3249" s="71" t="s">
        <v>426</v>
      </c>
      <c r="K3249" s="43"/>
      <c r="L3249" s="71" t="s">
        <v>105</v>
      </c>
      <c r="M3249" s="73">
        <v>117</v>
      </c>
      <c r="N3249" s="71" t="s">
        <v>388</v>
      </c>
      <c r="O3249" s="73">
        <v>0.254</v>
      </c>
      <c r="P3249" s="71" t="s">
        <v>389</v>
      </c>
      <c r="Q3249" s="73">
        <v>117</v>
      </c>
      <c r="R3249" s="71" t="s">
        <v>388</v>
      </c>
      <c r="S3249" s="73">
        <v>0</v>
      </c>
      <c r="T3249" s="71" t="s">
        <v>390</v>
      </c>
      <c r="U3249" s="74">
        <v>1</v>
      </c>
      <c r="V3249" s="71" t="s">
        <v>391</v>
      </c>
      <c r="W3249" s="130">
        <v>46096.45208333333</v>
      </c>
      <c r="X3249" s="72">
        <v>46100.333333333336</v>
      </c>
      <c r="Y3249" s="72">
        <v>46104.416666666664</v>
      </c>
      <c r="Z3249" s="104" t="s">
        <v>471</v>
      </c>
      <c r="AA3249" s="104" t="s">
        <v>5227</v>
      </c>
      <c r="AB3249" s="105"/>
      <c r="AC3249" s="105"/>
    </row>
    <row r="3250" s="70" customFormat="1" ht="11.25" customHeight="1">
      <c r="A3250" s="87"/>
      <c r="C3250" s="43" t="s">
        <v>5230</v>
      </c>
      <c r="D3250" s="71" t="s">
        <v>382</v>
      </c>
      <c r="E3250" s="71" t="str">
        <f>MID(D3250,1,2)</f>
        <v>IL</v>
      </c>
      <c r="F3250" s="71" t="s">
        <v>414</v>
      </c>
      <c r="G3250" s="71" t="str">
        <f>MID(F3250,1,2)</f>
        <v>US</v>
      </c>
      <c r="H3250" s="43" t="s">
        <v>5126</v>
      </c>
      <c r="I3250" s="71" t="s">
        <v>5231</v>
      </c>
      <c r="J3250" s="71" t="s">
        <v>426</v>
      </c>
      <c r="K3250" s="43"/>
      <c r="L3250" s="71" t="s">
        <v>105</v>
      </c>
      <c r="M3250" s="73">
        <v>540</v>
      </c>
      <c r="N3250" s="71" t="s">
        <v>388</v>
      </c>
      <c r="O3250" s="73">
        <v>5.775</v>
      </c>
      <c r="P3250" s="71" t="s">
        <v>389</v>
      </c>
      <c r="Q3250" s="73">
        <v>962.5</v>
      </c>
      <c r="R3250" s="71" t="s">
        <v>388</v>
      </c>
      <c r="S3250" s="73">
        <v>0</v>
      </c>
      <c r="T3250" s="71" t="s">
        <v>390</v>
      </c>
      <c r="U3250" s="74">
        <v>4</v>
      </c>
      <c r="V3250" s="71" t="s">
        <v>391</v>
      </c>
      <c r="W3250" s="130">
        <v>46096.410416666666</v>
      </c>
      <c r="X3250" s="72">
        <v>46099.854166666664</v>
      </c>
      <c r="Y3250" s="72">
        <v>46101.510416666664</v>
      </c>
      <c r="Z3250" s="104" t="s">
        <v>382</v>
      </c>
      <c r="AA3250" s="104" t="s">
        <v>414</v>
      </c>
      <c r="AB3250" s="105">
        <v>46101.299305555556</v>
      </c>
      <c r="AC3250" s="105">
        <v>46101.519444444442</v>
      </c>
    </row>
    <row r="3251" s="70" customFormat="1" ht="11.25" customHeight="1">
      <c r="A3251" s="87"/>
      <c r="C3251" s="43" t="s">
        <v>5232</v>
      </c>
      <c r="D3251" s="71" t="s">
        <v>382</v>
      </c>
      <c r="E3251" s="71" t="str">
        <f>MID(D3251,1,2)</f>
        <v>IL</v>
      </c>
      <c r="F3251" s="71" t="s">
        <v>684</v>
      </c>
      <c r="G3251" s="71" t="str">
        <f>MID(F3251,1,2)</f>
        <v>IT</v>
      </c>
      <c r="H3251" s="43" t="s">
        <v>5233</v>
      </c>
      <c r="I3251" s="71" t="s">
        <v>5234</v>
      </c>
      <c r="J3251" s="71" t="s">
        <v>454</v>
      </c>
      <c r="K3251" s="43"/>
      <c r="L3251" s="71" t="s">
        <v>107</v>
      </c>
      <c r="M3251" s="73">
        <v>91</v>
      </c>
      <c r="N3251" s="71" t="s">
        <v>388</v>
      </c>
      <c r="O3251" s="73">
        <v>0.883</v>
      </c>
      <c r="P3251" s="71" t="s">
        <v>389</v>
      </c>
      <c r="Q3251" s="73">
        <v>147.5</v>
      </c>
      <c r="R3251" s="71" t="s">
        <v>388</v>
      </c>
      <c r="S3251" s="73">
        <v>0</v>
      </c>
      <c r="T3251" s="71" t="s">
        <v>390</v>
      </c>
      <c r="U3251" s="74">
        <v>1</v>
      </c>
      <c r="V3251" s="71" t="s">
        <v>391</v>
      </c>
      <c r="W3251" s="130">
        <v>46097.40347222222</v>
      </c>
      <c r="X3251" s="72">
        <v>46101.979166666664</v>
      </c>
      <c r="Y3251" s="72">
        <v>46106.375</v>
      </c>
      <c r="Z3251" s="104" t="s">
        <v>382</v>
      </c>
      <c r="AA3251" s="104" t="s">
        <v>4692</v>
      </c>
      <c r="AB3251" s="105">
        <v>46101.996527777781</v>
      </c>
      <c r="AC3251" s="105">
        <v>46102.125</v>
      </c>
    </row>
    <row r="3252" s="70" customFormat="1" ht="11.25" customHeight="1">
      <c r="A3252" s="87"/>
      <c r="C3252" s="43" t="s">
        <v>5232</v>
      </c>
      <c r="D3252" s="71" t="s">
        <v>382</v>
      </c>
      <c r="E3252" s="71" t="str">
        <f>MID(D3252,1,2)</f>
        <v>IL</v>
      </c>
      <c r="F3252" s="71" t="s">
        <v>684</v>
      </c>
      <c r="G3252" s="71" t="str">
        <f>MID(F3252,1,2)</f>
        <v>IT</v>
      </c>
      <c r="H3252" s="43" t="s">
        <v>5233</v>
      </c>
      <c r="I3252" s="71" t="s">
        <v>5234</v>
      </c>
      <c r="J3252" s="71" t="s">
        <v>454</v>
      </c>
      <c r="K3252" s="43"/>
      <c r="L3252" s="71" t="s">
        <v>107</v>
      </c>
      <c r="M3252" s="73">
        <v>91</v>
      </c>
      <c r="N3252" s="71" t="s">
        <v>388</v>
      </c>
      <c r="O3252" s="73">
        <v>0.883</v>
      </c>
      <c r="P3252" s="71" t="s">
        <v>389</v>
      </c>
      <c r="Q3252" s="73">
        <v>147.5</v>
      </c>
      <c r="R3252" s="71" t="s">
        <v>388</v>
      </c>
      <c r="S3252" s="73">
        <v>0</v>
      </c>
      <c r="T3252" s="71" t="s">
        <v>390</v>
      </c>
      <c r="U3252" s="74">
        <v>1</v>
      </c>
      <c r="V3252" s="71" t="s">
        <v>391</v>
      </c>
      <c r="W3252" s="130">
        <v>46097.40347222222</v>
      </c>
      <c r="X3252" s="72">
        <v>46101.979166666664</v>
      </c>
      <c r="Y3252" s="72">
        <v>46106.375</v>
      </c>
      <c r="Z3252" s="104" t="s">
        <v>4692</v>
      </c>
      <c r="AA3252" s="104" t="s">
        <v>465</v>
      </c>
      <c r="AB3252" s="105"/>
      <c r="AC3252" s="105"/>
    </row>
    <row r="3253" s="70" customFormat="1" ht="11.25" customHeight="1">
      <c r="A3253" s="87"/>
      <c r="C3253" s="43" t="s">
        <v>5232</v>
      </c>
      <c r="D3253" s="71" t="s">
        <v>382</v>
      </c>
      <c r="E3253" s="71" t="str">
        <f>MID(D3253,1,2)</f>
        <v>IL</v>
      </c>
      <c r="F3253" s="71" t="s">
        <v>684</v>
      </c>
      <c r="G3253" s="71" t="str">
        <f>MID(F3253,1,2)</f>
        <v>IT</v>
      </c>
      <c r="H3253" s="43" t="s">
        <v>5233</v>
      </c>
      <c r="I3253" s="71" t="s">
        <v>5234</v>
      </c>
      <c r="J3253" s="71" t="s">
        <v>454</v>
      </c>
      <c r="K3253" s="43"/>
      <c r="L3253" s="71" t="s">
        <v>107</v>
      </c>
      <c r="M3253" s="73">
        <v>91</v>
      </c>
      <c r="N3253" s="71" t="s">
        <v>388</v>
      </c>
      <c r="O3253" s="73">
        <v>0.883</v>
      </c>
      <c r="P3253" s="71" t="s">
        <v>389</v>
      </c>
      <c r="Q3253" s="73">
        <v>147.5</v>
      </c>
      <c r="R3253" s="71" t="s">
        <v>388</v>
      </c>
      <c r="S3253" s="73">
        <v>0</v>
      </c>
      <c r="T3253" s="71" t="s">
        <v>390</v>
      </c>
      <c r="U3253" s="74">
        <v>1</v>
      </c>
      <c r="V3253" s="71" t="s">
        <v>391</v>
      </c>
      <c r="W3253" s="130">
        <v>46097.40347222222</v>
      </c>
      <c r="X3253" s="72">
        <v>46101.979166666664</v>
      </c>
      <c r="Y3253" s="72">
        <v>46106.375</v>
      </c>
      <c r="Z3253" s="104" t="s">
        <v>465</v>
      </c>
      <c r="AA3253" s="104" t="s">
        <v>684</v>
      </c>
      <c r="AB3253" s="105"/>
      <c r="AC3253" s="105"/>
    </row>
    <row r="3254" s="70" customFormat="1" ht="11.25" customHeight="1">
      <c r="A3254" s="87"/>
      <c r="C3254" s="43" t="s">
        <v>5235</v>
      </c>
      <c r="D3254" s="71" t="s">
        <v>382</v>
      </c>
      <c r="E3254" s="71" t="str">
        <f>MID(D3254,1,2)</f>
        <v>IL</v>
      </c>
      <c r="F3254" s="71" t="s">
        <v>1163</v>
      </c>
      <c r="G3254" s="71" t="str">
        <f>MID(F3254,1,2)</f>
        <v>AR</v>
      </c>
      <c r="H3254" s="43" t="s">
        <v>5236</v>
      </c>
      <c r="I3254" s="71" t="s">
        <v>5237</v>
      </c>
      <c r="J3254" s="71" t="s">
        <v>811</v>
      </c>
      <c r="K3254" s="43"/>
      <c r="L3254" s="71" t="s">
        <v>105</v>
      </c>
      <c r="M3254" s="73">
        <v>190</v>
      </c>
      <c r="N3254" s="71" t="s">
        <v>388</v>
      </c>
      <c r="O3254" s="73">
        <v>0.495</v>
      </c>
      <c r="P3254" s="71" t="s">
        <v>389</v>
      </c>
      <c r="Q3254" s="73">
        <v>190</v>
      </c>
      <c r="R3254" s="71" t="s">
        <v>388</v>
      </c>
      <c r="S3254" s="73">
        <v>0</v>
      </c>
      <c r="T3254" s="71" t="s">
        <v>390</v>
      </c>
      <c r="U3254" s="74">
        <v>8</v>
      </c>
      <c r="V3254" s="71" t="s">
        <v>391</v>
      </c>
      <c r="W3254" s="130">
        <v>46096.563194444447</v>
      </c>
      <c r="X3254" s="72">
        <v>46098.833333333336</v>
      </c>
      <c r="Y3254" s="72">
        <v>46103.368055555555</v>
      </c>
      <c r="Z3254" s="104" t="s">
        <v>382</v>
      </c>
      <c r="AA3254" s="104" t="s">
        <v>684</v>
      </c>
      <c r="AB3254" s="105">
        <v>46098.85833333333</v>
      </c>
      <c r="AC3254" s="105">
        <v>46099.006944444445</v>
      </c>
    </row>
    <row r="3255" s="70" customFormat="1" ht="11.25" customHeight="1">
      <c r="A3255" s="87"/>
      <c r="C3255" s="43" t="s">
        <v>5235</v>
      </c>
      <c r="D3255" s="71" t="s">
        <v>382</v>
      </c>
      <c r="E3255" s="71" t="str">
        <f>MID(D3255,1,2)</f>
        <v>IL</v>
      </c>
      <c r="F3255" s="71" t="s">
        <v>1163</v>
      </c>
      <c r="G3255" s="71" t="str">
        <f>MID(F3255,1,2)</f>
        <v>AR</v>
      </c>
      <c r="H3255" s="43" t="s">
        <v>5236</v>
      </c>
      <c r="I3255" s="71" t="s">
        <v>5237</v>
      </c>
      <c r="J3255" s="71" t="s">
        <v>811</v>
      </c>
      <c r="K3255" s="43"/>
      <c r="L3255" s="71" t="s">
        <v>105</v>
      </c>
      <c r="M3255" s="73">
        <v>190</v>
      </c>
      <c r="N3255" s="71" t="s">
        <v>388</v>
      </c>
      <c r="O3255" s="73">
        <v>0.495</v>
      </c>
      <c r="P3255" s="71" t="s">
        <v>389</v>
      </c>
      <c r="Q3255" s="73">
        <v>190</v>
      </c>
      <c r="R3255" s="71" t="s">
        <v>388</v>
      </c>
      <c r="S3255" s="73">
        <v>0</v>
      </c>
      <c r="T3255" s="71" t="s">
        <v>390</v>
      </c>
      <c r="U3255" s="74">
        <v>8</v>
      </c>
      <c r="V3255" s="71" t="s">
        <v>391</v>
      </c>
      <c r="W3255" s="130">
        <v>46096.563194444447</v>
      </c>
      <c r="X3255" s="72">
        <v>46098.833333333336</v>
      </c>
      <c r="Y3255" s="72">
        <v>46103.368055555555</v>
      </c>
      <c r="Z3255" s="104" t="s">
        <v>684</v>
      </c>
      <c r="AA3255" s="104" t="s">
        <v>590</v>
      </c>
      <c r="AB3255" s="105">
        <v>46099.785416666666</v>
      </c>
      <c r="AC3255" s="105">
        <v>46100.859722222223</v>
      </c>
    </row>
    <row r="3256" s="70" customFormat="1" ht="11.25" customHeight="1">
      <c r="A3256" s="87"/>
      <c r="C3256" s="43" t="s">
        <v>5235</v>
      </c>
      <c r="D3256" s="71" t="s">
        <v>382</v>
      </c>
      <c r="E3256" s="71" t="str">
        <f>MID(D3256,1,2)</f>
        <v>IL</v>
      </c>
      <c r="F3256" s="71" t="s">
        <v>1163</v>
      </c>
      <c r="G3256" s="71" t="str">
        <f>MID(F3256,1,2)</f>
        <v>AR</v>
      </c>
      <c r="H3256" s="43" t="s">
        <v>5236</v>
      </c>
      <c r="I3256" s="71" t="s">
        <v>5237</v>
      </c>
      <c r="J3256" s="71" t="s">
        <v>811</v>
      </c>
      <c r="K3256" s="43"/>
      <c r="L3256" s="71" t="s">
        <v>105</v>
      </c>
      <c r="M3256" s="73">
        <v>190</v>
      </c>
      <c r="N3256" s="71" t="s">
        <v>388</v>
      </c>
      <c r="O3256" s="73">
        <v>0.495</v>
      </c>
      <c r="P3256" s="71" t="s">
        <v>389</v>
      </c>
      <c r="Q3256" s="73">
        <v>190</v>
      </c>
      <c r="R3256" s="71" t="s">
        <v>388</v>
      </c>
      <c r="S3256" s="73">
        <v>0</v>
      </c>
      <c r="T3256" s="71" t="s">
        <v>390</v>
      </c>
      <c r="U3256" s="74">
        <v>8</v>
      </c>
      <c r="V3256" s="71" t="s">
        <v>391</v>
      </c>
      <c r="W3256" s="130">
        <v>46096.563194444447</v>
      </c>
      <c r="X3256" s="72">
        <v>46098.833333333336</v>
      </c>
      <c r="Y3256" s="72">
        <v>46103.368055555555</v>
      </c>
      <c r="Z3256" s="104" t="s">
        <v>590</v>
      </c>
      <c r="AA3256" s="104" t="s">
        <v>1163</v>
      </c>
      <c r="AB3256" s="105"/>
      <c r="AC3256" s="105"/>
    </row>
    <row r="3257" s="70" customFormat="1" ht="11.25" customHeight="1">
      <c r="A3257" s="87"/>
      <c r="C3257" s="43" t="s">
        <v>5238</v>
      </c>
      <c r="D3257" s="71" t="s">
        <v>382</v>
      </c>
      <c r="E3257" s="71" t="str">
        <f>MID(D3257,1,2)</f>
        <v>IL</v>
      </c>
      <c r="F3257" s="71" t="s">
        <v>651</v>
      </c>
      <c r="G3257" s="71" t="str">
        <f>MID(F3257,1,2)</f>
        <v>BR</v>
      </c>
      <c r="H3257" s="43" t="s">
        <v>5239</v>
      </c>
      <c r="I3257" s="71" t="s">
        <v>5240</v>
      </c>
      <c r="J3257" s="71" t="s">
        <v>386</v>
      </c>
      <c r="K3257" s="43"/>
      <c r="L3257" s="71" t="s">
        <v>107</v>
      </c>
      <c r="M3257" s="73">
        <v>6</v>
      </c>
      <c r="N3257" s="71" t="s">
        <v>388</v>
      </c>
      <c r="O3257" s="73">
        <v>0.025</v>
      </c>
      <c r="P3257" s="71" t="s">
        <v>389</v>
      </c>
      <c r="Q3257" s="73">
        <v>100</v>
      </c>
      <c r="R3257" s="71" t="s">
        <v>388</v>
      </c>
      <c r="S3257" s="73">
        <v>0</v>
      </c>
      <c r="T3257" s="71" t="s">
        <v>390</v>
      </c>
      <c r="U3257" s="74">
        <v>1</v>
      </c>
      <c r="V3257" s="71" t="s">
        <v>391</v>
      </c>
      <c r="W3257" s="130">
        <v>46096.534722222219</v>
      </c>
      <c r="X3257" s="72">
        <v>46098.8125</v>
      </c>
      <c r="Y3257" s="72">
        <v>46105.375</v>
      </c>
      <c r="Z3257" s="104" t="s">
        <v>382</v>
      </c>
      <c r="AA3257" s="104" t="s">
        <v>408</v>
      </c>
      <c r="AB3257" s="105">
        <v>46098.529166666667</v>
      </c>
      <c r="AC3257" s="105"/>
    </row>
    <row r="3258" s="70" customFormat="1" ht="11.25" customHeight="1">
      <c r="A3258" s="87"/>
      <c r="C3258" s="43" t="s">
        <v>5238</v>
      </c>
      <c r="D3258" s="71" t="s">
        <v>382</v>
      </c>
      <c r="E3258" s="71" t="str">
        <f>MID(D3258,1,2)</f>
        <v>IL</v>
      </c>
      <c r="F3258" s="71" t="s">
        <v>651</v>
      </c>
      <c r="G3258" s="71" t="str">
        <f>MID(F3258,1,2)</f>
        <v>BR</v>
      </c>
      <c r="H3258" s="43" t="s">
        <v>5239</v>
      </c>
      <c r="I3258" s="71" t="s">
        <v>5240</v>
      </c>
      <c r="J3258" s="71" t="s">
        <v>386</v>
      </c>
      <c r="K3258" s="43"/>
      <c r="L3258" s="71" t="s">
        <v>107</v>
      </c>
      <c r="M3258" s="73">
        <v>6</v>
      </c>
      <c r="N3258" s="71" t="s">
        <v>388</v>
      </c>
      <c r="O3258" s="73">
        <v>0.025</v>
      </c>
      <c r="P3258" s="71" t="s">
        <v>389</v>
      </c>
      <c r="Q3258" s="73">
        <v>100</v>
      </c>
      <c r="R3258" s="71" t="s">
        <v>388</v>
      </c>
      <c r="S3258" s="73">
        <v>0</v>
      </c>
      <c r="T3258" s="71" t="s">
        <v>390</v>
      </c>
      <c r="U3258" s="74">
        <v>1</v>
      </c>
      <c r="V3258" s="71" t="s">
        <v>391</v>
      </c>
      <c r="W3258" s="130">
        <v>46096.534722222219</v>
      </c>
      <c r="X3258" s="72">
        <v>46098.8125</v>
      </c>
      <c r="Y3258" s="72">
        <v>46105.375</v>
      </c>
      <c r="Z3258" s="104" t="s">
        <v>408</v>
      </c>
      <c r="AA3258" s="104" t="s">
        <v>405</v>
      </c>
      <c r="AB3258" s="105"/>
      <c r="AC3258" s="105"/>
    </row>
    <row r="3259" s="70" customFormat="1" ht="11.25" customHeight="1">
      <c r="A3259" s="87"/>
      <c r="C3259" s="43" t="s">
        <v>5238</v>
      </c>
      <c r="D3259" s="71" t="s">
        <v>382</v>
      </c>
      <c r="E3259" s="71" t="str">
        <f>MID(D3259,1,2)</f>
        <v>IL</v>
      </c>
      <c r="F3259" s="71" t="s">
        <v>651</v>
      </c>
      <c r="G3259" s="71" t="str">
        <f>MID(F3259,1,2)</f>
        <v>BR</v>
      </c>
      <c r="H3259" s="43" t="s">
        <v>5239</v>
      </c>
      <c r="I3259" s="71" t="s">
        <v>5240</v>
      </c>
      <c r="J3259" s="71" t="s">
        <v>386</v>
      </c>
      <c r="K3259" s="43"/>
      <c r="L3259" s="71" t="s">
        <v>107</v>
      </c>
      <c r="M3259" s="73">
        <v>6</v>
      </c>
      <c r="N3259" s="71" t="s">
        <v>388</v>
      </c>
      <c r="O3259" s="73">
        <v>0.025</v>
      </c>
      <c r="P3259" s="71" t="s">
        <v>389</v>
      </c>
      <c r="Q3259" s="73">
        <v>100</v>
      </c>
      <c r="R3259" s="71" t="s">
        <v>388</v>
      </c>
      <c r="S3259" s="73">
        <v>0</v>
      </c>
      <c r="T3259" s="71" t="s">
        <v>390</v>
      </c>
      <c r="U3259" s="74">
        <v>1</v>
      </c>
      <c r="V3259" s="71" t="s">
        <v>391</v>
      </c>
      <c r="W3259" s="130">
        <v>46096.534722222219</v>
      </c>
      <c r="X3259" s="72">
        <v>46098.8125</v>
      </c>
      <c r="Y3259" s="72">
        <v>46105.375</v>
      </c>
      <c r="Z3259" s="104" t="s">
        <v>405</v>
      </c>
      <c r="AA3259" s="104" t="s">
        <v>651</v>
      </c>
      <c r="AB3259" s="105"/>
      <c r="AC3259" s="105"/>
    </row>
    <row r="3260" s="70" customFormat="1" ht="11.25" customHeight="1">
      <c r="A3260" s="87"/>
      <c r="C3260" s="43" t="s">
        <v>5241</v>
      </c>
      <c r="D3260" s="71" t="s">
        <v>382</v>
      </c>
      <c r="E3260" s="71" t="str">
        <f>MID(D3260,1,2)</f>
        <v>IL</v>
      </c>
      <c r="F3260" s="71" t="s">
        <v>542</v>
      </c>
      <c r="G3260" s="71" t="str">
        <f>MID(F3260,1,2)</f>
        <v>US</v>
      </c>
      <c r="H3260" s="43" t="s">
        <v>5242</v>
      </c>
      <c r="I3260" s="71" t="s">
        <v>5243</v>
      </c>
      <c r="J3260" s="71" t="s">
        <v>386</v>
      </c>
      <c r="K3260" s="43"/>
      <c r="L3260" s="71" t="s">
        <v>107</v>
      </c>
      <c r="M3260" s="73">
        <v>45</v>
      </c>
      <c r="N3260" s="71" t="s">
        <v>388</v>
      </c>
      <c r="O3260" s="73">
        <v>0.595</v>
      </c>
      <c r="P3260" s="71" t="s">
        <v>389</v>
      </c>
      <c r="Q3260" s="73">
        <v>100</v>
      </c>
      <c r="R3260" s="71" t="s">
        <v>388</v>
      </c>
      <c r="S3260" s="73">
        <v>0</v>
      </c>
      <c r="T3260" s="71" t="s">
        <v>390</v>
      </c>
      <c r="U3260" s="74">
        <v>1</v>
      </c>
      <c r="V3260" s="71" t="s">
        <v>391</v>
      </c>
      <c r="W3260" s="130">
        <v>46097.669444444444</v>
      </c>
      <c r="X3260" s="72">
        <v>46100.333333333336</v>
      </c>
      <c r="Y3260" s="72">
        <v>46108.770833333336</v>
      </c>
      <c r="Z3260" s="104" t="s">
        <v>382</v>
      </c>
      <c r="AA3260" s="104" t="s">
        <v>414</v>
      </c>
      <c r="AB3260" s="105"/>
      <c r="AC3260" s="105"/>
    </row>
    <row r="3261" s="70" customFormat="1" ht="11.25" customHeight="1">
      <c r="A3261" s="87"/>
      <c r="C3261" s="43" t="s">
        <v>5241</v>
      </c>
      <c r="D3261" s="71" t="s">
        <v>382</v>
      </c>
      <c r="E3261" s="71" t="str">
        <f>MID(D3261,1,2)</f>
        <v>IL</v>
      </c>
      <c r="F3261" s="71" t="s">
        <v>542</v>
      </c>
      <c r="G3261" s="71" t="str">
        <f>MID(F3261,1,2)</f>
        <v>US</v>
      </c>
      <c r="H3261" s="43" t="s">
        <v>5242</v>
      </c>
      <c r="I3261" s="71" t="s">
        <v>5243</v>
      </c>
      <c r="J3261" s="71" t="s">
        <v>386</v>
      </c>
      <c r="K3261" s="43"/>
      <c r="L3261" s="71" t="s">
        <v>107</v>
      </c>
      <c r="M3261" s="73">
        <v>45</v>
      </c>
      <c r="N3261" s="71" t="s">
        <v>388</v>
      </c>
      <c r="O3261" s="73">
        <v>0.595</v>
      </c>
      <c r="P3261" s="71" t="s">
        <v>389</v>
      </c>
      <c r="Q3261" s="73">
        <v>100</v>
      </c>
      <c r="R3261" s="71" t="s">
        <v>388</v>
      </c>
      <c r="S3261" s="73">
        <v>0</v>
      </c>
      <c r="T3261" s="71" t="s">
        <v>390</v>
      </c>
      <c r="U3261" s="74">
        <v>1</v>
      </c>
      <c r="V3261" s="71" t="s">
        <v>391</v>
      </c>
      <c r="W3261" s="130">
        <v>46097.669444444444</v>
      </c>
      <c r="X3261" s="72">
        <v>46100.333333333336</v>
      </c>
      <c r="Y3261" s="72">
        <v>46108.770833333336</v>
      </c>
      <c r="Z3261" s="104" t="s">
        <v>414</v>
      </c>
      <c r="AA3261" s="104" t="s">
        <v>1960</v>
      </c>
      <c r="AB3261" s="105"/>
      <c r="AC3261" s="105"/>
    </row>
    <row r="3262" s="70" customFormat="1" ht="11.25" customHeight="1">
      <c r="A3262" s="87"/>
      <c r="C3262" s="43" t="s">
        <v>5241</v>
      </c>
      <c r="D3262" s="71" t="s">
        <v>382</v>
      </c>
      <c r="E3262" s="71" t="str">
        <f>MID(D3262,1,2)</f>
        <v>IL</v>
      </c>
      <c r="F3262" s="71" t="s">
        <v>542</v>
      </c>
      <c r="G3262" s="71" t="str">
        <f>MID(F3262,1,2)</f>
        <v>US</v>
      </c>
      <c r="H3262" s="43" t="s">
        <v>5242</v>
      </c>
      <c r="I3262" s="71" t="s">
        <v>5243</v>
      </c>
      <c r="J3262" s="71" t="s">
        <v>386</v>
      </c>
      <c r="K3262" s="43"/>
      <c r="L3262" s="71" t="s">
        <v>107</v>
      </c>
      <c r="M3262" s="73">
        <v>45</v>
      </c>
      <c r="N3262" s="71" t="s">
        <v>388</v>
      </c>
      <c r="O3262" s="73">
        <v>0.595</v>
      </c>
      <c r="P3262" s="71" t="s">
        <v>389</v>
      </c>
      <c r="Q3262" s="73">
        <v>100</v>
      </c>
      <c r="R3262" s="71" t="s">
        <v>388</v>
      </c>
      <c r="S3262" s="73">
        <v>0</v>
      </c>
      <c r="T3262" s="71" t="s">
        <v>390</v>
      </c>
      <c r="U3262" s="74">
        <v>1</v>
      </c>
      <c r="V3262" s="71" t="s">
        <v>391</v>
      </c>
      <c r="W3262" s="130">
        <v>46097.669444444444</v>
      </c>
      <c r="X3262" s="72">
        <v>46100.333333333336</v>
      </c>
      <c r="Y3262" s="72">
        <v>46108.770833333336</v>
      </c>
      <c r="Z3262" s="104" t="s">
        <v>1960</v>
      </c>
      <c r="AA3262" s="104" t="s">
        <v>542</v>
      </c>
      <c r="AB3262" s="105"/>
      <c r="AC3262" s="105"/>
    </row>
    <row r="3263" s="70" customFormat="1" ht="11.25" customHeight="1">
      <c r="A3263" s="87"/>
      <c r="C3263" s="43" t="s">
        <v>5244</v>
      </c>
      <c r="D3263" s="71" t="s">
        <v>382</v>
      </c>
      <c r="E3263" s="71" t="str">
        <f>MID(D3263,1,2)</f>
        <v>IL</v>
      </c>
      <c r="F3263" s="71" t="s">
        <v>383</v>
      </c>
      <c r="G3263" s="71" t="str">
        <f>MID(F3263,1,2)</f>
        <v>DE</v>
      </c>
      <c r="H3263" s="43" t="s">
        <v>5245</v>
      </c>
      <c r="I3263" s="71" t="s">
        <v>5246</v>
      </c>
      <c r="J3263" s="71" t="s">
        <v>386</v>
      </c>
      <c r="K3263" s="43"/>
      <c r="L3263" s="71" t="s">
        <v>107</v>
      </c>
      <c r="M3263" s="73">
        <v>1671</v>
      </c>
      <c r="N3263" s="71" t="s">
        <v>388</v>
      </c>
      <c r="O3263" s="73">
        <v>16.274</v>
      </c>
      <c r="P3263" s="71" t="s">
        <v>389</v>
      </c>
      <c r="Q3263" s="73">
        <v>2712.5</v>
      </c>
      <c r="R3263" s="71" t="s">
        <v>388</v>
      </c>
      <c r="S3263" s="73">
        <v>0</v>
      </c>
      <c r="T3263" s="71" t="s">
        <v>390</v>
      </c>
      <c r="U3263" s="74">
        <v>13</v>
      </c>
      <c r="V3263" s="71" t="s">
        <v>391</v>
      </c>
      <c r="W3263" s="130">
        <v>46097.570138888892</v>
      </c>
      <c r="X3263" s="72">
        <v>46101.451388888891</v>
      </c>
      <c r="Y3263" s="72">
        <v>46105.63958333333</v>
      </c>
      <c r="Z3263" s="104" t="s">
        <v>382</v>
      </c>
      <c r="AA3263" s="104" t="s">
        <v>466</v>
      </c>
      <c r="AB3263" s="105">
        <v>46102</v>
      </c>
      <c r="AC3263" s="105">
        <v>46102.125694444447</v>
      </c>
    </row>
    <row r="3264" s="70" customFormat="1" ht="11.25" customHeight="1">
      <c r="A3264" s="87"/>
      <c r="C3264" s="43" t="s">
        <v>5244</v>
      </c>
      <c r="D3264" s="71" t="s">
        <v>382</v>
      </c>
      <c r="E3264" s="71" t="str">
        <f>MID(D3264,1,2)</f>
        <v>IL</v>
      </c>
      <c r="F3264" s="71" t="s">
        <v>383</v>
      </c>
      <c r="G3264" s="71" t="str">
        <f>MID(F3264,1,2)</f>
        <v>DE</v>
      </c>
      <c r="H3264" s="43" t="s">
        <v>5245</v>
      </c>
      <c r="I3264" s="71" t="s">
        <v>5246</v>
      </c>
      <c r="J3264" s="71" t="s">
        <v>386</v>
      </c>
      <c r="K3264" s="43"/>
      <c r="L3264" s="71" t="s">
        <v>107</v>
      </c>
      <c r="M3264" s="73">
        <v>1671</v>
      </c>
      <c r="N3264" s="71" t="s">
        <v>388</v>
      </c>
      <c r="O3264" s="73">
        <v>16.274</v>
      </c>
      <c r="P3264" s="71" t="s">
        <v>389</v>
      </c>
      <c r="Q3264" s="73">
        <v>2712.5</v>
      </c>
      <c r="R3264" s="71" t="s">
        <v>388</v>
      </c>
      <c r="S3264" s="73">
        <v>0</v>
      </c>
      <c r="T3264" s="71" t="s">
        <v>390</v>
      </c>
      <c r="U3264" s="74">
        <v>13</v>
      </c>
      <c r="V3264" s="71" t="s">
        <v>391</v>
      </c>
      <c r="W3264" s="130">
        <v>46097.570138888892</v>
      </c>
      <c r="X3264" s="72">
        <v>46101.451388888891</v>
      </c>
      <c r="Y3264" s="72">
        <v>46105.63958333333</v>
      </c>
      <c r="Z3264" s="104" t="s">
        <v>466</v>
      </c>
      <c r="AA3264" s="104" t="s">
        <v>383</v>
      </c>
      <c r="AB3264" s="105">
        <v>46102.830555555556</v>
      </c>
      <c r="AC3264" s="105"/>
    </row>
    <row r="3265" s="70" customFormat="1" ht="11.25" customHeight="1">
      <c r="A3265" s="87"/>
      <c r="C3265" s="43" t="s">
        <v>5247</v>
      </c>
      <c r="D3265" s="71" t="s">
        <v>382</v>
      </c>
      <c r="E3265" s="71" t="str">
        <f>MID(D3265,1,2)</f>
        <v>IL</v>
      </c>
      <c r="F3265" s="71" t="s">
        <v>414</v>
      </c>
      <c r="G3265" s="71" t="str">
        <f>MID(F3265,1,2)</f>
        <v>US</v>
      </c>
      <c r="H3265" s="43" t="s">
        <v>5126</v>
      </c>
      <c r="I3265" s="71" t="s">
        <v>5248</v>
      </c>
      <c r="J3265" s="71" t="s">
        <v>454</v>
      </c>
      <c r="K3265" s="43"/>
      <c r="L3265" s="71" t="s">
        <v>107</v>
      </c>
      <c r="M3265" s="73">
        <v>9</v>
      </c>
      <c r="N3265" s="71" t="s">
        <v>388</v>
      </c>
      <c r="O3265" s="73">
        <v>0.095</v>
      </c>
      <c r="P3265" s="71" t="s">
        <v>389</v>
      </c>
      <c r="Q3265" s="73">
        <v>16</v>
      </c>
      <c r="R3265" s="71" t="s">
        <v>388</v>
      </c>
      <c r="S3265" s="73">
        <v>0</v>
      </c>
      <c r="T3265" s="71" t="s">
        <v>390</v>
      </c>
      <c r="U3265" s="74">
        <v>1</v>
      </c>
      <c r="V3265" s="71" t="s">
        <v>427</v>
      </c>
      <c r="W3265" s="130">
        <v>46096.445138888892</v>
      </c>
      <c r="X3265" s="72">
        <v>46099.854166666664</v>
      </c>
      <c r="Y3265" s="72">
        <v>46101.510416666664</v>
      </c>
      <c r="Z3265" s="104" t="s">
        <v>382</v>
      </c>
      <c r="AA3265" s="104" t="s">
        <v>414</v>
      </c>
      <c r="AB3265" s="105">
        <v>46101.299305555556</v>
      </c>
      <c r="AC3265" s="105">
        <v>46101.519444444442</v>
      </c>
    </row>
    <row r="3266" s="70" customFormat="1" ht="11.25" customHeight="1">
      <c r="A3266" s="87"/>
      <c r="C3266" s="43" t="s">
        <v>5249</v>
      </c>
      <c r="D3266" s="71" t="s">
        <v>382</v>
      </c>
      <c r="E3266" s="71" t="str">
        <f>MID(D3266,1,2)</f>
        <v>IL</v>
      </c>
      <c r="F3266" s="71" t="s">
        <v>414</v>
      </c>
      <c r="G3266" s="71" t="str">
        <f>MID(F3266,1,2)</f>
        <v>US</v>
      </c>
      <c r="H3266" s="43" t="s">
        <v>5126</v>
      </c>
      <c r="I3266" s="71" t="s">
        <v>5250</v>
      </c>
      <c r="J3266" s="71" t="s">
        <v>454</v>
      </c>
      <c r="K3266" s="43"/>
      <c r="L3266" s="71" t="s">
        <v>107</v>
      </c>
      <c r="M3266" s="73">
        <v>3</v>
      </c>
      <c r="N3266" s="71" t="s">
        <v>388</v>
      </c>
      <c r="O3266" s="73">
        <v>0.062</v>
      </c>
      <c r="P3266" s="71" t="s">
        <v>389</v>
      </c>
      <c r="Q3266" s="73">
        <v>10.5</v>
      </c>
      <c r="R3266" s="71" t="s">
        <v>388</v>
      </c>
      <c r="S3266" s="73">
        <v>0</v>
      </c>
      <c r="T3266" s="71" t="s">
        <v>390</v>
      </c>
      <c r="U3266" s="74">
        <v>1</v>
      </c>
      <c r="V3266" s="71" t="s">
        <v>427</v>
      </c>
      <c r="W3266" s="130">
        <v>46096.507638888892</v>
      </c>
      <c r="X3266" s="72">
        <v>46099.854166666664</v>
      </c>
      <c r="Y3266" s="72">
        <v>46101.510416666664</v>
      </c>
      <c r="Z3266" s="104" t="s">
        <v>382</v>
      </c>
      <c r="AA3266" s="104" t="s">
        <v>414</v>
      </c>
      <c r="AB3266" s="105">
        <v>46101.299305555556</v>
      </c>
      <c r="AC3266" s="105">
        <v>46101.519444444442</v>
      </c>
    </row>
    <row r="3267" s="70" customFormat="1" ht="11.25" customHeight="1">
      <c r="A3267" s="87"/>
      <c r="C3267" s="43" t="s">
        <v>5251</v>
      </c>
      <c r="D3267" s="71" t="s">
        <v>382</v>
      </c>
      <c r="E3267" s="71" t="str">
        <f>MID(D3267,1,2)</f>
        <v>IL</v>
      </c>
      <c r="F3267" s="71" t="s">
        <v>414</v>
      </c>
      <c r="G3267" s="71" t="str">
        <f>MID(F3267,1,2)</f>
        <v>US</v>
      </c>
      <c r="H3267" s="43" t="s">
        <v>5126</v>
      </c>
      <c r="I3267" s="71" t="s">
        <v>5252</v>
      </c>
      <c r="J3267" s="71" t="s">
        <v>454</v>
      </c>
      <c r="K3267" s="43"/>
      <c r="L3267" s="71" t="s">
        <v>107</v>
      </c>
      <c r="M3267" s="73">
        <v>7</v>
      </c>
      <c r="N3267" s="71" t="s">
        <v>388</v>
      </c>
      <c r="O3267" s="73">
        <v>0.053</v>
      </c>
      <c r="P3267" s="71" t="s">
        <v>389</v>
      </c>
      <c r="Q3267" s="73">
        <v>9</v>
      </c>
      <c r="R3267" s="71" t="s">
        <v>388</v>
      </c>
      <c r="S3267" s="73">
        <v>0</v>
      </c>
      <c r="T3267" s="71" t="s">
        <v>390</v>
      </c>
      <c r="U3267" s="74">
        <v>1</v>
      </c>
      <c r="V3267" s="71" t="s">
        <v>427</v>
      </c>
      <c r="W3267" s="130">
        <v>46096.479166666664</v>
      </c>
      <c r="X3267" s="72">
        <v>46099.854166666664</v>
      </c>
      <c r="Y3267" s="72">
        <v>46101.510416666664</v>
      </c>
      <c r="Z3267" s="104" t="s">
        <v>382</v>
      </c>
      <c r="AA3267" s="104" t="s">
        <v>414</v>
      </c>
      <c r="AB3267" s="105">
        <v>46101.299305555556</v>
      </c>
      <c r="AC3267" s="105">
        <v>46101.519444444442</v>
      </c>
    </row>
    <row r="3268" s="70" customFormat="1" ht="11.25" customHeight="1">
      <c r="A3268" s="87"/>
      <c r="C3268" s="43" t="s">
        <v>5253</v>
      </c>
      <c r="D3268" s="71" t="s">
        <v>382</v>
      </c>
      <c r="E3268" s="71" t="str">
        <f>MID(D3268,1,2)</f>
        <v>IL</v>
      </c>
      <c r="F3268" s="71" t="s">
        <v>468</v>
      </c>
      <c r="G3268" s="71" t="str">
        <f>MID(F3268,1,2)</f>
        <v>US</v>
      </c>
      <c r="H3268" s="43" t="s">
        <v>5189</v>
      </c>
      <c r="I3268" s="71" t="s">
        <v>5254</v>
      </c>
      <c r="J3268" s="71" t="s">
        <v>386</v>
      </c>
      <c r="K3268" s="43"/>
      <c r="L3268" s="71" t="s">
        <v>107</v>
      </c>
      <c r="M3268" s="73">
        <v>6</v>
      </c>
      <c r="N3268" s="71" t="s">
        <v>388</v>
      </c>
      <c r="O3268" s="73">
        <v>0.15</v>
      </c>
      <c r="P3268" s="71" t="s">
        <v>389</v>
      </c>
      <c r="Q3268" s="73">
        <v>25</v>
      </c>
      <c r="R3268" s="71" t="s">
        <v>388</v>
      </c>
      <c r="S3268" s="73">
        <v>0</v>
      </c>
      <c r="T3268" s="71" t="s">
        <v>390</v>
      </c>
      <c r="U3268" s="74">
        <v>1</v>
      </c>
      <c r="V3268" s="71" t="s">
        <v>391</v>
      </c>
      <c r="W3268" s="130">
        <v>46096.479166666664</v>
      </c>
      <c r="X3268" s="72">
        <v>46100.333333333336</v>
      </c>
      <c r="Y3268" s="72">
        <v>46105.375</v>
      </c>
      <c r="Z3268" s="104" t="s">
        <v>382</v>
      </c>
      <c r="AA3268" s="104" t="s">
        <v>471</v>
      </c>
      <c r="AB3268" s="105">
        <v>46100.772916666669</v>
      </c>
      <c r="AC3268" s="105"/>
    </row>
    <row r="3269" s="70" customFormat="1" ht="11.25" customHeight="1">
      <c r="A3269" s="87"/>
      <c r="C3269" s="43" t="s">
        <v>5253</v>
      </c>
      <c r="D3269" s="71" t="s">
        <v>382</v>
      </c>
      <c r="E3269" s="71" t="str">
        <f>MID(D3269,1,2)</f>
        <v>IL</v>
      </c>
      <c r="F3269" s="71" t="s">
        <v>468</v>
      </c>
      <c r="G3269" s="71" t="str">
        <f>MID(F3269,1,2)</f>
        <v>US</v>
      </c>
      <c r="H3269" s="43" t="s">
        <v>5189</v>
      </c>
      <c r="I3269" s="71" t="s">
        <v>5254</v>
      </c>
      <c r="J3269" s="71" t="s">
        <v>386</v>
      </c>
      <c r="K3269" s="43"/>
      <c r="L3269" s="71" t="s">
        <v>107</v>
      </c>
      <c r="M3269" s="73">
        <v>6</v>
      </c>
      <c r="N3269" s="71" t="s">
        <v>388</v>
      </c>
      <c r="O3269" s="73">
        <v>0.15</v>
      </c>
      <c r="P3269" s="71" t="s">
        <v>389</v>
      </c>
      <c r="Q3269" s="73">
        <v>25</v>
      </c>
      <c r="R3269" s="71" t="s">
        <v>388</v>
      </c>
      <c r="S3269" s="73">
        <v>0</v>
      </c>
      <c r="T3269" s="71" t="s">
        <v>390</v>
      </c>
      <c r="U3269" s="74">
        <v>1</v>
      </c>
      <c r="V3269" s="71" t="s">
        <v>391</v>
      </c>
      <c r="W3269" s="130">
        <v>46096.479166666664</v>
      </c>
      <c r="X3269" s="72">
        <v>46100.333333333336</v>
      </c>
      <c r="Y3269" s="72">
        <v>46105.375</v>
      </c>
      <c r="Z3269" s="104" t="s">
        <v>471</v>
      </c>
      <c r="AA3269" s="104" t="s">
        <v>468</v>
      </c>
      <c r="AB3269" s="105"/>
      <c r="AC3269" s="105"/>
    </row>
    <row r="3270" s="70" customFormat="1" ht="11.25" customHeight="1">
      <c r="A3270" s="87"/>
      <c r="C3270" s="43" t="s">
        <v>5255</v>
      </c>
      <c r="D3270" s="71" t="s">
        <v>382</v>
      </c>
      <c r="E3270" s="71" t="str">
        <f>MID(D3270,1,2)</f>
        <v>IL</v>
      </c>
      <c r="F3270" s="71" t="s">
        <v>405</v>
      </c>
      <c r="G3270" s="71" t="str">
        <f>MID(F3270,1,2)</f>
        <v>CA</v>
      </c>
      <c r="H3270" s="43" t="s">
        <v>5256</v>
      </c>
      <c r="I3270" s="71" t="s">
        <v>5257</v>
      </c>
      <c r="J3270" s="71" t="s">
        <v>386</v>
      </c>
      <c r="K3270" s="43"/>
      <c r="L3270" s="71" t="s">
        <v>107</v>
      </c>
      <c r="M3270" s="73">
        <v>14</v>
      </c>
      <c r="N3270" s="71" t="s">
        <v>388</v>
      </c>
      <c r="O3270" s="73">
        <v>0.192</v>
      </c>
      <c r="P3270" s="71" t="s">
        <v>389</v>
      </c>
      <c r="Q3270" s="73">
        <v>45</v>
      </c>
      <c r="R3270" s="71" t="s">
        <v>388</v>
      </c>
      <c r="S3270" s="73">
        <v>0</v>
      </c>
      <c r="T3270" s="71" t="s">
        <v>390</v>
      </c>
      <c r="U3270" s="74">
        <v>1</v>
      </c>
      <c r="V3270" s="71" t="s">
        <v>417</v>
      </c>
      <c r="W3270" s="130">
        <v>46096.619444444441</v>
      </c>
      <c r="X3270" s="72">
        <v>46098.436805555553</v>
      </c>
      <c r="Y3270" s="72">
        <v>46102.75</v>
      </c>
      <c r="Z3270" s="104" t="s">
        <v>382</v>
      </c>
      <c r="AA3270" s="104" t="s">
        <v>408</v>
      </c>
      <c r="AB3270" s="105">
        <v>46098.538194444445</v>
      </c>
      <c r="AC3270" s="105"/>
    </row>
    <row r="3271" s="70" customFormat="1" ht="11.25" customHeight="1">
      <c r="A3271" s="87"/>
      <c r="C3271" s="43" t="s">
        <v>5255</v>
      </c>
      <c r="D3271" s="71" t="s">
        <v>382</v>
      </c>
      <c r="E3271" s="71" t="str">
        <f>MID(D3271,1,2)</f>
        <v>IL</v>
      </c>
      <c r="F3271" s="71" t="s">
        <v>405</v>
      </c>
      <c r="G3271" s="71" t="str">
        <f>MID(F3271,1,2)</f>
        <v>CA</v>
      </c>
      <c r="H3271" s="43" t="s">
        <v>5256</v>
      </c>
      <c r="I3271" s="71" t="s">
        <v>5257</v>
      </c>
      <c r="J3271" s="71" t="s">
        <v>386</v>
      </c>
      <c r="K3271" s="43"/>
      <c r="L3271" s="71" t="s">
        <v>107</v>
      </c>
      <c r="M3271" s="73">
        <v>14</v>
      </c>
      <c r="N3271" s="71" t="s">
        <v>388</v>
      </c>
      <c r="O3271" s="73">
        <v>0.192</v>
      </c>
      <c r="P3271" s="71" t="s">
        <v>389</v>
      </c>
      <c r="Q3271" s="73">
        <v>45</v>
      </c>
      <c r="R3271" s="71" t="s">
        <v>388</v>
      </c>
      <c r="S3271" s="73">
        <v>0</v>
      </c>
      <c r="T3271" s="71" t="s">
        <v>390</v>
      </c>
      <c r="U3271" s="74">
        <v>1</v>
      </c>
      <c r="V3271" s="71" t="s">
        <v>417</v>
      </c>
      <c r="W3271" s="130">
        <v>46096.619444444441</v>
      </c>
      <c r="X3271" s="72">
        <v>46098.436805555553</v>
      </c>
      <c r="Y3271" s="72">
        <v>46102.75</v>
      </c>
      <c r="Z3271" s="104" t="s">
        <v>408</v>
      </c>
      <c r="AA3271" s="104" t="s">
        <v>405</v>
      </c>
      <c r="AB3271" s="105"/>
      <c r="AC3271" s="105"/>
    </row>
    <row r="3272" s="70" customFormat="1" ht="11.25" customHeight="1">
      <c r="A3272" s="87"/>
      <c r="C3272" s="43" t="s">
        <v>5258</v>
      </c>
      <c r="D3272" s="71" t="s">
        <v>382</v>
      </c>
      <c r="E3272" s="71" t="str">
        <f>MID(D3272,1,2)</f>
        <v>IL</v>
      </c>
      <c r="F3272" s="71" t="s">
        <v>468</v>
      </c>
      <c r="G3272" s="71" t="str">
        <f>MID(F3272,1,2)</f>
        <v>US</v>
      </c>
      <c r="H3272" s="43" t="s">
        <v>5189</v>
      </c>
      <c r="I3272" s="71" t="s">
        <v>5259</v>
      </c>
      <c r="J3272" s="71" t="s">
        <v>386</v>
      </c>
      <c r="K3272" s="43"/>
      <c r="L3272" s="71" t="s">
        <v>107</v>
      </c>
      <c r="M3272" s="73">
        <v>3</v>
      </c>
      <c r="N3272" s="71" t="s">
        <v>388</v>
      </c>
      <c r="O3272" s="73">
        <v>0.074</v>
      </c>
      <c r="P3272" s="71" t="s">
        <v>389</v>
      </c>
      <c r="Q3272" s="73">
        <v>12.5</v>
      </c>
      <c r="R3272" s="71" t="s">
        <v>388</v>
      </c>
      <c r="S3272" s="73">
        <v>0</v>
      </c>
      <c r="T3272" s="71" t="s">
        <v>390</v>
      </c>
      <c r="U3272" s="74">
        <v>1</v>
      </c>
      <c r="V3272" s="71" t="s">
        <v>446</v>
      </c>
      <c r="W3272" s="130">
        <v>46096.486805555556</v>
      </c>
      <c r="X3272" s="72">
        <v>46100.333333333336</v>
      </c>
      <c r="Y3272" s="72">
        <v>46105.375</v>
      </c>
      <c r="Z3272" s="104" t="s">
        <v>382</v>
      </c>
      <c r="AA3272" s="104" t="s">
        <v>471</v>
      </c>
      <c r="AB3272" s="105">
        <v>46100.772916666669</v>
      </c>
      <c r="AC3272" s="105"/>
    </row>
    <row r="3273" s="70" customFormat="1" ht="11.25" customHeight="1">
      <c r="A3273" s="87"/>
      <c r="C3273" s="43" t="s">
        <v>5258</v>
      </c>
      <c r="D3273" s="71" t="s">
        <v>382</v>
      </c>
      <c r="E3273" s="71" t="str">
        <f>MID(D3273,1,2)</f>
        <v>IL</v>
      </c>
      <c r="F3273" s="71" t="s">
        <v>468</v>
      </c>
      <c r="G3273" s="71" t="str">
        <f>MID(F3273,1,2)</f>
        <v>US</v>
      </c>
      <c r="H3273" s="43" t="s">
        <v>5189</v>
      </c>
      <c r="I3273" s="71" t="s">
        <v>5259</v>
      </c>
      <c r="J3273" s="71" t="s">
        <v>386</v>
      </c>
      <c r="K3273" s="43"/>
      <c r="L3273" s="71" t="s">
        <v>107</v>
      </c>
      <c r="M3273" s="73">
        <v>3</v>
      </c>
      <c r="N3273" s="71" t="s">
        <v>388</v>
      </c>
      <c r="O3273" s="73">
        <v>0.074</v>
      </c>
      <c r="P3273" s="71" t="s">
        <v>389</v>
      </c>
      <c r="Q3273" s="73">
        <v>12.5</v>
      </c>
      <c r="R3273" s="71" t="s">
        <v>388</v>
      </c>
      <c r="S3273" s="73">
        <v>0</v>
      </c>
      <c r="T3273" s="71" t="s">
        <v>390</v>
      </c>
      <c r="U3273" s="74">
        <v>1</v>
      </c>
      <c r="V3273" s="71" t="s">
        <v>446</v>
      </c>
      <c r="W3273" s="130">
        <v>46096.486805555556</v>
      </c>
      <c r="X3273" s="72">
        <v>46100.333333333336</v>
      </c>
      <c r="Y3273" s="72">
        <v>46105.375</v>
      </c>
      <c r="Z3273" s="104" t="s">
        <v>471</v>
      </c>
      <c r="AA3273" s="104" t="s">
        <v>468</v>
      </c>
      <c r="AB3273" s="105"/>
      <c r="AC3273" s="105"/>
    </row>
    <row r="3274" s="70" customFormat="1" ht="11.25" customHeight="1">
      <c r="A3274" s="87"/>
      <c r="C3274" s="43" t="s">
        <v>5260</v>
      </c>
      <c r="D3274" s="71" t="s">
        <v>382</v>
      </c>
      <c r="E3274" s="71" t="str">
        <f>MID(D3274,1,2)</f>
        <v>IL</v>
      </c>
      <c r="F3274" s="71" t="s">
        <v>414</v>
      </c>
      <c r="G3274" s="71" t="str">
        <f>MID(F3274,1,2)</f>
        <v>US</v>
      </c>
      <c r="H3274" s="43" t="s">
        <v>5126</v>
      </c>
      <c r="I3274" s="71" t="s">
        <v>5261</v>
      </c>
      <c r="J3274" s="71" t="s">
        <v>454</v>
      </c>
      <c r="K3274" s="43"/>
      <c r="L3274" s="71" t="s">
        <v>107</v>
      </c>
      <c r="M3274" s="73">
        <v>5</v>
      </c>
      <c r="N3274" s="71" t="s">
        <v>388</v>
      </c>
      <c r="O3274" s="73">
        <v>0.053</v>
      </c>
      <c r="P3274" s="71" t="s">
        <v>389</v>
      </c>
      <c r="Q3274" s="73">
        <v>9</v>
      </c>
      <c r="R3274" s="71" t="s">
        <v>388</v>
      </c>
      <c r="S3274" s="73">
        <v>0</v>
      </c>
      <c r="T3274" s="71" t="s">
        <v>390</v>
      </c>
      <c r="U3274" s="74">
        <v>1</v>
      </c>
      <c r="V3274" s="71" t="s">
        <v>427</v>
      </c>
      <c r="W3274" s="130">
        <v>46096.486805555556</v>
      </c>
      <c r="X3274" s="72">
        <v>46099.854166666664</v>
      </c>
      <c r="Y3274" s="72">
        <v>46101.510416666664</v>
      </c>
      <c r="Z3274" s="104" t="s">
        <v>382</v>
      </c>
      <c r="AA3274" s="104" t="s">
        <v>414</v>
      </c>
      <c r="AB3274" s="105">
        <v>46101.299305555556</v>
      </c>
      <c r="AC3274" s="105">
        <v>46101.519444444442</v>
      </c>
    </row>
    <row r="3275" s="70" customFormat="1" ht="11.25" customHeight="1">
      <c r="A3275" s="87"/>
      <c r="C3275" s="43" t="s">
        <v>5262</v>
      </c>
      <c r="D3275" s="71" t="s">
        <v>382</v>
      </c>
      <c r="E3275" s="71" t="str">
        <f>MID(D3275,1,2)</f>
        <v>IL</v>
      </c>
      <c r="F3275" s="71" t="s">
        <v>468</v>
      </c>
      <c r="G3275" s="71" t="str">
        <f>MID(F3275,1,2)</f>
        <v>US</v>
      </c>
      <c r="H3275" s="43" t="s">
        <v>5189</v>
      </c>
      <c r="I3275" s="71" t="s">
        <v>5263</v>
      </c>
      <c r="J3275" s="71" t="s">
        <v>386</v>
      </c>
      <c r="K3275" s="43"/>
      <c r="L3275" s="71" t="s">
        <v>107</v>
      </c>
      <c r="M3275" s="73">
        <v>2</v>
      </c>
      <c r="N3275" s="71" t="s">
        <v>388</v>
      </c>
      <c r="O3275" s="73">
        <v>0.042</v>
      </c>
      <c r="P3275" s="71" t="s">
        <v>389</v>
      </c>
      <c r="Q3275" s="73">
        <v>7</v>
      </c>
      <c r="R3275" s="71" t="s">
        <v>388</v>
      </c>
      <c r="S3275" s="73">
        <v>0</v>
      </c>
      <c r="T3275" s="71" t="s">
        <v>390</v>
      </c>
      <c r="U3275" s="74">
        <v>1</v>
      </c>
      <c r="V3275" s="71" t="s">
        <v>391</v>
      </c>
      <c r="W3275" s="130">
        <v>46096.493055555555</v>
      </c>
      <c r="X3275" s="72">
        <v>46100.333333333336</v>
      </c>
      <c r="Y3275" s="72">
        <v>46105.375</v>
      </c>
      <c r="Z3275" s="104" t="s">
        <v>382</v>
      </c>
      <c r="AA3275" s="104" t="s">
        <v>471</v>
      </c>
      <c r="AB3275" s="105">
        <v>46100.772916666669</v>
      </c>
      <c r="AC3275" s="105"/>
    </row>
    <row r="3276" s="70" customFormat="1" ht="11.25" customHeight="1">
      <c r="A3276" s="87"/>
      <c r="C3276" s="43" t="s">
        <v>5262</v>
      </c>
      <c r="D3276" s="71" t="s">
        <v>382</v>
      </c>
      <c r="E3276" s="71" t="str">
        <f>MID(D3276,1,2)</f>
        <v>IL</v>
      </c>
      <c r="F3276" s="71" t="s">
        <v>468</v>
      </c>
      <c r="G3276" s="71" t="str">
        <f>MID(F3276,1,2)</f>
        <v>US</v>
      </c>
      <c r="H3276" s="43" t="s">
        <v>5189</v>
      </c>
      <c r="I3276" s="71" t="s">
        <v>5263</v>
      </c>
      <c r="J3276" s="71" t="s">
        <v>386</v>
      </c>
      <c r="K3276" s="43"/>
      <c r="L3276" s="71" t="s">
        <v>107</v>
      </c>
      <c r="M3276" s="73">
        <v>2</v>
      </c>
      <c r="N3276" s="71" t="s">
        <v>388</v>
      </c>
      <c r="O3276" s="73">
        <v>0.042</v>
      </c>
      <c r="P3276" s="71" t="s">
        <v>389</v>
      </c>
      <c r="Q3276" s="73">
        <v>7</v>
      </c>
      <c r="R3276" s="71" t="s">
        <v>388</v>
      </c>
      <c r="S3276" s="73">
        <v>0</v>
      </c>
      <c r="T3276" s="71" t="s">
        <v>390</v>
      </c>
      <c r="U3276" s="74">
        <v>1</v>
      </c>
      <c r="V3276" s="71" t="s">
        <v>391</v>
      </c>
      <c r="W3276" s="130">
        <v>46096.493055555555</v>
      </c>
      <c r="X3276" s="72">
        <v>46100.333333333336</v>
      </c>
      <c r="Y3276" s="72">
        <v>46105.375</v>
      </c>
      <c r="Z3276" s="104" t="s">
        <v>471</v>
      </c>
      <c r="AA3276" s="104" t="s">
        <v>468</v>
      </c>
      <c r="AB3276" s="105"/>
      <c r="AC3276" s="105"/>
    </row>
    <row r="3277" s="70" customFormat="1" ht="11.25" customHeight="1">
      <c r="A3277" s="87"/>
      <c r="C3277" s="43" t="s">
        <v>5264</v>
      </c>
      <c r="D3277" s="71" t="s">
        <v>382</v>
      </c>
      <c r="E3277" s="71" t="str">
        <f>MID(D3277,1,2)</f>
        <v>IL</v>
      </c>
      <c r="F3277" s="71" t="s">
        <v>919</v>
      </c>
      <c r="G3277" s="71" t="str">
        <f>MID(F3277,1,2)</f>
        <v>CN</v>
      </c>
      <c r="H3277" s="43" t="s">
        <v>4929</v>
      </c>
      <c r="I3277" s="71" t="s">
        <v>5265</v>
      </c>
      <c r="J3277" s="71" t="s">
        <v>755</v>
      </c>
      <c r="K3277" s="43"/>
      <c r="L3277" s="71" t="s">
        <v>105</v>
      </c>
      <c r="M3277" s="73">
        <v>4.7</v>
      </c>
      <c r="N3277" s="71" t="s">
        <v>388</v>
      </c>
      <c r="O3277" s="73">
        <v>0.064</v>
      </c>
      <c r="P3277" s="71" t="s">
        <v>389</v>
      </c>
      <c r="Q3277" s="73">
        <v>11</v>
      </c>
      <c r="R3277" s="71" t="s">
        <v>388</v>
      </c>
      <c r="S3277" s="73">
        <v>0</v>
      </c>
      <c r="T3277" s="71" t="s">
        <v>390</v>
      </c>
      <c r="U3277" s="74">
        <v>1</v>
      </c>
      <c r="V3277" s="71" t="s">
        <v>391</v>
      </c>
      <c r="W3277" s="130">
        <v>46096.539120370369</v>
      </c>
      <c r="X3277" s="72">
        <v>46099.583333333336</v>
      </c>
      <c r="Y3277" s="72">
        <v>46102.73541666667</v>
      </c>
      <c r="Z3277" s="104" t="s">
        <v>382</v>
      </c>
      <c r="AA3277" s="104" t="s">
        <v>402</v>
      </c>
      <c r="AB3277" s="105">
        <v>46099.754166666666</v>
      </c>
      <c r="AC3277" s="105"/>
    </row>
    <row r="3278" s="70" customFormat="1" ht="11.25" customHeight="1">
      <c r="A3278" s="87"/>
      <c r="C3278" s="43" t="s">
        <v>5264</v>
      </c>
      <c r="D3278" s="71" t="s">
        <v>382</v>
      </c>
      <c r="E3278" s="71" t="str">
        <f>MID(D3278,1,2)</f>
        <v>IL</v>
      </c>
      <c r="F3278" s="71" t="s">
        <v>919</v>
      </c>
      <c r="G3278" s="71" t="str">
        <f>MID(F3278,1,2)</f>
        <v>CN</v>
      </c>
      <c r="H3278" s="43" t="s">
        <v>4929</v>
      </c>
      <c r="I3278" s="71" t="s">
        <v>5265</v>
      </c>
      <c r="J3278" s="71" t="s">
        <v>755</v>
      </c>
      <c r="K3278" s="43"/>
      <c r="L3278" s="71" t="s">
        <v>105</v>
      </c>
      <c r="M3278" s="73">
        <v>4.7</v>
      </c>
      <c r="N3278" s="71" t="s">
        <v>388</v>
      </c>
      <c r="O3278" s="73">
        <v>0.064</v>
      </c>
      <c r="P3278" s="71" t="s">
        <v>389</v>
      </c>
      <c r="Q3278" s="73">
        <v>11</v>
      </c>
      <c r="R3278" s="71" t="s">
        <v>388</v>
      </c>
      <c r="S3278" s="73">
        <v>0</v>
      </c>
      <c r="T3278" s="71" t="s">
        <v>390</v>
      </c>
      <c r="U3278" s="74">
        <v>1</v>
      </c>
      <c r="V3278" s="71" t="s">
        <v>391</v>
      </c>
      <c r="W3278" s="130">
        <v>46096.539120370369</v>
      </c>
      <c r="X3278" s="72">
        <v>46099.583333333336</v>
      </c>
      <c r="Y3278" s="72">
        <v>46102.73541666667</v>
      </c>
      <c r="Z3278" s="104" t="s">
        <v>402</v>
      </c>
      <c r="AA3278" s="104" t="s">
        <v>403</v>
      </c>
      <c r="AB3278" s="105">
        <v>46099.92083333333</v>
      </c>
      <c r="AC3278" s="105"/>
    </row>
    <row r="3279" s="70" customFormat="1" ht="11.25" customHeight="1">
      <c r="A3279" s="87"/>
      <c r="C3279" s="43" t="s">
        <v>5264</v>
      </c>
      <c r="D3279" s="71" t="s">
        <v>382</v>
      </c>
      <c r="E3279" s="71" t="str">
        <f>MID(D3279,1,2)</f>
        <v>IL</v>
      </c>
      <c r="F3279" s="71" t="s">
        <v>919</v>
      </c>
      <c r="G3279" s="71" t="str">
        <f>MID(F3279,1,2)</f>
        <v>CN</v>
      </c>
      <c r="H3279" s="43" t="s">
        <v>4929</v>
      </c>
      <c r="I3279" s="71" t="s">
        <v>5265</v>
      </c>
      <c r="J3279" s="71" t="s">
        <v>755</v>
      </c>
      <c r="K3279" s="43"/>
      <c r="L3279" s="71" t="s">
        <v>105</v>
      </c>
      <c r="M3279" s="73">
        <v>4.7</v>
      </c>
      <c r="N3279" s="71" t="s">
        <v>388</v>
      </c>
      <c r="O3279" s="73">
        <v>0.064</v>
      </c>
      <c r="P3279" s="71" t="s">
        <v>389</v>
      </c>
      <c r="Q3279" s="73">
        <v>11</v>
      </c>
      <c r="R3279" s="71" t="s">
        <v>388</v>
      </c>
      <c r="S3279" s="73">
        <v>0</v>
      </c>
      <c r="T3279" s="71" t="s">
        <v>390</v>
      </c>
      <c r="U3279" s="74">
        <v>1</v>
      </c>
      <c r="V3279" s="71" t="s">
        <v>391</v>
      </c>
      <c r="W3279" s="130">
        <v>46096.539120370369</v>
      </c>
      <c r="X3279" s="72">
        <v>46099.583333333336</v>
      </c>
      <c r="Y3279" s="72">
        <v>46102.73541666667</v>
      </c>
      <c r="Z3279" s="104" t="s">
        <v>403</v>
      </c>
      <c r="AA3279" s="104" t="s">
        <v>919</v>
      </c>
      <c r="AB3279" s="105">
        <v>46102.611111111109</v>
      </c>
      <c r="AC3279" s="105">
        <v>46102.760416666664</v>
      </c>
    </row>
    <row r="3280" s="70" customFormat="1" ht="11.25" customHeight="1">
      <c r="A3280" s="87"/>
      <c r="C3280" s="43" t="s">
        <v>5266</v>
      </c>
      <c r="D3280" s="71" t="s">
        <v>382</v>
      </c>
      <c r="E3280" s="71" t="str">
        <f>MID(D3280,1,2)</f>
        <v>IL</v>
      </c>
      <c r="F3280" s="71" t="s">
        <v>408</v>
      </c>
      <c r="G3280" s="71" t="str">
        <f>MID(F3280,1,2)</f>
        <v>GR</v>
      </c>
      <c r="H3280" s="43" t="s">
        <v>5267</v>
      </c>
      <c r="I3280" s="71" t="s">
        <v>5268</v>
      </c>
      <c r="J3280" s="71" t="s">
        <v>400</v>
      </c>
      <c r="K3280" s="43"/>
      <c r="L3280" s="71" t="s">
        <v>105</v>
      </c>
      <c r="M3280" s="73">
        <v>2</v>
      </c>
      <c r="N3280" s="71" t="s">
        <v>388</v>
      </c>
      <c r="O3280" s="73">
        <v>0.022</v>
      </c>
      <c r="P3280" s="71" t="s">
        <v>389</v>
      </c>
      <c r="Q3280" s="73">
        <v>4</v>
      </c>
      <c r="R3280" s="71" t="s">
        <v>388</v>
      </c>
      <c r="S3280" s="73">
        <v>0</v>
      </c>
      <c r="T3280" s="71" t="s">
        <v>390</v>
      </c>
      <c r="U3280" s="74">
        <v>1</v>
      </c>
      <c r="V3280" s="71" t="s">
        <v>391</v>
      </c>
      <c r="W3280" s="130">
        <v>46097.876782407409</v>
      </c>
      <c r="X3280" s="72">
        <v>46100</v>
      </c>
      <c r="Y3280" s="72">
        <v>46104.034722222219</v>
      </c>
      <c r="Z3280" s="104" t="s">
        <v>382</v>
      </c>
      <c r="AA3280" s="104" t="s">
        <v>408</v>
      </c>
      <c r="AB3280" s="105">
        <v>46101.465277777781</v>
      </c>
      <c r="AC3280" s="105"/>
    </row>
    <row r="3281" s="70" customFormat="1" ht="11.25" customHeight="1">
      <c r="A3281" s="87"/>
      <c r="C3281" s="43" t="s">
        <v>5269</v>
      </c>
      <c r="D3281" s="71" t="s">
        <v>382</v>
      </c>
      <c r="E3281" s="71" t="str">
        <f>MID(D3281,1,2)</f>
        <v>IL</v>
      </c>
      <c r="F3281" s="71" t="s">
        <v>408</v>
      </c>
      <c r="G3281" s="71" t="str">
        <f>MID(F3281,1,2)</f>
        <v>GR</v>
      </c>
      <c r="H3281" s="43" t="s">
        <v>5267</v>
      </c>
      <c r="I3281" s="71" t="s">
        <v>5270</v>
      </c>
      <c r="J3281" s="71" t="s">
        <v>400</v>
      </c>
      <c r="K3281" s="43"/>
      <c r="L3281" s="71" t="s">
        <v>105</v>
      </c>
      <c r="M3281" s="73">
        <v>1</v>
      </c>
      <c r="N3281" s="71" t="s">
        <v>388</v>
      </c>
      <c r="O3281" s="73">
        <v>0.012</v>
      </c>
      <c r="P3281" s="71" t="s">
        <v>389</v>
      </c>
      <c r="Q3281" s="73">
        <v>2</v>
      </c>
      <c r="R3281" s="71" t="s">
        <v>388</v>
      </c>
      <c r="S3281" s="73">
        <v>0</v>
      </c>
      <c r="T3281" s="71" t="s">
        <v>390</v>
      </c>
      <c r="U3281" s="74">
        <v>1</v>
      </c>
      <c r="V3281" s="71" t="s">
        <v>391</v>
      </c>
      <c r="W3281" s="130">
        <v>46097.3125</v>
      </c>
      <c r="X3281" s="72">
        <v>46100</v>
      </c>
      <c r="Y3281" s="72">
        <v>46104.034722222219</v>
      </c>
      <c r="Z3281" s="104" t="s">
        <v>382</v>
      </c>
      <c r="AA3281" s="104" t="s">
        <v>408</v>
      </c>
      <c r="AB3281" s="105">
        <v>46101.465277777781</v>
      </c>
      <c r="AC3281" s="105"/>
    </row>
    <row r="3282" s="70" customFormat="1" ht="11.25" customHeight="1">
      <c r="A3282" s="87"/>
      <c r="C3282" s="43" t="s">
        <v>5271</v>
      </c>
      <c r="D3282" s="71" t="s">
        <v>382</v>
      </c>
      <c r="E3282" s="71" t="str">
        <f>MID(D3282,1,2)</f>
        <v>IL</v>
      </c>
      <c r="F3282" s="71" t="s">
        <v>667</v>
      </c>
      <c r="G3282" s="71" t="str">
        <f>MID(F3282,1,2)</f>
        <v>DE</v>
      </c>
      <c r="H3282" s="43" t="s">
        <v>4936</v>
      </c>
      <c r="I3282" s="71" t="s">
        <v>5272</v>
      </c>
      <c r="J3282" s="71" t="s">
        <v>386</v>
      </c>
      <c r="K3282" s="43"/>
      <c r="L3282" s="71" t="s">
        <v>107</v>
      </c>
      <c r="M3282" s="73">
        <v>123</v>
      </c>
      <c r="N3282" s="71" t="s">
        <v>388</v>
      </c>
      <c r="O3282" s="73">
        <v>0.325</v>
      </c>
      <c r="P3282" s="71" t="s">
        <v>389</v>
      </c>
      <c r="Q3282" s="73">
        <v>123</v>
      </c>
      <c r="R3282" s="71" t="s">
        <v>388</v>
      </c>
      <c r="S3282" s="73">
        <v>0</v>
      </c>
      <c r="T3282" s="71" t="s">
        <v>390</v>
      </c>
      <c r="U3282" s="74">
        <v>1</v>
      </c>
      <c r="V3282" s="71" t="s">
        <v>391</v>
      </c>
      <c r="W3282" s="130">
        <v>46097.6625</v>
      </c>
      <c r="X3282" s="72">
        <v>46099.5</v>
      </c>
      <c r="Y3282" s="72">
        <v>46104.513888888891</v>
      </c>
      <c r="Z3282" s="104" t="s">
        <v>382</v>
      </c>
      <c r="AA3282" s="104" t="s">
        <v>383</v>
      </c>
      <c r="AB3282" s="105">
        <v>46103.441666666666</v>
      </c>
      <c r="AC3282" s="105"/>
    </row>
    <row r="3283" s="70" customFormat="1" ht="11.25" customHeight="1">
      <c r="A3283" s="87"/>
      <c r="C3283" s="43" t="s">
        <v>5273</v>
      </c>
      <c r="D3283" s="71" t="s">
        <v>382</v>
      </c>
      <c r="E3283" s="71" t="str">
        <f>MID(D3283,1,2)</f>
        <v>IL</v>
      </c>
      <c r="F3283" s="71" t="s">
        <v>2453</v>
      </c>
      <c r="G3283" s="71" t="str">
        <f>MID(F3283,1,2)</f>
        <v>GE</v>
      </c>
      <c r="H3283" s="43" t="s">
        <v>5274</v>
      </c>
      <c r="I3283" s="71" t="s">
        <v>5274</v>
      </c>
      <c r="J3283" s="71" t="s">
        <v>400</v>
      </c>
      <c r="K3283" s="43"/>
      <c r="L3283" s="71" t="s">
        <v>105</v>
      </c>
      <c r="M3283" s="73">
        <v>0.6</v>
      </c>
      <c r="N3283" s="71" t="s">
        <v>388</v>
      </c>
      <c r="O3283" s="73">
        <v>0.014</v>
      </c>
      <c r="P3283" s="71" t="s">
        <v>389</v>
      </c>
      <c r="Q3283" s="73">
        <v>2.5</v>
      </c>
      <c r="R3283" s="71" t="s">
        <v>388</v>
      </c>
      <c r="S3283" s="73">
        <v>0</v>
      </c>
      <c r="T3283" s="71" t="s">
        <v>390</v>
      </c>
      <c r="U3283" s="74">
        <v>1</v>
      </c>
      <c r="V3283" s="71" t="s">
        <v>391</v>
      </c>
      <c r="W3283" s="130"/>
      <c r="X3283" s="72">
        <v>46096.508333333331</v>
      </c>
      <c r="Y3283" s="72">
        <v>46099.508333333331</v>
      </c>
      <c r="Z3283" s="104" t="s">
        <v>382</v>
      </c>
      <c r="AA3283" s="104" t="s">
        <v>2453</v>
      </c>
      <c r="AB3283" s="105">
        <v>46097.682638888888</v>
      </c>
      <c r="AC3283" s="105"/>
    </row>
    <row r="3284" s="70" customFormat="1" ht="11.25" customHeight="1">
      <c r="A3284" s="87"/>
      <c r="C3284" s="43" t="s">
        <v>5275</v>
      </c>
      <c r="D3284" s="71" t="s">
        <v>382</v>
      </c>
      <c r="E3284" s="71" t="str">
        <f>MID(D3284,1,2)</f>
        <v>IL</v>
      </c>
      <c r="F3284" s="71" t="s">
        <v>590</v>
      </c>
      <c r="G3284" s="71" t="str">
        <f>MID(F3284,1,2)</f>
        <v>ES</v>
      </c>
      <c r="H3284" s="43" t="s">
        <v>5276</v>
      </c>
      <c r="I3284" s="71"/>
      <c r="J3284" s="71" t="s">
        <v>411</v>
      </c>
      <c r="K3284" s="43"/>
      <c r="L3284" s="71" t="s">
        <v>105</v>
      </c>
      <c r="M3284" s="73">
        <v>2</v>
      </c>
      <c r="N3284" s="71" t="s">
        <v>388</v>
      </c>
      <c r="O3284" s="73">
        <v>0.048</v>
      </c>
      <c r="P3284" s="71" t="s">
        <v>389</v>
      </c>
      <c r="Q3284" s="73">
        <v>8</v>
      </c>
      <c r="R3284" s="71" t="s">
        <v>388</v>
      </c>
      <c r="S3284" s="73">
        <v>0</v>
      </c>
      <c r="T3284" s="71" t="s">
        <v>390</v>
      </c>
      <c r="U3284" s="74">
        <v>2</v>
      </c>
      <c r="V3284" s="71" t="s">
        <v>390</v>
      </c>
      <c r="W3284" s="130">
        <v>46097.663888888892</v>
      </c>
      <c r="X3284" s="72">
        <v>46098.229166666664</v>
      </c>
      <c r="Y3284" s="72">
        <v>46103.673611111109</v>
      </c>
      <c r="Z3284" s="104" t="s">
        <v>382</v>
      </c>
      <c r="AA3284" s="104" t="s">
        <v>408</v>
      </c>
      <c r="AB3284" s="105">
        <v>46093.538194444445</v>
      </c>
      <c r="AC3284" s="105"/>
    </row>
    <row r="3285" s="70" customFormat="1" ht="11.25" customHeight="1">
      <c r="A3285" s="87"/>
      <c r="C3285" s="43" t="s">
        <v>5275</v>
      </c>
      <c r="D3285" s="71" t="s">
        <v>382</v>
      </c>
      <c r="E3285" s="71" t="str">
        <f>MID(D3285,1,2)</f>
        <v>IL</v>
      </c>
      <c r="F3285" s="71" t="s">
        <v>590</v>
      </c>
      <c r="G3285" s="71" t="str">
        <f>MID(F3285,1,2)</f>
        <v>ES</v>
      </c>
      <c r="H3285" s="43" t="s">
        <v>5276</v>
      </c>
      <c r="I3285" s="71"/>
      <c r="J3285" s="71" t="s">
        <v>411</v>
      </c>
      <c r="K3285" s="43"/>
      <c r="L3285" s="71" t="s">
        <v>105</v>
      </c>
      <c r="M3285" s="73">
        <v>2</v>
      </c>
      <c r="N3285" s="71" t="s">
        <v>388</v>
      </c>
      <c r="O3285" s="73">
        <v>0.048</v>
      </c>
      <c r="P3285" s="71" t="s">
        <v>389</v>
      </c>
      <c r="Q3285" s="73">
        <v>8</v>
      </c>
      <c r="R3285" s="71" t="s">
        <v>388</v>
      </c>
      <c r="S3285" s="73">
        <v>0</v>
      </c>
      <c r="T3285" s="71" t="s">
        <v>390</v>
      </c>
      <c r="U3285" s="74">
        <v>2</v>
      </c>
      <c r="V3285" s="71" t="s">
        <v>390</v>
      </c>
      <c r="W3285" s="130">
        <v>46097.663888888892</v>
      </c>
      <c r="X3285" s="72">
        <v>46098.229166666664</v>
      </c>
      <c r="Y3285" s="72">
        <v>46103.673611111109</v>
      </c>
      <c r="Z3285" s="104" t="s">
        <v>408</v>
      </c>
      <c r="AA3285" s="104" t="s">
        <v>3173</v>
      </c>
      <c r="AB3285" s="105"/>
      <c r="AC3285" s="105"/>
    </row>
    <row r="3286" s="70" customFormat="1" ht="11.25" customHeight="1">
      <c r="A3286" s="87"/>
      <c r="C3286" s="43" t="s">
        <v>5275</v>
      </c>
      <c r="D3286" s="71" t="s">
        <v>382</v>
      </c>
      <c r="E3286" s="71" t="str">
        <f>MID(D3286,1,2)</f>
        <v>IL</v>
      </c>
      <c r="F3286" s="71" t="s">
        <v>590</v>
      </c>
      <c r="G3286" s="71" t="str">
        <f>MID(F3286,1,2)</f>
        <v>ES</v>
      </c>
      <c r="H3286" s="43" t="s">
        <v>5276</v>
      </c>
      <c r="I3286" s="71"/>
      <c r="J3286" s="71" t="s">
        <v>411</v>
      </c>
      <c r="K3286" s="43"/>
      <c r="L3286" s="71" t="s">
        <v>105</v>
      </c>
      <c r="M3286" s="73">
        <v>2</v>
      </c>
      <c r="N3286" s="71" t="s">
        <v>388</v>
      </c>
      <c r="O3286" s="73">
        <v>0.048</v>
      </c>
      <c r="P3286" s="71" t="s">
        <v>389</v>
      </c>
      <c r="Q3286" s="73">
        <v>8</v>
      </c>
      <c r="R3286" s="71" t="s">
        <v>388</v>
      </c>
      <c r="S3286" s="73">
        <v>0</v>
      </c>
      <c r="T3286" s="71" t="s">
        <v>390</v>
      </c>
      <c r="U3286" s="74">
        <v>2</v>
      </c>
      <c r="V3286" s="71" t="s">
        <v>390</v>
      </c>
      <c r="W3286" s="130">
        <v>46097.663888888892</v>
      </c>
      <c r="X3286" s="72">
        <v>46098.229166666664</v>
      </c>
      <c r="Y3286" s="72">
        <v>46103.673611111109</v>
      </c>
      <c r="Z3286" s="104" t="s">
        <v>3173</v>
      </c>
      <c r="AA3286" s="104" t="s">
        <v>590</v>
      </c>
      <c r="AB3286" s="105"/>
      <c r="AC3286" s="105"/>
    </row>
    <row r="3287" s="70" customFormat="1" ht="11.25" customHeight="1">
      <c r="A3287" s="87"/>
      <c r="C3287" s="43" t="s">
        <v>5277</v>
      </c>
      <c r="D3287" s="71" t="s">
        <v>382</v>
      </c>
      <c r="E3287" s="71" t="str">
        <f>MID(D3287,1,2)</f>
        <v>IL</v>
      </c>
      <c r="F3287" s="71" t="s">
        <v>408</v>
      </c>
      <c r="G3287" s="71" t="str">
        <f>MID(F3287,1,2)</f>
        <v>GR</v>
      </c>
      <c r="H3287" s="43" t="s">
        <v>5267</v>
      </c>
      <c r="I3287" s="71" t="s">
        <v>5278</v>
      </c>
      <c r="J3287" s="71" t="s">
        <v>400</v>
      </c>
      <c r="K3287" s="43"/>
      <c r="L3287" s="71" t="s">
        <v>105</v>
      </c>
      <c r="M3287" s="73">
        <v>36</v>
      </c>
      <c r="N3287" s="71" t="s">
        <v>388</v>
      </c>
      <c r="O3287" s="73">
        <v>0.506</v>
      </c>
      <c r="P3287" s="71" t="s">
        <v>389</v>
      </c>
      <c r="Q3287" s="73">
        <v>84.5</v>
      </c>
      <c r="R3287" s="71" t="s">
        <v>388</v>
      </c>
      <c r="S3287" s="73">
        <v>0</v>
      </c>
      <c r="T3287" s="71" t="s">
        <v>390</v>
      </c>
      <c r="U3287" s="74">
        <v>1</v>
      </c>
      <c r="V3287" s="71" t="s">
        <v>391</v>
      </c>
      <c r="W3287" s="130">
        <v>46097.3125</v>
      </c>
      <c r="X3287" s="72">
        <v>46100</v>
      </c>
      <c r="Y3287" s="72">
        <v>46104.034722222219</v>
      </c>
      <c r="Z3287" s="104" t="s">
        <v>382</v>
      </c>
      <c r="AA3287" s="104" t="s">
        <v>408</v>
      </c>
      <c r="AB3287" s="105">
        <v>46101.465277777781</v>
      </c>
      <c r="AC3287" s="105"/>
    </row>
    <row r="3288" s="70" customFormat="1" ht="11.25" customHeight="1">
      <c r="A3288" s="87"/>
      <c r="C3288" s="43" t="s">
        <v>5279</v>
      </c>
      <c r="D3288" s="71" t="s">
        <v>382</v>
      </c>
      <c r="E3288" s="71" t="str">
        <f>MID(D3288,1,2)</f>
        <v>IL</v>
      </c>
      <c r="F3288" s="71" t="s">
        <v>480</v>
      </c>
      <c r="G3288" s="71" t="str">
        <f>MID(F3288,1,2)</f>
        <v>CA</v>
      </c>
      <c r="H3288" s="43" t="s">
        <v>5280</v>
      </c>
      <c r="I3288" s="71" t="s">
        <v>5281</v>
      </c>
      <c r="J3288" s="71" t="s">
        <v>386</v>
      </c>
      <c r="K3288" s="43"/>
      <c r="L3288" s="71" t="s">
        <v>107</v>
      </c>
      <c r="M3288" s="73">
        <v>117</v>
      </c>
      <c r="N3288" s="71" t="s">
        <v>388</v>
      </c>
      <c r="O3288" s="73">
        <v>1.392</v>
      </c>
      <c r="P3288" s="71" t="s">
        <v>389</v>
      </c>
      <c r="Q3288" s="73">
        <v>232</v>
      </c>
      <c r="R3288" s="71" t="s">
        <v>388</v>
      </c>
      <c r="S3288" s="73">
        <v>0</v>
      </c>
      <c r="T3288" s="71" t="s">
        <v>390</v>
      </c>
      <c r="U3288" s="74">
        <v>1</v>
      </c>
      <c r="V3288" s="71" t="s">
        <v>417</v>
      </c>
      <c r="W3288" s="130">
        <v>46096.611805555556</v>
      </c>
      <c r="X3288" s="72">
        <v>46099.567361111112</v>
      </c>
      <c r="Y3288" s="72">
        <v>46108.958333333336</v>
      </c>
      <c r="Z3288" s="104" t="s">
        <v>382</v>
      </c>
      <c r="AA3288" s="104" t="s">
        <v>408</v>
      </c>
      <c r="AB3288" s="105">
        <v>46100.595138888886</v>
      </c>
      <c r="AC3288" s="105">
        <v>46101.2625</v>
      </c>
    </row>
    <row r="3289" s="70" customFormat="1" ht="11.25" customHeight="1">
      <c r="A3289" s="87"/>
      <c r="C3289" s="43" t="s">
        <v>5279</v>
      </c>
      <c r="D3289" s="71" t="s">
        <v>382</v>
      </c>
      <c r="E3289" s="71" t="str">
        <f>MID(D3289,1,2)</f>
        <v>IL</v>
      </c>
      <c r="F3289" s="71" t="s">
        <v>480</v>
      </c>
      <c r="G3289" s="71" t="str">
        <f>MID(F3289,1,2)</f>
        <v>CA</v>
      </c>
      <c r="H3289" s="43" t="s">
        <v>5280</v>
      </c>
      <c r="I3289" s="71" t="s">
        <v>5281</v>
      </c>
      <c r="J3289" s="71" t="s">
        <v>386</v>
      </c>
      <c r="K3289" s="43"/>
      <c r="L3289" s="71" t="s">
        <v>107</v>
      </c>
      <c r="M3289" s="73">
        <v>117</v>
      </c>
      <c r="N3289" s="71" t="s">
        <v>388</v>
      </c>
      <c r="O3289" s="73">
        <v>1.392</v>
      </c>
      <c r="P3289" s="71" t="s">
        <v>389</v>
      </c>
      <c r="Q3289" s="73">
        <v>232</v>
      </c>
      <c r="R3289" s="71" t="s">
        <v>388</v>
      </c>
      <c r="S3289" s="73">
        <v>0</v>
      </c>
      <c r="T3289" s="71" t="s">
        <v>390</v>
      </c>
      <c r="U3289" s="74">
        <v>1</v>
      </c>
      <c r="V3289" s="71" t="s">
        <v>417</v>
      </c>
      <c r="W3289" s="130">
        <v>46096.611805555556</v>
      </c>
      <c r="X3289" s="72">
        <v>46099.567361111112</v>
      </c>
      <c r="Y3289" s="72">
        <v>46108.958333333336</v>
      </c>
      <c r="Z3289" s="104" t="s">
        <v>408</v>
      </c>
      <c r="AA3289" s="104" t="s">
        <v>480</v>
      </c>
      <c r="AB3289" s="105"/>
      <c r="AC3289" s="105"/>
    </row>
    <row r="3290" s="70" customFormat="1" ht="11.25" customHeight="1">
      <c r="A3290" s="87"/>
      <c r="C3290" s="43" t="s">
        <v>5282</v>
      </c>
      <c r="D3290" s="71" t="s">
        <v>382</v>
      </c>
      <c r="E3290" s="71" t="str">
        <f>MID(D3290,1,2)</f>
        <v>IL</v>
      </c>
      <c r="F3290" s="71" t="s">
        <v>978</v>
      </c>
      <c r="G3290" s="71" t="str">
        <f>MID(F3290,1,2)</f>
        <v>PL</v>
      </c>
      <c r="H3290" s="43" t="s">
        <v>4936</v>
      </c>
      <c r="I3290" s="71" t="s">
        <v>5283</v>
      </c>
      <c r="J3290" s="71" t="s">
        <v>386</v>
      </c>
      <c r="K3290" s="43" t="s">
        <v>1019</v>
      </c>
      <c r="L3290" s="71" t="s">
        <v>107</v>
      </c>
      <c r="M3290" s="73">
        <v>68</v>
      </c>
      <c r="N3290" s="71" t="s">
        <v>388</v>
      </c>
      <c r="O3290" s="73">
        <v>0.47</v>
      </c>
      <c r="P3290" s="71" t="s">
        <v>389</v>
      </c>
      <c r="Q3290" s="73">
        <v>100</v>
      </c>
      <c r="R3290" s="71" t="s">
        <v>388</v>
      </c>
      <c r="S3290" s="73">
        <v>0</v>
      </c>
      <c r="T3290" s="71" t="s">
        <v>390</v>
      </c>
      <c r="U3290" s="74">
        <v>1</v>
      </c>
      <c r="V3290" s="71" t="s">
        <v>391</v>
      </c>
      <c r="W3290" s="130">
        <v>46096.632638888892</v>
      </c>
      <c r="X3290" s="72">
        <v>46099.5</v>
      </c>
      <c r="Y3290" s="72">
        <v>46104.513888888891</v>
      </c>
      <c r="Z3290" s="104" t="s">
        <v>382</v>
      </c>
      <c r="AA3290" s="104" t="s">
        <v>383</v>
      </c>
      <c r="AB3290" s="105">
        <v>46103.441666666666</v>
      </c>
      <c r="AC3290" s="105"/>
    </row>
    <row r="3291" s="70" customFormat="1" ht="11.25" customHeight="1">
      <c r="A3291" s="87"/>
      <c r="C3291" s="43" t="s">
        <v>5284</v>
      </c>
      <c r="D3291" s="71" t="s">
        <v>382</v>
      </c>
      <c r="E3291" s="71" t="str">
        <f>MID(D3291,1,2)</f>
        <v>IL</v>
      </c>
      <c r="F3291" s="71" t="s">
        <v>414</v>
      </c>
      <c r="G3291" s="71" t="str">
        <f>MID(F3291,1,2)</f>
        <v>US</v>
      </c>
      <c r="H3291" s="43" t="s">
        <v>5126</v>
      </c>
      <c r="I3291" s="71" t="s">
        <v>5285</v>
      </c>
      <c r="J3291" s="71" t="s">
        <v>483</v>
      </c>
      <c r="K3291" s="43"/>
      <c r="L3291" s="71" t="s">
        <v>105</v>
      </c>
      <c r="M3291" s="73">
        <v>6</v>
      </c>
      <c r="N3291" s="71" t="s">
        <v>388</v>
      </c>
      <c r="O3291" s="73">
        <v>0.029</v>
      </c>
      <c r="P3291" s="71" t="s">
        <v>389</v>
      </c>
      <c r="Q3291" s="73">
        <v>6</v>
      </c>
      <c r="R3291" s="71" t="s">
        <v>388</v>
      </c>
      <c r="S3291" s="73">
        <v>0</v>
      </c>
      <c r="T3291" s="71" t="s">
        <v>390</v>
      </c>
      <c r="U3291" s="74">
        <v>1</v>
      </c>
      <c r="V3291" s="71" t="s">
        <v>427</v>
      </c>
      <c r="W3291" s="130">
        <v>46096.869143518517</v>
      </c>
      <c r="X3291" s="72">
        <v>46099.854166666664</v>
      </c>
      <c r="Y3291" s="72">
        <v>46101.510416666664</v>
      </c>
      <c r="Z3291" s="104" t="s">
        <v>382</v>
      </c>
      <c r="AA3291" s="104" t="s">
        <v>414</v>
      </c>
      <c r="AB3291" s="105">
        <v>46101.299305555556</v>
      </c>
      <c r="AC3291" s="105">
        <v>46101.519444444442</v>
      </c>
    </row>
    <row r="3292" s="70" customFormat="1" ht="11.25" customHeight="1">
      <c r="A3292" s="87"/>
      <c r="C3292" s="43" t="s">
        <v>5286</v>
      </c>
      <c r="D3292" s="71" t="s">
        <v>382</v>
      </c>
      <c r="E3292" s="71" t="str">
        <f>MID(D3292,1,2)</f>
        <v>IL</v>
      </c>
      <c r="F3292" s="71" t="s">
        <v>684</v>
      </c>
      <c r="G3292" s="71" t="str">
        <f>MID(F3292,1,2)</f>
        <v>IT</v>
      </c>
      <c r="H3292" s="43" t="s">
        <v>5287</v>
      </c>
      <c r="I3292" s="71" t="s">
        <v>5287</v>
      </c>
      <c r="J3292" s="71" t="s">
        <v>400</v>
      </c>
      <c r="K3292" s="43" t="s">
        <v>5288</v>
      </c>
      <c r="L3292" s="71" t="s">
        <v>105</v>
      </c>
      <c r="M3292" s="73">
        <v>91</v>
      </c>
      <c r="N3292" s="71" t="s">
        <v>388</v>
      </c>
      <c r="O3292" s="73">
        <v>0.989</v>
      </c>
      <c r="P3292" s="71" t="s">
        <v>389</v>
      </c>
      <c r="Q3292" s="73">
        <v>165</v>
      </c>
      <c r="R3292" s="71" t="s">
        <v>388</v>
      </c>
      <c r="S3292" s="73">
        <v>0</v>
      </c>
      <c r="T3292" s="71" t="s">
        <v>390</v>
      </c>
      <c r="U3292" s="74">
        <v>1</v>
      </c>
      <c r="V3292" s="71" t="s">
        <v>391</v>
      </c>
      <c r="W3292" s="130"/>
      <c r="X3292" s="72">
        <v>46099.540972222225</v>
      </c>
      <c r="Y3292" s="72">
        <v>46101.540972222225</v>
      </c>
      <c r="Z3292" s="104" t="s">
        <v>382</v>
      </c>
      <c r="AA3292" s="104" t="s">
        <v>684</v>
      </c>
      <c r="AB3292" s="105">
        <v>46099.573611111111</v>
      </c>
      <c r="AC3292" s="105"/>
    </row>
    <row r="3293" s="70" customFormat="1" ht="11.25" customHeight="1">
      <c r="A3293" s="87"/>
      <c r="C3293" s="43" t="s">
        <v>5289</v>
      </c>
      <c r="D3293" s="71" t="s">
        <v>382</v>
      </c>
      <c r="E3293" s="71" t="str">
        <f>MID(D3293,1,2)</f>
        <v>IL</v>
      </c>
      <c r="F3293" s="71" t="s">
        <v>414</v>
      </c>
      <c r="G3293" s="71" t="str">
        <f>MID(F3293,1,2)</f>
        <v>US</v>
      </c>
      <c r="H3293" s="43" t="s">
        <v>5126</v>
      </c>
      <c r="I3293" s="71" t="s">
        <v>5290</v>
      </c>
      <c r="J3293" s="71" t="s">
        <v>426</v>
      </c>
      <c r="K3293" s="43"/>
      <c r="L3293" s="71" t="s">
        <v>105</v>
      </c>
      <c r="M3293" s="73">
        <v>44</v>
      </c>
      <c r="N3293" s="71" t="s">
        <v>388</v>
      </c>
      <c r="O3293" s="73">
        <v>0.554</v>
      </c>
      <c r="P3293" s="71" t="s">
        <v>389</v>
      </c>
      <c r="Q3293" s="73">
        <v>92.5</v>
      </c>
      <c r="R3293" s="71" t="s">
        <v>388</v>
      </c>
      <c r="S3293" s="73">
        <v>0</v>
      </c>
      <c r="T3293" s="71" t="s">
        <v>390</v>
      </c>
      <c r="U3293" s="74">
        <v>1</v>
      </c>
      <c r="V3293" s="71" t="s">
        <v>391</v>
      </c>
      <c r="W3293" s="130">
        <v>46096.57708333333</v>
      </c>
      <c r="X3293" s="72">
        <v>46099.854166666664</v>
      </c>
      <c r="Y3293" s="72">
        <v>46101.510416666664</v>
      </c>
      <c r="Z3293" s="104" t="s">
        <v>382</v>
      </c>
      <c r="AA3293" s="104" t="s">
        <v>414</v>
      </c>
      <c r="AB3293" s="105">
        <v>46101.299305555556</v>
      </c>
      <c r="AC3293" s="105">
        <v>46101.519444444442</v>
      </c>
    </row>
    <row r="3294" s="70" customFormat="1" ht="11.25" customHeight="1">
      <c r="A3294" s="87"/>
      <c r="C3294" s="43" t="s">
        <v>5291</v>
      </c>
      <c r="D3294" s="71" t="s">
        <v>382</v>
      </c>
      <c r="E3294" s="71" t="str">
        <f>MID(D3294,1,2)</f>
        <v>IL</v>
      </c>
      <c r="F3294" s="71" t="s">
        <v>468</v>
      </c>
      <c r="G3294" s="71" t="str">
        <f>MID(F3294,1,2)</f>
        <v>US</v>
      </c>
      <c r="H3294" s="43" t="s">
        <v>5189</v>
      </c>
      <c r="I3294" s="71" t="s">
        <v>5292</v>
      </c>
      <c r="J3294" s="71" t="s">
        <v>386</v>
      </c>
      <c r="K3294" s="43"/>
      <c r="L3294" s="71" t="s">
        <v>107</v>
      </c>
      <c r="M3294" s="73">
        <v>6</v>
      </c>
      <c r="N3294" s="71" t="s">
        <v>388</v>
      </c>
      <c r="O3294" s="73">
        <v>0.15</v>
      </c>
      <c r="P3294" s="71" t="s">
        <v>389</v>
      </c>
      <c r="Q3294" s="73">
        <v>25</v>
      </c>
      <c r="R3294" s="71" t="s">
        <v>388</v>
      </c>
      <c r="S3294" s="73">
        <v>0</v>
      </c>
      <c r="T3294" s="71" t="s">
        <v>390</v>
      </c>
      <c r="U3294" s="74">
        <v>1</v>
      </c>
      <c r="V3294" s="71" t="s">
        <v>391</v>
      </c>
      <c r="W3294" s="130">
        <v>46096.555555555555</v>
      </c>
      <c r="X3294" s="72">
        <v>46100.333333333336</v>
      </c>
      <c r="Y3294" s="72">
        <v>46105.375</v>
      </c>
      <c r="Z3294" s="104" t="s">
        <v>382</v>
      </c>
      <c r="AA3294" s="104" t="s">
        <v>471</v>
      </c>
      <c r="AB3294" s="105">
        <v>46100.772916666669</v>
      </c>
      <c r="AC3294" s="105"/>
    </row>
    <row r="3295" s="70" customFormat="1" ht="11.25" customHeight="1">
      <c r="A3295" s="87"/>
      <c r="C3295" s="43" t="s">
        <v>5291</v>
      </c>
      <c r="D3295" s="71" t="s">
        <v>382</v>
      </c>
      <c r="E3295" s="71" t="str">
        <f>MID(D3295,1,2)</f>
        <v>IL</v>
      </c>
      <c r="F3295" s="71" t="s">
        <v>468</v>
      </c>
      <c r="G3295" s="71" t="str">
        <f>MID(F3295,1,2)</f>
        <v>US</v>
      </c>
      <c r="H3295" s="43" t="s">
        <v>5189</v>
      </c>
      <c r="I3295" s="71" t="s">
        <v>5292</v>
      </c>
      <c r="J3295" s="71" t="s">
        <v>386</v>
      </c>
      <c r="K3295" s="43"/>
      <c r="L3295" s="71" t="s">
        <v>107</v>
      </c>
      <c r="M3295" s="73">
        <v>6</v>
      </c>
      <c r="N3295" s="71" t="s">
        <v>388</v>
      </c>
      <c r="O3295" s="73">
        <v>0.15</v>
      </c>
      <c r="P3295" s="71" t="s">
        <v>389</v>
      </c>
      <c r="Q3295" s="73">
        <v>25</v>
      </c>
      <c r="R3295" s="71" t="s">
        <v>388</v>
      </c>
      <c r="S3295" s="73">
        <v>0</v>
      </c>
      <c r="T3295" s="71" t="s">
        <v>390</v>
      </c>
      <c r="U3295" s="74">
        <v>1</v>
      </c>
      <c r="V3295" s="71" t="s">
        <v>391</v>
      </c>
      <c r="W3295" s="130">
        <v>46096.555555555555</v>
      </c>
      <c r="X3295" s="72">
        <v>46100.333333333336</v>
      </c>
      <c r="Y3295" s="72">
        <v>46105.375</v>
      </c>
      <c r="Z3295" s="104" t="s">
        <v>471</v>
      </c>
      <c r="AA3295" s="104" t="s">
        <v>468</v>
      </c>
      <c r="AB3295" s="105"/>
      <c r="AC3295" s="105"/>
    </row>
    <row r="3296" s="70" customFormat="1" ht="11.25" customHeight="1">
      <c r="A3296" s="87"/>
      <c r="C3296" s="43" t="s">
        <v>5293</v>
      </c>
      <c r="D3296" s="71" t="s">
        <v>382</v>
      </c>
      <c r="E3296" s="71" t="str">
        <f>MID(D3296,1,2)</f>
        <v>IL</v>
      </c>
      <c r="F3296" s="71" t="s">
        <v>414</v>
      </c>
      <c r="G3296" s="71" t="str">
        <f>MID(F3296,1,2)</f>
        <v>US</v>
      </c>
      <c r="H3296" s="43" t="s">
        <v>5126</v>
      </c>
      <c r="I3296" s="71" t="s">
        <v>5294</v>
      </c>
      <c r="J3296" s="71" t="s">
        <v>454</v>
      </c>
      <c r="K3296" s="43"/>
      <c r="L3296" s="71" t="s">
        <v>107</v>
      </c>
      <c r="M3296" s="73">
        <v>1</v>
      </c>
      <c r="N3296" s="71" t="s">
        <v>388</v>
      </c>
      <c r="O3296" s="73">
        <v>0.007</v>
      </c>
      <c r="P3296" s="71" t="s">
        <v>389</v>
      </c>
      <c r="Q3296" s="73">
        <v>1.5</v>
      </c>
      <c r="R3296" s="71" t="s">
        <v>388</v>
      </c>
      <c r="S3296" s="73">
        <v>0</v>
      </c>
      <c r="T3296" s="71" t="s">
        <v>390</v>
      </c>
      <c r="U3296" s="74">
        <v>1</v>
      </c>
      <c r="V3296" s="71" t="s">
        <v>427</v>
      </c>
      <c r="W3296" s="130">
        <v>46096.591307870367</v>
      </c>
      <c r="X3296" s="72">
        <v>46099.854166666664</v>
      </c>
      <c r="Y3296" s="72">
        <v>46101.510416666664</v>
      </c>
      <c r="Z3296" s="104" t="s">
        <v>382</v>
      </c>
      <c r="AA3296" s="104" t="s">
        <v>414</v>
      </c>
      <c r="AB3296" s="105">
        <v>46101.299305555556</v>
      </c>
      <c r="AC3296" s="105">
        <v>46101.519444444442</v>
      </c>
    </row>
    <row r="3297" s="70" customFormat="1" ht="11.25" customHeight="1">
      <c r="A3297" s="87"/>
      <c r="C3297" s="43" t="s">
        <v>5295</v>
      </c>
      <c r="D3297" s="71" t="s">
        <v>382</v>
      </c>
      <c r="E3297" s="71" t="str">
        <f>MID(D3297,1,2)</f>
        <v>IL</v>
      </c>
      <c r="F3297" s="71" t="s">
        <v>1069</v>
      </c>
      <c r="G3297" s="71" t="str">
        <f>MID(F3297,1,2)</f>
        <v>AU</v>
      </c>
      <c r="H3297" s="43" t="s">
        <v>5296</v>
      </c>
      <c r="I3297" s="71" t="s">
        <v>5297</v>
      </c>
      <c r="J3297" s="71" t="s">
        <v>426</v>
      </c>
      <c r="K3297" s="43"/>
      <c r="L3297" s="71" t="s">
        <v>105</v>
      </c>
      <c r="M3297" s="73">
        <v>132</v>
      </c>
      <c r="N3297" s="71" t="s">
        <v>388</v>
      </c>
      <c r="O3297" s="73">
        <v>0.543</v>
      </c>
      <c r="P3297" s="71" t="s">
        <v>389</v>
      </c>
      <c r="Q3297" s="73">
        <v>132</v>
      </c>
      <c r="R3297" s="71" t="s">
        <v>388</v>
      </c>
      <c r="S3297" s="73">
        <v>0</v>
      </c>
      <c r="T3297" s="71" t="s">
        <v>390</v>
      </c>
      <c r="U3297" s="74">
        <v>2</v>
      </c>
      <c r="V3297" s="71" t="s">
        <v>391</v>
      </c>
      <c r="W3297" s="130">
        <v>46096.611111111109</v>
      </c>
      <c r="X3297" s="72">
        <v>46098.436805555553</v>
      </c>
      <c r="Y3297" s="72">
        <v>46107.75</v>
      </c>
      <c r="Z3297" s="104" t="s">
        <v>382</v>
      </c>
      <c r="AA3297" s="104" t="s">
        <v>408</v>
      </c>
      <c r="AB3297" s="105">
        <v>46100.272916666669</v>
      </c>
      <c r="AC3297" s="105">
        <v>46100.445833333331</v>
      </c>
    </row>
    <row r="3298" s="70" customFormat="1" ht="11.25" customHeight="1">
      <c r="A3298" s="87"/>
      <c r="C3298" s="43" t="s">
        <v>5295</v>
      </c>
      <c r="D3298" s="71" t="s">
        <v>382</v>
      </c>
      <c r="E3298" s="71" t="str">
        <f>MID(D3298,1,2)</f>
        <v>IL</v>
      </c>
      <c r="F3298" s="71" t="s">
        <v>1069</v>
      </c>
      <c r="G3298" s="71" t="str">
        <f>MID(F3298,1,2)</f>
        <v>AU</v>
      </c>
      <c r="H3298" s="43" t="s">
        <v>5296</v>
      </c>
      <c r="I3298" s="71" t="s">
        <v>5297</v>
      </c>
      <c r="J3298" s="71" t="s">
        <v>426</v>
      </c>
      <c r="K3298" s="43"/>
      <c r="L3298" s="71" t="s">
        <v>105</v>
      </c>
      <c r="M3298" s="73">
        <v>132</v>
      </c>
      <c r="N3298" s="71" t="s">
        <v>388</v>
      </c>
      <c r="O3298" s="73">
        <v>0.543</v>
      </c>
      <c r="P3298" s="71" t="s">
        <v>389</v>
      </c>
      <c r="Q3298" s="73">
        <v>132</v>
      </c>
      <c r="R3298" s="71" t="s">
        <v>388</v>
      </c>
      <c r="S3298" s="73">
        <v>0</v>
      </c>
      <c r="T3298" s="71" t="s">
        <v>390</v>
      </c>
      <c r="U3298" s="74">
        <v>2</v>
      </c>
      <c r="V3298" s="71" t="s">
        <v>391</v>
      </c>
      <c r="W3298" s="130">
        <v>46096.611111111109</v>
      </c>
      <c r="X3298" s="72">
        <v>46098.436805555553</v>
      </c>
      <c r="Y3298" s="72">
        <v>46107.75</v>
      </c>
      <c r="Z3298" s="104" t="s">
        <v>408</v>
      </c>
      <c r="AA3298" s="104" t="s">
        <v>405</v>
      </c>
      <c r="AB3298" s="105"/>
      <c r="AC3298" s="105"/>
    </row>
    <row r="3299" s="70" customFormat="1" ht="11.25" customHeight="1">
      <c r="A3299" s="87"/>
      <c r="C3299" s="43" t="s">
        <v>5295</v>
      </c>
      <c r="D3299" s="71" t="s">
        <v>382</v>
      </c>
      <c r="E3299" s="71" t="str">
        <f>MID(D3299,1,2)</f>
        <v>IL</v>
      </c>
      <c r="F3299" s="71" t="s">
        <v>1069</v>
      </c>
      <c r="G3299" s="71" t="str">
        <f>MID(F3299,1,2)</f>
        <v>AU</v>
      </c>
      <c r="H3299" s="43" t="s">
        <v>5296</v>
      </c>
      <c r="I3299" s="71" t="s">
        <v>5297</v>
      </c>
      <c r="J3299" s="71" t="s">
        <v>426</v>
      </c>
      <c r="K3299" s="43"/>
      <c r="L3299" s="71" t="s">
        <v>105</v>
      </c>
      <c r="M3299" s="73">
        <v>132</v>
      </c>
      <c r="N3299" s="71" t="s">
        <v>388</v>
      </c>
      <c r="O3299" s="73">
        <v>0.543</v>
      </c>
      <c r="P3299" s="71" t="s">
        <v>389</v>
      </c>
      <c r="Q3299" s="73">
        <v>132</v>
      </c>
      <c r="R3299" s="71" t="s">
        <v>388</v>
      </c>
      <c r="S3299" s="73">
        <v>0</v>
      </c>
      <c r="T3299" s="71" t="s">
        <v>390</v>
      </c>
      <c r="U3299" s="74">
        <v>2</v>
      </c>
      <c r="V3299" s="71" t="s">
        <v>391</v>
      </c>
      <c r="W3299" s="130">
        <v>46096.611111111109</v>
      </c>
      <c r="X3299" s="72">
        <v>46098.436805555553</v>
      </c>
      <c r="Y3299" s="72">
        <v>46107.75</v>
      </c>
      <c r="Z3299" s="104" t="s">
        <v>405</v>
      </c>
      <c r="AA3299" s="104" t="s">
        <v>437</v>
      </c>
      <c r="AB3299" s="105"/>
      <c r="AC3299" s="105"/>
    </row>
    <row r="3300" s="70" customFormat="1" ht="11.25" customHeight="1">
      <c r="A3300" s="87"/>
      <c r="C3300" s="43" t="s">
        <v>5295</v>
      </c>
      <c r="D3300" s="71" t="s">
        <v>382</v>
      </c>
      <c r="E3300" s="71" t="str">
        <f>MID(D3300,1,2)</f>
        <v>IL</v>
      </c>
      <c r="F3300" s="71" t="s">
        <v>1069</v>
      </c>
      <c r="G3300" s="71" t="str">
        <f>MID(F3300,1,2)</f>
        <v>AU</v>
      </c>
      <c r="H3300" s="43" t="s">
        <v>5296</v>
      </c>
      <c r="I3300" s="71" t="s">
        <v>5297</v>
      </c>
      <c r="J3300" s="71" t="s">
        <v>426</v>
      </c>
      <c r="K3300" s="43"/>
      <c r="L3300" s="71" t="s">
        <v>105</v>
      </c>
      <c r="M3300" s="73">
        <v>132</v>
      </c>
      <c r="N3300" s="71" t="s">
        <v>388</v>
      </c>
      <c r="O3300" s="73">
        <v>0.543</v>
      </c>
      <c r="P3300" s="71" t="s">
        <v>389</v>
      </c>
      <c r="Q3300" s="73">
        <v>132</v>
      </c>
      <c r="R3300" s="71" t="s">
        <v>388</v>
      </c>
      <c r="S3300" s="73">
        <v>0</v>
      </c>
      <c r="T3300" s="71" t="s">
        <v>390</v>
      </c>
      <c r="U3300" s="74">
        <v>2</v>
      </c>
      <c r="V3300" s="71" t="s">
        <v>391</v>
      </c>
      <c r="W3300" s="130">
        <v>46096.611111111109</v>
      </c>
      <c r="X3300" s="72">
        <v>46098.436805555553</v>
      </c>
      <c r="Y3300" s="72">
        <v>46107.75</v>
      </c>
      <c r="Z3300" s="104" t="s">
        <v>437</v>
      </c>
      <c r="AA3300" s="104" t="s">
        <v>1069</v>
      </c>
      <c r="AB3300" s="105"/>
      <c r="AC3300" s="105"/>
    </row>
    <row r="3301" s="70" customFormat="1" ht="11.25" customHeight="1">
      <c r="A3301" s="87"/>
      <c r="C3301" s="43" t="s">
        <v>5298</v>
      </c>
      <c r="D3301" s="71" t="s">
        <v>382</v>
      </c>
      <c r="E3301" s="71" t="str">
        <f>MID(D3301,1,2)</f>
        <v>IL</v>
      </c>
      <c r="F3301" s="71" t="s">
        <v>1108</v>
      </c>
      <c r="G3301" s="71" t="str">
        <f>MID(F3301,1,2)</f>
        <v>TW</v>
      </c>
      <c r="H3301" s="43" t="s">
        <v>5299</v>
      </c>
      <c r="I3301" s="71" t="s">
        <v>5300</v>
      </c>
      <c r="J3301" s="71" t="s">
        <v>755</v>
      </c>
      <c r="K3301" s="43"/>
      <c r="L3301" s="71" t="s">
        <v>105</v>
      </c>
      <c r="M3301" s="73">
        <v>268</v>
      </c>
      <c r="N3301" s="71" t="s">
        <v>388</v>
      </c>
      <c r="O3301" s="73">
        <v>3.169</v>
      </c>
      <c r="P3301" s="71" t="s">
        <v>389</v>
      </c>
      <c r="Q3301" s="73">
        <v>528.5</v>
      </c>
      <c r="R3301" s="71" t="s">
        <v>388</v>
      </c>
      <c r="S3301" s="73">
        <v>0</v>
      </c>
      <c r="T3301" s="71" t="s">
        <v>390</v>
      </c>
      <c r="U3301" s="74">
        <v>3</v>
      </c>
      <c r="V3301" s="71" t="s">
        <v>391</v>
      </c>
      <c r="W3301" s="130">
        <v>46097.584641203706</v>
      </c>
      <c r="X3301" s="72">
        <v>46099.638888888891</v>
      </c>
      <c r="Y3301" s="72">
        <v>46102.854166666664</v>
      </c>
      <c r="Z3301" s="104" t="s">
        <v>382</v>
      </c>
      <c r="AA3301" s="104" t="s">
        <v>402</v>
      </c>
      <c r="AB3301" s="105">
        <v>46099.772916666669</v>
      </c>
      <c r="AC3301" s="105">
        <v>46099.724305555559</v>
      </c>
    </row>
    <row r="3302" s="70" customFormat="1" ht="11.25" customHeight="1">
      <c r="A3302" s="87"/>
      <c r="C3302" s="43" t="s">
        <v>5298</v>
      </c>
      <c r="D3302" s="71" t="s">
        <v>382</v>
      </c>
      <c r="E3302" s="71" t="str">
        <f>MID(D3302,1,2)</f>
        <v>IL</v>
      </c>
      <c r="F3302" s="71" t="s">
        <v>1108</v>
      </c>
      <c r="G3302" s="71" t="str">
        <f>MID(F3302,1,2)</f>
        <v>TW</v>
      </c>
      <c r="H3302" s="43" t="s">
        <v>5299</v>
      </c>
      <c r="I3302" s="71" t="s">
        <v>5300</v>
      </c>
      <c r="J3302" s="71" t="s">
        <v>755</v>
      </c>
      <c r="K3302" s="43"/>
      <c r="L3302" s="71" t="s">
        <v>105</v>
      </c>
      <c r="M3302" s="73">
        <v>268</v>
      </c>
      <c r="N3302" s="71" t="s">
        <v>388</v>
      </c>
      <c r="O3302" s="73">
        <v>3.169</v>
      </c>
      <c r="P3302" s="71" t="s">
        <v>389</v>
      </c>
      <c r="Q3302" s="73">
        <v>528.5</v>
      </c>
      <c r="R3302" s="71" t="s">
        <v>388</v>
      </c>
      <c r="S3302" s="73">
        <v>0</v>
      </c>
      <c r="T3302" s="71" t="s">
        <v>390</v>
      </c>
      <c r="U3302" s="74">
        <v>3</v>
      </c>
      <c r="V3302" s="71" t="s">
        <v>391</v>
      </c>
      <c r="W3302" s="130">
        <v>46097.584641203706</v>
      </c>
      <c r="X3302" s="72">
        <v>46099.638888888891</v>
      </c>
      <c r="Y3302" s="72">
        <v>46102.854166666664</v>
      </c>
      <c r="Z3302" s="104" t="s">
        <v>402</v>
      </c>
      <c r="AA3302" s="104" t="s">
        <v>403</v>
      </c>
      <c r="AB3302" s="105">
        <v>46099.94375</v>
      </c>
      <c r="AC3302" s="105"/>
    </row>
    <row r="3303" s="70" customFormat="1" ht="11.25" customHeight="1">
      <c r="A3303" s="87"/>
      <c r="C3303" s="43" t="s">
        <v>5298</v>
      </c>
      <c r="D3303" s="71" t="s">
        <v>382</v>
      </c>
      <c r="E3303" s="71" t="str">
        <f>MID(D3303,1,2)</f>
        <v>IL</v>
      </c>
      <c r="F3303" s="71" t="s">
        <v>1108</v>
      </c>
      <c r="G3303" s="71" t="str">
        <f>MID(F3303,1,2)</f>
        <v>TW</v>
      </c>
      <c r="H3303" s="43" t="s">
        <v>5299</v>
      </c>
      <c r="I3303" s="71" t="s">
        <v>5300</v>
      </c>
      <c r="J3303" s="71" t="s">
        <v>755</v>
      </c>
      <c r="K3303" s="43"/>
      <c r="L3303" s="71" t="s">
        <v>105</v>
      </c>
      <c r="M3303" s="73">
        <v>268</v>
      </c>
      <c r="N3303" s="71" t="s">
        <v>388</v>
      </c>
      <c r="O3303" s="73">
        <v>3.169</v>
      </c>
      <c r="P3303" s="71" t="s">
        <v>389</v>
      </c>
      <c r="Q3303" s="73">
        <v>528.5</v>
      </c>
      <c r="R3303" s="71" t="s">
        <v>388</v>
      </c>
      <c r="S3303" s="73">
        <v>0</v>
      </c>
      <c r="T3303" s="71" t="s">
        <v>390</v>
      </c>
      <c r="U3303" s="74">
        <v>3</v>
      </c>
      <c r="V3303" s="71" t="s">
        <v>391</v>
      </c>
      <c r="W3303" s="130">
        <v>46097.584641203706</v>
      </c>
      <c r="X3303" s="72">
        <v>46099.638888888891</v>
      </c>
      <c r="Y3303" s="72">
        <v>46102.854166666664</v>
      </c>
      <c r="Z3303" s="104" t="s">
        <v>403</v>
      </c>
      <c r="AA3303" s="104" t="s">
        <v>1108</v>
      </c>
      <c r="AB3303" s="105">
        <v>46102.779861111114</v>
      </c>
      <c r="AC3303" s="105">
        <v>46102.840277777781</v>
      </c>
    </row>
    <row r="3304" s="70" customFormat="1" ht="11.25" customHeight="1">
      <c r="A3304" s="87"/>
      <c r="C3304" s="43" t="s">
        <v>5301</v>
      </c>
      <c r="D3304" s="71" t="s">
        <v>382</v>
      </c>
      <c r="E3304" s="71" t="str">
        <f>MID(D3304,1,2)</f>
        <v>IL</v>
      </c>
      <c r="F3304" s="71" t="s">
        <v>702</v>
      </c>
      <c r="G3304" s="71" t="str">
        <f>MID(F3304,1,2)</f>
        <v>JP</v>
      </c>
      <c r="H3304" s="43" t="s">
        <v>5302</v>
      </c>
      <c r="I3304" s="71" t="s">
        <v>5303</v>
      </c>
      <c r="J3304" s="71" t="s">
        <v>755</v>
      </c>
      <c r="K3304" s="43"/>
      <c r="L3304" s="71" t="s">
        <v>105</v>
      </c>
      <c r="M3304" s="73">
        <v>52</v>
      </c>
      <c r="N3304" s="71" t="s">
        <v>388</v>
      </c>
      <c r="O3304" s="73">
        <v>0.47</v>
      </c>
      <c r="P3304" s="71" t="s">
        <v>389</v>
      </c>
      <c r="Q3304" s="73">
        <v>78.5</v>
      </c>
      <c r="R3304" s="71" t="s">
        <v>388</v>
      </c>
      <c r="S3304" s="73">
        <v>0</v>
      </c>
      <c r="T3304" s="71" t="s">
        <v>390</v>
      </c>
      <c r="U3304" s="74">
        <v>1</v>
      </c>
      <c r="V3304" s="71" t="s">
        <v>391</v>
      </c>
      <c r="W3304" s="130">
        <v>46097.584652777776</v>
      </c>
      <c r="X3304" s="72">
        <v>46099.638888888891</v>
      </c>
      <c r="Y3304" s="72">
        <v>46102.850694444445</v>
      </c>
      <c r="Z3304" s="104" t="s">
        <v>382</v>
      </c>
      <c r="AA3304" s="104" t="s">
        <v>402</v>
      </c>
      <c r="AB3304" s="105">
        <v>46099.772916666669</v>
      </c>
      <c r="AC3304" s="105">
        <v>46099.724305555559</v>
      </c>
    </row>
    <row r="3305" s="70" customFormat="1" ht="11.25" customHeight="1">
      <c r="A3305" s="87"/>
      <c r="C3305" s="43" t="s">
        <v>5301</v>
      </c>
      <c r="D3305" s="71" t="s">
        <v>382</v>
      </c>
      <c r="E3305" s="71" t="str">
        <f>MID(D3305,1,2)</f>
        <v>IL</v>
      </c>
      <c r="F3305" s="71" t="s">
        <v>702</v>
      </c>
      <c r="G3305" s="71" t="str">
        <f>MID(F3305,1,2)</f>
        <v>JP</v>
      </c>
      <c r="H3305" s="43" t="s">
        <v>5302</v>
      </c>
      <c r="I3305" s="71" t="s">
        <v>5303</v>
      </c>
      <c r="J3305" s="71" t="s">
        <v>755</v>
      </c>
      <c r="K3305" s="43"/>
      <c r="L3305" s="71" t="s">
        <v>105</v>
      </c>
      <c r="M3305" s="73">
        <v>52</v>
      </c>
      <c r="N3305" s="71" t="s">
        <v>388</v>
      </c>
      <c r="O3305" s="73">
        <v>0.47</v>
      </c>
      <c r="P3305" s="71" t="s">
        <v>389</v>
      </c>
      <c r="Q3305" s="73">
        <v>78.5</v>
      </c>
      <c r="R3305" s="71" t="s">
        <v>388</v>
      </c>
      <c r="S3305" s="73">
        <v>0</v>
      </c>
      <c r="T3305" s="71" t="s">
        <v>390</v>
      </c>
      <c r="U3305" s="74">
        <v>1</v>
      </c>
      <c r="V3305" s="71" t="s">
        <v>391</v>
      </c>
      <c r="W3305" s="130">
        <v>46097.584652777776</v>
      </c>
      <c r="X3305" s="72">
        <v>46099.638888888891</v>
      </c>
      <c r="Y3305" s="72">
        <v>46102.850694444445</v>
      </c>
      <c r="Z3305" s="104" t="s">
        <v>402</v>
      </c>
      <c r="AA3305" s="104" t="s">
        <v>403</v>
      </c>
      <c r="AB3305" s="105">
        <v>46099.943055555559</v>
      </c>
      <c r="AC3305" s="105">
        <v>46100.474305555559</v>
      </c>
    </row>
    <row r="3306" s="70" customFormat="1" ht="11.25" customHeight="1">
      <c r="A3306" s="87"/>
      <c r="C3306" s="43" t="s">
        <v>5301</v>
      </c>
      <c r="D3306" s="71" t="s">
        <v>382</v>
      </c>
      <c r="E3306" s="71" t="str">
        <f>MID(D3306,1,2)</f>
        <v>IL</v>
      </c>
      <c r="F3306" s="71" t="s">
        <v>702</v>
      </c>
      <c r="G3306" s="71" t="str">
        <f>MID(F3306,1,2)</f>
        <v>JP</v>
      </c>
      <c r="H3306" s="43" t="s">
        <v>5302</v>
      </c>
      <c r="I3306" s="71" t="s">
        <v>5303</v>
      </c>
      <c r="J3306" s="71" t="s">
        <v>755</v>
      </c>
      <c r="K3306" s="43"/>
      <c r="L3306" s="71" t="s">
        <v>105</v>
      </c>
      <c r="M3306" s="73">
        <v>52</v>
      </c>
      <c r="N3306" s="71" t="s">
        <v>388</v>
      </c>
      <c r="O3306" s="73">
        <v>0.47</v>
      </c>
      <c r="P3306" s="71" t="s">
        <v>389</v>
      </c>
      <c r="Q3306" s="73">
        <v>78.5</v>
      </c>
      <c r="R3306" s="71" t="s">
        <v>388</v>
      </c>
      <c r="S3306" s="73">
        <v>0</v>
      </c>
      <c r="T3306" s="71" t="s">
        <v>390</v>
      </c>
      <c r="U3306" s="74">
        <v>1</v>
      </c>
      <c r="V3306" s="71" t="s">
        <v>391</v>
      </c>
      <c r="W3306" s="130">
        <v>46097.584652777776</v>
      </c>
      <c r="X3306" s="72">
        <v>46099.638888888891</v>
      </c>
      <c r="Y3306" s="72">
        <v>46102.850694444445</v>
      </c>
      <c r="Z3306" s="104" t="s">
        <v>403</v>
      </c>
      <c r="AA3306" s="104" t="s">
        <v>702</v>
      </c>
      <c r="AB3306" s="105">
        <v>46102.640972222223</v>
      </c>
      <c r="AC3306" s="105">
        <v>46102.842361111114</v>
      </c>
    </row>
    <row r="3307" s="70" customFormat="1" ht="11.25" customHeight="1">
      <c r="A3307" s="87"/>
      <c r="C3307" s="43" t="s">
        <v>5304</v>
      </c>
      <c r="D3307" s="71" t="s">
        <v>382</v>
      </c>
      <c r="E3307" s="71" t="str">
        <f>MID(D3307,1,2)</f>
        <v>IL</v>
      </c>
      <c r="F3307" s="71" t="s">
        <v>3121</v>
      </c>
      <c r="G3307" s="71" t="str">
        <f>MID(F3307,1,2)</f>
        <v>JP</v>
      </c>
      <c r="H3307" s="43" t="s">
        <v>5305</v>
      </c>
      <c r="I3307" s="71" t="s">
        <v>5306</v>
      </c>
      <c r="J3307" s="71" t="s">
        <v>426</v>
      </c>
      <c r="K3307" s="43"/>
      <c r="L3307" s="71" t="s">
        <v>105</v>
      </c>
      <c r="M3307" s="73">
        <v>96</v>
      </c>
      <c r="N3307" s="71" t="s">
        <v>388</v>
      </c>
      <c r="O3307" s="73">
        <v>0.25</v>
      </c>
      <c r="P3307" s="71" t="s">
        <v>389</v>
      </c>
      <c r="Q3307" s="73">
        <v>100</v>
      </c>
      <c r="R3307" s="71" t="s">
        <v>388</v>
      </c>
      <c r="S3307" s="73">
        <v>0</v>
      </c>
      <c r="T3307" s="71" t="s">
        <v>390</v>
      </c>
      <c r="U3307" s="74">
        <v>1</v>
      </c>
      <c r="V3307" s="71" t="s">
        <v>391</v>
      </c>
      <c r="W3307" s="130">
        <v>46099.65116898148</v>
      </c>
      <c r="X3307" s="72">
        <v>46101.378472222219</v>
      </c>
      <c r="Y3307" s="72">
        <v>46105.881944444445</v>
      </c>
      <c r="Z3307" s="104" t="s">
        <v>382</v>
      </c>
      <c r="AA3307" s="104" t="s">
        <v>402</v>
      </c>
      <c r="AB3307" s="105">
        <v>46102.864583333336</v>
      </c>
      <c r="AC3307" s="105">
        <v>46102.892361111109</v>
      </c>
    </row>
    <row r="3308" s="70" customFormat="1" ht="11.25" customHeight="1">
      <c r="A3308" s="87"/>
      <c r="C3308" s="43" t="s">
        <v>5304</v>
      </c>
      <c r="D3308" s="71" t="s">
        <v>382</v>
      </c>
      <c r="E3308" s="71" t="str">
        <f>MID(D3308,1,2)</f>
        <v>IL</v>
      </c>
      <c r="F3308" s="71" t="s">
        <v>3121</v>
      </c>
      <c r="G3308" s="71" t="str">
        <f>MID(F3308,1,2)</f>
        <v>JP</v>
      </c>
      <c r="H3308" s="43" t="s">
        <v>5305</v>
      </c>
      <c r="I3308" s="71" t="s">
        <v>5306</v>
      </c>
      <c r="J3308" s="71" t="s">
        <v>426</v>
      </c>
      <c r="K3308" s="43"/>
      <c r="L3308" s="71" t="s">
        <v>105</v>
      </c>
      <c r="M3308" s="73">
        <v>96</v>
      </c>
      <c r="N3308" s="71" t="s">
        <v>388</v>
      </c>
      <c r="O3308" s="73">
        <v>0.25</v>
      </c>
      <c r="P3308" s="71" t="s">
        <v>389</v>
      </c>
      <c r="Q3308" s="73">
        <v>100</v>
      </c>
      <c r="R3308" s="71" t="s">
        <v>388</v>
      </c>
      <c r="S3308" s="73">
        <v>0</v>
      </c>
      <c r="T3308" s="71" t="s">
        <v>390</v>
      </c>
      <c r="U3308" s="74">
        <v>1</v>
      </c>
      <c r="V3308" s="71" t="s">
        <v>391</v>
      </c>
      <c r="W3308" s="130">
        <v>46099.65116898148</v>
      </c>
      <c r="X3308" s="72">
        <v>46101.378472222219</v>
      </c>
      <c r="Y3308" s="72">
        <v>46105.881944444445</v>
      </c>
      <c r="Z3308" s="104" t="s">
        <v>402</v>
      </c>
      <c r="AA3308" s="104" t="s">
        <v>403</v>
      </c>
      <c r="AB3308" s="105">
        <v>46102.947916666664</v>
      </c>
      <c r="AC3308" s="105"/>
    </row>
    <row r="3309" s="70" customFormat="1" ht="11.25" customHeight="1">
      <c r="A3309" s="87"/>
      <c r="C3309" s="43" t="s">
        <v>5304</v>
      </c>
      <c r="D3309" s="71" t="s">
        <v>382</v>
      </c>
      <c r="E3309" s="71" t="str">
        <f>MID(D3309,1,2)</f>
        <v>IL</v>
      </c>
      <c r="F3309" s="71" t="s">
        <v>3121</v>
      </c>
      <c r="G3309" s="71" t="str">
        <f>MID(F3309,1,2)</f>
        <v>JP</v>
      </c>
      <c r="H3309" s="43" t="s">
        <v>5305</v>
      </c>
      <c r="I3309" s="71" t="s">
        <v>5306</v>
      </c>
      <c r="J3309" s="71" t="s">
        <v>426</v>
      </c>
      <c r="K3309" s="43"/>
      <c r="L3309" s="71" t="s">
        <v>105</v>
      </c>
      <c r="M3309" s="73">
        <v>96</v>
      </c>
      <c r="N3309" s="71" t="s">
        <v>388</v>
      </c>
      <c r="O3309" s="73">
        <v>0.25</v>
      </c>
      <c r="P3309" s="71" t="s">
        <v>389</v>
      </c>
      <c r="Q3309" s="73">
        <v>100</v>
      </c>
      <c r="R3309" s="71" t="s">
        <v>388</v>
      </c>
      <c r="S3309" s="73">
        <v>0</v>
      </c>
      <c r="T3309" s="71" t="s">
        <v>390</v>
      </c>
      <c r="U3309" s="74">
        <v>1</v>
      </c>
      <c r="V3309" s="71" t="s">
        <v>391</v>
      </c>
      <c r="W3309" s="130">
        <v>46099.65116898148</v>
      </c>
      <c r="X3309" s="72">
        <v>46101.378472222219</v>
      </c>
      <c r="Y3309" s="72">
        <v>46105.881944444445</v>
      </c>
      <c r="Z3309" s="104" t="s">
        <v>403</v>
      </c>
      <c r="AA3309" s="104" t="s">
        <v>3121</v>
      </c>
      <c r="AB3309" s="105"/>
      <c r="AC3309" s="105"/>
    </row>
    <row r="3310" s="70" customFormat="1" ht="11.25" customHeight="1">
      <c r="A3310" s="87"/>
      <c r="C3310" s="43" t="s">
        <v>5307</v>
      </c>
      <c r="D3310" s="71" t="s">
        <v>382</v>
      </c>
      <c r="E3310" s="71" t="str">
        <f>MID(D3310,1,2)</f>
        <v>IL</v>
      </c>
      <c r="F3310" s="71" t="s">
        <v>774</v>
      </c>
      <c r="G3310" s="71" t="str">
        <f>MID(F3310,1,2)</f>
        <v>CN</v>
      </c>
      <c r="H3310" s="43" t="s">
        <v>5308</v>
      </c>
      <c r="I3310" s="71" t="s">
        <v>5309</v>
      </c>
      <c r="J3310" s="71" t="s">
        <v>755</v>
      </c>
      <c r="K3310" s="43"/>
      <c r="L3310" s="71" t="s">
        <v>105</v>
      </c>
      <c r="M3310" s="73">
        <v>144</v>
      </c>
      <c r="N3310" s="71" t="s">
        <v>388</v>
      </c>
      <c r="O3310" s="73">
        <v>1.882</v>
      </c>
      <c r="P3310" s="71" t="s">
        <v>389</v>
      </c>
      <c r="Q3310" s="73">
        <v>314</v>
      </c>
      <c r="R3310" s="71" t="s">
        <v>388</v>
      </c>
      <c r="S3310" s="73">
        <v>0</v>
      </c>
      <c r="T3310" s="71" t="s">
        <v>390</v>
      </c>
      <c r="U3310" s="74">
        <v>2</v>
      </c>
      <c r="V3310" s="71" t="s">
        <v>391</v>
      </c>
      <c r="W3310" s="130">
        <v>46097.584652777776</v>
      </c>
      <c r="X3310" s="72">
        <v>46099.638888888891</v>
      </c>
      <c r="Y3310" s="72">
        <v>46102.996527777781</v>
      </c>
      <c r="Z3310" s="104" t="s">
        <v>382</v>
      </c>
      <c r="AA3310" s="104" t="s">
        <v>402</v>
      </c>
      <c r="AB3310" s="105">
        <v>46099.772916666669</v>
      </c>
      <c r="AC3310" s="105">
        <v>46099.724305555559</v>
      </c>
    </row>
    <row r="3311" s="70" customFormat="1" ht="11.25" customHeight="1">
      <c r="A3311" s="87"/>
      <c r="C3311" s="43" t="s">
        <v>5307</v>
      </c>
      <c r="D3311" s="71" t="s">
        <v>382</v>
      </c>
      <c r="E3311" s="71" t="str">
        <f>MID(D3311,1,2)</f>
        <v>IL</v>
      </c>
      <c r="F3311" s="71" t="s">
        <v>774</v>
      </c>
      <c r="G3311" s="71" t="str">
        <f>MID(F3311,1,2)</f>
        <v>CN</v>
      </c>
      <c r="H3311" s="43" t="s">
        <v>5308</v>
      </c>
      <c r="I3311" s="71" t="s">
        <v>5309</v>
      </c>
      <c r="J3311" s="71" t="s">
        <v>755</v>
      </c>
      <c r="K3311" s="43"/>
      <c r="L3311" s="71" t="s">
        <v>105</v>
      </c>
      <c r="M3311" s="73">
        <v>144</v>
      </c>
      <c r="N3311" s="71" t="s">
        <v>388</v>
      </c>
      <c r="O3311" s="73">
        <v>1.882</v>
      </c>
      <c r="P3311" s="71" t="s">
        <v>389</v>
      </c>
      <c r="Q3311" s="73">
        <v>314</v>
      </c>
      <c r="R3311" s="71" t="s">
        <v>388</v>
      </c>
      <c r="S3311" s="73">
        <v>0</v>
      </c>
      <c r="T3311" s="71" t="s">
        <v>390</v>
      </c>
      <c r="U3311" s="74">
        <v>2</v>
      </c>
      <c r="V3311" s="71" t="s">
        <v>391</v>
      </c>
      <c r="W3311" s="130">
        <v>46097.584652777776</v>
      </c>
      <c r="X3311" s="72">
        <v>46099.638888888891</v>
      </c>
      <c r="Y3311" s="72">
        <v>46102.996527777781</v>
      </c>
      <c r="Z3311" s="104" t="s">
        <v>402</v>
      </c>
      <c r="AA3311" s="104" t="s">
        <v>403</v>
      </c>
      <c r="AB3311" s="105">
        <v>46099.928472222222</v>
      </c>
      <c r="AC3311" s="105"/>
    </row>
    <row r="3312" s="70" customFormat="1" ht="11.25" customHeight="1">
      <c r="A3312" s="87"/>
      <c r="C3312" s="43" t="s">
        <v>5307</v>
      </c>
      <c r="D3312" s="71" t="s">
        <v>382</v>
      </c>
      <c r="E3312" s="71" t="str">
        <f>MID(D3312,1,2)</f>
        <v>IL</v>
      </c>
      <c r="F3312" s="71" t="s">
        <v>774</v>
      </c>
      <c r="G3312" s="71" t="str">
        <f>MID(F3312,1,2)</f>
        <v>CN</v>
      </c>
      <c r="H3312" s="43" t="s">
        <v>5308</v>
      </c>
      <c r="I3312" s="71" t="s">
        <v>5309</v>
      </c>
      <c r="J3312" s="71" t="s">
        <v>755</v>
      </c>
      <c r="K3312" s="43"/>
      <c r="L3312" s="71" t="s">
        <v>105</v>
      </c>
      <c r="M3312" s="73">
        <v>144</v>
      </c>
      <c r="N3312" s="71" t="s">
        <v>388</v>
      </c>
      <c r="O3312" s="73">
        <v>1.882</v>
      </c>
      <c r="P3312" s="71" t="s">
        <v>389</v>
      </c>
      <c r="Q3312" s="73">
        <v>314</v>
      </c>
      <c r="R3312" s="71" t="s">
        <v>388</v>
      </c>
      <c r="S3312" s="73">
        <v>0</v>
      </c>
      <c r="T3312" s="71" t="s">
        <v>390</v>
      </c>
      <c r="U3312" s="74">
        <v>2</v>
      </c>
      <c r="V3312" s="71" t="s">
        <v>391</v>
      </c>
      <c r="W3312" s="130">
        <v>46097.584652777776</v>
      </c>
      <c r="X3312" s="72">
        <v>46099.638888888891</v>
      </c>
      <c r="Y3312" s="72">
        <v>46102.996527777781</v>
      </c>
      <c r="Z3312" s="104" t="s">
        <v>403</v>
      </c>
      <c r="AA3312" s="104" t="s">
        <v>774</v>
      </c>
      <c r="AB3312" s="105">
        <v>46102.884722222225</v>
      </c>
      <c r="AC3312" s="105">
        <v>46102.984027777777</v>
      </c>
    </row>
    <row r="3313" s="70" customFormat="1" ht="11.25" customHeight="1">
      <c r="A3313" s="87"/>
      <c r="C3313" s="43" t="s">
        <v>5310</v>
      </c>
      <c r="D3313" s="71" t="s">
        <v>382</v>
      </c>
      <c r="E3313" s="71" t="str">
        <f>MID(D3313,1,2)</f>
        <v>IL</v>
      </c>
      <c r="F3313" s="71" t="s">
        <v>471</v>
      </c>
      <c r="G3313" s="71" t="str">
        <f>MID(F3313,1,2)</f>
        <v>US</v>
      </c>
      <c r="H3313" s="43" t="s">
        <v>5311</v>
      </c>
      <c r="I3313" s="71" t="s">
        <v>5312</v>
      </c>
      <c r="J3313" s="71" t="s">
        <v>386</v>
      </c>
      <c r="K3313" s="43"/>
      <c r="L3313" s="71" t="s">
        <v>107</v>
      </c>
      <c r="M3313" s="73">
        <v>130</v>
      </c>
      <c r="N3313" s="71" t="s">
        <v>388</v>
      </c>
      <c r="O3313" s="73">
        <v>1.536</v>
      </c>
      <c r="P3313" s="71" t="s">
        <v>389</v>
      </c>
      <c r="Q3313" s="73">
        <v>256</v>
      </c>
      <c r="R3313" s="71" t="s">
        <v>388</v>
      </c>
      <c r="S3313" s="73">
        <v>0</v>
      </c>
      <c r="T3313" s="71" t="s">
        <v>390</v>
      </c>
      <c r="U3313" s="74">
        <v>1</v>
      </c>
      <c r="V3313" s="71" t="s">
        <v>391</v>
      </c>
      <c r="W3313" s="130">
        <v>46097.611805555556</v>
      </c>
      <c r="X3313" s="72">
        <v>46100.333333333336</v>
      </c>
      <c r="Y3313" s="72">
        <v>46100.71875</v>
      </c>
      <c r="Z3313" s="104" t="s">
        <v>382</v>
      </c>
      <c r="AA3313" s="104" t="s">
        <v>471</v>
      </c>
      <c r="AB3313" s="105">
        <v>46100.75</v>
      </c>
      <c r="AC3313" s="105"/>
    </row>
    <row r="3314" s="70" customFormat="1" ht="11.25" customHeight="1">
      <c r="A3314" s="87"/>
      <c r="C3314" s="43" t="s">
        <v>5313</v>
      </c>
      <c r="D3314" s="71" t="s">
        <v>382</v>
      </c>
      <c r="E3314" s="71" t="str">
        <f>MID(D3314,1,2)</f>
        <v>IL</v>
      </c>
      <c r="F3314" s="71" t="s">
        <v>471</v>
      </c>
      <c r="G3314" s="71" t="str">
        <f>MID(F3314,1,2)</f>
        <v>US</v>
      </c>
      <c r="H3314" s="43" t="s">
        <v>5314</v>
      </c>
      <c r="I3314" s="71" t="s">
        <v>5315</v>
      </c>
      <c r="J3314" s="71" t="s">
        <v>386</v>
      </c>
      <c r="K3314" s="43"/>
      <c r="L3314" s="71" t="s">
        <v>107</v>
      </c>
      <c r="M3314" s="73">
        <v>32</v>
      </c>
      <c r="N3314" s="71" t="s">
        <v>388</v>
      </c>
      <c r="O3314" s="73">
        <v>0.56</v>
      </c>
      <c r="P3314" s="71" t="s">
        <v>389</v>
      </c>
      <c r="Q3314" s="73">
        <v>100</v>
      </c>
      <c r="R3314" s="71" t="s">
        <v>388</v>
      </c>
      <c r="S3314" s="73">
        <v>0</v>
      </c>
      <c r="T3314" s="71" t="s">
        <v>390</v>
      </c>
      <c r="U3314" s="74">
        <v>1</v>
      </c>
      <c r="V3314" s="71" t="s">
        <v>391</v>
      </c>
      <c r="W3314" s="130">
        <v>46099.557754629626</v>
      </c>
      <c r="X3314" s="72">
        <v>46100.333333333336</v>
      </c>
      <c r="Y3314" s="72">
        <v>46100.625</v>
      </c>
      <c r="Z3314" s="104" t="s">
        <v>382</v>
      </c>
      <c r="AA3314" s="104" t="s">
        <v>471</v>
      </c>
      <c r="AB3314" s="105">
        <v>46100.75</v>
      </c>
      <c r="AC3314" s="105">
        <v>46101.025</v>
      </c>
    </row>
    <row r="3315" s="70" customFormat="1" ht="11.25" customHeight="1">
      <c r="A3315" s="87"/>
      <c r="C3315" s="43" t="s">
        <v>5316</v>
      </c>
      <c r="D3315" s="71" t="s">
        <v>382</v>
      </c>
      <c r="E3315" s="71" t="str">
        <f>MID(D3315,1,2)</f>
        <v>IL</v>
      </c>
      <c r="F3315" s="71" t="s">
        <v>468</v>
      </c>
      <c r="G3315" s="71" t="str">
        <f>MID(F3315,1,2)</f>
        <v>US</v>
      </c>
      <c r="H3315" s="43" t="s">
        <v>5189</v>
      </c>
      <c r="I3315" s="71" t="s">
        <v>5317</v>
      </c>
      <c r="J3315" s="71" t="s">
        <v>386</v>
      </c>
      <c r="K3315" s="43"/>
      <c r="L3315" s="71" t="s">
        <v>107</v>
      </c>
      <c r="M3315" s="73">
        <v>9</v>
      </c>
      <c r="N3315" s="71" t="s">
        <v>388</v>
      </c>
      <c r="O3315" s="73">
        <v>0.069</v>
      </c>
      <c r="P3315" s="71" t="s">
        <v>389</v>
      </c>
      <c r="Q3315" s="73">
        <v>11.5</v>
      </c>
      <c r="R3315" s="71" t="s">
        <v>388</v>
      </c>
      <c r="S3315" s="73">
        <v>0</v>
      </c>
      <c r="T3315" s="71" t="s">
        <v>390</v>
      </c>
      <c r="U3315" s="74">
        <v>1</v>
      </c>
      <c r="V3315" s="71" t="s">
        <v>446</v>
      </c>
      <c r="W3315" s="130">
        <v>46098.465277777781</v>
      </c>
      <c r="X3315" s="72">
        <v>46100.333333333336</v>
      </c>
      <c r="Y3315" s="72">
        <v>46105.375</v>
      </c>
      <c r="Z3315" s="104" t="s">
        <v>382</v>
      </c>
      <c r="AA3315" s="104" t="s">
        <v>471</v>
      </c>
      <c r="AB3315" s="105">
        <v>46100.772916666669</v>
      </c>
      <c r="AC3315" s="105"/>
    </row>
    <row r="3316" s="70" customFormat="1" ht="11.25" customHeight="1">
      <c r="A3316" s="87"/>
      <c r="C3316" s="43" t="s">
        <v>5316</v>
      </c>
      <c r="D3316" s="71" t="s">
        <v>382</v>
      </c>
      <c r="E3316" s="71" t="str">
        <f>MID(D3316,1,2)</f>
        <v>IL</v>
      </c>
      <c r="F3316" s="71" t="s">
        <v>468</v>
      </c>
      <c r="G3316" s="71" t="str">
        <f>MID(F3316,1,2)</f>
        <v>US</v>
      </c>
      <c r="H3316" s="43" t="s">
        <v>5189</v>
      </c>
      <c r="I3316" s="71" t="s">
        <v>5317</v>
      </c>
      <c r="J3316" s="71" t="s">
        <v>386</v>
      </c>
      <c r="K3316" s="43"/>
      <c r="L3316" s="71" t="s">
        <v>107</v>
      </c>
      <c r="M3316" s="73">
        <v>9</v>
      </c>
      <c r="N3316" s="71" t="s">
        <v>388</v>
      </c>
      <c r="O3316" s="73">
        <v>0.069</v>
      </c>
      <c r="P3316" s="71" t="s">
        <v>389</v>
      </c>
      <c r="Q3316" s="73">
        <v>11.5</v>
      </c>
      <c r="R3316" s="71" t="s">
        <v>388</v>
      </c>
      <c r="S3316" s="73">
        <v>0</v>
      </c>
      <c r="T3316" s="71" t="s">
        <v>390</v>
      </c>
      <c r="U3316" s="74">
        <v>1</v>
      </c>
      <c r="V3316" s="71" t="s">
        <v>446</v>
      </c>
      <c r="W3316" s="130">
        <v>46098.465277777781</v>
      </c>
      <c r="X3316" s="72">
        <v>46100.333333333336</v>
      </c>
      <c r="Y3316" s="72">
        <v>46105.375</v>
      </c>
      <c r="Z3316" s="104" t="s">
        <v>471</v>
      </c>
      <c r="AA3316" s="104" t="s">
        <v>468</v>
      </c>
      <c r="AB3316" s="105"/>
      <c r="AC3316" s="105"/>
    </row>
    <row r="3317" s="70" customFormat="1" ht="11.25" customHeight="1">
      <c r="A3317" s="87"/>
      <c r="C3317" s="43" t="s">
        <v>5318</v>
      </c>
      <c r="D3317" s="71" t="s">
        <v>382</v>
      </c>
      <c r="E3317" s="71" t="str">
        <f>MID(D3317,1,2)</f>
        <v>IL</v>
      </c>
      <c r="F3317" s="71" t="s">
        <v>471</v>
      </c>
      <c r="G3317" s="71" t="str">
        <f>MID(F3317,1,2)</f>
        <v>US</v>
      </c>
      <c r="H3317" s="43" t="s">
        <v>5319</v>
      </c>
      <c r="I3317" s="71" t="s">
        <v>5320</v>
      </c>
      <c r="J3317" s="71" t="s">
        <v>386</v>
      </c>
      <c r="K3317" s="43"/>
      <c r="L3317" s="71" t="s">
        <v>107</v>
      </c>
      <c r="M3317" s="73">
        <v>2</v>
      </c>
      <c r="N3317" s="71" t="s">
        <v>388</v>
      </c>
      <c r="O3317" s="73">
        <v>0.15</v>
      </c>
      <c r="P3317" s="71" t="s">
        <v>389</v>
      </c>
      <c r="Q3317" s="73">
        <v>100</v>
      </c>
      <c r="R3317" s="71" t="s">
        <v>388</v>
      </c>
      <c r="S3317" s="73">
        <v>0</v>
      </c>
      <c r="T3317" s="71" t="s">
        <v>390</v>
      </c>
      <c r="U3317" s="74">
        <v>1</v>
      </c>
      <c r="V3317" s="71" t="s">
        <v>391</v>
      </c>
      <c r="W3317" s="130">
        <v>46099.46597222222</v>
      </c>
      <c r="X3317" s="72">
        <v>46100.333333333336</v>
      </c>
      <c r="Y3317" s="72">
        <v>46100.625</v>
      </c>
      <c r="Z3317" s="104" t="s">
        <v>382</v>
      </c>
      <c r="AA3317" s="104" t="s">
        <v>471</v>
      </c>
      <c r="AB3317" s="105">
        <v>46100.75</v>
      </c>
      <c r="AC3317" s="105">
        <v>46101.025694444441</v>
      </c>
    </row>
    <row r="3318" s="70" customFormat="1" ht="11.25" customHeight="1">
      <c r="A3318" s="87"/>
      <c r="C3318" s="43" t="s">
        <v>5321</v>
      </c>
      <c r="D3318" s="71" t="s">
        <v>382</v>
      </c>
      <c r="E3318" s="71" t="str">
        <f>MID(D3318,1,2)</f>
        <v>IL</v>
      </c>
      <c r="F3318" s="71" t="s">
        <v>471</v>
      </c>
      <c r="G3318" s="71" t="str">
        <f>MID(F3318,1,2)</f>
        <v>US</v>
      </c>
      <c r="H3318" s="43" t="s">
        <v>5322</v>
      </c>
      <c r="I3318" s="71" t="s">
        <v>5323</v>
      </c>
      <c r="J3318" s="71" t="s">
        <v>386</v>
      </c>
      <c r="K3318" s="43"/>
      <c r="L3318" s="71" t="s">
        <v>107</v>
      </c>
      <c r="M3318" s="73">
        <v>4</v>
      </c>
      <c r="N3318" s="71" t="s">
        <v>388</v>
      </c>
      <c r="O3318" s="73">
        <v>0.15</v>
      </c>
      <c r="P3318" s="71" t="s">
        <v>389</v>
      </c>
      <c r="Q3318" s="73">
        <v>100</v>
      </c>
      <c r="R3318" s="71" t="s">
        <v>388</v>
      </c>
      <c r="S3318" s="73">
        <v>0</v>
      </c>
      <c r="T3318" s="71" t="s">
        <v>390</v>
      </c>
      <c r="U3318" s="74">
        <v>1</v>
      </c>
      <c r="V3318" s="71" t="s">
        <v>391</v>
      </c>
      <c r="W3318" s="130">
        <v>46099.472916666666</v>
      </c>
      <c r="X3318" s="72">
        <v>46100.333333333336</v>
      </c>
      <c r="Y3318" s="72">
        <v>46101</v>
      </c>
      <c r="Z3318" s="104" t="s">
        <v>382</v>
      </c>
      <c r="AA3318" s="104" t="s">
        <v>471</v>
      </c>
      <c r="AB3318" s="105">
        <v>46100.75</v>
      </c>
      <c r="AC3318" s="105">
        <v>46101.025694444441</v>
      </c>
    </row>
    <row r="3319" s="70" customFormat="1" ht="11.25" customHeight="1">
      <c r="A3319" s="87"/>
      <c r="C3319" s="43" t="s">
        <v>5324</v>
      </c>
      <c r="D3319" s="71" t="s">
        <v>382</v>
      </c>
      <c r="E3319" s="71" t="str">
        <f>MID(D3319,1,2)</f>
        <v>IL</v>
      </c>
      <c r="F3319" s="71" t="s">
        <v>466</v>
      </c>
      <c r="G3319" s="71" t="str">
        <f>MID(F3319,1,2)</f>
        <v>BE</v>
      </c>
      <c r="H3319" s="43" t="s">
        <v>5325</v>
      </c>
      <c r="I3319" s="71" t="s">
        <v>5326</v>
      </c>
      <c r="J3319" s="71" t="s">
        <v>386</v>
      </c>
      <c r="K3319" s="43"/>
      <c r="L3319" s="71" t="s">
        <v>107</v>
      </c>
      <c r="M3319" s="73">
        <v>147</v>
      </c>
      <c r="N3319" s="71" t="s">
        <v>388</v>
      </c>
      <c r="O3319" s="73">
        <v>2.336</v>
      </c>
      <c r="P3319" s="71" t="s">
        <v>389</v>
      </c>
      <c r="Q3319" s="73">
        <v>389.5</v>
      </c>
      <c r="R3319" s="71" t="s">
        <v>388</v>
      </c>
      <c r="S3319" s="73">
        <v>0</v>
      </c>
      <c r="T3319" s="71" t="s">
        <v>390</v>
      </c>
      <c r="U3319" s="74">
        <v>2</v>
      </c>
      <c r="V3319" s="71" t="s">
        <v>391</v>
      </c>
      <c r="W3319" s="130">
        <v>46097.667361111111</v>
      </c>
      <c r="X3319" s="72">
        <v>46101.626388888886</v>
      </c>
      <c r="Y3319" s="72">
        <v>46102.979166666664</v>
      </c>
      <c r="Z3319" s="104" t="s">
        <v>382</v>
      </c>
      <c r="AA3319" s="104" t="s">
        <v>466</v>
      </c>
      <c r="AB3319" s="105">
        <v>46102.447222222225</v>
      </c>
      <c r="AC3319" s="105">
        <v>46102.569444444445</v>
      </c>
    </row>
    <row r="3320" s="70" customFormat="1" ht="11.25" customHeight="1">
      <c r="A3320" s="87"/>
      <c r="C3320" s="43" t="s">
        <v>5327</v>
      </c>
      <c r="D3320" s="71" t="s">
        <v>382</v>
      </c>
      <c r="E3320" s="71" t="str">
        <f>MID(D3320,1,2)</f>
        <v>IL</v>
      </c>
      <c r="F3320" s="71" t="s">
        <v>5328</v>
      </c>
      <c r="G3320" s="71" t="str">
        <f>MID(F3320,1,2)</f>
        <v>EC</v>
      </c>
      <c r="H3320" s="43" t="s">
        <v>5329</v>
      </c>
      <c r="I3320" s="71" t="s">
        <v>5330</v>
      </c>
      <c r="J3320" s="71" t="s">
        <v>386</v>
      </c>
      <c r="K3320" s="43"/>
      <c r="L3320" s="71" t="s">
        <v>107</v>
      </c>
      <c r="M3320" s="73">
        <v>12</v>
      </c>
      <c r="N3320" s="71" t="s">
        <v>388</v>
      </c>
      <c r="O3320" s="73">
        <v>0.202</v>
      </c>
      <c r="P3320" s="71" t="s">
        <v>389</v>
      </c>
      <c r="Q3320" s="73">
        <v>34</v>
      </c>
      <c r="R3320" s="71" t="s">
        <v>388</v>
      </c>
      <c r="S3320" s="73">
        <v>0</v>
      </c>
      <c r="T3320" s="71" t="s">
        <v>390</v>
      </c>
      <c r="U3320" s="74">
        <v>2</v>
      </c>
      <c r="V3320" s="71" t="s">
        <v>391</v>
      </c>
      <c r="W3320" s="130">
        <v>46099.55625</v>
      </c>
      <c r="X3320" s="72">
        <v>46103.253472222219</v>
      </c>
      <c r="Y3320" s="72">
        <v>46104.536805555559</v>
      </c>
      <c r="Z3320" s="104" t="s">
        <v>382</v>
      </c>
      <c r="AA3320" s="104" t="s">
        <v>546</v>
      </c>
      <c r="AB3320" s="105"/>
      <c r="AC3320" s="105"/>
    </row>
    <row r="3321" s="70" customFormat="1" ht="11.25" customHeight="1">
      <c r="A3321" s="87"/>
      <c r="C3321" s="43" t="s">
        <v>5327</v>
      </c>
      <c r="D3321" s="71" t="s">
        <v>382</v>
      </c>
      <c r="E3321" s="71" t="str">
        <f>MID(D3321,1,2)</f>
        <v>IL</v>
      </c>
      <c r="F3321" s="71" t="s">
        <v>5328</v>
      </c>
      <c r="G3321" s="71" t="str">
        <f>MID(F3321,1,2)</f>
        <v>EC</v>
      </c>
      <c r="H3321" s="43" t="s">
        <v>5329</v>
      </c>
      <c r="I3321" s="71" t="s">
        <v>5330</v>
      </c>
      <c r="J3321" s="71" t="s">
        <v>386</v>
      </c>
      <c r="K3321" s="43"/>
      <c r="L3321" s="71" t="s">
        <v>107</v>
      </c>
      <c r="M3321" s="73">
        <v>12</v>
      </c>
      <c r="N3321" s="71" t="s">
        <v>388</v>
      </c>
      <c r="O3321" s="73">
        <v>0.202</v>
      </c>
      <c r="P3321" s="71" t="s">
        <v>389</v>
      </c>
      <c r="Q3321" s="73">
        <v>34</v>
      </c>
      <c r="R3321" s="71" t="s">
        <v>388</v>
      </c>
      <c r="S3321" s="73">
        <v>0</v>
      </c>
      <c r="T3321" s="71" t="s">
        <v>390</v>
      </c>
      <c r="U3321" s="74">
        <v>2</v>
      </c>
      <c r="V3321" s="71" t="s">
        <v>391</v>
      </c>
      <c r="W3321" s="130">
        <v>46099.55625</v>
      </c>
      <c r="X3321" s="72">
        <v>46103.253472222219</v>
      </c>
      <c r="Y3321" s="72">
        <v>46104.536805555559</v>
      </c>
      <c r="Z3321" s="104" t="s">
        <v>546</v>
      </c>
      <c r="AA3321" s="104" t="s">
        <v>419</v>
      </c>
      <c r="AB3321" s="105"/>
      <c r="AC3321" s="105"/>
    </row>
    <row r="3322" s="70" customFormat="1" ht="11.25" customHeight="1">
      <c r="A3322" s="87"/>
      <c r="C3322" s="43" t="s">
        <v>5327</v>
      </c>
      <c r="D3322" s="71" t="s">
        <v>382</v>
      </c>
      <c r="E3322" s="71" t="str">
        <f>MID(D3322,1,2)</f>
        <v>IL</v>
      </c>
      <c r="F3322" s="71" t="s">
        <v>5328</v>
      </c>
      <c r="G3322" s="71" t="str">
        <f>MID(F3322,1,2)</f>
        <v>EC</v>
      </c>
      <c r="H3322" s="43" t="s">
        <v>5329</v>
      </c>
      <c r="I3322" s="71" t="s">
        <v>5330</v>
      </c>
      <c r="J3322" s="71" t="s">
        <v>386</v>
      </c>
      <c r="K3322" s="43"/>
      <c r="L3322" s="71" t="s">
        <v>107</v>
      </c>
      <c r="M3322" s="73">
        <v>12</v>
      </c>
      <c r="N3322" s="71" t="s">
        <v>388</v>
      </c>
      <c r="O3322" s="73">
        <v>0.202</v>
      </c>
      <c r="P3322" s="71" t="s">
        <v>389</v>
      </c>
      <c r="Q3322" s="73">
        <v>34</v>
      </c>
      <c r="R3322" s="71" t="s">
        <v>388</v>
      </c>
      <c r="S3322" s="73">
        <v>0</v>
      </c>
      <c r="T3322" s="71" t="s">
        <v>390</v>
      </c>
      <c r="U3322" s="74">
        <v>2</v>
      </c>
      <c r="V3322" s="71" t="s">
        <v>391</v>
      </c>
      <c r="W3322" s="130">
        <v>46099.55625</v>
      </c>
      <c r="X3322" s="72">
        <v>46103.253472222219</v>
      </c>
      <c r="Y3322" s="72">
        <v>46104.536805555559</v>
      </c>
      <c r="Z3322" s="104" t="s">
        <v>419</v>
      </c>
      <c r="AA3322" s="104" t="s">
        <v>433</v>
      </c>
      <c r="AB3322" s="105"/>
      <c r="AC3322" s="105"/>
    </row>
    <row r="3323" s="70" customFormat="1" ht="11.25" customHeight="1">
      <c r="A3323" s="87"/>
      <c r="C3323" s="43" t="s">
        <v>5327</v>
      </c>
      <c r="D3323" s="71" t="s">
        <v>382</v>
      </c>
      <c r="E3323" s="71" t="str">
        <f>MID(D3323,1,2)</f>
        <v>IL</v>
      </c>
      <c r="F3323" s="71" t="s">
        <v>5328</v>
      </c>
      <c r="G3323" s="71" t="str">
        <f>MID(F3323,1,2)</f>
        <v>EC</v>
      </c>
      <c r="H3323" s="43" t="s">
        <v>5329</v>
      </c>
      <c r="I3323" s="71" t="s">
        <v>5330</v>
      </c>
      <c r="J3323" s="71" t="s">
        <v>386</v>
      </c>
      <c r="K3323" s="43"/>
      <c r="L3323" s="71" t="s">
        <v>107</v>
      </c>
      <c r="M3323" s="73">
        <v>12</v>
      </c>
      <c r="N3323" s="71" t="s">
        <v>388</v>
      </c>
      <c r="O3323" s="73">
        <v>0.202</v>
      </c>
      <c r="P3323" s="71" t="s">
        <v>389</v>
      </c>
      <c r="Q3323" s="73">
        <v>34</v>
      </c>
      <c r="R3323" s="71" t="s">
        <v>388</v>
      </c>
      <c r="S3323" s="73">
        <v>0</v>
      </c>
      <c r="T3323" s="71" t="s">
        <v>390</v>
      </c>
      <c r="U3323" s="74">
        <v>2</v>
      </c>
      <c r="V3323" s="71" t="s">
        <v>391</v>
      </c>
      <c r="W3323" s="130">
        <v>46099.55625</v>
      </c>
      <c r="X3323" s="72">
        <v>46103.253472222219</v>
      </c>
      <c r="Y3323" s="72">
        <v>46104.536805555559</v>
      </c>
      <c r="Z3323" s="104" t="s">
        <v>433</v>
      </c>
      <c r="AA3323" s="104" t="s">
        <v>5328</v>
      </c>
      <c r="AB3323" s="105"/>
      <c r="AC3323" s="105"/>
    </row>
    <row r="3324" s="70" customFormat="1" ht="11.25" customHeight="1">
      <c r="A3324" s="87"/>
      <c r="C3324" s="43" t="s">
        <v>5331</v>
      </c>
      <c r="D3324" s="71" t="s">
        <v>382</v>
      </c>
      <c r="E3324" s="71" t="str">
        <f>MID(D3324,1,2)</f>
        <v>IL</v>
      </c>
      <c r="F3324" s="71" t="s">
        <v>480</v>
      </c>
      <c r="G3324" s="71" t="str">
        <f>MID(F3324,1,2)</f>
        <v>CA</v>
      </c>
      <c r="H3324" s="43" t="s">
        <v>5332</v>
      </c>
      <c r="I3324" s="71" t="s">
        <v>5333</v>
      </c>
      <c r="J3324" s="71" t="s">
        <v>426</v>
      </c>
      <c r="K3324" s="43"/>
      <c r="L3324" s="71" t="s">
        <v>105</v>
      </c>
      <c r="M3324" s="73">
        <v>35</v>
      </c>
      <c r="N3324" s="71" t="s">
        <v>388</v>
      </c>
      <c r="O3324" s="73">
        <v>0.72</v>
      </c>
      <c r="P3324" s="71" t="s">
        <v>389</v>
      </c>
      <c r="Q3324" s="73">
        <v>120</v>
      </c>
      <c r="R3324" s="71" t="s">
        <v>388</v>
      </c>
      <c r="S3324" s="73">
        <v>0</v>
      </c>
      <c r="T3324" s="71" t="s">
        <v>390</v>
      </c>
      <c r="U3324" s="74">
        <v>1</v>
      </c>
      <c r="V3324" s="71" t="s">
        <v>391</v>
      </c>
      <c r="W3324" s="130">
        <v>46097.382638888892</v>
      </c>
      <c r="X3324" s="72">
        <v>46099.593055555553</v>
      </c>
      <c r="Y3324" s="72">
        <v>46103.625</v>
      </c>
      <c r="Z3324" s="104" t="s">
        <v>382</v>
      </c>
      <c r="AA3324" s="104" t="s">
        <v>408</v>
      </c>
      <c r="AB3324" s="105">
        <v>46100.59375</v>
      </c>
      <c r="AC3324" s="105"/>
    </row>
    <row r="3325" s="70" customFormat="1" ht="11.25" customHeight="1">
      <c r="A3325" s="87"/>
      <c r="C3325" s="43" t="s">
        <v>5331</v>
      </c>
      <c r="D3325" s="71" t="s">
        <v>382</v>
      </c>
      <c r="E3325" s="71" t="str">
        <f>MID(D3325,1,2)</f>
        <v>IL</v>
      </c>
      <c r="F3325" s="71" t="s">
        <v>480</v>
      </c>
      <c r="G3325" s="71" t="str">
        <f>MID(F3325,1,2)</f>
        <v>CA</v>
      </c>
      <c r="H3325" s="43" t="s">
        <v>5332</v>
      </c>
      <c r="I3325" s="71" t="s">
        <v>5333</v>
      </c>
      <c r="J3325" s="71" t="s">
        <v>426</v>
      </c>
      <c r="K3325" s="43"/>
      <c r="L3325" s="71" t="s">
        <v>105</v>
      </c>
      <c r="M3325" s="73">
        <v>35</v>
      </c>
      <c r="N3325" s="71" t="s">
        <v>388</v>
      </c>
      <c r="O3325" s="73">
        <v>0.72</v>
      </c>
      <c r="P3325" s="71" t="s">
        <v>389</v>
      </c>
      <c r="Q3325" s="73">
        <v>120</v>
      </c>
      <c r="R3325" s="71" t="s">
        <v>388</v>
      </c>
      <c r="S3325" s="73">
        <v>0</v>
      </c>
      <c r="T3325" s="71" t="s">
        <v>390</v>
      </c>
      <c r="U3325" s="74">
        <v>1</v>
      </c>
      <c r="V3325" s="71" t="s">
        <v>391</v>
      </c>
      <c r="W3325" s="130">
        <v>46097.382638888892</v>
      </c>
      <c r="X3325" s="72">
        <v>46099.593055555553</v>
      </c>
      <c r="Y3325" s="72">
        <v>46103.625</v>
      </c>
      <c r="Z3325" s="104" t="s">
        <v>408</v>
      </c>
      <c r="AA3325" s="104" t="s">
        <v>480</v>
      </c>
      <c r="AB3325" s="105"/>
      <c r="AC3325" s="105"/>
    </row>
    <row r="3326" s="70" customFormat="1" ht="11.25" customHeight="1">
      <c r="A3326" s="87"/>
      <c r="C3326" s="43" t="s">
        <v>5334</v>
      </c>
      <c r="D3326" s="71" t="s">
        <v>382</v>
      </c>
      <c r="E3326" s="71" t="str">
        <f>MID(D3326,1,2)</f>
        <v>IL</v>
      </c>
      <c r="F3326" s="71" t="s">
        <v>414</v>
      </c>
      <c r="G3326" s="71" t="str">
        <f>MID(F3326,1,2)</f>
        <v>US</v>
      </c>
      <c r="H3326" s="43" t="s">
        <v>5126</v>
      </c>
      <c r="I3326" s="71" t="s">
        <v>5335</v>
      </c>
      <c r="J3326" s="71" t="s">
        <v>386</v>
      </c>
      <c r="K3326" s="43"/>
      <c r="L3326" s="71" t="s">
        <v>107</v>
      </c>
      <c r="M3326" s="73">
        <v>458</v>
      </c>
      <c r="N3326" s="71" t="s">
        <v>388</v>
      </c>
      <c r="O3326" s="73">
        <v>3.382</v>
      </c>
      <c r="P3326" s="71" t="s">
        <v>389</v>
      </c>
      <c r="Q3326" s="73">
        <v>564</v>
      </c>
      <c r="R3326" s="71" t="s">
        <v>388</v>
      </c>
      <c r="S3326" s="73">
        <v>0</v>
      </c>
      <c r="T3326" s="71" t="s">
        <v>390</v>
      </c>
      <c r="U3326" s="74">
        <v>6</v>
      </c>
      <c r="V3326" s="71" t="s">
        <v>391</v>
      </c>
      <c r="W3326" s="130">
        <v>46097.334027777775</v>
      </c>
      <c r="X3326" s="72">
        <v>46099.854166666664</v>
      </c>
      <c r="Y3326" s="72">
        <v>46101.510416666664</v>
      </c>
      <c r="Z3326" s="104" t="s">
        <v>382</v>
      </c>
      <c r="AA3326" s="104" t="s">
        <v>414</v>
      </c>
      <c r="AB3326" s="105">
        <v>46101.299305555556</v>
      </c>
      <c r="AC3326" s="105">
        <v>46101.519444444442</v>
      </c>
    </row>
    <row r="3327" s="70" customFormat="1" ht="11.25" customHeight="1">
      <c r="A3327" s="87"/>
      <c r="C3327" s="43" t="s">
        <v>5336</v>
      </c>
      <c r="D3327" s="71" t="s">
        <v>382</v>
      </c>
      <c r="E3327" s="71" t="str">
        <f>MID(D3327,1,2)</f>
        <v>IL</v>
      </c>
      <c r="F3327" s="71" t="s">
        <v>414</v>
      </c>
      <c r="G3327" s="71" t="str">
        <f>MID(F3327,1,2)</f>
        <v>US</v>
      </c>
      <c r="H3327" s="43" t="s">
        <v>5126</v>
      </c>
      <c r="I3327" s="71" t="s">
        <v>5337</v>
      </c>
      <c r="J3327" s="71" t="s">
        <v>386</v>
      </c>
      <c r="K3327" s="43"/>
      <c r="L3327" s="71" t="s">
        <v>107</v>
      </c>
      <c r="M3327" s="73">
        <v>1</v>
      </c>
      <c r="N3327" s="71" t="s">
        <v>388</v>
      </c>
      <c r="O3327" s="73">
        <v>0.012</v>
      </c>
      <c r="P3327" s="71" t="s">
        <v>389</v>
      </c>
      <c r="Q3327" s="73">
        <v>2</v>
      </c>
      <c r="R3327" s="71" t="s">
        <v>388</v>
      </c>
      <c r="S3327" s="73">
        <v>0</v>
      </c>
      <c r="T3327" s="71" t="s">
        <v>390</v>
      </c>
      <c r="U3327" s="74">
        <v>1</v>
      </c>
      <c r="V3327" s="71" t="s">
        <v>391</v>
      </c>
      <c r="W3327" s="130">
        <v>46097.34097222222</v>
      </c>
      <c r="X3327" s="72">
        <v>46099.854166666664</v>
      </c>
      <c r="Y3327" s="72">
        <v>46101.510416666664</v>
      </c>
      <c r="Z3327" s="104" t="s">
        <v>382</v>
      </c>
      <c r="AA3327" s="104" t="s">
        <v>414</v>
      </c>
      <c r="AB3327" s="105">
        <v>46101.299305555556</v>
      </c>
      <c r="AC3327" s="105">
        <v>46101.519444444442</v>
      </c>
    </row>
    <row r="3328" s="70" customFormat="1" ht="11.25" customHeight="1">
      <c r="A3328" s="87"/>
      <c r="C3328" s="43" t="s">
        <v>5338</v>
      </c>
      <c r="D3328" s="71" t="s">
        <v>382</v>
      </c>
      <c r="E3328" s="71" t="str">
        <f>MID(D3328,1,2)</f>
        <v>IL</v>
      </c>
      <c r="F3328" s="71" t="s">
        <v>651</v>
      </c>
      <c r="G3328" s="71" t="str">
        <f>MID(F3328,1,2)</f>
        <v>BR</v>
      </c>
      <c r="H3328" s="43" t="s">
        <v>5239</v>
      </c>
      <c r="I3328" s="71" t="s">
        <v>5339</v>
      </c>
      <c r="J3328" s="71" t="s">
        <v>386</v>
      </c>
      <c r="K3328" s="43"/>
      <c r="L3328" s="71" t="s">
        <v>107</v>
      </c>
      <c r="M3328" s="73">
        <v>12</v>
      </c>
      <c r="N3328" s="71" t="s">
        <v>388</v>
      </c>
      <c r="O3328" s="73">
        <v>0.174</v>
      </c>
      <c r="P3328" s="71" t="s">
        <v>389</v>
      </c>
      <c r="Q3328" s="73">
        <v>29</v>
      </c>
      <c r="R3328" s="71" t="s">
        <v>388</v>
      </c>
      <c r="S3328" s="73">
        <v>0</v>
      </c>
      <c r="T3328" s="71" t="s">
        <v>390</v>
      </c>
      <c r="U3328" s="74">
        <v>1</v>
      </c>
      <c r="V3328" s="71" t="s">
        <v>391</v>
      </c>
      <c r="W3328" s="130">
        <v>46097.368055555555</v>
      </c>
      <c r="X3328" s="72">
        <v>46098.8125</v>
      </c>
      <c r="Y3328" s="72">
        <v>46105.375</v>
      </c>
      <c r="Z3328" s="104" t="s">
        <v>382</v>
      </c>
      <c r="AA3328" s="104" t="s">
        <v>408</v>
      </c>
      <c r="AB3328" s="105">
        <v>46098.529166666667</v>
      </c>
      <c r="AC3328" s="105"/>
    </row>
    <row r="3329" s="70" customFormat="1" ht="11.25" customHeight="1">
      <c r="A3329" s="87"/>
      <c r="C3329" s="43" t="s">
        <v>5338</v>
      </c>
      <c r="D3329" s="71" t="s">
        <v>382</v>
      </c>
      <c r="E3329" s="71" t="str">
        <f>MID(D3329,1,2)</f>
        <v>IL</v>
      </c>
      <c r="F3329" s="71" t="s">
        <v>651</v>
      </c>
      <c r="G3329" s="71" t="str">
        <f>MID(F3329,1,2)</f>
        <v>BR</v>
      </c>
      <c r="H3329" s="43" t="s">
        <v>5239</v>
      </c>
      <c r="I3329" s="71" t="s">
        <v>5339</v>
      </c>
      <c r="J3329" s="71" t="s">
        <v>386</v>
      </c>
      <c r="K3329" s="43"/>
      <c r="L3329" s="71" t="s">
        <v>107</v>
      </c>
      <c r="M3329" s="73">
        <v>12</v>
      </c>
      <c r="N3329" s="71" t="s">
        <v>388</v>
      </c>
      <c r="O3329" s="73">
        <v>0.174</v>
      </c>
      <c r="P3329" s="71" t="s">
        <v>389</v>
      </c>
      <c r="Q3329" s="73">
        <v>29</v>
      </c>
      <c r="R3329" s="71" t="s">
        <v>388</v>
      </c>
      <c r="S3329" s="73">
        <v>0</v>
      </c>
      <c r="T3329" s="71" t="s">
        <v>390</v>
      </c>
      <c r="U3329" s="74">
        <v>1</v>
      </c>
      <c r="V3329" s="71" t="s">
        <v>391</v>
      </c>
      <c r="W3329" s="130">
        <v>46097.368055555555</v>
      </c>
      <c r="X3329" s="72">
        <v>46098.8125</v>
      </c>
      <c r="Y3329" s="72">
        <v>46105.375</v>
      </c>
      <c r="Z3329" s="104" t="s">
        <v>408</v>
      </c>
      <c r="AA3329" s="104" t="s">
        <v>405</v>
      </c>
      <c r="AB3329" s="105"/>
      <c r="AC3329" s="105"/>
    </row>
    <row r="3330" s="70" customFormat="1" ht="11.25" customHeight="1">
      <c r="A3330" s="87"/>
      <c r="C3330" s="43" t="s">
        <v>5338</v>
      </c>
      <c r="D3330" s="71" t="s">
        <v>382</v>
      </c>
      <c r="E3330" s="71" t="str">
        <f>MID(D3330,1,2)</f>
        <v>IL</v>
      </c>
      <c r="F3330" s="71" t="s">
        <v>651</v>
      </c>
      <c r="G3330" s="71" t="str">
        <f>MID(F3330,1,2)</f>
        <v>BR</v>
      </c>
      <c r="H3330" s="43" t="s">
        <v>5239</v>
      </c>
      <c r="I3330" s="71" t="s">
        <v>5339</v>
      </c>
      <c r="J3330" s="71" t="s">
        <v>386</v>
      </c>
      <c r="K3330" s="43"/>
      <c r="L3330" s="71" t="s">
        <v>107</v>
      </c>
      <c r="M3330" s="73">
        <v>12</v>
      </c>
      <c r="N3330" s="71" t="s">
        <v>388</v>
      </c>
      <c r="O3330" s="73">
        <v>0.174</v>
      </c>
      <c r="P3330" s="71" t="s">
        <v>389</v>
      </c>
      <c r="Q3330" s="73">
        <v>29</v>
      </c>
      <c r="R3330" s="71" t="s">
        <v>388</v>
      </c>
      <c r="S3330" s="73">
        <v>0</v>
      </c>
      <c r="T3330" s="71" t="s">
        <v>390</v>
      </c>
      <c r="U3330" s="74">
        <v>1</v>
      </c>
      <c r="V3330" s="71" t="s">
        <v>391</v>
      </c>
      <c r="W3330" s="130">
        <v>46097.368055555555</v>
      </c>
      <c r="X3330" s="72">
        <v>46098.8125</v>
      </c>
      <c r="Y3330" s="72">
        <v>46105.375</v>
      </c>
      <c r="Z3330" s="104" t="s">
        <v>405</v>
      </c>
      <c r="AA3330" s="104" t="s">
        <v>651</v>
      </c>
      <c r="AB3330" s="105"/>
      <c r="AC3330" s="105"/>
    </row>
    <row r="3331" s="70" customFormat="1" ht="11.25" customHeight="1">
      <c r="A3331" s="87"/>
      <c r="C3331" s="43" t="s">
        <v>5340</v>
      </c>
      <c r="D3331" s="71" t="s">
        <v>382</v>
      </c>
      <c r="E3331" s="71" t="str">
        <f>MID(D3331,1,2)</f>
        <v>IL</v>
      </c>
      <c r="F3331" s="71" t="s">
        <v>774</v>
      </c>
      <c r="G3331" s="71" t="str">
        <f>MID(F3331,1,2)</f>
        <v>CN</v>
      </c>
      <c r="H3331" s="43" t="s">
        <v>5308</v>
      </c>
      <c r="I3331" s="71" t="s">
        <v>5341</v>
      </c>
      <c r="J3331" s="71" t="s">
        <v>755</v>
      </c>
      <c r="K3331" s="43"/>
      <c r="L3331" s="71" t="s">
        <v>105</v>
      </c>
      <c r="M3331" s="73">
        <v>0.5</v>
      </c>
      <c r="N3331" s="71" t="s">
        <v>388</v>
      </c>
      <c r="O3331" s="73">
        <v>0.005</v>
      </c>
      <c r="P3331" s="71" t="s">
        <v>389</v>
      </c>
      <c r="Q3331" s="73">
        <v>1</v>
      </c>
      <c r="R3331" s="71" t="s">
        <v>388</v>
      </c>
      <c r="S3331" s="73">
        <v>0</v>
      </c>
      <c r="T3331" s="71" t="s">
        <v>390</v>
      </c>
      <c r="U3331" s="74">
        <v>1</v>
      </c>
      <c r="V3331" s="71" t="s">
        <v>391</v>
      </c>
      <c r="W3331" s="130">
        <v>46097.584652777776</v>
      </c>
      <c r="X3331" s="72">
        <v>46099.638888888891</v>
      </c>
      <c r="Y3331" s="72">
        <v>46102.996527777781</v>
      </c>
      <c r="Z3331" s="104" t="s">
        <v>382</v>
      </c>
      <c r="AA3331" s="104" t="s">
        <v>402</v>
      </c>
      <c r="AB3331" s="105">
        <v>46099.772916666669</v>
      </c>
      <c r="AC3331" s="105">
        <v>46099.724305555559</v>
      </c>
    </row>
    <row r="3332" s="70" customFormat="1" ht="11.25" customHeight="1">
      <c r="A3332" s="87"/>
      <c r="C3332" s="43" t="s">
        <v>5340</v>
      </c>
      <c r="D3332" s="71" t="s">
        <v>382</v>
      </c>
      <c r="E3332" s="71" t="str">
        <f>MID(D3332,1,2)</f>
        <v>IL</v>
      </c>
      <c r="F3332" s="71" t="s">
        <v>774</v>
      </c>
      <c r="G3332" s="71" t="str">
        <f>MID(F3332,1,2)</f>
        <v>CN</v>
      </c>
      <c r="H3332" s="43" t="s">
        <v>5308</v>
      </c>
      <c r="I3332" s="71" t="s">
        <v>5341</v>
      </c>
      <c r="J3332" s="71" t="s">
        <v>755</v>
      </c>
      <c r="K3332" s="43"/>
      <c r="L3332" s="71" t="s">
        <v>105</v>
      </c>
      <c r="M3332" s="73">
        <v>0.5</v>
      </c>
      <c r="N3332" s="71" t="s">
        <v>388</v>
      </c>
      <c r="O3332" s="73">
        <v>0.005</v>
      </c>
      <c r="P3332" s="71" t="s">
        <v>389</v>
      </c>
      <c r="Q3332" s="73">
        <v>1</v>
      </c>
      <c r="R3332" s="71" t="s">
        <v>388</v>
      </c>
      <c r="S3332" s="73">
        <v>0</v>
      </c>
      <c r="T3332" s="71" t="s">
        <v>390</v>
      </c>
      <c r="U3332" s="74">
        <v>1</v>
      </c>
      <c r="V3332" s="71" t="s">
        <v>391</v>
      </c>
      <c r="W3332" s="130">
        <v>46097.584652777776</v>
      </c>
      <c r="X3332" s="72">
        <v>46099.638888888891</v>
      </c>
      <c r="Y3332" s="72">
        <v>46102.996527777781</v>
      </c>
      <c r="Z3332" s="104" t="s">
        <v>402</v>
      </c>
      <c r="AA3332" s="104" t="s">
        <v>403</v>
      </c>
      <c r="AB3332" s="105">
        <v>46099.928472222222</v>
      </c>
      <c r="AC3332" s="105"/>
    </row>
    <row r="3333" s="70" customFormat="1" ht="11.25" customHeight="1">
      <c r="A3333" s="87"/>
      <c r="C3333" s="43" t="s">
        <v>5340</v>
      </c>
      <c r="D3333" s="71" t="s">
        <v>382</v>
      </c>
      <c r="E3333" s="71" t="str">
        <f>MID(D3333,1,2)</f>
        <v>IL</v>
      </c>
      <c r="F3333" s="71" t="s">
        <v>774</v>
      </c>
      <c r="G3333" s="71" t="str">
        <f>MID(F3333,1,2)</f>
        <v>CN</v>
      </c>
      <c r="H3333" s="43" t="s">
        <v>5308</v>
      </c>
      <c r="I3333" s="71" t="s">
        <v>5341</v>
      </c>
      <c r="J3333" s="71" t="s">
        <v>755</v>
      </c>
      <c r="K3333" s="43"/>
      <c r="L3333" s="71" t="s">
        <v>105</v>
      </c>
      <c r="M3333" s="73">
        <v>0.5</v>
      </c>
      <c r="N3333" s="71" t="s">
        <v>388</v>
      </c>
      <c r="O3333" s="73">
        <v>0.005</v>
      </c>
      <c r="P3333" s="71" t="s">
        <v>389</v>
      </c>
      <c r="Q3333" s="73">
        <v>1</v>
      </c>
      <c r="R3333" s="71" t="s">
        <v>388</v>
      </c>
      <c r="S3333" s="73">
        <v>0</v>
      </c>
      <c r="T3333" s="71" t="s">
        <v>390</v>
      </c>
      <c r="U3333" s="74">
        <v>1</v>
      </c>
      <c r="V3333" s="71" t="s">
        <v>391</v>
      </c>
      <c r="W3333" s="130">
        <v>46097.584652777776</v>
      </c>
      <c r="X3333" s="72">
        <v>46099.638888888891</v>
      </c>
      <c r="Y3333" s="72">
        <v>46102.996527777781</v>
      </c>
      <c r="Z3333" s="104" t="s">
        <v>403</v>
      </c>
      <c r="AA3333" s="104" t="s">
        <v>774</v>
      </c>
      <c r="AB3333" s="105">
        <v>46102.884722222225</v>
      </c>
      <c r="AC3333" s="105">
        <v>46102.984027777777</v>
      </c>
    </row>
    <row r="3334" s="70" customFormat="1" ht="11.25" customHeight="1">
      <c r="A3334" s="87"/>
      <c r="C3334" s="43" t="s">
        <v>5342</v>
      </c>
      <c r="D3334" s="71" t="s">
        <v>382</v>
      </c>
      <c r="E3334" s="71" t="str">
        <f>MID(D3334,1,2)</f>
        <v>IL</v>
      </c>
      <c r="F3334" s="71" t="s">
        <v>471</v>
      </c>
      <c r="G3334" s="71" t="str">
        <f>MID(F3334,1,2)</f>
        <v>US</v>
      </c>
      <c r="H3334" s="43" t="s">
        <v>5343</v>
      </c>
      <c r="I3334" s="71" t="s">
        <v>5344</v>
      </c>
      <c r="J3334" s="71" t="s">
        <v>386</v>
      </c>
      <c r="K3334" s="43"/>
      <c r="L3334" s="71" t="s">
        <v>107</v>
      </c>
      <c r="M3334" s="73">
        <v>176</v>
      </c>
      <c r="N3334" s="71" t="s">
        <v>388</v>
      </c>
      <c r="O3334" s="73">
        <v>0.441</v>
      </c>
      <c r="P3334" s="71" t="s">
        <v>389</v>
      </c>
      <c r="Q3334" s="73">
        <v>176</v>
      </c>
      <c r="R3334" s="71" t="s">
        <v>388</v>
      </c>
      <c r="S3334" s="73">
        <v>0</v>
      </c>
      <c r="T3334" s="71" t="s">
        <v>390</v>
      </c>
      <c r="U3334" s="74">
        <v>2</v>
      </c>
      <c r="V3334" s="71" t="s">
        <v>391</v>
      </c>
      <c r="W3334" s="130">
        <v>46097.584027777775</v>
      </c>
      <c r="X3334" s="72">
        <v>46100.625</v>
      </c>
      <c r="Y3334" s="72">
        <v>46101.25</v>
      </c>
      <c r="Z3334" s="104" t="s">
        <v>382</v>
      </c>
      <c r="AA3334" s="104" t="s">
        <v>471</v>
      </c>
      <c r="AB3334" s="105">
        <v>46100.776388888888</v>
      </c>
      <c r="AC3334" s="105">
        <v>46101.026388888888</v>
      </c>
    </row>
    <row r="3335" s="70" customFormat="1" ht="11.25" customHeight="1">
      <c r="A3335" s="87"/>
      <c r="C3335" s="43" t="s">
        <v>5345</v>
      </c>
      <c r="D3335" s="71" t="s">
        <v>382</v>
      </c>
      <c r="E3335" s="71" t="str">
        <f>MID(D3335,1,2)</f>
        <v>IL</v>
      </c>
      <c r="F3335" s="71" t="s">
        <v>471</v>
      </c>
      <c r="G3335" s="71" t="str">
        <f>MID(F3335,1,2)</f>
        <v>US</v>
      </c>
      <c r="H3335" s="43" t="s">
        <v>5343</v>
      </c>
      <c r="I3335" s="71" t="s">
        <v>5346</v>
      </c>
      <c r="J3335" s="71" t="s">
        <v>386</v>
      </c>
      <c r="K3335" s="43"/>
      <c r="L3335" s="71" t="s">
        <v>107</v>
      </c>
      <c r="M3335" s="73">
        <v>182</v>
      </c>
      <c r="N3335" s="71" t="s">
        <v>388</v>
      </c>
      <c r="O3335" s="73">
        <v>1.319</v>
      </c>
      <c r="P3335" s="71" t="s">
        <v>389</v>
      </c>
      <c r="Q3335" s="73">
        <v>220</v>
      </c>
      <c r="R3335" s="71" t="s">
        <v>388</v>
      </c>
      <c r="S3335" s="73">
        <v>0</v>
      </c>
      <c r="T3335" s="71" t="s">
        <v>390</v>
      </c>
      <c r="U3335" s="74">
        <v>1</v>
      </c>
      <c r="V3335" s="71" t="s">
        <v>391</v>
      </c>
      <c r="W3335" s="130">
        <v>46098.279386574075</v>
      </c>
      <c r="X3335" s="72">
        <v>46100.625</v>
      </c>
      <c r="Y3335" s="72">
        <v>46101.25</v>
      </c>
      <c r="Z3335" s="104" t="s">
        <v>382</v>
      </c>
      <c r="AA3335" s="104" t="s">
        <v>471</v>
      </c>
      <c r="AB3335" s="105">
        <v>46100.776388888888</v>
      </c>
      <c r="AC3335" s="105">
        <v>46101.026388888888</v>
      </c>
    </row>
    <row r="3336" s="70" customFormat="1" ht="11.25" customHeight="1">
      <c r="A3336" s="87"/>
      <c r="C3336" s="43" t="s">
        <v>5347</v>
      </c>
      <c r="D3336" s="71" t="s">
        <v>382</v>
      </c>
      <c r="E3336" s="71" t="str">
        <f>MID(D3336,1,2)</f>
        <v>IL</v>
      </c>
      <c r="F3336" s="71" t="s">
        <v>1069</v>
      </c>
      <c r="G3336" s="71" t="str">
        <f>MID(F3336,1,2)</f>
        <v>AU</v>
      </c>
      <c r="H3336" s="43" t="s">
        <v>5296</v>
      </c>
      <c r="I3336" s="71" t="s">
        <v>5348</v>
      </c>
      <c r="J3336" s="71" t="s">
        <v>426</v>
      </c>
      <c r="K3336" s="43"/>
      <c r="L3336" s="71" t="s">
        <v>105</v>
      </c>
      <c r="M3336" s="73">
        <v>711</v>
      </c>
      <c r="N3336" s="71" t="s">
        <v>388</v>
      </c>
      <c r="O3336" s="73">
        <v>2.917</v>
      </c>
      <c r="P3336" s="71" t="s">
        <v>389</v>
      </c>
      <c r="Q3336" s="73">
        <v>711</v>
      </c>
      <c r="R3336" s="71" t="s">
        <v>388</v>
      </c>
      <c r="S3336" s="73">
        <v>0</v>
      </c>
      <c r="T3336" s="71" t="s">
        <v>390</v>
      </c>
      <c r="U3336" s="74">
        <v>4</v>
      </c>
      <c r="V3336" s="71" t="s">
        <v>391</v>
      </c>
      <c r="W3336" s="130">
        <v>46097.417361111111</v>
      </c>
      <c r="X3336" s="72">
        <v>46098.436805555553</v>
      </c>
      <c r="Y3336" s="72">
        <v>46107.75</v>
      </c>
      <c r="Z3336" s="104" t="s">
        <v>382</v>
      </c>
      <c r="AA3336" s="104" t="s">
        <v>408</v>
      </c>
      <c r="AB3336" s="105">
        <v>46100.272916666669</v>
      </c>
      <c r="AC3336" s="105">
        <v>46100.445833333331</v>
      </c>
    </row>
    <row r="3337" s="70" customFormat="1" ht="11.25" customHeight="1">
      <c r="A3337" s="87"/>
      <c r="C3337" s="43" t="s">
        <v>5347</v>
      </c>
      <c r="D3337" s="71" t="s">
        <v>382</v>
      </c>
      <c r="E3337" s="71" t="str">
        <f>MID(D3337,1,2)</f>
        <v>IL</v>
      </c>
      <c r="F3337" s="71" t="s">
        <v>1069</v>
      </c>
      <c r="G3337" s="71" t="str">
        <f>MID(F3337,1,2)</f>
        <v>AU</v>
      </c>
      <c r="H3337" s="43" t="s">
        <v>5296</v>
      </c>
      <c r="I3337" s="71" t="s">
        <v>5348</v>
      </c>
      <c r="J3337" s="71" t="s">
        <v>426</v>
      </c>
      <c r="K3337" s="43"/>
      <c r="L3337" s="71" t="s">
        <v>105</v>
      </c>
      <c r="M3337" s="73">
        <v>711</v>
      </c>
      <c r="N3337" s="71" t="s">
        <v>388</v>
      </c>
      <c r="O3337" s="73">
        <v>2.917</v>
      </c>
      <c r="P3337" s="71" t="s">
        <v>389</v>
      </c>
      <c r="Q3337" s="73">
        <v>711</v>
      </c>
      <c r="R3337" s="71" t="s">
        <v>388</v>
      </c>
      <c r="S3337" s="73">
        <v>0</v>
      </c>
      <c r="T3337" s="71" t="s">
        <v>390</v>
      </c>
      <c r="U3337" s="74">
        <v>4</v>
      </c>
      <c r="V3337" s="71" t="s">
        <v>391</v>
      </c>
      <c r="W3337" s="130">
        <v>46097.417361111111</v>
      </c>
      <c r="X3337" s="72">
        <v>46098.436805555553</v>
      </c>
      <c r="Y3337" s="72">
        <v>46107.75</v>
      </c>
      <c r="Z3337" s="104" t="s">
        <v>408</v>
      </c>
      <c r="AA3337" s="104" t="s">
        <v>405</v>
      </c>
      <c r="AB3337" s="105"/>
      <c r="AC3337" s="105"/>
    </row>
    <row r="3338" s="70" customFormat="1" ht="11.25" customHeight="1">
      <c r="A3338" s="87"/>
      <c r="C3338" s="43" t="s">
        <v>5347</v>
      </c>
      <c r="D3338" s="71" t="s">
        <v>382</v>
      </c>
      <c r="E3338" s="71" t="str">
        <f>MID(D3338,1,2)</f>
        <v>IL</v>
      </c>
      <c r="F3338" s="71" t="s">
        <v>1069</v>
      </c>
      <c r="G3338" s="71" t="str">
        <f>MID(F3338,1,2)</f>
        <v>AU</v>
      </c>
      <c r="H3338" s="43" t="s">
        <v>5296</v>
      </c>
      <c r="I3338" s="71" t="s">
        <v>5348</v>
      </c>
      <c r="J3338" s="71" t="s">
        <v>426</v>
      </c>
      <c r="K3338" s="43"/>
      <c r="L3338" s="71" t="s">
        <v>105</v>
      </c>
      <c r="M3338" s="73">
        <v>711</v>
      </c>
      <c r="N3338" s="71" t="s">
        <v>388</v>
      </c>
      <c r="O3338" s="73">
        <v>2.917</v>
      </c>
      <c r="P3338" s="71" t="s">
        <v>389</v>
      </c>
      <c r="Q3338" s="73">
        <v>711</v>
      </c>
      <c r="R3338" s="71" t="s">
        <v>388</v>
      </c>
      <c r="S3338" s="73">
        <v>0</v>
      </c>
      <c r="T3338" s="71" t="s">
        <v>390</v>
      </c>
      <c r="U3338" s="74">
        <v>4</v>
      </c>
      <c r="V3338" s="71" t="s">
        <v>391</v>
      </c>
      <c r="W3338" s="130">
        <v>46097.417361111111</v>
      </c>
      <c r="X3338" s="72">
        <v>46098.436805555553</v>
      </c>
      <c r="Y3338" s="72">
        <v>46107.75</v>
      </c>
      <c r="Z3338" s="104" t="s">
        <v>405</v>
      </c>
      <c r="AA3338" s="104" t="s">
        <v>437</v>
      </c>
      <c r="AB3338" s="105"/>
      <c r="AC3338" s="105"/>
    </row>
    <row r="3339" s="70" customFormat="1" ht="11.25" customHeight="1">
      <c r="A3339" s="87"/>
      <c r="C3339" s="43" t="s">
        <v>5347</v>
      </c>
      <c r="D3339" s="71" t="s">
        <v>382</v>
      </c>
      <c r="E3339" s="71" t="str">
        <f>MID(D3339,1,2)</f>
        <v>IL</v>
      </c>
      <c r="F3339" s="71" t="s">
        <v>1069</v>
      </c>
      <c r="G3339" s="71" t="str">
        <f>MID(F3339,1,2)</f>
        <v>AU</v>
      </c>
      <c r="H3339" s="43" t="s">
        <v>5296</v>
      </c>
      <c r="I3339" s="71" t="s">
        <v>5348</v>
      </c>
      <c r="J3339" s="71" t="s">
        <v>426</v>
      </c>
      <c r="K3339" s="43"/>
      <c r="L3339" s="71" t="s">
        <v>105</v>
      </c>
      <c r="M3339" s="73">
        <v>711</v>
      </c>
      <c r="N3339" s="71" t="s">
        <v>388</v>
      </c>
      <c r="O3339" s="73">
        <v>2.917</v>
      </c>
      <c r="P3339" s="71" t="s">
        <v>389</v>
      </c>
      <c r="Q3339" s="73">
        <v>711</v>
      </c>
      <c r="R3339" s="71" t="s">
        <v>388</v>
      </c>
      <c r="S3339" s="73">
        <v>0</v>
      </c>
      <c r="T3339" s="71" t="s">
        <v>390</v>
      </c>
      <c r="U3339" s="74">
        <v>4</v>
      </c>
      <c r="V3339" s="71" t="s">
        <v>391</v>
      </c>
      <c r="W3339" s="130">
        <v>46097.417361111111</v>
      </c>
      <c r="X3339" s="72">
        <v>46098.436805555553</v>
      </c>
      <c r="Y3339" s="72">
        <v>46107.75</v>
      </c>
      <c r="Z3339" s="104" t="s">
        <v>437</v>
      </c>
      <c r="AA3339" s="104" t="s">
        <v>1069</v>
      </c>
      <c r="AB3339" s="105"/>
      <c r="AC3339" s="105"/>
    </row>
    <row r="3340" s="70" customFormat="1" ht="11.25" customHeight="1">
      <c r="A3340" s="87"/>
      <c r="C3340" s="43" t="s">
        <v>5349</v>
      </c>
      <c r="D3340" s="71" t="s">
        <v>382</v>
      </c>
      <c r="E3340" s="71" t="str">
        <f>MID(D3340,1,2)</f>
        <v>IL</v>
      </c>
      <c r="F3340" s="71" t="s">
        <v>383</v>
      </c>
      <c r="G3340" s="71" t="str">
        <f>MID(F3340,1,2)</f>
        <v>DE</v>
      </c>
      <c r="H3340" s="43" t="s">
        <v>4936</v>
      </c>
      <c r="I3340" s="71" t="s">
        <v>5350</v>
      </c>
      <c r="J3340" s="71" t="s">
        <v>386</v>
      </c>
      <c r="K3340" s="43"/>
      <c r="L3340" s="71" t="s">
        <v>107</v>
      </c>
      <c r="M3340" s="73">
        <v>27</v>
      </c>
      <c r="N3340" s="71" t="s">
        <v>388</v>
      </c>
      <c r="O3340" s="73">
        <v>0.191</v>
      </c>
      <c r="P3340" s="71" t="s">
        <v>389</v>
      </c>
      <c r="Q3340" s="73">
        <v>32</v>
      </c>
      <c r="R3340" s="71" t="s">
        <v>388</v>
      </c>
      <c r="S3340" s="73">
        <v>0</v>
      </c>
      <c r="T3340" s="71" t="s">
        <v>390</v>
      </c>
      <c r="U3340" s="74">
        <v>1</v>
      </c>
      <c r="V3340" s="71" t="s">
        <v>391</v>
      </c>
      <c r="W3340" s="130">
        <v>46099.877280092594</v>
      </c>
      <c r="X3340" s="72">
        <v>46100.333333333336</v>
      </c>
      <c r="Y3340" s="72">
        <v>46104.513888888891</v>
      </c>
      <c r="Z3340" s="104" t="s">
        <v>382</v>
      </c>
      <c r="AA3340" s="104" t="s">
        <v>383</v>
      </c>
      <c r="AB3340" s="105">
        <v>46103.441666666666</v>
      </c>
      <c r="AC3340" s="105"/>
    </row>
    <row r="3341" s="70" customFormat="1" ht="11.25" customHeight="1">
      <c r="A3341" s="87"/>
      <c r="C3341" s="43" t="s">
        <v>5351</v>
      </c>
      <c r="D3341" s="71" t="s">
        <v>808</v>
      </c>
      <c r="E3341" s="71" t="str">
        <f>MID(D3341,1,2)</f>
        <v>IL</v>
      </c>
      <c r="F3341" s="71" t="s">
        <v>809</v>
      </c>
      <c r="G3341" s="71" t="str">
        <f>MID(F3341,1,2)</f>
        <v>IN</v>
      </c>
      <c r="H3341" s="43"/>
      <c r="I3341" s="71" t="s">
        <v>5352</v>
      </c>
      <c r="J3341" s="71" t="s">
        <v>811</v>
      </c>
      <c r="K3341" s="43"/>
      <c r="L3341" s="71" t="s">
        <v>105</v>
      </c>
      <c r="M3341" s="73">
        <v>0</v>
      </c>
      <c r="N3341" s="71" t="s">
        <v>388</v>
      </c>
      <c r="O3341" s="73">
        <v>0</v>
      </c>
      <c r="P3341" s="71" t="s">
        <v>389</v>
      </c>
      <c r="Q3341" s="73">
        <v>0</v>
      </c>
      <c r="R3341" s="71" t="s">
        <v>388</v>
      </c>
      <c r="S3341" s="73">
        <v>0</v>
      </c>
      <c r="T3341" s="71" t="s">
        <v>390</v>
      </c>
      <c r="U3341" s="74">
        <v>0</v>
      </c>
      <c r="V3341" s="71" t="s">
        <v>391</v>
      </c>
      <c r="W3341" s="130"/>
      <c r="X3341" s="72">
        <v>46097.39375</v>
      </c>
      <c r="Y3341" s="72">
        <v>46098.39375</v>
      </c>
      <c r="Z3341" s="104"/>
      <c r="AA3341" s="104"/>
      <c r="AB3341" s="105"/>
      <c r="AC3341" s="105"/>
    </row>
    <row r="3342" s="70" customFormat="1" ht="11.25" customHeight="1">
      <c r="A3342" s="87"/>
      <c r="C3342" s="43" t="s">
        <v>5353</v>
      </c>
      <c r="D3342" s="71" t="s">
        <v>382</v>
      </c>
      <c r="E3342" s="71" t="str">
        <f>MID(D3342,1,2)</f>
        <v>IL</v>
      </c>
      <c r="F3342" s="71" t="s">
        <v>1428</v>
      </c>
      <c r="G3342" s="71" t="str">
        <f>MID(F3342,1,2)</f>
        <v>PL</v>
      </c>
      <c r="H3342" s="43" t="s">
        <v>4936</v>
      </c>
      <c r="I3342" s="71" t="s">
        <v>5354</v>
      </c>
      <c r="J3342" s="71" t="s">
        <v>386</v>
      </c>
      <c r="K3342" s="43"/>
      <c r="L3342" s="71" t="s">
        <v>107</v>
      </c>
      <c r="M3342" s="73">
        <v>819</v>
      </c>
      <c r="N3342" s="71" t="s">
        <v>388</v>
      </c>
      <c r="O3342" s="73">
        <v>5.002</v>
      </c>
      <c r="P3342" s="71" t="s">
        <v>389</v>
      </c>
      <c r="Q3342" s="73">
        <v>834</v>
      </c>
      <c r="R3342" s="71" t="s">
        <v>388</v>
      </c>
      <c r="S3342" s="73">
        <v>0</v>
      </c>
      <c r="T3342" s="71" t="s">
        <v>390</v>
      </c>
      <c r="U3342" s="74">
        <v>3</v>
      </c>
      <c r="V3342" s="71" t="s">
        <v>391</v>
      </c>
      <c r="W3342" s="130">
        <v>46097.711805555555</v>
      </c>
      <c r="X3342" s="72">
        <v>46099.5</v>
      </c>
      <c r="Y3342" s="72">
        <v>46104.513888888891</v>
      </c>
      <c r="Z3342" s="104" t="s">
        <v>382</v>
      </c>
      <c r="AA3342" s="104" t="s">
        <v>383</v>
      </c>
      <c r="AB3342" s="105">
        <v>46103.441666666666</v>
      </c>
      <c r="AC3342" s="105"/>
    </row>
    <row r="3343" s="70" customFormat="1" ht="11.25" customHeight="1">
      <c r="A3343" s="87"/>
      <c r="C3343" s="43" t="s">
        <v>5355</v>
      </c>
      <c r="D3343" s="71" t="s">
        <v>382</v>
      </c>
      <c r="E3343" s="71" t="str">
        <f>MID(D3343,1,2)</f>
        <v>IL</v>
      </c>
      <c r="F3343" s="71" t="s">
        <v>774</v>
      </c>
      <c r="G3343" s="71" t="str">
        <f>MID(F3343,1,2)</f>
        <v>CN</v>
      </c>
      <c r="H3343" s="43" t="s">
        <v>5308</v>
      </c>
      <c r="I3343" s="71" t="s">
        <v>5356</v>
      </c>
      <c r="J3343" s="71" t="s">
        <v>755</v>
      </c>
      <c r="K3343" s="43"/>
      <c r="L3343" s="71" t="s">
        <v>105</v>
      </c>
      <c r="M3343" s="73">
        <v>4</v>
      </c>
      <c r="N3343" s="71" t="s">
        <v>388</v>
      </c>
      <c r="O3343" s="73">
        <v>0.161</v>
      </c>
      <c r="P3343" s="71" t="s">
        <v>389</v>
      </c>
      <c r="Q3343" s="73">
        <v>27</v>
      </c>
      <c r="R3343" s="71" t="s">
        <v>388</v>
      </c>
      <c r="S3343" s="73">
        <v>0</v>
      </c>
      <c r="T3343" s="71" t="s">
        <v>390</v>
      </c>
      <c r="U3343" s="74">
        <v>1</v>
      </c>
      <c r="V3343" s="71" t="s">
        <v>391</v>
      </c>
      <c r="W3343" s="130">
        <v>46097.584722222222</v>
      </c>
      <c r="X3343" s="72">
        <v>46099.638888888891</v>
      </c>
      <c r="Y3343" s="72">
        <v>46102.996527777781</v>
      </c>
      <c r="Z3343" s="104" t="s">
        <v>382</v>
      </c>
      <c r="AA3343" s="104" t="s">
        <v>402</v>
      </c>
      <c r="AB3343" s="105">
        <v>46099.772916666669</v>
      </c>
      <c r="AC3343" s="105">
        <v>46099.724305555559</v>
      </c>
    </row>
    <row r="3344" s="70" customFormat="1" ht="11.25" customHeight="1">
      <c r="A3344" s="87"/>
      <c r="C3344" s="43" t="s">
        <v>5355</v>
      </c>
      <c r="D3344" s="71" t="s">
        <v>382</v>
      </c>
      <c r="E3344" s="71" t="str">
        <f>MID(D3344,1,2)</f>
        <v>IL</v>
      </c>
      <c r="F3344" s="71" t="s">
        <v>774</v>
      </c>
      <c r="G3344" s="71" t="str">
        <f>MID(F3344,1,2)</f>
        <v>CN</v>
      </c>
      <c r="H3344" s="43" t="s">
        <v>5308</v>
      </c>
      <c r="I3344" s="71" t="s">
        <v>5356</v>
      </c>
      <c r="J3344" s="71" t="s">
        <v>755</v>
      </c>
      <c r="K3344" s="43"/>
      <c r="L3344" s="71" t="s">
        <v>105</v>
      </c>
      <c r="M3344" s="73">
        <v>4</v>
      </c>
      <c r="N3344" s="71" t="s">
        <v>388</v>
      </c>
      <c r="O3344" s="73">
        <v>0.161</v>
      </c>
      <c r="P3344" s="71" t="s">
        <v>389</v>
      </c>
      <c r="Q3344" s="73">
        <v>27</v>
      </c>
      <c r="R3344" s="71" t="s">
        <v>388</v>
      </c>
      <c r="S3344" s="73">
        <v>0</v>
      </c>
      <c r="T3344" s="71" t="s">
        <v>390</v>
      </c>
      <c r="U3344" s="74">
        <v>1</v>
      </c>
      <c r="V3344" s="71" t="s">
        <v>391</v>
      </c>
      <c r="W3344" s="130">
        <v>46097.584722222222</v>
      </c>
      <c r="X3344" s="72">
        <v>46099.638888888891</v>
      </c>
      <c r="Y3344" s="72">
        <v>46102.996527777781</v>
      </c>
      <c r="Z3344" s="104" t="s">
        <v>402</v>
      </c>
      <c r="AA3344" s="104" t="s">
        <v>403</v>
      </c>
      <c r="AB3344" s="105">
        <v>46099.928472222222</v>
      </c>
      <c r="AC3344" s="105"/>
    </row>
    <row r="3345" s="70" customFormat="1" ht="11.25" customHeight="1">
      <c r="A3345" s="87"/>
      <c r="C3345" s="43" t="s">
        <v>5355</v>
      </c>
      <c r="D3345" s="71" t="s">
        <v>382</v>
      </c>
      <c r="E3345" s="71" t="str">
        <f>MID(D3345,1,2)</f>
        <v>IL</v>
      </c>
      <c r="F3345" s="71" t="s">
        <v>774</v>
      </c>
      <c r="G3345" s="71" t="str">
        <f>MID(F3345,1,2)</f>
        <v>CN</v>
      </c>
      <c r="H3345" s="43" t="s">
        <v>5308</v>
      </c>
      <c r="I3345" s="71" t="s">
        <v>5356</v>
      </c>
      <c r="J3345" s="71" t="s">
        <v>755</v>
      </c>
      <c r="K3345" s="43"/>
      <c r="L3345" s="71" t="s">
        <v>105</v>
      </c>
      <c r="M3345" s="73">
        <v>4</v>
      </c>
      <c r="N3345" s="71" t="s">
        <v>388</v>
      </c>
      <c r="O3345" s="73">
        <v>0.161</v>
      </c>
      <c r="P3345" s="71" t="s">
        <v>389</v>
      </c>
      <c r="Q3345" s="73">
        <v>27</v>
      </c>
      <c r="R3345" s="71" t="s">
        <v>388</v>
      </c>
      <c r="S3345" s="73">
        <v>0</v>
      </c>
      <c r="T3345" s="71" t="s">
        <v>390</v>
      </c>
      <c r="U3345" s="74">
        <v>1</v>
      </c>
      <c r="V3345" s="71" t="s">
        <v>391</v>
      </c>
      <c r="W3345" s="130">
        <v>46097.584722222222</v>
      </c>
      <c r="X3345" s="72">
        <v>46099.638888888891</v>
      </c>
      <c r="Y3345" s="72">
        <v>46102.996527777781</v>
      </c>
      <c r="Z3345" s="104" t="s">
        <v>403</v>
      </c>
      <c r="AA3345" s="104" t="s">
        <v>774</v>
      </c>
      <c r="AB3345" s="105">
        <v>46102.884722222225</v>
      </c>
      <c r="AC3345" s="105">
        <v>46102.984027777777</v>
      </c>
    </row>
    <row r="3346" s="70" customFormat="1" ht="11.25" customHeight="1">
      <c r="A3346" s="87"/>
      <c r="C3346" s="43" t="s">
        <v>5357</v>
      </c>
      <c r="D3346" s="71" t="s">
        <v>382</v>
      </c>
      <c r="E3346" s="71" t="str">
        <f>MID(D3346,1,2)</f>
        <v>IL</v>
      </c>
      <c r="F3346" s="71" t="s">
        <v>667</v>
      </c>
      <c r="G3346" s="71" t="str">
        <f>MID(F3346,1,2)</f>
        <v>DE</v>
      </c>
      <c r="H3346" s="43" t="s">
        <v>4936</v>
      </c>
      <c r="I3346" s="71" t="s">
        <v>5358</v>
      </c>
      <c r="J3346" s="71" t="s">
        <v>386</v>
      </c>
      <c r="K3346" s="43"/>
      <c r="L3346" s="71" t="s">
        <v>107</v>
      </c>
      <c r="M3346" s="73">
        <v>8</v>
      </c>
      <c r="N3346" s="71" t="s">
        <v>388</v>
      </c>
      <c r="O3346" s="73">
        <v>0.05</v>
      </c>
      <c r="P3346" s="71" t="s">
        <v>389</v>
      </c>
      <c r="Q3346" s="73">
        <v>8.5</v>
      </c>
      <c r="R3346" s="71" t="s">
        <v>388</v>
      </c>
      <c r="S3346" s="73">
        <v>0</v>
      </c>
      <c r="T3346" s="71" t="s">
        <v>390</v>
      </c>
      <c r="U3346" s="74">
        <v>1</v>
      </c>
      <c r="V3346" s="71" t="s">
        <v>391</v>
      </c>
      <c r="W3346" s="130">
        <v>46097.58457175926</v>
      </c>
      <c r="X3346" s="72">
        <v>46099.5</v>
      </c>
      <c r="Y3346" s="72">
        <v>46104.513888888891</v>
      </c>
      <c r="Z3346" s="104" t="s">
        <v>382</v>
      </c>
      <c r="AA3346" s="104" t="s">
        <v>383</v>
      </c>
      <c r="AB3346" s="105">
        <v>46103.441666666666</v>
      </c>
      <c r="AC3346" s="105"/>
    </row>
    <row r="3347" s="70" customFormat="1" ht="11.25" customHeight="1">
      <c r="A3347" s="87"/>
      <c r="C3347" s="43" t="s">
        <v>5359</v>
      </c>
      <c r="D3347" s="71" t="s">
        <v>382</v>
      </c>
      <c r="E3347" s="71" t="str">
        <f>MID(D3347,1,2)</f>
        <v>IL</v>
      </c>
      <c r="F3347" s="71" t="s">
        <v>414</v>
      </c>
      <c r="G3347" s="71" t="str">
        <f>MID(F3347,1,2)</f>
        <v>US</v>
      </c>
      <c r="H3347" s="43" t="s">
        <v>5126</v>
      </c>
      <c r="I3347" s="71" t="s">
        <v>5360</v>
      </c>
      <c r="J3347" s="71" t="s">
        <v>426</v>
      </c>
      <c r="K3347" s="43"/>
      <c r="L3347" s="71" t="s">
        <v>105</v>
      </c>
      <c r="M3347" s="73">
        <v>36</v>
      </c>
      <c r="N3347" s="71" t="s">
        <v>388</v>
      </c>
      <c r="O3347" s="73">
        <v>0.041</v>
      </c>
      <c r="P3347" s="71" t="s">
        <v>389</v>
      </c>
      <c r="Q3347" s="73">
        <v>100</v>
      </c>
      <c r="R3347" s="71" t="s">
        <v>388</v>
      </c>
      <c r="S3347" s="73">
        <v>0</v>
      </c>
      <c r="T3347" s="71" t="s">
        <v>390</v>
      </c>
      <c r="U3347" s="74">
        <v>1</v>
      </c>
      <c r="V3347" s="71" t="s">
        <v>391</v>
      </c>
      <c r="W3347" s="130">
        <v>46097.6625</v>
      </c>
      <c r="X3347" s="72">
        <v>46099.854166666664</v>
      </c>
      <c r="Y3347" s="72">
        <v>46101.510416666664</v>
      </c>
      <c r="Z3347" s="104" t="s">
        <v>382</v>
      </c>
      <c r="AA3347" s="104" t="s">
        <v>414</v>
      </c>
      <c r="AB3347" s="105">
        <v>46101.299305555556</v>
      </c>
      <c r="AC3347" s="105">
        <v>46101.519444444442</v>
      </c>
    </row>
    <row r="3348" s="70" customFormat="1" ht="11.25" customHeight="1">
      <c r="A3348" s="87"/>
      <c r="C3348" s="43" t="s">
        <v>5361</v>
      </c>
      <c r="D3348" s="71" t="s">
        <v>382</v>
      </c>
      <c r="E3348" s="71" t="str">
        <f>MID(D3348,1,2)</f>
        <v>IL</v>
      </c>
      <c r="F3348" s="71" t="s">
        <v>919</v>
      </c>
      <c r="G3348" s="71" t="str">
        <f>MID(F3348,1,2)</f>
        <v>CN</v>
      </c>
      <c r="H3348" s="43" t="s">
        <v>4929</v>
      </c>
      <c r="I3348" s="71" t="s">
        <v>5362</v>
      </c>
      <c r="J3348" s="71" t="s">
        <v>755</v>
      </c>
      <c r="K3348" s="43"/>
      <c r="L3348" s="71" t="s">
        <v>105</v>
      </c>
      <c r="M3348" s="73">
        <v>4.7</v>
      </c>
      <c r="N3348" s="71" t="s">
        <v>388</v>
      </c>
      <c r="O3348" s="73">
        <v>0.064</v>
      </c>
      <c r="P3348" s="71" t="s">
        <v>389</v>
      </c>
      <c r="Q3348" s="73">
        <v>11</v>
      </c>
      <c r="R3348" s="71" t="s">
        <v>388</v>
      </c>
      <c r="S3348" s="73">
        <v>0</v>
      </c>
      <c r="T3348" s="71" t="s">
        <v>390</v>
      </c>
      <c r="U3348" s="74">
        <v>1</v>
      </c>
      <c r="V3348" s="71" t="s">
        <v>391</v>
      </c>
      <c r="W3348" s="130">
        <v>46097.584907407407</v>
      </c>
      <c r="X3348" s="72">
        <v>46099.583333333336</v>
      </c>
      <c r="Y3348" s="72">
        <v>46102.73541666667</v>
      </c>
      <c r="Z3348" s="104" t="s">
        <v>382</v>
      </c>
      <c r="AA3348" s="104" t="s">
        <v>402</v>
      </c>
      <c r="AB3348" s="105">
        <v>46099.754166666666</v>
      </c>
      <c r="AC3348" s="105"/>
    </row>
    <row r="3349" s="70" customFormat="1" ht="11.25" customHeight="1">
      <c r="A3349" s="87"/>
      <c r="C3349" s="43" t="s">
        <v>5361</v>
      </c>
      <c r="D3349" s="71" t="s">
        <v>382</v>
      </c>
      <c r="E3349" s="71" t="str">
        <f>MID(D3349,1,2)</f>
        <v>IL</v>
      </c>
      <c r="F3349" s="71" t="s">
        <v>919</v>
      </c>
      <c r="G3349" s="71" t="str">
        <f>MID(F3349,1,2)</f>
        <v>CN</v>
      </c>
      <c r="H3349" s="43" t="s">
        <v>4929</v>
      </c>
      <c r="I3349" s="71" t="s">
        <v>5362</v>
      </c>
      <c r="J3349" s="71" t="s">
        <v>755</v>
      </c>
      <c r="K3349" s="43"/>
      <c r="L3349" s="71" t="s">
        <v>105</v>
      </c>
      <c r="M3349" s="73">
        <v>4.7</v>
      </c>
      <c r="N3349" s="71" t="s">
        <v>388</v>
      </c>
      <c r="O3349" s="73">
        <v>0.064</v>
      </c>
      <c r="P3349" s="71" t="s">
        <v>389</v>
      </c>
      <c r="Q3349" s="73">
        <v>11</v>
      </c>
      <c r="R3349" s="71" t="s">
        <v>388</v>
      </c>
      <c r="S3349" s="73">
        <v>0</v>
      </c>
      <c r="T3349" s="71" t="s">
        <v>390</v>
      </c>
      <c r="U3349" s="74">
        <v>1</v>
      </c>
      <c r="V3349" s="71" t="s">
        <v>391</v>
      </c>
      <c r="W3349" s="130">
        <v>46097.584907407407</v>
      </c>
      <c r="X3349" s="72">
        <v>46099.583333333336</v>
      </c>
      <c r="Y3349" s="72">
        <v>46102.73541666667</v>
      </c>
      <c r="Z3349" s="104" t="s">
        <v>402</v>
      </c>
      <c r="AA3349" s="104" t="s">
        <v>403</v>
      </c>
      <c r="AB3349" s="105">
        <v>46099.92083333333</v>
      </c>
      <c r="AC3349" s="105"/>
    </row>
    <row r="3350" s="70" customFormat="1" ht="11.25" customHeight="1">
      <c r="A3350" s="87"/>
      <c r="C3350" s="43" t="s">
        <v>5361</v>
      </c>
      <c r="D3350" s="71" t="s">
        <v>382</v>
      </c>
      <c r="E3350" s="71" t="str">
        <f>MID(D3350,1,2)</f>
        <v>IL</v>
      </c>
      <c r="F3350" s="71" t="s">
        <v>919</v>
      </c>
      <c r="G3350" s="71" t="str">
        <f>MID(F3350,1,2)</f>
        <v>CN</v>
      </c>
      <c r="H3350" s="43" t="s">
        <v>4929</v>
      </c>
      <c r="I3350" s="71" t="s">
        <v>5362</v>
      </c>
      <c r="J3350" s="71" t="s">
        <v>755</v>
      </c>
      <c r="K3350" s="43"/>
      <c r="L3350" s="71" t="s">
        <v>105</v>
      </c>
      <c r="M3350" s="73">
        <v>4.7</v>
      </c>
      <c r="N3350" s="71" t="s">
        <v>388</v>
      </c>
      <c r="O3350" s="73">
        <v>0.064</v>
      </c>
      <c r="P3350" s="71" t="s">
        <v>389</v>
      </c>
      <c r="Q3350" s="73">
        <v>11</v>
      </c>
      <c r="R3350" s="71" t="s">
        <v>388</v>
      </c>
      <c r="S3350" s="73">
        <v>0</v>
      </c>
      <c r="T3350" s="71" t="s">
        <v>390</v>
      </c>
      <c r="U3350" s="74">
        <v>1</v>
      </c>
      <c r="V3350" s="71" t="s">
        <v>391</v>
      </c>
      <c r="W3350" s="130">
        <v>46097.584907407407</v>
      </c>
      <c r="X3350" s="72">
        <v>46099.583333333336</v>
      </c>
      <c r="Y3350" s="72">
        <v>46102.73541666667</v>
      </c>
      <c r="Z3350" s="104" t="s">
        <v>403</v>
      </c>
      <c r="AA3350" s="104" t="s">
        <v>919</v>
      </c>
      <c r="AB3350" s="105">
        <v>46102.611111111109</v>
      </c>
      <c r="AC3350" s="105">
        <v>46102.760416666664</v>
      </c>
    </row>
    <row r="3351" s="70" customFormat="1" ht="11.25" customHeight="1">
      <c r="A3351" s="87"/>
      <c r="C3351" s="43" t="s">
        <v>5363</v>
      </c>
      <c r="D3351" s="71" t="s">
        <v>382</v>
      </c>
      <c r="E3351" s="71" t="str">
        <f>MID(D3351,1,2)</f>
        <v>IL</v>
      </c>
      <c r="F3351" s="71" t="s">
        <v>774</v>
      </c>
      <c r="G3351" s="71" t="str">
        <f>MID(F3351,1,2)</f>
        <v>CN</v>
      </c>
      <c r="H3351" s="43" t="s">
        <v>5308</v>
      </c>
      <c r="I3351" s="71" t="s">
        <v>5364</v>
      </c>
      <c r="J3351" s="71" t="s">
        <v>755</v>
      </c>
      <c r="K3351" s="43"/>
      <c r="L3351" s="71" t="s">
        <v>105</v>
      </c>
      <c r="M3351" s="73">
        <v>62</v>
      </c>
      <c r="N3351" s="71" t="s">
        <v>388</v>
      </c>
      <c r="O3351" s="73">
        <v>0.37</v>
      </c>
      <c r="P3351" s="71" t="s">
        <v>389</v>
      </c>
      <c r="Q3351" s="73">
        <v>62</v>
      </c>
      <c r="R3351" s="71" t="s">
        <v>388</v>
      </c>
      <c r="S3351" s="73">
        <v>0</v>
      </c>
      <c r="T3351" s="71" t="s">
        <v>390</v>
      </c>
      <c r="U3351" s="74">
        <v>1</v>
      </c>
      <c r="V3351" s="71" t="s">
        <v>391</v>
      </c>
      <c r="W3351" s="130">
        <v>46097.584826388891</v>
      </c>
      <c r="X3351" s="72">
        <v>46099.638888888891</v>
      </c>
      <c r="Y3351" s="72">
        <v>46102.996527777781</v>
      </c>
      <c r="Z3351" s="104" t="s">
        <v>382</v>
      </c>
      <c r="AA3351" s="104" t="s">
        <v>402</v>
      </c>
      <c r="AB3351" s="105">
        <v>46099.772916666669</v>
      </c>
      <c r="AC3351" s="105">
        <v>46099.724305555559</v>
      </c>
    </row>
    <row r="3352" s="70" customFormat="1" ht="11.25" customHeight="1">
      <c r="A3352" s="87"/>
      <c r="C3352" s="43" t="s">
        <v>5363</v>
      </c>
      <c r="D3352" s="71" t="s">
        <v>382</v>
      </c>
      <c r="E3352" s="71" t="str">
        <f>MID(D3352,1,2)</f>
        <v>IL</v>
      </c>
      <c r="F3352" s="71" t="s">
        <v>774</v>
      </c>
      <c r="G3352" s="71" t="str">
        <f>MID(F3352,1,2)</f>
        <v>CN</v>
      </c>
      <c r="H3352" s="43" t="s">
        <v>5308</v>
      </c>
      <c r="I3352" s="71" t="s">
        <v>5364</v>
      </c>
      <c r="J3352" s="71" t="s">
        <v>755</v>
      </c>
      <c r="K3352" s="43"/>
      <c r="L3352" s="71" t="s">
        <v>105</v>
      </c>
      <c r="M3352" s="73">
        <v>62</v>
      </c>
      <c r="N3352" s="71" t="s">
        <v>388</v>
      </c>
      <c r="O3352" s="73">
        <v>0.37</v>
      </c>
      <c r="P3352" s="71" t="s">
        <v>389</v>
      </c>
      <c r="Q3352" s="73">
        <v>62</v>
      </c>
      <c r="R3352" s="71" t="s">
        <v>388</v>
      </c>
      <c r="S3352" s="73">
        <v>0</v>
      </c>
      <c r="T3352" s="71" t="s">
        <v>390</v>
      </c>
      <c r="U3352" s="74">
        <v>1</v>
      </c>
      <c r="V3352" s="71" t="s">
        <v>391</v>
      </c>
      <c r="W3352" s="130">
        <v>46097.584826388891</v>
      </c>
      <c r="X3352" s="72">
        <v>46099.638888888891</v>
      </c>
      <c r="Y3352" s="72">
        <v>46102.996527777781</v>
      </c>
      <c r="Z3352" s="104" t="s">
        <v>402</v>
      </c>
      <c r="AA3352" s="104" t="s">
        <v>403</v>
      </c>
      <c r="AB3352" s="105">
        <v>46099.928472222222</v>
      </c>
      <c r="AC3352" s="105"/>
    </row>
    <row r="3353" s="70" customFormat="1" ht="11.25" customHeight="1">
      <c r="A3353" s="87"/>
      <c r="C3353" s="43" t="s">
        <v>5363</v>
      </c>
      <c r="D3353" s="71" t="s">
        <v>382</v>
      </c>
      <c r="E3353" s="71" t="str">
        <f>MID(D3353,1,2)</f>
        <v>IL</v>
      </c>
      <c r="F3353" s="71" t="s">
        <v>774</v>
      </c>
      <c r="G3353" s="71" t="str">
        <f>MID(F3353,1,2)</f>
        <v>CN</v>
      </c>
      <c r="H3353" s="43" t="s">
        <v>5308</v>
      </c>
      <c r="I3353" s="71" t="s">
        <v>5364</v>
      </c>
      <c r="J3353" s="71" t="s">
        <v>755</v>
      </c>
      <c r="K3353" s="43"/>
      <c r="L3353" s="71" t="s">
        <v>105</v>
      </c>
      <c r="M3353" s="73">
        <v>62</v>
      </c>
      <c r="N3353" s="71" t="s">
        <v>388</v>
      </c>
      <c r="O3353" s="73">
        <v>0.37</v>
      </c>
      <c r="P3353" s="71" t="s">
        <v>389</v>
      </c>
      <c r="Q3353" s="73">
        <v>62</v>
      </c>
      <c r="R3353" s="71" t="s">
        <v>388</v>
      </c>
      <c r="S3353" s="73">
        <v>0</v>
      </c>
      <c r="T3353" s="71" t="s">
        <v>390</v>
      </c>
      <c r="U3353" s="74">
        <v>1</v>
      </c>
      <c r="V3353" s="71" t="s">
        <v>391</v>
      </c>
      <c r="W3353" s="130">
        <v>46097.584826388891</v>
      </c>
      <c r="X3353" s="72">
        <v>46099.638888888891</v>
      </c>
      <c r="Y3353" s="72">
        <v>46102.996527777781</v>
      </c>
      <c r="Z3353" s="104" t="s">
        <v>403</v>
      </c>
      <c r="AA3353" s="104" t="s">
        <v>774</v>
      </c>
      <c r="AB3353" s="105">
        <v>46102.884722222225</v>
      </c>
      <c r="AC3353" s="105">
        <v>46102.984027777777</v>
      </c>
    </row>
    <row r="3354" s="70" customFormat="1" ht="11.25" customHeight="1">
      <c r="A3354" s="87"/>
      <c r="C3354" s="43" t="s">
        <v>5365</v>
      </c>
      <c r="D3354" s="71" t="s">
        <v>382</v>
      </c>
      <c r="E3354" s="71" t="str">
        <f>MID(D3354,1,2)</f>
        <v>IL</v>
      </c>
      <c r="F3354" s="71" t="s">
        <v>546</v>
      </c>
      <c r="G3354" s="71" t="str">
        <f>MID(F3354,1,2)</f>
        <v>GB</v>
      </c>
      <c r="H3354" s="43" t="s">
        <v>5366</v>
      </c>
      <c r="I3354" s="71" t="s">
        <v>5367</v>
      </c>
      <c r="J3354" s="71" t="s">
        <v>426</v>
      </c>
      <c r="K3354" s="43"/>
      <c r="L3354" s="71" t="s">
        <v>105</v>
      </c>
      <c r="M3354" s="73">
        <v>57</v>
      </c>
      <c r="N3354" s="71" t="s">
        <v>388</v>
      </c>
      <c r="O3354" s="73">
        <v>0.759</v>
      </c>
      <c r="P3354" s="71" t="s">
        <v>389</v>
      </c>
      <c r="Q3354" s="73">
        <v>126.5</v>
      </c>
      <c r="R3354" s="71" t="s">
        <v>388</v>
      </c>
      <c r="S3354" s="73">
        <v>0</v>
      </c>
      <c r="T3354" s="71" t="s">
        <v>390</v>
      </c>
      <c r="U3354" s="74">
        <v>1</v>
      </c>
      <c r="V3354" s="71" t="s">
        <v>391</v>
      </c>
      <c r="W3354" s="130">
        <v>46097.49375</v>
      </c>
      <c r="X3354" s="72">
        <v>46101.979166666664</v>
      </c>
      <c r="Y3354" s="72">
        <v>46105.506944444445</v>
      </c>
      <c r="Z3354" s="104" t="s">
        <v>382</v>
      </c>
      <c r="AA3354" s="104" t="s">
        <v>4692</v>
      </c>
      <c r="AB3354" s="105">
        <v>46101.996527777781</v>
      </c>
      <c r="AC3354" s="105">
        <v>46102.125</v>
      </c>
    </row>
    <row r="3355" s="70" customFormat="1" ht="11.25" customHeight="1">
      <c r="A3355" s="87"/>
      <c r="C3355" s="43" t="s">
        <v>5365</v>
      </c>
      <c r="D3355" s="71" t="s">
        <v>382</v>
      </c>
      <c r="E3355" s="71" t="str">
        <f>MID(D3355,1,2)</f>
        <v>IL</v>
      </c>
      <c r="F3355" s="71" t="s">
        <v>546</v>
      </c>
      <c r="G3355" s="71" t="str">
        <f>MID(F3355,1,2)</f>
        <v>GB</v>
      </c>
      <c r="H3355" s="43" t="s">
        <v>5366</v>
      </c>
      <c r="I3355" s="71" t="s">
        <v>5367</v>
      </c>
      <c r="J3355" s="71" t="s">
        <v>426</v>
      </c>
      <c r="K3355" s="43"/>
      <c r="L3355" s="71" t="s">
        <v>105</v>
      </c>
      <c r="M3355" s="73">
        <v>57</v>
      </c>
      <c r="N3355" s="71" t="s">
        <v>388</v>
      </c>
      <c r="O3355" s="73">
        <v>0.759</v>
      </c>
      <c r="P3355" s="71" t="s">
        <v>389</v>
      </c>
      <c r="Q3355" s="73">
        <v>126.5</v>
      </c>
      <c r="R3355" s="71" t="s">
        <v>388</v>
      </c>
      <c r="S3355" s="73">
        <v>0</v>
      </c>
      <c r="T3355" s="71" t="s">
        <v>390</v>
      </c>
      <c r="U3355" s="74">
        <v>1</v>
      </c>
      <c r="V3355" s="71" t="s">
        <v>391</v>
      </c>
      <c r="W3355" s="130">
        <v>46097.49375</v>
      </c>
      <c r="X3355" s="72">
        <v>46101.979166666664</v>
      </c>
      <c r="Y3355" s="72">
        <v>46105.506944444445</v>
      </c>
      <c r="Z3355" s="104" t="s">
        <v>4692</v>
      </c>
      <c r="AA3355" s="104" t="s">
        <v>546</v>
      </c>
      <c r="AB3355" s="105"/>
      <c r="AC3355" s="105"/>
    </row>
    <row r="3356" s="70" customFormat="1" ht="11.25" customHeight="1">
      <c r="A3356" s="87"/>
      <c r="C3356" s="43" t="s">
        <v>5368</v>
      </c>
      <c r="D3356" s="71" t="s">
        <v>382</v>
      </c>
      <c r="E3356" s="71" t="str">
        <f>MID(D3356,1,2)</f>
        <v>IL</v>
      </c>
      <c r="F3356" s="71" t="s">
        <v>2453</v>
      </c>
      <c r="G3356" s="71" t="str">
        <f>MID(F3356,1,2)</f>
        <v>GE</v>
      </c>
      <c r="H3356" s="43" t="s">
        <v>5369</v>
      </c>
      <c r="I3356" s="71" t="s">
        <v>5370</v>
      </c>
      <c r="J3356" s="71" t="s">
        <v>400</v>
      </c>
      <c r="K3356" s="43"/>
      <c r="L3356" s="71" t="s">
        <v>105</v>
      </c>
      <c r="M3356" s="73">
        <v>77</v>
      </c>
      <c r="N3356" s="71" t="s">
        <v>388</v>
      </c>
      <c r="O3356" s="73">
        <v>1.212</v>
      </c>
      <c r="P3356" s="71" t="s">
        <v>389</v>
      </c>
      <c r="Q3356" s="73">
        <v>202</v>
      </c>
      <c r="R3356" s="71" t="s">
        <v>388</v>
      </c>
      <c r="S3356" s="73">
        <v>0</v>
      </c>
      <c r="T3356" s="71" t="s">
        <v>390</v>
      </c>
      <c r="U3356" s="74">
        <v>1</v>
      </c>
      <c r="V3356" s="71" t="s">
        <v>391</v>
      </c>
      <c r="W3356" s="130">
        <v>46097.604861111111</v>
      </c>
      <c r="X3356" s="72">
        <v>46101.979166666664</v>
      </c>
      <c r="Y3356" s="72">
        <v>46105.625</v>
      </c>
      <c r="Z3356" s="104" t="s">
        <v>382</v>
      </c>
      <c r="AA3356" s="104" t="s">
        <v>4692</v>
      </c>
      <c r="AB3356" s="105">
        <v>46101.996527777781</v>
      </c>
      <c r="AC3356" s="105">
        <v>46102.125</v>
      </c>
    </row>
    <row r="3357" s="70" customFormat="1" ht="11.25" customHeight="1">
      <c r="A3357" s="87"/>
      <c r="C3357" s="43" t="s">
        <v>5368</v>
      </c>
      <c r="D3357" s="71" t="s">
        <v>382</v>
      </c>
      <c r="E3357" s="71" t="str">
        <f>MID(D3357,1,2)</f>
        <v>IL</v>
      </c>
      <c r="F3357" s="71" t="s">
        <v>2453</v>
      </c>
      <c r="G3357" s="71" t="str">
        <f>MID(F3357,1,2)</f>
        <v>GE</v>
      </c>
      <c r="H3357" s="43" t="s">
        <v>5369</v>
      </c>
      <c r="I3357" s="71" t="s">
        <v>5370</v>
      </c>
      <c r="J3357" s="71" t="s">
        <v>400</v>
      </c>
      <c r="K3357" s="43"/>
      <c r="L3357" s="71" t="s">
        <v>105</v>
      </c>
      <c r="M3357" s="73">
        <v>77</v>
      </c>
      <c r="N3357" s="71" t="s">
        <v>388</v>
      </c>
      <c r="O3357" s="73">
        <v>1.212</v>
      </c>
      <c r="P3357" s="71" t="s">
        <v>389</v>
      </c>
      <c r="Q3357" s="73">
        <v>202</v>
      </c>
      <c r="R3357" s="71" t="s">
        <v>388</v>
      </c>
      <c r="S3357" s="73">
        <v>0</v>
      </c>
      <c r="T3357" s="71" t="s">
        <v>390</v>
      </c>
      <c r="U3357" s="74">
        <v>1</v>
      </c>
      <c r="V3357" s="71" t="s">
        <v>391</v>
      </c>
      <c r="W3357" s="130">
        <v>46097.604861111111</v>
      </c>
      <c r="X3357" s="72">
        <v>46101.979166666664</v>
      </c>
      <c r="Y3357" s="72">
        <v>46105.625</v>
      </c>
      <c r="Z3357" s="104" t="s">
        <v>4692</v>
      </c>
      <c r="AA3357" s="104" t="s">
        <v>465</v>
      </c>
      <c r="AB3357" s="105"/>
      <c r="AC3357" s="105"/>
    </row>
    <row r="3358" s="70" customFormat="1" ht="11.25" customHeight="1">
      <c r="A3358" s="87"/>
      <c r="C3358" s="43" t="s">
        <v>5368</v>
      </c>
      <c r="D3358" s="71" t="s">
        <v>382</v>
      </c>
      <c r="E3358" s="71" t="str">
        <f>MID(D3358,1,2)</f>
        <v>IL</v>
      </c>
      <c r="F3358" s="71" t="s">
        <v>2453</v>
      </c>
      <c r="G3358" s="71" t="str">
        <f>MID(F3358,1,2)</f>
        <v>GE</v>
      </c>
      <c r="H3358" s="43" t="s">
        <v>5369</v>
      </c>
      <c r="I3358" s="71" t="s">
        <v>5370</v>
      </c>
      <c r="J3358" s="71" t="s">
        <v>400</v>
      </c>
      <c r="K3358" s="43"/>
      <c r="L3358" s="71" t="s">
        <v>105</v>
      </c>
      <c r="M3358" s="73">
        <v>77</v>
      </c>
      <c r="N3358" s="71" t="s">
        <v>388</v>
      </c>
      <c r="O3358" s="73">
        <v>1.212</v>
      </c>
      <c r="P3358" s="71" t="s">
        <v>389</v>
      </c>
      <c r="Q3358" s="73">
        <v>202</v>
      </c>
      <c r="R3358" s="71" t="s">
        <v>388</v>
      </c>
      <c r="S3358" s="73">
        <v>0</v>
      </c>
      <c r="T3358" s="71" t="s">
        <v>390</v>
      </c>
      <c r="U3358" s="74">
        <v>1</v>
      </c>
      <c r="V3358" s="71" t="s">
        <v>391</v>
      </c>
      <c r="W3358" s="130">
        <v>46097.604861111111</v>
      </c>
      <c r="X3358" s="72">
        <v>46101.979166666664</v>
      </c>
      <c r="Y3358" s="72">
        <v>46105.625</v>
      </c>
      <c r="Z3358" s="104" t="s">
        <v>465</v>
      </c>
      <c r="AA3358" s="104" t="s">
        <v>2453</v>
      </c>
      <c r="AB3358" s="105"/>
      <c r="AC3358" s="105"/>
    </row>
    <row r="3359" s="70" customFormat="1" ht="11.25" customHeight="1">
      <c r="A3359" s="87"/>
      <c r="C3359" s="43" t="s">
        <v>5371</v>
      </c>
      <c r="D3359" s="71" t="s">
        <v>382</v>
      </c>
      <c r="E3359" s="71" t="str">
        <f>MID(D3359,1,2)</f>
        <v>IL</v>
      </c>
      <c r="F3359" s="71" t="s">
        <v>480</v>
      </c>
      <c r="G3359" s="71" t="str">
        <f>MID(F3359,1,2)</f>
        <v>CA</v>
      </c>
      <c r="H3359" s="43" t="s">
        <v>5280</v>
      </c>
      <c r="I3359" s="71" t="s">
        <v>5372</v>
      </c>
      <c r="J3359" s="71" t="s">
        <v>386</v>
      </c>
      <c r="K3359" s="43"/>
      <c r="L3359" s="71" t="s">
        <v>107</v>
      </c>
      <c r="M3359" s="73">
        <v>2526</v>
      </c>
      <c r="N3359" s="71" t="s">
        <v>388</v>
      </c>
      <c r="O3359" s="73">
        <v>2.541</v>
      </c>
      <c r="P3359" s="71" t="s">
        <v>389</v>
      </c>
      <c r="Q3359" s="73">
        <v>2526</v>
      </c>
      <c r="R3359" s="71" t="s">
        <v>388</v>
      </c>
      <c r="S3359" s="73">
        <v>0</v>
      </c>
      <c r="T3359" s="71" t="s">
        <v>390</v>
      </c>
      <c r="U3359" s="74">
        <v>6</v>
      </c>
      <c r="V3359" s="71" t="s">
        <v>417</v>
      </c>
      <c r="W3359" s="130">
        <v>46097.736805555556</v>
      </c>
      <c r="X3359" s="72">
        <v>46099.593055555553</v>
      </c>
      <c r="Y3359" s="72">
        <v>46108.958333333336</v>
      </c>
      <c r="Z3359" s="104" t="s">
        <v>382</v>
      </c>
      <c r="AA3359" s="104" t="s">
        <v>408</v>
      </c>
      <c r="AB3359" s="105">
        <v>46100.595138888886</v>
      </c>
      <c r="AC3359" s="105">
        <v>46101.2625</v>
      </c>
    </row>
    <row r="3360" s="70" customFormat="1" ht="11.25" customHeight="1">
      <c r="A3360" s="87"/>
      <c r="C3360" s="43" t="s">
        <v>5371</v>
      </c>
      <c r="D3360" s="71" t="s">
        <v>382</v>
      </c>
      <c r="E3360" s="71" t="str">
        <f>MID(D3360,1,2)</f>
        <v>IL</v>
      </c>
      <c r="F3360" s="71" t="s">
        <v>480</v>
      </c>
      <c r="G3360" s="71" t="str">
        <f>MID(F3360,1,2)</f>
        <v>CA</v>
      </c>
      <c r="H3360" s="43" t="s">
        <v>5280</v>
      </c>
      <c r="I3360" s="71" t="s">
        <v>5372</v>
      </c>
      <c r="J3360" s="71" t="s">
        <v>386</v>
      </c>
      <c r="K3360" s="43"/>
      <c r="L3360" s="71" t="s">
        <v>107</v>
      </c>
      <c r="M3360" s="73">
        <v>2526</v>
      </c>
      <c r="N3360" s="71" t="s">
        <v>388</v>
      </c>
      <c r="O3360" s="73">
        <v>2.541</v>
      </c>
      <c r="P3360" s="71" t="s">
        <v>389</v>
      </c>
      <c r="Q3360" s="73">
        <v>2526</v>
      </c>
      <c r="R3360" s="71" t="s">
        <v>388</v>
      </c>
      <c r="S3360" s="73">
        <v>0</v>
      </c>
      <c r="T3360" s="71" t="s">
        <v>390</v>
      </c>
      <c r="U3360" s="74">
        <v>6</v>
      </c>
      <c r="V3360" s="71" t="s">
        <v>417</v>
      </c>
      <c r="W3360" s="130">
        <v>46097.736805555556</v>
      </c>
      <c r="X3360" s="72">
        <v>46099.593055555553</v>
      </c>
      <c r="Y3360" s="72">
        <v>46108.958333333336</v>
      </c>
      <c r="Z3360" s="104" t="s">
        <v>408</v>
      </c>
      <c r="AA3360" s="104" t="s">
        <v>480</v>
      </c>
      <c r="AB3360" s="105"/>
      <c r="AC3360" s="105"/>
    </row>
    <row r="3361" s="70" customFormat="1" ht="11.25" customHeight="1">
      <c r="A3361" s="87"/>
      <c r="C3361" s="43" t="s">
        <v>5373</v>
      </c>
      <c r="D3361" s="71" t="s">
        <v>382</v>
      </c>
      <c r="E3361" s="71" t="str">
        <f>MID(D3361,1,2)</f>
        <v>IL</v>
      </c>
      <c r="F3361" s="71" t="s">
        <v>597</v>
      </c>
      <c r="G3361" s="71" t="str">
        <f>MID(F3361,1,2)</f>
        <v>NL</v>
      </c>
      <c r="H3361" s="43" t="s">
        <v>5374</v>
      </c>
      <c r="I3361" s="71" t="s">
        <v>5375</v>
      </c>
      <c r="J3361" s="71" t="s">
        <v>400</v>
      </c>
      <c r="K3361" s="43"/>
      <c r="L3361" s="71" t="s">
        <v>105</v>
      </c>
      <c r="M3361" s="73">
        <v>389</v>
      </c>
      <c r="N3361" s="71" t="s">
        <v>388</v>
      </c>
      <c r="O3361" s="73">
        <v>2.613</v>
      </c>
      <c r="P3361" s="71" t="s">
        <v>389</v>
      </c>
      <c r="Q3361" s="73">
        <v>435.5</v>
      </c>
      <c r="R3361" s="71" t="s">
        <v>388</v>
      </c>
      <c r="S3361" s="73">
        <v>0</v>
      </c>
      <c r="T3361" s="71" t="s">
        <v>390</v>
      </c>
      <c r="U3361" s="74">
        <v>1</v>
      </c>
      <c r="V3361" s="71" t="s">
        <v>391</v>
      </c>
      <c r="W3361" s="130">
        <v>46098.6875</v>
      </c>
      <c r="X3361" s="72">
        <v>46103.645833333336</v>
      </c>
      <c r="Y3361" s="72">
        <v>46105.875</v>
      </c>
      <c r="Z3361" s="104" t="s">
        <v>382</v>
      </c>
      <c r="AA3361" s="104" t="s">
        <v>4692</v>
      </c>
      <c r="AB3361" s="105"/>
      <c r="AC3361" s="105"/>
    </row>
    <row r="3362" s="70" customFormat="1" ht="11.25" customHeight="1">
      <c r="A3362" s="87"/>
      <c r="C3362" s="43" t="s">
        <v>5373</v>
      </c>
      <c r="D3362" s="71" t="s">
        <v>382</v>
      </c>
      <c r="E3362" s="71" t="str">
        <f>MID(D3362,1,2)</f>
        <v>IL</v>
      </c>
      <c r="F3362" s="71" t="s">
        <v>597</v>
      </c>
      <c r="G3362" s="71" t="str">
        <f>MID(F3362,1,2)</f>
        <v>NL</v>
      </c>
      <c r="H3362" s="43" t="s">
        <v>5374</v>
      </c>
      <c r="I3362" s="71" t="s">
        <v>5375</v>
      </c>
      <c r="J3362" s="71" t="s">
        <v>400</v>
      </c>
      <c r="K3362" s="43"/>
      <c r="L3362" s="71" t="s">
        <v>105</v>
      </c>
      <c r="M3362" s="73">
        <v>389</v>
      </c>
      <c r="N3362" s="71" t="s">
        <v>388</v>
      </c>
      <c r="O3362" s="73">
        <v>2.613</v>
      </c>
      <c r="P3362" s="71" t="s">
        <v>389</v>
      </c>
      <c r="Q3362" s="73">
        <v>435.5</v>
      </c>
      <c r="R3362" s="71" t="s">
        <v>388</v>
      </c>
      <c r="S3362" s="73">
        <v>0</v>
      </c>
      <c r="T3362" s="71" t="s">
        <v>390</v>
      </c>
      <c r="U3362" s="74">
        <v>1</v>
      </c>
      <c r="V3362" s="71" t="s">
        <v>391</v>
      </c>
      <c r="W3362" s="130">
        <v>46098.6875</v>
      </c>
      <c r="X3362" s="72">
        <v>46103.645833333336</v>
      </c>
      <c r="Y3362" s="72">
        <v>46105.875</v>
      </c>
      <c r="Z3362" s="104" t="s">
        <v>4692</v>
      </c>
      <c r="AA3362" s="104" t="s">
        <v>597</v>
      </c>
      <c r="AB3362" s="105"/>
      <c r="AC3362" s="105"/>
    </row>
    <row r="3363" s="70" customFormat="1" ht="11.25" customHeight="1">
      <c r="A3363" s="87"/>
      <c r="C3363" s="43" t="s">
        <v>5376</v>
      </c>
      <c r="D3363" s="71" t="s">
        <v>382</v>
      </c>
      <c r="E3363" s="71" t="str">
        <f>MID(D3363,1,2)</f>
        <v>IL</v>
      </c>
      <c r="F3363" s="71" t="s">
        <v>408</v>
      </c>
      <c r="G3363" s="71" t="str">
        <f>MID(F3363,1,2)</f>
        <v>GR</v>
      </c>
      <c r="H3363" s="43" t="s">
        <v>5267</v>
      </c>
      <c r="I3363" s="71" t="s">
        <v>5377</v>
      </c>
      <c r="J3363" s="71" t="s">
        <v>400</v>
      </c>
      <c r="K3363" s="43"/>
      <c r="L3363" s="71" t="s">
        <v>105</v>
      </c>
      <c r="M3363" s="73">
        <v>9</v>
      </c>
      <c r="N3363" s="71" t="s">
        <v>388</v>
      </c>
      <c r="O3363" s="73">
        <v>0.092</v>
      </c>
      <c r="P3363" s="71" t="s">
        <v>389</v>
      </c>
      <c r="Q3363" s="73">
        <v>15.5</v>
      </c>
      <c r="R3363" s="71" t="s">
        <v>388</v>
      </c>
      <c r="S3363" s="73">
        <v>0</v>
      </c>
      <c r="T3363" s="71" t="s">
        <v>390</v>
      </c>
      <c r="U3363" s="74">
        <v>1</v>
      </c>
      <c r="V3363" s="71" t="s">
        <v>391</v>
      </c>
      <c r="W3363" s="130">
        <v>46097.507638888892</v>
      </c>
      <c r="X3363" s="72">
        <v>46100</v>
      </c>
      <c r="Y3363" s="72">
        <v>46104.034722222219</v>
      </c>
      <c r="Z3363" s="104" t="s">
        <v>382</v>
      </c>
      <c r="AA3363" s="104" t="s">
        <v>408</v>
      </c>
      <c r="AB3363" s="105">
        <v>46101.465277777781</v>
      </c>
      <c r="AC3363" s="105"/>
    </row>
    <row r="3364" s="70" customFormat="1" ht="11.25" customHeight="1">
      <c r="A3364" s="87"/>
      <c r="C3364" s="43" t="s">
        <v>5378</v>
      </c>
      <c r="D3364" s="71" t="s">
        <v>382</v>
      </c>
      <c r="E3364" s="71" t="str">
        <f>MID(D3364,1,2)</f>
        <v>IL</v>
      </c>
      <c r="F3364" s="71" t="s">
        <v>476</v>
      </c>
      <c r="G3364" s="71" t="str">
        <f>MID(F3364,1,2)</f>
        <v>SG</v>
      </c>
      <c r="H3364" s="43" t="s">
        <v>5379</v>
      </c>
      <c r="I3364" s="71" t="s">
        <v>5380</v>
      </c>
      <c r="J3364" s="71" t="s">
        <v>426</v>
      </c>
      <c r="K3364" s="43"/>
      <c r="L3364" s="71" t="s">
        <v>105</v>
      </c>
      <c r="M3364" s="73">
        <v>130</v>
      </c>
      <c r="N3364" s="71" t="s">
        <v>388</v>
      </c>
      <c r="O3364" s="73">
        <v>0.516</v>
      </c>
      <c r="P3364" s="71" t="s">
        <v>389</v>
      </c>
      <c r="Q3364" s="73">
        <v>264.5</v>
      </c>
      <c r="R3364" s="71" t="s">
        <v>388</v>
      </c>
      <c r="S3364" s="73">
        <v>0</v>
      </c>
      <c r="T3364" s="71" t="s">
        <v>390</v>
      </c>
      <c r="U3364" s="74">
        <v>1</v>
      </c>
      <c r="V3364" s="71" t="s">
        <v>391</v>
      </c>
      <c r="W3364" s="130">
        <v>46098.227164351854</v>
      </c>
      <c r="X3364" s="72">
        <v>46098.861111111109</v>
      </c>
      <c r="Y3364" s="72">
        <v>46103.65625</v>
      </c>
      <c r="Z3364" s="104" t="s">
        <v>382</v>
      </c>
      <c r="AA3364" s="104" t="s">
        <v>402</v>
      </c>
      <c r="AB3364" s="105">
        <v>46099.759027777778</v>
      </c>
      <c r="AC3364" s="105"/>
    </row>
    <row r="3365" s="70" customFormat="1" ht="11.25" customHeight="1">
      <c r="A3365" s="87"/>
      <c r="C3365" s="43" t="s">
        <v>5378</v>
      </c>
      <c r="D3365" s="71" t="s">
        <v>382</v>
      </c>
      <c r="E3365" s="71" t="str">
        <f>MID(D3365,1,2)</f>
        <v>IL</v>
      </c>
      <c r="F3365" s="71" t="s">
        <v>476</v>
      </c>
      <c r="G3365" s="71" t="str">
        <f>MID(F3365,1,2)</f>
        <v>SG</v>
      </c>
      <c r="H3365" s="43" t="s">
        <v>5379</v>
      </c>
      <c r="I3365" s="71" t="s">
        <v>5380</v>
      </c>
      <c r="J3365" s="71" t="s">
        <v>426</v>
      </c>
      <c r="K3365" s="43"/>
      <c r="L3365" s="71" t="s">
        <v>105</v>
      </c>
      <c r="M3365" s="73">
        <v>130</v>
      </c>
      <c r="N3365" s="71" t="s">
        <v>388</v>
      </c>
      <c r="O3365" s="73">
        <v>0.516</v>
      </c>
      <c r="P3365" s="71" t="s">
        <v>389</v>
      </c>
      <c r="Q3365" s="73">
        <v>264.5</v>
      </c>
      <c r="R3365" s="71" t="s">
        <v>388</v>
      </c>
      <c r="S3365" s="73">
        <v>0</v>
      </c>
      <c r="T3365" s="71" t="s">
        <v>390</v>
      </c>
      <c r="U3365" s="74">
        <v>1</v>
      </c>
      <c r="V3365" s="71" t="s">
        <v>391</v>
      </c>
      <c r="W3365" s="130">
        <v>46098.227164351854</v>
      </c>
      <c r="X3365" s="72">
        <v>46098.861111111109</v>
      </c>
      <c r="Y3365" s="72">
        <v>46103.65625</v>
      </c>
      <c r="Z3365" s="104" t="s">
        <v>402</v>
      </c>
      <c r="AA3365" s="104" t="s">
        <v>403</v>
      </c>
      <c r="AB3365" s="105">
        <v>46099.925694444442</v>
      </c>
      <c r="AC3365" s="105"/>
    </row>
    <row r="3366" s="70" customFormat="1" ht="11.25" customHeight="1">
      <c r="A3366" s="87"/>
      <c r="C3366" s="43" t="s">
        <v>5378</v>
      </c>
      <c r="D3366" s="71" t="s">
        <v>382</v>
      </c>
      <c r="E3366" s="71" t="str">
        <f>MID(D3366,1,2)</f>
        <v>IL</v>
      </c>
      <c r="F3366" s="71" t="s">
        <v>476</v>
      </c>
      <c r="G3366" s="71" t="str">
        <f>MID(F3366,1,2)</f>
        <v>SG</v>
      </c>
      <c r="H3366" s="43" t="s">
        <v>5379</v>
      </c>
      <c r="I3366" s="71" t="s">
        <v>5380</v>
      </c>
      <c r="J3366" s="71" t="s">
        <v>426</v>
      </c>
      <c r="K3366" s="43"/>
      <c r="L3366" s="71" t="s">
        <v>105</v>
      </c>
      <c r="M3366" s="73">
        <v>130</v>
      </c>
      <c r="N3366" s="71" t="s">
        <v>388</v>
      </c>
      <c r="O3366" s="73">
        <v>0.516</v>
      </c>
      <c r="P3366" s="71" t="s">
        <v>389</v>
      </c>
      <c r="Q3366" s="73">
        <v>264.5</v>
      </c>
      <c r="R3366" s="71" t="s">
        <v>388</v>
      </c>
      <c r="S3366" s="73">
        <v>0</v>
      </c>
      <c r="T3366" s="71" t="s">
        <v>390</v>
      </c>
      <c r="U3366" s="74">
        <v>1</v>
      </c>
      <c r="V3366" s="71" t="s">
        <v>391</v>
      </c>
      <c r="W3366" s="130">
        <v>46098.227164351854</v>
      </c>
      <c r="X3366" s="72">
        <v>46098.861111111109</v>
      </c>
      <c r="Y3366" s="72">
        <v>46103.65625</v>
      </c>
      <c r="Z3366" s="104" t="s">
        <v>403</v>
      </c>
      <c r="AA3366" s="104" t="s">
        <v>476</v>
      </c>
      <c r="AB3366" s="105"/>
      <c r="AC3366" s="105"/>
    </row>
    <row r="3367" s="70" customFormat="1" ht="11.25" customHeight="1">
      <c r="A3367" s="87"/>
      <c r="C3367" s="43" t="s">
        <v>5381</v>
      </c>
      <c r="D3367" s="71" t="s">
        <v>382</v>
      </c>
      <c r="E3367" s="71" t="str">
        <f>MID(D3367,1,2)</f>
        <v>IL</v>
      </c>
      <c r="F3367" s="71" t="s">
        <v>419</v>
      </c>
      <c r="G3367" s="71" t="str">
        <f>MID(F3367,1,2)</f>
        <v>US</v>
      </c>
      <c r="H3367" s="43" t="s">
        <v>5382</v>
      </c>
      <c r="I3367" s="71" t="s">
        <v>5383</v>
      </c>
      <c r="J3367" s="71" t="s">
        <v>426</v>
      </c>
      <c r="K3367" s="43"/>
      <c r="L3367" s="71" t="s">
        <v>105</v>
      </c>
      <c r="M3367" s="73">
        <v>1810</v>
      </c>
      <c r="N3367" s="71" t="s">
        <v>388</v>
      </c>
      <c r="O3367" s="73">
        <v>10.62</v>
      </c>
      <c r="P3367" s="71" t="s">
        <v>389</v>
      </c>
      <c r="Q3367" s="73">
        <v>1810</v>
      </c>
      <c r="R3367" s="71" t="s">
        <v>388</v>
      </c>
      <c r="S3367" s="73">
        <v>0</v>
      </c>
      <c r="T3367" s="71" t="s">
        <v>390</v>
      </c>
      <c r="U3367" s="74">
        <v>9</v>
      </c>
      <c r="V3367" s="71" t="s">
        <v>391</v>
      </c>
      <c r="W3367" s="130">
        <v>46099.405034722222</v>
      </c>
      <c r="X3367" s="72">
        <v>46099.515277777777</v>
      </c>
      <c r="Y3367" s="72">
        <v>46105.5</v>
      </c>
      <c r="Z3367" s="104" t="s">
        <v>382</v>
      </c>
      <c r="AA3367" s="104" t="s">
        <v>471</v>
      </c>
      <c r="AB3367" s="105">
        <v>46100.75</v>
      </c>
      <c r="AC3367" s="105"/>
    </row>
    <row r="3368" s="70" customFormat="1" ht="11.25" customHeight="1">
      <c r="A3368" s="87"/>
      <c r="C3368" s="43" t="s">
        <v>5381</v>
      </c>
      <c r="D3368" s="71" t="s">
        <v>382</v>
      </c>
      <c r="E3368" s="71" t="str">
        <f>MID(D3368,1,2)</f>
        <v>IL</v>
      </c>
      <c r="F3368" s="71" t="s">
        <v>419</v>
      </c>
      <c r="G3368" s="71" t="str">
        <f>MID(F3368,1,2)</f>
        <v>US</v>
      </c>
      <c r="H3368" s="43" t="s">
        <v>5382</v>
      </c>
      <c r="I3368" s="71" t="s">
        <v>5383</v>
      </c>
      <c r="J3368" s="71" t="s">
        <v>426</v>
      </c>
      <c r="K3368" s="43"/>
      <c r="L3368" s="71" t="s">
        <v>105</v>
      </c>
      <c r="M3368" s="73">
        <v>1810</v>
      </c>
      <c r="N3368" s="71" t="s">
        <v>388</v>
      </c>
      <c r="O3368" s="73">
        <v>10.62</v>
      </c>
      <c r="P3368" s="71" t="s">
        <v>389</v>
      </c>
      <c r="Q3368" s="73">
        <v>1810</v>
      </c>
      <c r="R3368" s="71" t="s">
        <v>388</v>
      </c>
      <c r="S3368" s="73">
        <v>0</v>
      </c>
      <c r="T3368" s="71" t="s">
        <v>390</v>
      </c>
      <c r="U3368" s="74">
        <v>9</v>
      </c>
      <c r="V3368" s="71" t="s">
        <v>391</v>
      </c>
      <c r="W3368" s="130">
        <v>46099.405034722222</v>
      </c>
      <c r="X3368" s="72">
        <v>46099.515277777777</v>
      </c>
      <c r="Y3368" s="72">
        <v>46105.5</v>
      </c>
      <c r="Z3368" s="104" t="s">
        <v>471</v>
      </c>
      <c r="AA3368" s="104" t="s">
        <v>419</v>
      </c>
      <c r="AB3368" s="105"/>
      <c r="AC3368" s="105"/>
    </row>
    <row r="3369" s="70" customFormat="1" ht="11.25" customHeight="1">
      <c r="A3369" s="87"/>
      <c r="C3369" s="43" t="s">
        <v>5384</v>
      </c>
      <c r="D3369" s="71" t="s">
        <v>382</v>
      </c>
      <c r="E3369" s="71" t="str">
        <f>MID(D3369,1,2)</f>
        <v>IL</v>
      </c>
      <c r="F3369" s="71" t="s">
        <v>419</v>
      </c>
      <c r="G3369" s="71" t="str">
        <f>MID(F3369,1,2)</f>
        <v>US</v>
      </c>
      <c r="H3369" s="43" t="s">
        <v>5382</v>
      </c>
      <c r="I3369" s="71" t="s">
        <v>5385</v>
      </c>
      <c r="J3369" s="71" t="s">
        <v>426</v>
      </c>
      <c r="K3369" s="43"/>
      <c r="L3369" s="71" t="s">
        <v>105</v>
      </c>
      <c r="M3369" s="73">
        <v>2738</v>
      </c>
      <c r="N3369" s="71" t="s">
        <v>388</v>
      </c>
      <c r="O3369" s="73">
        <v>11.94</v>
      </c>
      <c r="P3369" s="71" t="s">
        <v>389</v>
      </c>
      <c r="Q3369" s="73">
        <v>2738</v>
      </c>
      <c r="R3369" s="71" t="s">
        <v>388</v>
      </c>
      <c r="S3369" s="73">
        <v>0</v>
      </c>
      <c r="T3369" s="71" t="s">
        <v>390</v>
      </c>
      <c r="U3369" s="74">
        <v>9</v>
      </c>
      <c r="V3369" s="71" t="s">
        <v>391</v>
      </c>
      <c r="W3369" s="130">
        <v>46099.405115740738</v>
      </c>
      <c r="X3369" s="72">
        <v>46100.333333333336</v>
      </c>
      <c r="Y3369" s="72">
        <v>46105.5</v>
      </c>
      <c r="Z3369" s="104" t="s">
        <v>382</v>
      </c>
      <c r="AA3369" s="104" t="s">
        <v>471</v>
      </c>
      <c r="AB3369" s="105">
        <v>46100.75</v>
      </c>
      <c r="AC3369" s="105"/>
    </row>
    <row r="3370" s="70" customFormat="1" ht="11.25" customHeight="1">
      <c r="A3370" s="87"/>
      <c r="C3370" s="43" t="s">
        <v>5384</v>
      </c>
      <c r="D3370" s="71" t="s">
        <v>382</v>
      </c>
      <c r="E3370" s="71" t="str">
        <f>MID(D3370,1,2)</f>
        <v>IL</v>
      </c>
      <c r="F3370" s="71" t="s">
        <v>419</v>
      </c>
      <c r="G3370" s="71" t="str">
        <f>MID(F3370,1,2)</f>
        <v>US</v>
      </c>
      <c r="H3370" s="43" t="s">
        <v>5382</v>
      </c>
      <c r="I3370" s="71" t="s">
        <v>5385</v>
      </c>
      <c r="J3370" s="71" t="s">
        <v>426</v>
      </c>
      <c r="K3370" s="43"/>
      <c r="L3370" s="71" t="s">
        <v>105</v>
      </c>
      <c r="M3370" s="73">
        <v>2738</v>
      </c>
      <c r="N3370" s="71" t="s">
        <v>388</v>
      </c>
      <c r="O3370" s="73">
        <v>11.94</v>
      </c>
      <c r="P3370" s="71" t="s">
        <v>389</v>
      </c>
      <c r="Q3370" s="73">
        <v>2738</v>
      </c>
      <c r="R3370" s="71" t="s">
        <v>388</v>
      </c>
      <c r="S3370" s="73">
        <v>0</v>
      </c>
      <c r="T3370" s="71" t="s">
        <v>390</v>
      </c>
      <c r="U3370" s="74">
        <v>9</v>
      </c>
      <c r="V3370" s="71" t="s">
        <v>391</v>
      </c>
      <c r="W3370" s="130">
        <v>46099.405115740738</v>
      </c>
      <c r="X3370" s="72">
        <v>46100.333333333336</v>
      </c>
      <c r="Y3370" s="72">
        <v>46105.5</v>
      </c>
      <c r="Z3370" s="104" t="s">
        <v>471</v>
      </c>
      <c r="AA3370" s="104" t="s">
        <v>419</v>
      </c>
      <c r="AB3370" s="105"/>
      <c r="AC3370" s="105"/>
    </row>
    <row r="3371" s="70" customFormat="1" ht="11.25" customHeight="1">
      <c r="A3371" s="87"/>
      <c r="C3371" s="43" t="s">
        <v>5386</v>
      </c>
      <c r="D3371" s="71" t="s">
        <v>382</v>
      </c>
      <c r="E3371" s="71" t="str">
        <f>MID(D3371,1,2)</f>
        <v>IL</v>
      </c>
      <c r="F3371" s="71" t="s">
        <v>419</v>
      </c>
      <c r="G3371" s="71" t="str">
        <f>MID(F3371,1,2)</f>
        <v>US</v>
      </c>
      <c r="H3371" s="43" t="s">
        <v>5387</v>
      </c>
      <c r="I3371" s="71" t="s">
        <v>5388</v>
      </c>
      <c r="J3371" s="71" t="s">
        <v>426</v>
      </c>
      <c r="K3371" s="43"/>
      <c r="L3371" s="71" t="s">
        <v>105</v>
      </c>
      <c r="M3371" s="73">
        <v>5676</v>
      </c>
      <c r="N3371" s="71" t="s">
        <v>388</v>
      </c>
      <c r="O3371" s="73">
        <v>31.38</v>
      </c>
      <c r="P3371" s="71" t="s">
        <v>389</v>
      </c>
      <c r="Q3371" s="73">
        <v>5676</v>
      </c>
      <c r="R3371" s="71" t="s">
        <v>388</v>
      </c>
      <c r="S3371" s="73">
        <v>0</v>
      </c>
      <c r="T3371" s="71" t="s">
        <v>390</v>
      </c>
      <c r="U3371" s="74">
        <v>23</v>
      </c>
      <c r="V3371" s="71" t="s">
        <v>391</v>
      </c>
      <c r="W3371" s="130">
        <v>46099.375694444447</v>
      </c>
      <c r="X3371" s="72">
        <v>46100.333333333336</v>
      </c>
      <c r="Y3371" s="72">
        <v>46105.5</v>
      </c>
      <c r="Z3371" s="104" t="s">
        <v>382</v>
      </c>
      <c r="AA3371" s="104" t="s">
        <v>471</v>
      </c>
      <c r="AB3371" s="105">
        <v>46100.75</v>
      </c>
      <c r="AC3371" s="105"/>
    </row>
    <row r="3372" s="70" customFormat="1" ht="11.25" customHeight="1">
      <c r="A3372" s="87"/>
      <c r="C3372" s="43" t="s">
        <v>5386</v>
      </c>
      <c r="D3372" s="71" t="s">
        <v>382</v>
      </c>
      <c r="E3372" s="71" t="str">
        <f>MID(D3372,1,2)</f>
        <v>IL</v>
      </c>
      <c r="F3372" s="71" t="s">
        <v>419</v>
      </c>
      <c r="G3372" s="71" t="str">
        <f>MID(F3372,1,2)</f>
        <v>US</v>
      </c>
      <c r="H3372" s="43" t="s">
        <v>5387</v>
      </c>
      <c r="I3372" s="71" t="s">
        <v>5388</v>
      </c>
      <c r="J3372" s="71" t="s">
        <v>426</v>
      </c>
      <c r="K3372" s="43"/>
      <c r="L3372" s="71" t="s">
        <v>105</v>
      </c>
      <c r="M3372" s="73">
        <v>5676</v>
      </c>
      <c r="N3372" s="71" t="s">
        <v>388</v>
      </c>
      <c r="O3372" s="73">
        <v>31.38</v>
      </c>
      <c r="P3372" s="71" t="s">
        <v>389</v>
      </c>
      <c r="Q3372" s="73">
        <v>5676</v>
      </c>
      <c r="R3372" s="71" t="s">
        <v>388</v>
      </c>
      <c r="S3372" s="73">
        <v>0</v>
      </c>
      <c r="T3372" s="71" t="s">
        <v>390</v>
      </c>
      <c r="U3372" s="74">
        <v>23</v>
      </c>
      <c r="V3372" s="71" t="s">
        <v>391</v>
      </c>
      <c r="W3372" s="130">
        <v>46099.375694444447</v>
      </c>
      <c r="X3372" s="72">
        <v>46100.333333333336</v>
      </c>
      <c r="Y3372" s="72">
        <v>46105.5</v>
      </c>
      <c r="Z3372" s="104" t="s">
        <v>471</v>
      </c>
      <c r="AA3372" s="104" t="s">
        <v>419</v>
      </c>
      <c r="AB3372" s="105"/>
      <c r="AC3372" s="105"/>
    </row>
    <row r="3373" s="70" customFormat="1" ht="11.25" customHeight="1">
      <c r="A3373" s="87"/>
      <c r="C3373" s="43" t="s">
        <v>5389</v>
      </c>
      <c r="D3373" s="71" t="s">
        <v>382</v>
      </c>
      <c r="E3373" s="71" t="str">
        <f>MID(D3373,1,2)</f>
        <v>IL</v>
      </c>
      <c r="F3373" s="71" t="s">
        <v>408</v>
      </c>
      <c r="G3373" s="71" t="str">
        <f>MID(F3373,1,2)</f>
        <v>GR</v>
      </c>
      <c r="H3373" s="43" t="s">
        <v>5267</v>
      </c>
      <c r="I3373" s="71" t="s">
        <v>5390</v>
      </c>
      <c r="J3373" s="71" t="s">
        <v>400</v>
      </c>
      <c r="K3373" s="43"/>
      <c r="L3373" s="71" t="s">
        <v>105</v>
      </c>
      <c r="M3373" s="73">
        <v>8</v>
      </c>
      <c r="N3373" s="71" t="s">
        <v>388</v>
      </c>
      <c r="O3373" s="73">
        <v>0.036</v>
      </c>
      <c r="P3373" s="71" t="s">
        <v>389</v>
      </c>
      <c r="Q3373" s="73">
        <v>8</v>
      </c>
      <c r="R3373" s="71" t="s">
        <v>388</v>
      </c>
      <c r="S3373" s="73">
        <v>0</v>
      </c>
      <c r="T3373" s="71" t="s">
        <v>390</v>
      </c>
      <c r="U3373" s="74">
        <v>1</v>
      </c>
      <c r="V3373" s="71" t="s">
        <v>391</v>
      </c>
      <c r="W3373" s="130">
        <v>46097.534722222219</v>
      </c>
      <c r="X3373" s="72">
        <v>46100</v>
      </c>
      <c r="Y3373" s="72">
        <v>46104.034722222219</v>
      </c>
      <c r="Z3373" s="104" t="s">
        <v>382</v>
      </c>
      <c r="AA3373" s="104" t="s">
        <v>408</v>
      </c>
      <c r="AB3373" s="105">
        <v>46101.465277777781</v>
      </c>
      <c r="AC3373" s="105"/>
    </row>
    <row r="3374" s="70" customFormat="1" ht="11.25" customHeight="1">
      <c r="A3374" s="87"/>
      <c r="C3374" s="43" t="s">
        <v>5391</v>
      </c>
      <c r="D3374" s="71" t="s">
        <v>382</v>
      </c>
      <c r="E3374" s="71" t="str">
        <f>MID(D3374,1,2)</f>
        <v>IL</v>
      </c>
      <c r="F3374" s="71" t="s">
        <v>414</v>
      </c>
      <c r="G3374" s="71" t="str">
        <f>MID(F3374,1,2)</f>
        <v>US</v>
      </c>
      <c r="H3374" s="43" t="s">
        <v>5126</v>
      </c>
      <c r="I3374" s="71" t="s">
        <v>5392</v>
      </c>
      <c r="J3374" s="71" t="s">
        <v>386</v>
      </c>
      <c r="K3374" s="43"/>
      <c r="L3374" s="71" t="s">
        <v>107</v>
      </c>
      <c r="M3374" s="73">
        <v>3</v>
      </c>
      <c r="N3374" s="71" t="s">
        <v>388</v>
      </c>
      <c r="O3374" s="73">
        <v>0.036</v>
      </c>
      <c r="P3374" s="71" t="s">
        <v>389</v>
      </c>
      <c r="Q3374" s="73">
        <v>6</v>
      </c>
      <c r="R3374" s="71" t="s">
        <v>388</v>
      </c>
      <c r="S3374" s="73">
        <v>0</v>
      </c>
      <c r="T3374" s="71" t="s">
        <v>390</v>
      </c>
      <c r="U3374" s="74">
        <v>1</v>
      </c>
      <c r="V3374" s="71" t="s">
        <v>427</v>
      </c>
      <c r="W3374" s="130">
        <v>46097.542361111111</v>
      </c>
      <c r="X3374" s="72">
        <v>46099.854166666664</v>
      </c>
      <c r="Y3374" s="72">
        <v>46101.510416666664</v>
      </c>
      <c r="Z3374" s="104" t="s">
        <v>382</v>
      </c>
      <c r="AA3374" s="104" t="s">
        <v>414</v>
      </c>
      <c r="AB3374" s="105">
        <v>46101.299305555556</v>
      </c>
      <c r="AC3374" s="105">
        <v>46101.519444444442</v>
      </c>
    </row>
    <row r="3375" s="70" customFormat="1" ht="11.25" customHeight="1">
      <c r="A3375" s="87"/>
      <c r="C3375" s="43" t="s">
        <v>5393</v>
      </c>
      <c r="D3375" s="71" t="s">
        <v>382</v>
      </c>
      <c r="E3375" s="71" t="str">
        <f>MID(D3375,1,2)</f>
        <v>IL</v>
      </c>
      <c r="F3375" s="71" t="s">
        <v>468</v>
      </c>
      <c r="G3375" s="71" t="str">
        <f>MID(F3375,1,2)</f>
        <v>US</v>
      </c>
      <c r="H3375" s="43" t="s">
        <v>5189</v>
      </c>
      <c r="I3375" s="71" t="s">
        <v>5394</v>
      </c>
      <c r="J3375" s="71" t="s">
        <v>386</v>
      </c>
      <c r="K3375" s="43"/>
      <c r="L3375" s="71" t="s">
        <v>107</v>
      </c>
      <c r="M3375" s="73">
        <v>3</v>
      </c>
      <c r="N3375" s="71" t="s">
        <v>388</v>
      </c>
      <c r="O3375" s="73">
        <v>0.085</v>
      </c>
      <c r="P3375" s="71" t="s">
        <v>389</v>
      </c>
      <c r="Q3375" s="73">
        <v>14.5</v>
      </c>
      <c r="R3375" s="71" t="s">
        <v>388</v>
      </c>
      <c r="S3375" s="73">
        <v>0</v>
      </c>
      <c r="T3375" s="71" t="s">
        <v>390</v>
      </c>
      <c r="U3375" s="74">
        <v>1</v>
      </c>
      <c r="V3375" s="71" t="s">
        <v>446</v>
      </c>
      <c r="W3375" s="130">
        <v>46098.578159722223</v>
      </c>
      <c r="X3375" s="72">
        <v>46100.333333333336</v>
      </c>
      <c r="Y3375" s="72">
        <v>46105.375</v>
      </c>
      <c r="Z3375" s="104" t="s">
        <v>382</v>
      </c>
      <c r="AA3375" s="104" t="s">
        <v>471</v>
      </c>
      <c r="AB3375" s="105">
        <v>46100.772916666669</v>
      </c>
      <c r="AC3375" s="105"/>
    </row>
    <row r="3376" s="70" customFormat="1" ht="11.25" customHeight="1">
      <c r="A3376" s="87"/>
      <c r="C3376" s="43" t="s">
        <v>5393</v>
      </c>
      <c r="D3376" s="71" t="s">
        <v>382</v>
      </c>
      <c r="E3376" s="71" t="str">
        <f>MID(D3376,1,2)</f>
        <v>IL</v>
      </c>
      <c r="F3376" s="71" t="s">
        <v>468</v>
      </c>
      <c r="G3376" s="71" t="str">
        <f>MID(F3376,1,2)</f>
        <v>US</v>
      </c>
      <c r="H3376" s="43" t="s">
        <v>5189</v>
      </c>
      <c r="I3376" s="71" t="s">
        <v>5394</v>
      </c>
      <c r="J3376" s="71" t="s">
        <v>386</v>
      </c>
      <c r="K3376" s="43"/>
      <c r="L3376" s="71" t="s">
        <v>107</v>
      </c>
      <c r="M3376" s="73">
        <v>3</v>
      </c>
      <c r="N3376" s="71" t="s">
        <v>388</v>
      </c>
      <c r="O3376" s="73">
        <v>0.085</v>
      </c>
      <c r="P3376" s="71" t="s">
        <v>389</v>
      </c>
      <c r="Q3376" s="73">
        <v>14.5</v>
      </c>
      <c r="R3376" s="71" t="s">
        <v>388</v>
      </c>
      <c r="S3376" s="73">
        <v>0</v>
      </c>
      <c r="T3376" s="71" t="s">
        <v>390</v>
      </c>
      <c r="U3376" s="74">
        <v>1</v>
      </c>
      <c r="V3376" s="71" t="s">
        <v>446</v>
      </c>
      <c r="W3376" s="130">
        <v>46098.578159722223</v>
      </c>
      <c r="X3376" s="72">
        <v>46100.333333333336</v>
      </c>
      <c r="Y3376" s="72">
        <v>46105.375</v>
      </c>
      <c r="Z3376" s="104" t="s">
        <v>471</v>
      </c>
      <c r="AA3376" s="104" t="s">
        <v>468</v>
      </c>
      <c r="AB3376" s="105"/>
      <c r="AC3376" s="105"/>
    </row>
    <row r="3377" s="70" customFormat="1" ht="11.25" customHeight="1">
      <c r="A3377" s="87"/>
      <c r="C3377" s="43" t="s">
        <v>5395</v>
      </c>
      <c r="D3377" s="71" t="s">
        <v>382</v>
      </c>
      <c r="E3377" s="71" t="str">
        <f>MID(D3377,1,2)</f>
        <v>IL</v>
      </c>
      <c r="F3377" s="71" t="s">
        <v>774</v>
      </c>
      <c r="G3377" s="71" t="str">
        <f>MID(F3377,1,2)</f>
        <v>CN</v>
      </c>
      <c r="H3377" s="43" t="s">
        <v>5308</v>
      </c>
      <c r="I3377" s="71" t="s">
        <v>5396</v>
      </c>
      <c r="J3377" s="71" t="s">
        <v>755</v>
      </c>
      <c r="K3377" s="43"/>
      <c r="L3377" s="71" t="s">
        <v>105</v>
      </c>
      <c r="M3377" s="73">
        <v>0.8</v>
      </c>
      <c r="N3377" s="71" t="s">
        <v>388</v>
      </c>
      <c r="O3377" s="73">
        <v>0.013</v>
      </c>
      <c r="P3377" s="71" t="s">
        <v>389</v>
      </c>
      <c r="Q3377" s="73">
        <v>2.5</v>
      </c>
      <c r="R3377" s="71" t="s">
        <v>388</v>
      </c>
      <c r="S3377" s="73">
        <v>0</v>
      </c>
      <c r="T3377" s="71" t="s">
        <v>390</v>
      </c>
      <c r="U3377" s="74">
        <v>1</v>
      </c>
      <c r="V3377" s="71" t="s">
        <v>391</v>
      </c>
      <c r="W3377" s="130">
        <v>46097.584768518522</v>
      </c>
      <c r="X3377" s="72">
        <v>46099.638888888891</v>
      </c>
      <c r="Y3377" s="72">
        <v>46102.996527777781</v>
      </c>
      <c r="Z3377" s="104" t="s">
        <v>382</v>
      </c>
      <c r="AA3377" s="104" t="s">
        <v>402</v>
      </c>
      <c r="AB3377" s="105">
        <v>46099.772916666669</v>
      </c>
      <c r="AC3377" s="105">
        <v>46099.724305555559</v>
      </c>
    </row>
    <row r="3378" s="70" customFormat="1" ht="11.25" customHeight="1">
      <c r="A3378" s="87"/>
      <c r="C3378" s="43" t="s">
        <v>5395</v>
      </c>
      <c r="D3378" s="71" t="s">
        <v>382</v>
      </c>
      <c r="E3378" s="71" t="str">
        <f>MID(D3378,1,2)</f>
        <v>IL</v>
      </c>
      <c r="F3378" s="71" t="s">
        <v>774</v>
      </c>
      <c r="G3378" s="71" t="str">
        <f>MID(F3378,1,2)</f>
        <v>CN</v>
      </c>
      <c r="H3378" s="43" t="s">
        <v>5308</v>
      </c>
      <c r="I3378" s="71" t="s">
        <v>5396</v>
      </c>
      <c r="J3378" s="71" t="s">
        <v>755</v>
      </c>
      <c r="K3378" s="43"/>
      <c r="L3378" s="71" t="s">
        <v>105</v>
      </c>
      <c r="M3378" s="73">
        <v>0.8</v>
      </c>
      <c r="N3378" s="71" t="s">
        <v>388</v>
      </c>
      <c r="O3378" s="73">
        <v>0.013</v>
      </c>
      <c r="P3378" s="71" t="s">
        <v>389</v>
      </c>
      <c r="Q3378" s="73">
        <v>2.5</v>
      </c>
      <c r="R3378" s="71" t="s">
        <v>388</v>
      </c>
      <c r="S3378" s="73">
        <v>0</v>
      </c>
      <c r="T3378" s="71" t="s">
        <v>390</v>
      </c>
      <c r="U3378" s="74">
        <v>1</v>
      </c>
      <c r="V3378" s="71" t="s">
        <v>391</v>
      </c>
      <c r="W3378" s="130">
        <v>46097.584768518522</v>
      </c>
      <c r="X3378" s="72">
        <v>46099.638888888891</v>
      </c>
      <c r="Y3378" s="72">
        <v>46102.996527777781</v>
      </c>
      <c r="Z3378" s="104" t="s">
        <v>402</v>
      </c>
      <c r="AA3378" s="104" t="s">
        <v>403</v>
      </c>
      <c r="AB3378" s="105">
        <v>46099.928472222222</v>
      </c>
      <c r="AC3378" s="105"/>
    </row>
    <row r="3379" s="70" customFormat="1" ht="11.25" customHeight="1">
      <c r="A3379" s="87"/>
      <c r="C3379" s="43" t="s">
        <v>5395</v>
      </c>
      <c r="D3379" s="71" t="s">
        <v>382</v>
      </c>
      <c r="E3379" s="71" t="str">
        <f>MID(D3379,1,2)</f>
        <v>IL</v>
      </c>
      <c r="F3379" s="71" t="s">
        <v>774</v>
      </c>
      <c r="G3379" s="71" t="str">
        <f>MID(F3379,1,2)</f>
        <v>CN</v>
      </c>
      <c r="H3379" s="43" t="s">
        <v>5308</v>
      </c>
      <c r="I3379" s="71" t="s">
        <v>5396</v>
      </c>
      <c r="J3379" s="71" t="s">
        <v>755</v>
      </c>
      <c r="K3379" s="43"/>
      <c r="L3379" s="71" t="s">
        <v>105</v>
      </c>
      <c r="M3379" s="73">
        <v>0.8</v>
      </c>
      <c r="N3379" s="71" t="s">
        <v>388</v>
      </c>
      <c r="O3379" s="73">
        <v>0.013</v>
      </c>
      <c r="P3379" s="71" t="s">
        <v>389</v>
      </c>
      <c r="Q3379" s="73">
        <v>2.5</v>
      </c>
      <c r="R3379" s="71" t="s">
        <v>388</v>
      </c>
      <c r="S3379" s="73">
        <v>0</v>
      </c>
      <c r="T3379" s="71" t="s">
        <v>390</v>
      </c>
      <c r="U3379" s="74">
        <v>1</v>
      </c>
      <c r="V3379" s="71" t="s">
        <v>391</v>
      </c>
      <c r="W3379" s="130">
        <v>46097.584768518522</v>
      </c>
      <c r="X3379" s="72">
        <v>46099.638888888891</v>
      </c>
      <c r="Y3379" s="72">
        <v>46102.996527777781</v>
      </c>
      <c r="Z3379" s="104" t="s">
        <v>403</v>
      </c>
      <c r="AA3379" s="104" t="s">
        <v>774</v>
      </c>
      <c r="AB3379" s="105">
        <v>46102.884722222225</v>
      </c>
      <c r="AC3379" s="105">
        <v>46102.984027777777</v>
      </c>
    </row>
    <row r="3380" s="70" customFormat="1" ht="11.25" customHeight="1">
      <c r="A3380" s="87"/>
      <c r="C3380" s="43" t="s">
        <v>5397</v>
      </c>
      <c r="D3380" s="71" t="s">
        <v>382</v>
      </c>
      <c r="E3380" s="71" t="str">
        <f>MID(D3380,1,2)</f>
        <v>IL</v>
      </c>
      <c r="F3380" s="71" t="s">
        <v>468</v>
      </c>
      <c r="G3380" s="71" t="str">
        <f>MID(F3380,1,2)</f>
        <v>US</v>
      </c>
      <c r="H3380" s="43" t="s">
        <v>5189</v>
      </c>
      <c r="I3380" s="71" t="s">
        <v>5398</v>
      </c>
      <c r="J3380" s="71" t="s">
        <v>386</v>
      </c>
      <c r="K3380" s="43"/>
      <c r="L3380" s="71" t="s">
        <v>107</v>
      </c>
      <c r="M3380" s="73">
        <v>1</v>
      </c>
      <c r="N3380" s="71" t="s">
        <v>388</v>
      </c>
      <c r="O3380" s="73">
        <v>0.022</v>
      </c>
      <c r="P3380" s="71" t="s">
        <v>389</v>
      </c>
      <c r="Q3380" s="73">
        <v>4</v>
      </c>
      <c r="R3380" s="71" t="s">
        <v>388</v>
      </c>
      <c r="S3380" s="73">
        <v>0</v>
      </c>
      <c r="T3380" s="71" t="s">
        <v>390</v>
      </c>
      <c r="U3380" s="74">
        <v>1</v>
      </c>
      <c r="V3380" s="71" t="s">
        <v>446</v>
      </c>
      <c r="W3380" s="130">
        <v>46097.597222222219</v>
      </c>
      <c r="X3380" s="72">
        <v>46100.333333333336</v>
      </c>
      <c r="Y3380" s="72">
        <v>46105.375</v>
      </c>
      <c r="Z3380" s="104" t="s">
        <v>382</v>
      </c>
      <c r="AA3380" s="104" t="s">
        <v>471</v>
      </c>
      <c r="AB3380" s="105">
        <v>46100.772916666669</v>
      </c>
      <c r="AC3380" s="105"/>
    </row>
    <row r="3381" s="70" customFormat="1" ht="11.25" customHeight="1">
      <c r="A3381" s="87"/>
      <c r="C3381" s="43" t="s">
        <v>5397</v>
      </c>
      <c r="D3381" s="71" t="s">
        <v>382</v>
      </c>
      <c r="E3381" s="71" t="str">
        <f>MID(D3381,1,2)</f>
        <v>IL</v>
      </c>
      <c r="F3381" s="71" t="s">
        <v>468</v>
      </c>
      <c r="G3381" s="71" t="str">
        <f>MID(F3381,1,2)</f>
        <v>US</v>
      </c>
      <c r="H3381" s="43" t="s">
        <v>5189</v>
      </c>
      <c r="I3381" s="71" t="s">
        <v>5398</v>
      </c>
      <c r="J3381" s="71" t="s">
        <v>386</v>
      </c>
      <c r="K3381" s="43"/>
      <c r="L3381" s="71" t="s">
        <v>107</v>
      </c>
      <c r="M3381" s="73">
        <v>1</v>
      </c>
      <c r="N3381" s="71" t="s">
        <v>388</v>
      </c>
      <c r="O3381" s="73">
        <v>0.022</v>
      </c>
      <c r="P3381" s="71" t="s">
        <v>389</v>
      </c>
      <c r="Q3381" s="73">
        <v>4</v>
      </c>
      <c r="R3381" s="71" t="s">
        <v>388</v>
      </c>
      <c r="S3381" s="73">
        <v>0</v>
      </c>
      <c r="T3381" s="71" t="s">
        <v>390</v>
      </c>
      <c r="U3381" s="74">
        <v>1</v>
      </c>
      <c r="V3381" s="71" t="s">
        <v>446</v>
      </c>
      <c r="W3381" s="130">
        <v>46097.597222222219</v>
      </c>
      <c r="X3381" s="72">
        <v>46100.333333333336</v>
      </c>
      <c r="Y3381" s="72">
        <v>46105.375</v>
      </c>
      <c r="Z3381" s="104" t="s">
        <v>471</v>
      </c>
      <c r="AA3381" s="104" t="s">
        <v>468</v>
      </c>
      <c r="AB3381" s="105"/>
      <c r="AC3381" s="105"/>
    </row>
    <row r="3382" s="70" customFormat="1" ht="11.25" customHeight="1">
      <c r="A3382" s="87"/>
      <c r="C3382" s="43" t="s">
        <v>5399</v>
      </c>
      <c r="D3382" s="71" t="s">
        <v>382</v>
      </c>
      <c r="E3382" s="71" t="str">
        <f>MID(D3382,1,2)</f>
        <v>IL</v>
      </c>
      <c r="F3382" s="71" t="s">
        <v>3670</v>
      </c>
      <c r="G3382" s="71" t="str">
        <f>MID(F3382,1,2)</f>
        <v>TZ</v>
      </c>
      <c r="H3382" s="43" t="s">
        <v>5400</v>
      </c>
      <c r="I3382" s="71" t="s">
        <v>5401</v>
      </c>
      <c r="J3382" s="71" t="s">
        <v>426</v>
      </c>
      <c r="K3382" s="43"/>
      <c r="L3382" s="71" t="s">
        <v>105</v>
      </c>
      <c r="M3382" s="73">
        <v>75</v>
      </c>
      <c r="N3382" s="71" t="s">
        <v>388</v>
      </c>
      <c r="O3382" s="73">
        <v>0.265</v>
      </c>
      <c r="P3382" s="71" t="s">
        <v>389</v>
      </c>
      <c r="Q3382" s="73">
        <v>100</v>
      </c>
      <c r="R3382" s="71" t="s">
        <v>388</v>
      </c>
      <c r="S3382" s="73">
        <v>0</v>
      </c>
      <c r="T3382" s="71" t="s">
        <v>390</v>
      </c>
      <c r="U3382" s="74">
        <v>1</v>
      </c>
      <c r="V3382" s="71" t="s">
        <v>391</v>
      </c>
      <c r="W3382" s="130">
        <v>46100.588923611111</v>
      </c>
      <c r="X3382" s="72">
        <v>46102.5625</v>
      </c>
      <c r="Y3382" s="72">
        <v>46105.666666666664</v>
      </c>
      <c r="Z3382" s="104" t="s">
        <v>382</v>
      </c>
      <c r="AA3382" s="104" t="s">
        <v>466</v>
      </c>
      <c r="AB3382" s="105"/>
      <c r="AC3382" s="105"/>
    </row>
    <row r="3383" s="70" customFormat="1" ht="11.25" customHeight="1">
      <c r="A3383" s="87"/>
      <c r="C3383" s="43" t="s">
        <v>5399</v>
      </c>
      <c r="D3383" s="71" t="s">
        <v>382</v>
      </c>
      <c r="E3383" s="71" t="str">
        <f>MID(D3383,1,2)</f>
        <v>IL</v>
      </c>
      <c r="F3383" s="71" t="s">
        <v>3670</v>
      </c>
      <c r="G3383" s="71" t="str">
        <f>MID(F3383,1,2)</f>
        <v>TZ</v>
      </c>
      <c r="H3383" s="43" t="s">
        <v>5400</v>
      </c>
      <c r="I3383" s="71" t="s">
        <v>5401</v>
      </c>
      <c r="J3383" s="71" t="s">
        <v>426</v>
      </c>
      <c r="K3383" s="43"/>
      <c r="L3383" s="71" t="s">
        <v>105</v>
      </c>
      <c r="M3383" s="73">
        <v>75</v>
      </c>
      <c r="N3383" s="71" t="s">
        <v>388</v>
      </c>
      <c r="O3383" s="73">
        <v>0.265</v>
      </c>
      <c r="P3383" s="71" t="s">
        <v>389</v>
      </c>
      <c r="Q3383" s="73">
        <v>100</v>
      </c>
      <c r="R3383" s="71" t="s">
        <v>388</v>
      </c>
      <c r="S3383" s="73">
        <v>0</v>
      </c>
      <c r="T3383" s="71" t="s">
        <v>390</v>
      </c>
      <c r="U3383" s="74">
        <v>1</v>
      </c>
      <c r="V3383" s="71" t="s">
        <v>391</v>
      </c>
      <c r="W3383" s="130">
        <v>46100.588923611111</v>
      </c>
      <c r="X3383" s="72">
        <v>46102.5625</v>
      </c>
      <c r="Y3383" s="72">
        <v>46105.666666666664</v>
      </c>
      <c r="Z3383" s="104" t="s">
        <v>466</v>
      </c>
      <c r="AA3383" s="104" t="s">
        <v>1310</v>
      </c>
      <c r="AB3383" s="105"/>
      <c r="AC3383" s="105"/>
    </row>
    <row r="3384" s="70" customFormat="1" ht="11.25" customHeight="1">
      <c r="A3384" s="87"/>
      <c r="C3384" s="43" t="s">
        <v>5399</v>
      </c>
      <c r="D3384" s="71" t="s">
        <v>382</v>
      </c>
      <c r="E3384" s="71" t="str">
        <f>MID(D3384,1,2)</f>
        <v>IL</v>
      </c>
      <c r="F3384" s="71" t="s">
        <v>3670</v>
      </c>
      <c r="G3384" s="71" t="str">
        <f>MID(F3384,1,2)</f>
        <v>TZ</v>
      </c>
      <c r="H3384" s="43" t="s">
        <v>5400</v>
      </c>
      <c r="I3384" s="71" t="s">
        <v>5401</v>
      </c>
      <c r="J3384" s="71" t="s">
        <v>426</v>
      </c>
      <c r="K3384" s="43"/>
      <c r="L3384" s="71" t="s">
        <v>105</v>
      </c>
      <c r="M3384" s="73">
        <v>75</v>
      </c>
      <c r="N3384" s="71" t="s">
        <v>388</v>
      </c>
      <c r="O3384" s="73">
        <v>0.265</v>
      </c>
      <c r="P3384" s="71" t="s">
        <v>389</v>
      </c>
      <c r="Q3384" s="73">
        <v>100</v>
      </c>
      <c r="R3384" s="71" t="s">
        <v>388</v>
      </c>
      <c r="S3384" s="73">
        <v>0</v>
      </c>
      <c r="T3384" s="71" t="s">
        <v>390</v>
      </c>
      <c r="U3384" s="74">
        <v>1</v>
      </c>
      <c r="V3384" s="71" t="s">
        <v>391</v>
      </c>
      <c r="W3384" s="130">
        <v>46100.588923611111</v>
      </c>
      <c r="X3384" s="72">
        <v>46102.5625</v>
      </c>
      <c r="Y3384" s="72">
        <v>46105.666666666664</v>
      </c>
      <c r="Z3384" s="104" t="s">
        <v>1310</v>
      </c>
      <c r="AA3384" s="104" t="s">
        <v>3670</v>
      </c>
      <c r="AB3384" s="105"/>
      <c r="AC3384" s="105"/>
    </row>
    <row r="3385" s="70" customFormat="1" ht="11.25" customHeight="1">
      <c r="A3385" s="87"/>
      <c r="C3385" s="43" t="s">
        <v>5402</v>
      </c>
      <c r="D3385" s="71" t="s">
        <v>382</v>
      </c>
      <c r="E3385" s="71" t="str">
        <f>MID(D3385,1,2)</f>
        <v>IL</v>
      </c>
      <c r="F3385" s="71" t="s">
        <v>419</v>
      </c>
      <c r="G3385" s="71" t="str">
        <f>MID(F3385,1,2)</f>
        <v>US</v>
      </c>
      <c r="H3385" s="43" t="s">
        <v>5382</v>
      </c>
      <c r="I3385" s="71" t="s">
        <v>5403</v>
      </c>
      <c r="J3385" s="71" t="s">
        <v>426</v>
      </c>
      <c r="K3385" s="43"/>
      <c r="L3385" s="71" t="s">
        <v>105</v>
      </c>
      <c r="M3385" s="73">
        <v>82</v>
      </c>
      <c r="N3385" s="71" t="s">
        <v>388</v>
      </c>
      <c r="O3385" s="73">
        <v>1.38</v>
      </c>
      <c r="P3385" s="71" t="s">
        <v>389</v>
      </c>
      <c r="Q3385" s="73">
        <v>230</v>
      </c>
      <c r="R3385" s="71" t="s">
        <v>388</v>
      </c>
      <c r="S3385" s="73">
        <v>0</v>
      </c>
      <c r="T3385" s="71" t="s">
        <v>390</v>
      </c>
      <c r="U3385" s="74">
        <v>1</v>
      </c>
      <c r="V3385" s="71" t="s">
        <v>391</v>
      </c>
      <c r="W3385" s="130">
        <v>46099.396527777775</v>
      </c>
      <c r="X3385" s="72">
        <v>46100.333333333336</v>
      </c>
      <c r="Y3385" s="72">
        <v>46105.5</v>
      </c>
      <c r="Z3385" s="104" t="s">
        <v>382</v>
      </c>
      <c r="AA3385" s="104" t="s">
        <v>471</v>
      </c>
      <c r="AB3385" s="105">
        <v>46100.75</v>
      </c>
      <c r="AC3385" s="105"/>
    </row>
    <row r="3386" s="70" customFormat="1" ht="11.25" customHeight="1">
      <c r="A3386" s="87"/>
      <c r="C3386" s="43" t="s">
        <v>5402</v>
      </c>
      <c r="D3386" s="71" t="s">
        <v>382</v>
      </c>
      <c r="E3386" s="71" t="str">
        <f>MID(D3386,1,2)</f>
        <v>IL</v>
      </c>
      <c r="F3386" s="71" t="s">
        <v>419</v>
      </c>
      <c r="G3386" s="71" t="str">
        <f>MID(F3386,1,2)</f>
        <v>US</v>
      </c>
      <c r="H3386" s="43" t="s">
        <v>5382</v>
      </c>
      <c r="I3386" s="71" t="s">
        <v>5403</v>
      </c>
      <c r="J3386" s="71" t="s">
        <v>426</v>
      </c>
      <c r="K3386" s="43"/>
      <c r="L3386" s="71" t="s">
        <v>105</v>
      </c>
      <c r="M3386" s="73">
        <v>82</v>
      </c>
      <c r="N3386" s="71" t="s">
        <v>388</v>
      </c>
      <c r="O3386" s="73">
        <v>1.38</v>
      </c>
      <c r="P3386" s="71" t="s">
        <v>389</v>
      </c>
      <c r="Q3386" s="73">
        <v>230</v>
      </c>
      <c r="R3386" s="71" t="s">
        <v>388</v>
      </c>
      <c r="S3386" s="73">
        <v>0</v>
      </c>
      <c r="T3386" s="71" t="s">
        <v>390</v>
      </c>
      <c r="U3386" s="74">
        <v>1</v>
      </c>
      <c r="V3386" s="71" t="s">
        <v>391</v>
      </c>
      <c r="W3386" s="130">
        <v>46099.396527777775</v>
      </c>
      <c r="X3386" s="72">
        <v>46100.333333333336</v>
      </c>
      <c r="Y3386" s="72">
        <v>46105.5</v>
      </c>
      <c r="Z3386" s="104" t="s">
        <v>471</v>
      </c>
      <c r="AA3386" s="104" t="s">
        <v>419</v>
      </c>
      <c r="AB3386" s="105"/>
      <c r="AC3386" s="105"/>
    </row>
    <row r="3387" s="70" customFormat="1" ht="11.25" customHeight="1">
      <c r="A3387" s="87"/>
      <c r="C3387" s="43" t="s">
        <v>5404</v>
      </c>
      <c r="D3387" s="71" t="s">
        <v>382</v>
      </c>
      <c r="E3387" s="71" t="str">
        <f>MID(D3387,1,2)</f>
        <v>IL</v>
      </c>
      <c r="F3387" s="71" t="s">
        <v>414</v>
      </c>
      <c r="G3387" s="71" t="str">
        <f>MID(F3387,1,2)</f>
        <v>US</v>
      </c>
      <c r="H3387" s="43" t="s">
        <v>5405</v>
      </c>
      <c r="I3387" s="71" t="s">
        <v>5406</v>
      </c>
      <c r="J3387" s="71" t="s">
        <v>386</v>
      </c>
      <c r="K3387" s="43"/>
      <c r="L3387" s="71" t="s">
        <v>107</v>
      </c>
      <c r="M3387" s="73">
        <v>452</v>
      </c>
      <c r="N3387" s="71" t="s">
        <v>388</v>
      </c>
      <c r="O3387" s="73">
        <v>3.324</v>
      </c>
      <c r="P3387" s="71" t="s">
        <v>389</v>
      </c>
      <c r="Q3387" s="73">
        <v>554</v>
      </c>
      <c r="R3387" s="71" t="s">
        <v>388</v>
      </c>
      <c r="S3387" s="73">
        <v>0</v>
      </c>
      <c r="T3387" s="71" t="s">
        <v>390</v>
      </c>
      <c r="U3387" s="74">
        <v>1</v>
      </c>
      <c r="V3387" s="71" t="s">
        <v>446</v>
      </c>
      <c r="W3387" s="130">
        <v>46098.68125</v>
      </c>
      <c r="X3387" s="72">
        <v>46101.25</v>
      </c>
      <c r="Y3387" s="72">
        <v>46105.40625</v>
      </c>
      <c r="Z3387" s="104" t="s">
        <v>382</v>
      </c>
      <c r="AA3387" s="104" t="s">
        <v>414</v>
      </c>
      <c r="AB3387" s="105">
        <v>46101.299305555556</v>
      </c>
      <c r="AC3387" s="105">
        <v>46101.519444444442</v>
      </c>
    </row>
    <row r="3388" s="70" customFormat="1" ht="11.25" customHeight="1">
      <c r="A3388" s="87"/>
      <c r="C3388" s="43" t="s">
        <v>5407</v>
      </c>
      <c r="D3388" s="71" t="s">
        <v>382</v>
      </c>
      <c r="E3388" s="71" t="str">
        <f>MID(D3388,1,2)</f>
        <v>IL</v>
      </c>
      <c r="F3388" s="71" t="s">
        <v>383</v>
      </c>
      <c r="G3388" s="71" t="str">
        <f>MID(F3388,1,2)</f>
        <v>DE</v>
      </c>
      <c r="H3388" s="43" t="s">
        <v>4936</v>
      </c>
      <c r="I3388" s="71" t="s">
        <v>5408</v>
      </c>
      <c r="J3388" s="71" t="s">
        <v>426</v>
      </c>
      <c r="K3388" s="43"/>
      <c r="L3388" s="71" t="s">
        <v>105</v>
      </c>
      <c r="M3388" s="73">
        <v>160</v>
      </c>
      <c r="N3388" s="71" t="s">
        <v>388</v>
      </c>
      <c r="O3388" s="73">
        <v>0.432</v>
      </c>
      <c r="P3388" s="71" t="s">
        <v>389</v>
      </c>
      <c r="Q3388" s="73">
        <v>160</v>
      </c>
      <c r="R3388" s="71" t="s">
        <v>388</v>
      </c>
      <c r="S3388" s="73">
        <v>0</v>
      </c>
      <c r="T3388" s="71" t="s">
        <v>390</v>
      </c>
      <c r="U3388" s="74">
        <v>1</v>
      </c>
      <c r="V3388" s="71" t="s">
        <v>391</v>
      </c>
      <c r="W3388" s="130">
        <v>46097.604861111111</v>
      </c>
      <c r="X3388" s="72">
        <v>46099.5</v>
      </c>
      <c r="Y3388" s="72">
        <v>46104.513888888891</v>
      </c>
      <c r="Z3388" s="104" t="s">
        <v>382</v>
      </c>
      <c r="AA3388" s="104" t="s">
        <v>383</v>
      </c>
      <c r="AB3388" s="105">
        <v>46103.441666666666</v>
      </c>
      <c r="AC3388" s="105"/>
    </row>
    <row r="3389" s="70" customFormat="1" ht="11.25" customHeight="1">
      <c r="A3389" s="87"/>
      <c r="C3389" s="43" t="s">
        <v>5409</v>
      </c>
      <c r="D3389" s="71" t="s">
        <v>382</v>
      </c>
      <c r="E3389" s="71" t="str">
        <f>MID(D3389,1,2)</f>
        <v>IL</v>
      </c>
      <c r="F3389" s="71" t="s">
        <v>468</v>
      </c>
      <c r="G3389" s="71" t="str">
        <f>MID(F3389,1,2)</f>
        <v>US</v>
      </c>
      <c r="H3389" s="43" t="s">
        <v>5189</v>
      </c>
      <c r="I3389" s="71" t="s">
        <v>5410</v>
      </c>
      <c r="J3389" s="71" t="s">
        <v>386</v>
      </c>
      <c r="K3389" s="43"/>
      <c r="L3389" s="71" t="s">
        <v>107</v>
      </c>
      <c r="M3389" s="73">
        <v>2</v>
      </c>
      <c r="N3389" s="71" t="s">
        <v>388</v>
      </c>
      <c r="O3389" s="73">
        <v>0.007</v>
      </c>
      <c r="P3389" s="71" t="s">
        <v>389</v>
      </c>
      <c r="Q3389" s="73">
        <v>2</v>
      </c>
      <c r="R3389" s="71" t="s">
        <v>388</v>
      </c>
      <c r="S3389" s="73">
        <v>0</v>
      </c>
      <c r="T3389" s="71" t="s">
        <v>390</v>
      </c>
      <c r="U3389" s="74">
        <v>1</v>
      </c>
      <c r="V3389" s="71" t="s">
        <v>446</v>
      </c>
      <c r="W3389" s="130">
        <v>46098.660416666666</v>
      </c>
      <c r="X3389" s="72">
        <v>46100.333333333336</v>
      </c>
      <c r="Y3389" s="72">
        <v>46105.375</v>
      </c>
      <c r="Z3389" s="104" t="s">
        <v>382</v>
      </c>
      <c r="AA3389" s="104" t="s">
        <v>471</v>
      </c>
      <c r="AB3389" s="105">
        <v>46100.772916666669</v>
      </c>
      <c r="AC3389" s="105"/>
    </row>
    <row r="3390" s="70" customFormat="1" ht="11.25" customHeight="1">
      <c r="A3390" s="87"/>
      <c r="C3390" s="43" t="s">
        <v>5409</v>
      </c>
      <c r="D3390" s="71" t="s">
        <v>382</v>
      </c>
      <c r="E3390" s="71" t="str">
        <f>MID(D3390,1,2)</f>
        <v>IL</v>
      </c>
      <c r="F3390" s="71" t="s">
        <v>468</v>
      </c>
      <c r="G3390" s="71" t="str">
        <f>MID(F3390,1,2)</f>
        <v>US</v>
      </c>
      <c r="H3390" s="43" t="s">
        <v>5189</v>
      </c>
      <c r="I3390" s="71" t="s">
        <v>5410</v>
      </c>
      <c r="J3390" s="71" t="s">
        <v>386</v>
      </c>
      <c r="K3390" s="43"/>
      <c r="L3390" s="71" t="s">
        <v>107</v>
      </c>
      <c r="M3390" s="73">
        <v>2</v>
      </c>
      <c r="N3390" s="71" t="s">
        <v>388</v>
      </c>
      <c r="O3390" s="73">
        <v>0.007</v>
      </c>
      <c r="P3390" s="71" t="s">
        <v>389</v>
      </c>
      <c r="Q3390" s="73">
        <v>2</v>
      </c>
      <c r="R3390" s="71" t="s">
        <v>388</v>
      </c>
      <c r="S3390" s="73">
        <v>0</v>
      </c>
      <c r="T3390" s="71" t="s">
        <v>390</v>
      </c>
      <c r="U3390" s="74">
        <v>1</v>
      </c>
      <c r="V3390" s="71" t="s">
        <v>446</v>
      </c>
      <c r="W3390" s="130">
        <v>46098.660416666666</v>
      </c>
      <c r="X3390" s="72">
        <v>46100.333333333336</v>
      </c>
      <c r="Y3390" s="72">
        <v>46105.375</v>
      </c>
      <c r="Z3390" s="104" t="s">
        <v>471</v>
      </c>
      <c r="AA3390" s="104" t="s">
        <v>468</v>
      </c>
      <c r="AB3390" s="105"/>
      <c r="AC3390" s="105"/>
    </row>
    <row r="3391" s="70" customFormat="1" ht="11.25" customHeight="1">
      <c r="A3391" s="87"/>
      <c r="C3391" s="43" t="s">
        <v>5411</v>
      </c>
      <c r="D3391" s="71" t="s">
        <v>382</v>
      </c>
      <c r="E3391" s="71" t="str">
        <f>MID(D3391,1,2)</f>
        <v>IL</v>
      </c>
      <c r="F3391" s="71" t="s">
        <v>3494</v>
      </c>
      <c r="G3391" s="71" t="str">
        <f>MID(F3391,1,2)</f>
        <v>DE</v>
      </c>
      <c r="H3391" s="43" t="s">
        <v>5412</v>
      </c>
      <c r="I3391" s="71" t="s">
        <v>5413</v>
      </c>
      <c r="J3391" s="71" t="s">
        <v>386</v>
      </c>
      <c r="K3391" s="43"/>
      <c r="L3391" s="71" t="s">
        <v>107</v>
      </c>
      <c r="M3391" s="73">
        <v>459</v>
      </c>
      <c r="N3391" s="71" t="s">
        <v>388</v>
      </c>
      <c r="O3391" s="73">
        <v>3.019</v>
      </c>
      <c r="P3391" s="71" t="s">
        <v>389</v>
      </c>
      <c r="Q3391" s="73">
        <v>503.5</v>
      </c>
      <c r="R3391" s="71" t="s">
        <v>388</v>
      </c>
      <c r="S3391" s="73">
        <v>0</v>
      </c>
      <c r="T3391" s="71" t="s">
        <v>390</v>
      </c>
      <c r="U3391" s="74">
        <v>2</v>
      </c>
      <c r="V3391" s="71" t="s">
        <v>391</v>
      </c>
      <c r="W3391" s="130"/>
      <c r="X3391" s="72">
        <v>46102.895833333336</v>
      </c>
      <c r="Y3391" s="72">
        <v>46107.916666666664</v>
      </c>
      <c r="Z3391" s="104" t="s">
        <v>382</v>
      </c>
      <c r="AA3391" s="104" t="s">
        <v>466</v>
      </c>
      <c r="AB3391" s="105"/>
      <c r="AC3391" s="105"/>
    </row>
    <row r="3392" s="70" customFormat="1" ht="11.25" customHeight="1">
      <c r="A3392" s="87"/>
      <c r="C3392" s="43" t="s">
        <v>5411</v>
      </c>
      <c r="D3392" s="71" t="s">
        <v>382</v>
      </c>
      <c r="E3392" s="71" t="str">
        <f>MID(D3392,1,2)</f>
        <v>IL</v>
      </c>
      <c r="F3392" s="71" t="s">
        <v>3494</v>
      </c>
      <c r="G3392" s="71" t="str">
        <f>MID(F3392,1,2)</f>
        <v>DE</v>
      </c>
      <c r="H3392" s="43" t="s">
        <v>5412</v>
      </c>
      <c r="I3392" s="71" t="s">
        <v>5413</v>
      </c>
      <c r="J3392" s="71" t="s">
        <v>386</v>
      </c>
      <c r="K3392" s="43"/>
      <c r="L3392" s="71" t="s">
        <v>107</v>
      </c>
      <c r="M3392" s="73">
        <v>459</v>
      </c>
      <c r="N3392" s="71" t="s">
        <v>388</v>
      </c>
      <c r="O3392" s="73">
        <v>3.019</v>
      </c>
      <c r="P3392" s="71" t="s">
        <v>389</v>
      </c>
      <c r="Q3392" s="73">
        <v>503.5</v>
      </c>
      <c r="R3392" s="71" t="s">
        <v>388</v>
      </c>
      <c r="S3392" s="73">
        <v>0</v>
      </c>
      <c r="T3392" s="71" t="s">
        <v>390</v>
      </c>
      <c r="U3392" s="74">
        <v>2</v>
      </c>
      <c r="V3392" s="71" t="s">
        <v>391</v>
      </c>
      <c r="W3392" s="130"/>
      <c r="X3392" s="72">
        <v>46102.895833333336</v>
      </c>
      <c r="Y3392" s="72">
        <v>46107.916666666664</v>
      </c>
      <c r="Z3392" s="104" t="s">
        <v>466</v>
      </c>
      <c r="AA3392" s="104" t="s">
        <v>383</v>
      </c>
      <c r="AB3392" s="105"/>
      <c r="AC3392" s="105"/>
    </row>
    <row r="3393" s="70" customFormat="1" ht="11.25" customHeight="1">
      <c r="A3393" s="87"/>
      <c r="C3393" s="43" t="s">
        <v>5414</v>
      </c>
      <c r="D3393" s="71" t="s">
        <v>382</v>
      </c>
      <c r="E3393" s="71" t="str">
        <f>MID(D3393,1,2)</f>
        <v>IL</v>
      </c>
      <c r="F3393" s="71" t="s">
        <v>468</v>
      </c>
      <c r="G3393" s="71" t="str">
        <f>MID(F3393,1,2)</f>
        <v>US</v>
      </c>
      <c r="H3393" s="43" t="s">
        <v>5189</v>
      </c>
      <c r="I3393" s="71" t="s">
        <v>5415</v>
      </c>
      <c r="J3393" s="71" t="s">
        <v>386</v>
      </c>
      <c r="K3393" s="43"/>
      <c r="L3393" s="71" t="s">
        <v>107</v>
      </c>
      <c r="M3393" s="73">
        <v>3</v>
      </c>
      <c r="N3393" s="71" t="s">
        <v>388</v>
      </c>
      <c r="O3393" s="73">
        <v>0.052</v>
      </c>
      <c r="P3393" s="71" t="s">
        <v>389</v>
      </c>
      <c r="Q3393" s="73">
        <v>9</v>
      </c>
      <c r="R3393" s="71" t="s">
        <v>388</v>
      </c>
      <c r="S3393" s="73">
        <v>0</v>
      </c>
      <c r="T3393" s="71" t="s">
        <v>390</v>
      </c>
      <c r="U3393" s="74">
        <v>1</v>
      </c>
      <c r="V3393" s="71" t="s">
        <v>446</v>
      </c>
      <c r="W3393" s="130">
        <v>46098.646527777775</v>
      </c>
      <c r="X3393" s="72">
        <v>46100.333333333336</v>
      </c>
      <c r="Y3393" s="72">
        <v>46105.375</v>
      </c>
      <c r="Z3393" s="104" t="s">
        <v>382</v>
      </c>
      <c r="AA3393" s="104" t="s">
        <v>471</v>
      </c>
      <c r="AB3393" s="105">
        <v>46100.772916666669</v>
      </c>
      <c r="AC3393" s="105"/>
    </row>
    <row r="3394" s="70" customFormat="1" ht="11.25" customHeight="1">
      <c r="A3394" s="87"/>
      <c r="C3394" s="43" t="s">
        <v>5414</v>
      </c>
      <c r="D3394" s="71" t="s">
        <v>382</v>
      </c>
      <c r="E3394" s="71" t="str">
        <f>MID(D3394,1,2)</f>
        <v>IL</v>
      </c>
      <c r="F3394" s="71" t="s">
        <v>468</v>
      </c>
      <c r="G3394" s="71" t="str">
        <f>MID(F3394,1,2)</f>
        <v>US</v>
      </c>
      <c r="H3394" s="43" t="s">
        <v>5189</v>
      </c>
      <c r="I3394" s="71" t="s">
        <v>5415</v>
      </c>
      <c r="J3394" s="71" t="s">
        <v>386</v>
      </c>
      <c r="K3394" s="43"/>
      <c r="L3394" s="71" t="s">
        <v>107</v>
      </c>
      <c r="M3394" s="73">
        <v>3</v>
      </c>
      <c r="N3394" s="71" t="s">
        <v>388</v>
      </c>
      <c r="O3394" s="73">
        <v>0.052</v>
      </c>
      <c r="P3394" s="71" t="s">
        <v>389</v>
      </c>
      <c r="Q3394" s="73">
        <v>9</v>
      </c>
      <c r="R3394" s="71" t="s">
        <v>388</v>
      </c>
      <c r="S3394" s="73">
        <v>0</v>
      </c>
      <c r="T3394" s="71" t="s">
        <v>390</v>
      </c>
      <c r="U3394" s="74">
        <v>1</v>
      </c>
      <c r="V3394" s="71" t="s">
        <v>446</v>
      </c>
      <c r="W3394" s="130">
        <v>46098.646527777775</v>
      </c>
      <c r="X3394" s="72">
        <v>46100.333333333336</v>
      </c>
      <c r="Y3394" s="72">
        <v>46105.375</v>
      </c>
      <c r="Z3394" s="104" t="s">
        <v>471</v>
      </c>
      <c r="AA3394" s="104" t="s">
        <v>468</v>
      </c>
      <c r="AB3394" s="105"/>
      <c r="AC3394" s="105"/>
    </row>
    <row r="3395" s="70" customFormat="1" ht="11.25" customHeight="1">
      <c r="A3395" s="87"/>
      <c r="C3395" s="43" t="s">
        <v>5416</v>
      </c>
      <c r="D3395" s="71" t="s">
        <v>382</v>
      </c>
      <c r="E3395" s="71" t="str">
        <f>MID(D3395,1,2)</f>
        <v>IL</v>
      </c>
      <c r="F3395" s="71" t="s">
        <v>1583</v>
      </c>
      <c r="G3395" s="71" t="str">
        <f>MID(F3395,1,2)</f>
        <v>BR</v>
      </c>
      <c r="H3395" s="43" t="s">
        <v>4393</v>
      </c>
      <c r="I3395" s="71" t="s">
        <v>5417</v>
      </c>
      <c r="J3395" s="71" t="s">
        <v>411</v>
      </c>
      <c r="K3395" s="43"/>
      <c r="L3395" s="71" t="s">
        <v>105</v>
      </c>
      <c r="M3395" s="73">
        <v>50.2</v>
      </c>
      <c r="N3395" s="71" t="s">
        <v>388</v>
      </c>
      <c r="O3395" s="73">
        <v>0.739</v>
      </c>
      <c r="P3395" s="71" t="s">
        <v>389</v>
      </c>
      <c r="Q3395" s="73">
        <v>123.5</v>
      </c>
      <c r="R3395" s="71" t="s">
        <v>388</v>
      </c>
      <c r="S3395" s="73">
        <v>0</v>
      </c>
      <c r="T3395" s="71" t="s">
        <v>390</v>
      </c>
      <c r="U3395" s="74">
        <v>1</v>
      </c>
      <c r="V3395" s="71" t="s">
        <v>391</v>
      </c>
      <c r="W3395" s="130">
        <v>46098.8871875</v>
      </c>
      <c r="X3395" s="72">
        <v>46100.000694444447</v>
      </c>
      <c r="Y3395" s="72">
        <v>46113.46875</v>
      </c>
      <c r="Z3395" s="104" t="s">
        <v>382</v>
      </c>
      <c r="AA3395" s="104" t="s">
        <v>408</v>
      </c>
      <c r="AB3395" s="105">
        <v>46101.170138888891</v>
      </c>
      <c r="AC3395" s="105">
        <v>46101.257638888892</v>
      </c>
    </row>
    <row r="3396" s="70" customFormat="1" ht="11.25" customHeight="1">
      <c r="A3396" s="87"/>
      <c r="C3396" s="43" t="s">
        <v>5416</v>
      </c>
      <c r="D3396" s="71" t="s">
        <v>382</v>
      </c>
      <c r="E3396" s="71" t="str">
        <f>MID(D3396,1,2)</f>
        <v>IL</v>
      </c>
      <c r="F3396" s="71" t="s">
        <v>1583</v>
      </c>
      <c r="G3396" s="71" t="str">
        <f>MID(F3396,1,2)</f>
        <v>BR</v>
      </c>
      <c r="H3396" s="43" t="s">
        <v>4393</v>
      </c>
      <c r="I3396" s="71" t="s">
        <v>5417</v>
      </c>
      <c r="J3396" s="71" t="s">
        <v>411</v>
      </c>
      <c r="K3396" s="43"/>
      <c r="L3396" s="71" t="s">
        <v>105</v>
      </c>
      <c r="M3396" s="73">
        <v>50.2</v>
      </c>
      <c r="N3396" s="71" t="s">
        <v>388</v>
      </c>
      <c r="O3396" s="73">
        <v>0.739</v>
      </c>
      <c r="P3396" s="71" t="s">
        <v>389</v>
      </c>
      <c r="Q3396" s="73">
        <v>123.5</v>
      </c>
      <c r="R3396" s="71" t="s">
        <v>388</v>
      </c>
      <c r="S3396" s="73">
        <v>0</v>
      </c>
      <c r="T3396" s="71" t="s">
        <v>390</v>
      </c>
      <c r="U3396" s="74">
        <v>1</v>
      </c>
      <c r="V3396" s="71" t="s">
        <v>391</v>
      </c>
      <c r="W3396" s="130">
        <v>46098.8871875</v>
      </c>
      <c r="X3396" s="72">
        <v>46100.000694444447</v>
      </c>
      <c r="Y3396" s="72">
        <v>46113.46875</v>
      </c>
      <c r="Z3396" s="104" t="s">
        <v>408</v>
      </c>
      <c r="AA3396" s="104" t="s">
        <v>383</v>
      </c>
      <c r="AB3396" s="105"/>
      <c r="AC3396" s="105"/>
    </row>
    <row r="3397" s="70" customFormat="1" ht="11.25" customHeight="1">
      <c r="A3397" s="87"/>
      <c r="C3397" s="43" t="s">
        <v>5416</v>
      </c>
      <c r="D3397" s="71" t="s">
        <v>382</v>
      </c>
      <c r="E3397" s="71" t="str">
        <f>MID(D3397,1,2)</f>
        <v>IL</v>
      </c>
      <c r="F3397" s="71" t="s">
        <v>1583</v>
      </c>
      <c r="G3397" s="71" t="str">
        <f>MID(F3397,1,2)</f>
        <v>BR</v>
      </c>
      <c r="H3397" s="43" t="s">
        <v>4393</v>
      </c>
      <c r="I3397" s="71" t="s">
        <v>5417</v>
      </c>
      <c r="J3397" s="71" t="s">
        <v>411</v>
      </c>
      <c r="K3397" s="43"/>
      <c r="L3397" s="71" t="s">
        <v>105</v>
      </c>
      <c r="M3397" s="73">
        <v>50.2</v>
      </c>
      <c r="N3397" s="71" t="s">
        <v>388</v>
      </c>
      <c r="O3397" s="73">
        <v>0.739</v>
      </c>
      <c r="P3397" s="71" t="s">
        <v>389</v>
      </c>
      <c r="Q3397" s="73">
        <v>123.5</v>
      </c>
      <c r="R3397" s="71" t="s">
        <v>388</v>
      </c>
      <c r="S3397" s="73">
        <v>0</v>
      </c>
      <c r="T3397" s="71" t="s">
        <v>390</v>
      </c>
      <c r="U3397" s="74">
        <v>1</v>
      </c>
      <c r="V3397" s="71" t="s">
        <v>391</v>
      </c>
      <c r="W3397" s="130">
        <v>46098.8871875</v>
      </c>
      <c r="X3397" s="72">
        <v>46100.000694444447</v>
      </c>
      <c r="Y3397" s="72">
        <v>46113.46875</v>
      </c>
      <c r="Z3397" s="104" t="s">
        <v>383</v>
      </c>
      <c r="AA3397" s="104" t="s">
        <v>1349</v>
      </c>
      <c r="AB3397" s="105"/>
      <c r="AC3397" s="105"/>
    </row>
    <row r="3398" s="70" customFormat="1" ht="11.25" customHeight="1">
      <c r="A3398" s="87"/>
      <c r="C3398" s="43" t="s">
        <v>5416</v>
      </c>
      <c r="D3398" s="71" t="s">
        <v>382</v>
      </c>
      <c r="E3398" s="71" t="str">
        <f>MID(D3398,1,2)</f>
        <v>IL</v>
      </c>
      <c r="F3398" s="71" t="s">
        <v>1583</v>
      </c>
      <c r="G3398" s="71" t="str">
        <f>MID(F3398,1,2)</f>
        <v>BR</v>
      </c>
      <c r="H3398" s="43" t="s">
        <v>4393</v>
      </c>
      <c r="I3398" s="71" t="s">
        <v>5417</v>
      </c>
      <c r="J3398" s="71" t="s">
        <v>411</v>
      </c>
      <c r="K3398" s="43"/>
      <c r="L3398" s="71" t="s">
        <v>105</v>
      </c>
      <c r="M3398" s="73">
        <v>50.2</v>
      </c>
      <c r="N3398" s="71" t="s">
        <v>388</v>
      </c>
      <c r="O3398" s="73">
        <v>0.739</v>
      </c>
      <c r="P3398" s="71" t="s">
        <v>389</v>
      </c>
      <c r="Q3398" s="73">
        <v>123.5</v>
      </c>
      <c r="R3398" s="71" t="s">
        <v>388</v>
      </c>
      <c r="S3398" s="73">
        <v>0</v>
      </c>
      <c r="T3398" s="71" t="s">
        <v>390</v>
      </c>
      <c r="U3398" s="74">
        <v>1</v>
      </c>
      <c r="V3398" s="71" t="s">
        <v>391</v>
      </c>
      <c r="W3398" s="130">
        <v>46098.8871875</v>
      </c>
      <c r="X3398" s="72">
        <v>46100.000694444447</v>
      </c>
      <c r="Y3398" s="72">
        <v>46113.46875</v>
      </c>
      <c r="Z3398" s="104" t="s">
        <v>1349</v>
      </c>
      <c r="AA3398" s="104" t="s">
        <v>1583</v>
      </c>
      <c r="AB3398" s="105"/>
      <c r="AC3398" s="105"/>
    </row>
    <row r="3399" s="70" customFormat="1" ht="11.25" customHeight="1">
      <c r="A3399" s="87"/>
      <c r="C3399" s="43" t="s">
        <v>5418</v>
      </c>
      <c r="D3399" s="71" t="s">
        <v>382</v>
      </c>
      <c r="E3399" s="71" t="str">
        <f>MID(D3399,1,2)</f>
        <v>IL</v>
      </c>
      <c r="F3399" s="71" t="s">
        <v>443</v>
      </c>
      <c r="G3399" s="71" t="str">
        <f>MID(F3399,1,2)</f>
        <v>US</v>
      </c>
      <c r="H3399" s="43" t="s">
        <v>5194</v>
      </c>
      <c r="I3399" s="71" t="s">
        <v>5419</v>
      </c>
      <c r="J3399" s="71" t="s">
        <v>386</v>
      </c>
      <c r="K3399" s="43"/>
      <c r="L3399" s="71" t="s">
        <v>107</v>
      </c>
      <c r="M3399" s="73">
        <v>107</v>
      </c>
      <c r="N3399" s="71" t="s">
        <v>388</v>
      </c>
      <c r="O3399" s="73">
        <v>0.874</v>
      </c>
      <c r="P3399" s="71" t="s">
        <v>389</v>
      </c>
      <c r="Q3399" s="73">
        <v>146</v>
      </c>
      <c r="R3399" s="71" t="s">
        <v>388</v>
      </c>
      <c r="S3399" s="73">
        <v>0</v>
      </c>
      <c r="T3399" s="71" t="s">
        <v>390</v>
      </c>
      <c r="U3399" s="74">
        <v>1</v>
      </c>
      <c r="V3399" s="71" t="s">
        <v>446</v>
      </c>
      <c r="W3399" s="130">
        <v>46098.438194444447</v>
      </c>
      <c r="X3399" s="72">
        <v>46100.333333333336</v>
      </c>
      <c r="Y3399" s="72">
        <v>46103.441666666666</v>
      </c>
      <c r="Z3399" s="104" t="s">
        <v>382</v>
      </c>
      <c r="AA3399" s="104" t="s">
        <v>471</v>
      </c>
      <c r="AB3399" s="105">
        <v>46100.77847222222</v>
      </c>
      <c r="AC3399" s="105"/>
    </row>
    <row r="3400" s="70" customFormat="1" ht="11.25" customHeight="1">
      <c r="A3400" s="87"/>
      <c r="C3400" s="43" t="s">
        <v>5418</v>
      </c>
      <c r="D3400" s="71" t="s">
        <v>382</v>
      </c>
      <c r="E3400" s="71" t="str">
        <f>MID(D3400,1,2)</f>
        <v>IL</v>
      </c>
      <c r="F3400" s="71" t="s">
        <v>443</v>
      </c>
      <c r="G3400" s="71" t="str">
        <f>MID(F3400,1,2)</f>
        <v>US</v>
      </c>
      <c r="H3400" s="43" t="s">
        <v>5194</v>
      </c>
      <c r="I3400" s="71" t="s">
        <v>5419</v>
      </c>
      <c r="J3400" s="71" t="s">
        <v>386</v>
      </c>
      <c r="K3400" s="43"/>
      <c r="L3400" s="71" t="s">
        <v>107</v>
      </c>
      <c r="M3400" s="73">
        <v>107</v>
      </c>
      <c r="N3400" s="71" t="s">
        <v>388</v>
      </c>
      <c r="O3400" s="73">
        <v>0.874</v>
      </c>
      <c r="P3400" s="71" t="s">
        <v>389</v>
      </c>
      <c r="Q3400" s="73">
        <v>146</v>
      </c>
      <c r="R3400" s="71" t="s">
        <v>388</v>
      </c>
      <c r="S3400" s="73">
        <v>0</v>
      </c>
      <c r="T3400" s="71" t="s">
        <v>390</v>
      </c>
      <c r="U3400" s="74">
        <v>1</v>
      </c>
      <c r="V3400" s="71" t="s">
        <v>446</v>
      </c>
      <c r="W3400" s="130">
        <v>46098.438194444447</v>
      </c>
      <c r="X3400" s="72">
        <v>46100.333333333336</v>
      </c>
      <c r="Y3400" s="72">
        <v>46103.441666666666</v>
      </c>
      <c r="Z3400" s="104" t="s">
        <v>471</v>
      </c>
      <c r="AA3400" s="104" t="s">
        <v>443</v>
      </c>
      <c r="AB3400" s="105"/>
      <c r="AC3400" s="105"/>
    </row>
    <row r="3401" s="70" customFormat="1" ht="11.25" customHeight="1">
      <c r="A3401" s="87"/>
      <c r="C3401" s="43" t="s">
        <v>5420</v>
      </c>
      <c r="D3401" s="71" t="s">
        <v>382</v>
      </c>
      <c r="E3401" s="71" t="str">
        <f>MID(D3401,1,2)</f>
        <v>IL</v>
      </c>
      <c r="F3401" s="71" t="s">
        <v>443</v>
      </c>
      <c r="G3401" s="71" t="str">
        <f>MID(F3401,1,2)</f>
        <v>US</v>
      </c>
      <c r="H3401" s="43" t="s">
        <v>5194</v>
      </c>
      <c r="I3401" s="71" t="s">
        <v>5421</v>
      </c>
      <c r="J3401" s="71" t="s">
        <v>386</v>
      </c>
      <c r="K3401" s="43"/>
      <c r="L3401" s="71" t="s">
        <v>107</v>
      </c>
      <c r="M3401" s="73">
        <v>68</v>
      </c>
      <c r="N3401" s="71" t="s">
        <v>388</v>
      </c>
      <c r="O3401" s="73">
        <v>0.605</v>
      </c>
      <c r="P3401" s="71" t="s">
        <v>389</v>
      </c>
      <c r="Q3401" s="73">
        <v>101</v>
      </c>
      <c r="R3401" s="71" t="s">
        <v>388</v>
      </c>
      <c r="S3401" s="73">
        <v>0</v>
      </c>
      <c r="T3401" s="71" t="s">
        <v>390</v>
      </c>
      <c r="U3401" s="74">
        <v>1</v>
      </c>
      <c r="V3401" s="71" t="s">
        <v>446</v>
      </c>
      <c r="W3401" s="130">
        <v>46099.621527777781</v>
      </c>
      <c r="X3401" s="72">
        <v>46100.333333333336</v>
      </c>
      <c r="Y3401" s="72">
        <v>46103.441666666666</v>
      </c>
      <c r="Z3401" s="104" t="s">
        <v>382</v>
      </c>
      <c r="AA3401" s="104" t="s">
        <v>471</v>
      </c>
      <c r="AB3401" s="105">
        <v>46100.77847222222</v>
      </c>
      <c r="AC3401" s="105"/>
    </row>
    <row r="3402" s="70" customFormat="1" ht="11.25" customHeight="1">
      <c r="A3402" s="87"/>
      <c r="C3402" s="43" t="s">
        <v>5420</v>
      </c>
      <c r="D3402" s="71" t="s">
        <v>382</v>
      </c>
      <c r="E3402" s="71" t="str">
        <f>MID(D3402,1,2)</f>
        <v>IL</v>
      </c>
      <c r="F3402" s="71" t="s">
        <v>443</v>
      </c>
      <c r="G3402" s="71" t="str">
        <f>MID(F3402,1,2)</f>
        <v>US</v>
      </c>
      <c r="H3402" s="43" t="s">
        <v>5194</v>
      </c>
      <c r="I3402" s="71" t="s">
        <v>5421</v>
      </c>
      <c r="J3402" s="71" t="s">
        <v>386</v>
      </c>
      <c r="K3402" s="43"/>
      <c r="L3402" s="71" t="s">
        <v>107</v>
      </c>
      <c r="M3402" s="73">
        <v>68</v>
      </c>
      <c r="N3402" s="71" t="s">
        <v>388</v>
      </c>
      <c r="O3402" s="73">
        <v>0.605</v>
      </c>
      <c r="P3402" s="71" t="s">
        <v>389</v>
      </c>
      <c r="Q3402" s="73">
        <v>101</v>
      </c>
      <c r="R3402" s="71" t="s">
        <v>388</v>
      </c>
      <c r="S3402" s="73">
        <v>0</v>
      </c>
      <c r="T3402" s="71" t="s">
        <v>390</v>
      </c>
      <c r="U3402" s="74">
        <v>1</v>
      </c>
      <c r="V3402" s="71" t="s">
        <v>446</v>
      </c>
      <c r="W3402" s="130">
        <v>46099.621527777781</v>
      </c>
      <c r="X3402" s="72">
        <v>46100.333333333336</v>
      </c>
      <c r="Y3402" s="72">
        <v>46103.441666666666</v>
      </c>
      <c r="Z3402" s="104" t="s">
        <v>471</v>
      </c>
      <c r="AA3402" s="104" t="s">
        <v>443</v>
      </c>
      <c r="AB3402" s="105"/>
      <c r="AC3402" s="105"/>
    </row>
    <row r="3403" s="70" customFormat="1" ht="11.25" customHeight="1">
      <c r="A3403" s="87"/>
      <c r="C3403" s="43" t="s">
        <v>5422</v>
      </c>
      <c r="D3403" s="71" t="s">
        <v>382</v>
      </c>
      <c r="E3403" s="71" t="str">
        <f>MID(D3403,1,2)</f>
        <v>IL</v>
      </c>
      <c r="F3403" s="71" t="s">
        <v>408</v>
      </c>
      <c r="G3403" s="71" t="str">
        <f>MID(F3403,1,2)</f>
        <v>GR</v>
      </c>
      <c r="H3403" s="43" t="s">
        <v>5267</v>
      </c>
      <c r="I3403" s="71" t="s">
        <v>5423</v>
      </c>
      <c r="J3403" s="71" t="s">
        <v>400</v>
      </c>
      <c r="K3403" s="43"/>
      <c r="L3403" s="71" t="s">
        <v>105</v>
      </c>
      <c r="M3403" s="73">
        <v>106</v>
      </c>
      <c r="N3403" s="71" t="s">
        <v>388</v>
      </c>
      <c r="O3403" s="73">
        <v>1.649</v>
      </c>
      <c r="P3403" s="71" t="s">
        <v>389</v>
      </c>
      <c r="Q3403" s="73">
        <v>275</v>
      </c>
      <c r="R3403" s="71" t="s">
        <v>388</v>
      </c>
      <c r="S3403" s="73">
        <v>0</v>
      </c>
      <c r="T3403" s="71" t="s">
        <v>390</v>
      </c>
      <c r="U3403" s="74">
        <v>3</v>
      </c>
      <c r="V3403" s="71" t="s">
        <v>391</v>
      </c>
      <c r="W3403" s="130">
        <v>46097.70208333333</v>
      </c>
      <c r="X3403" s="72">
        <v>46100</v>
      </c>
      <c r="Y3403" s="72">
        <v>46104.034722222219</v>
      </c>
      <c r="Z3403" s="104" t="s">
        <v>382</v>
      </c>
      <c r="AA3403" s="104" t="s">
        <v>408</v>
      </c>
      <c r="AB3403" s="105">
        <v>46101.465277777781</v>
      </c>
      <c r="AC3403" s="105"/>
    </row>
    <row r="3404" s="70" customFormat="1" ht="11.25" customHeight="1">
      <c r="A3404" s="87"/>
      <c r="C3404" s="43" t="s">
        <v>5424</v>
      </c>
      <c r="D3404" s="71" t="s">
        <v>382</v>
      </c>
      <c r="E3404" s="71" t="str">
        <f>MID(D3404,1,2)</f>
        <v>IL</v>
      </c>
      <c r="F3404" s="71" t="s">
        <v>465</v>
      </c>
      <c r="G3404" s="71" t="str">
        <f>MID(F3404,1,2)</f>
        <v>AZ</v>
      </c>
      <c r="H3404" s="43" t="s">
        <v>4279</v>
      </c>
      <c r="I3404" s="71" t="s">
        <v>5425</v>
      </c>
      <c r="J3404" s="71" t="s">
        <v>426</v>
      </c>
      <c r="K3404" s="43"/>
      <c r="L3404" s="71" t="s">
        <v>105</v>
      </c>
      <c r="M3404" s="73">
        <v>25</v>
      </c>
      <c r="N3404" s="71" t="s">
        <v>388</v>
      </c>
      <c r="O3404" s="73">
        <v>0.375</v>
      </c>
      <c r="P3404" s="71" t="s">
        <v>389</v>
      </c>
      <c r="Q3404" s="73">
        <v>62.5</v>
      </c>
      <c r="R3404" s="71" t="s">
        <v>388</v>
      </c>
      <c r="S3404" s="73">
        <v>0</v>
      </c>
      <c r="T3404" s="71" t="s">
        <v>390</v>
      </c>
      <c r="U3404" s="74">
        <v>1</v>
      </c>
      <c r="V3404" s="71" t="s">
        <v>391</v>
      </c>
      <c r="W3404" s="130"/>
      <c r="X3404" s="72">
        <v>46102.256944444445</v>
      </c>
      <c r="Y3404" s="72">
        <v>46130.385416666664</v>
      </c>
      <c r="Z3404" s="104" t="s">
        <v>382</v>
      </c>
      <c r="AA3404" s="104" t="s">
        <v>465</v>
      </c>
      <c r="AB3404" s="105">
        <v>46080.472916666666</v>
      </c>
      <c r="AC3404" s="105">
        <v>46080.598611111112</v>
      </c>
    </row>
    <row r="3405" s="70" customFormat="1" ht="11.25" customHeight="1">
      <c r="A3405" s="87"/>
      <c r="C3405" s="43" t="s">
        <v>5426</v>
      </c>
      <c r="D3405" s="71" t="s">
        <v>382</v>
      </c>
      <c r="E3405" s="71" t="str">
        <f>MID(D3405,1,2)</f>
        <v>IL</v>
      </c>
      <c r="F3405" s="71" t="s">
        <v>774</v>
      </c>
      <c r="G3405" s="71" t="str">
        <f>MID(F3405,1,2)</f>
        <v>CN</v>
      </c>
      <c r="H3405" s="43" t="s">
        <v>5308</v>
      </c>
      <c r="I3405" s="71" t="s">
        <v>5427</v>
      </c>
      <c r="J3405" s="71" t="s">
        <v>755</v>
      </c>
      <c r="K3405" s="43"/>
      <c r="L3405" s="71" t="s">
        <v>105</v>
      </c>
      <c r="M3405" s="73">
        <v>0.4</v>
      </c>
      <c r="N3405" s="71" t="s">
        <v>388</v>
      </c>
      <c r="O3405" s="73">
        <v>0.005</v>
      </c>
      <c r="P3405" s="71" t="s">
        <v>389</v>
      </c>
      <c r="Q3405" s="73">
        <v>1</v>
      </c>
      <c r="R3405" s="71" t="s">
        <v>388</v>
      </c>
      <c r="S3405" s="73">
        <v>0</v>
      </c>
      <c r="T3405" s="71" t="s">
        <v>390</v>
      </c>
      <c r="U3405" s="74">
        <v>1</v>
      </c>
      <c r="V3405" s="71" t="s">
        <v>391</v>
      </c>
      <c r="W3405" s="130">
        <v>46098.550370370373</v>
      </c>
      <c r="X3405" s="72">
        <v>46099.638888888891</v>
      </c>
      <c r="Y3405" s="72">
        <v>46102.996527777781</v>
      </c>
      <c r="Z3405" s="104" t="s">
        <v>382</v>
      </c>
      <c r="AA3405" s="104" t="s">
        <v>402</v>
      </c>
      <c r="AB3405" s="105">
        <v>46099.772916666669</v>
      </c>
      <c r="AC3405" s="105">
        <v>46099.724305555559</v>
      </c>
    </row>
    <row r="3406" s="70" customFormat="1" ht="11.25" customHeight="1">
      <c r="A3406" s="87"/>
      <c r="C3406" s="43" t="s">
        <v>5426</v>
      </c>
      <c r="D3406" s="71" t="s">
        <v>382</v>
      </c>
      <c r="E3406" s="71" t="str">
        <f>MID(D3406,1,2)</f>
        <v>IL</v>
      </c>
      <c r="F3406" s="71" t="s">
        <v>774</v>
      </c>
      <c r="G3406" s="71" t="str">
        <f>MID(F3406,1,2)</f>
        <v>CN</v>
      </c>
      <c r="H3406" s="43" t="s">
        <v>5308</v>
      </c>
      <c r="I3406" s="71" t="s">
        <v>5427</v>
      </c>
      <c r="J3406" s="71" t="s">
        <v>755</v>
      </c>
      <c r="K3406" s="43"/>
      <c r="L3406" s="71" t="s">
        <v>105</v>
      </c>
      <c r="M3406" s="73">
        <v>0.4</v>
      </c>
      <c r="N3406" s="71" t="s">
        <v>388</v>
      </c>
      <c r="O3406" s="73">
        <v>0.005</v>
      </c>
      <c r="P3406" s="71" t="s">
        <v>389</v>
      </c>
      <c r="Q3406" s="73">
        <v>1</v>
      </c>
      <c r="R3406" s="71" t="s">
        <v>388</v>
      </c>
      <c r="S3406" s="73">
        <v>0</v>
      </c>
      <c r="T3406" s="71" t="s">
        <v>390</v>
      </c>
      <c r="U3406" s="74">
        <v>1</v>
      </c>
      <c r="V3406" s="71" t="s">
        <v>391</v>
      </c>
      <c r="W3406" s="130">
        <v>46098.550370370373</v>
      </c>
      <c r="X3406" s="72">
        <v>46099.638888888891</v>
      </c>
      <c r="Y3406" s="72">
        <v>46102.996527777781</v>
      </c>
      <c r="Z3406" s="104" t="s">
        <v>402</v>
      </c>
      <c r="AA3406" s="104" t="s">
        <v>403</v>
      </c>
      <c r="AB3406" s="105">
        <v>46099.928472222222</v>
      </c>
      <c r="AC3406" s="105"/>
    </row>
    <row r="3407" s="70" customFormat="1" ht="11.25" customHeight="1">
      <c r="A3407" s="87"/>
      <c r="C3407" s="43" t="s">
        <v>5426</v>
      </c>
      <c r="D3407" s="71" t="s">
        <v>382</v>
      </c>
      <c r="E3407" s="71" t="str">
        <f>MID(D3407,1,2)</f>
        <v>IL</v>
      </c>
      <c r="F3407" s="71" t="s">
        <v>774</v>
      </c>
      <c r="G3407" s="71" t="str">
        <f>MID(F3407,1,2)</f>
        <v>CN</v>
      </c>
      <c r="H3407" s="43" t="s">
        <v>5308</v>
      </c>
      <c r="I3407" s="71" t="s">
        <v>5427</v>
      </c>
      <c r="J3407" s="71" t="s">
        <v>755</v>
      </c>
      <c r="K3407" s="43"/>
      <c r="L3407" s="71" t="s">
        <v>105</v>
      </c>
      <c r="M3407" s="73">
        <v>0.4</v>
      </c>
      <c r="N3407" s="71" t="s">
        <v>388</v>
      </c>
      <c r="O3407" s="73">
        <v>0.005</v>
      </c>
      <c r="P3407" s="71" t="s">
        <v>389</v>
      </c>
      <c r="Q3407" s="73">
        <v>1</v>
      </c>
      <c r="R3407" s="71" t="s">
        <v>388</v>
      </c>
      <c r="S3407" s="73">
        <v>0</v>
      </c>
      <c r="T3407" s="71" t="s">
        <v>390</v>
      </c>
      <c r="U3407" s="74">
        <v>1</v>
      </c>
      <c r="V3407" s="71" t="s">
        <v>391</v>
      </c>
      <c r="W3407" s="130">
        <v>46098.550370370373</v>
      </c>
      <c r="X3407" s="72">
        <v>46099.638888888891</v>
      </c>
      <c r="Y3407" s="72">
        <v>46102.996527777781</v>
      </c>
      <c r="Z3407" s="104" t="s">
        <v>403</v>
      </c>
      <c r="AA3407" s="104" t="s">
        <v>774</v>
      </c>
      <c r="AB3407" s="105">
        <v>46102.884722222225</v>
      </c>
      <c r="AC3407" s="105">
        <v>46102.984027777777</v>
      </c>
    </row>
    <row r="3408" s="70" customFormat="1" ht="11.25" customHeight="1">
      <c r="A3408" s="87"/>
      <c r="C3408" s="43" t="s">
        <v>5428</v>
      </c>
      <c r="D3408" s="71" t="s">
        <v>382</v>
      </c>
      <c r="E3408" s="71" t="str">
        <f>MID(D3408,1,2)</f>
        <v>IL</v>
      </c>
      <c r="F3408" s="71" t="s">
        <v>468</v>
      </c>
      <c r="G3408" s="71" t="str">
        <f>MID(F3408,1,2)</f>
        <v>US</v>
      </c>
      <c r="H3408" s="43" t="s">
        <v>5189</v>
      </c>
      <c r="I3408" s="71" t="s">
        <v>5429</v>
      </c>
      <c r="J3408" s="71" t="s">
        <v>386</v>
      </c>
      <c r="K3408" s="43"/>
      <c r="L3408" s="71" t="s">
        <v>107</v>
      </c>
      <c r="M3408" s="73">
        <v>12</v>
      </c>
      <c r="N3408" s="71" t="s">
        <v>388</v>
      </c>
      <c r="O3408" s="73">
        <v>0.11</v>
      </c>
      <c r="P3408" s="71" t="s">
        <v>389</v>
      </c>
      <c r="Q3408" s="73">
        <v>18.5</v>
      </c>
      <c r="R3408" s="71" t="s">
        <v>388</v>
      </c>
      <c r="S3408" s="73">
        <v>0</v>
      </c>
      <c r="T3408" s="71" t="s">
        <v>390</v>
      </c>
      <c r="U3408" s="74">
        <v>1</v>
      </c>
      <c r="V3408" s="71" t="s">
        <v>446</v>
      </c>
      <c r="W3408" s="130">
        <v>46098.604166666664</v>
      </c>
      <c r="X3408" s="72">
        <v>46100.333333333336</v>
      </c>
      <c r="Y3408" s="72">
        <v>46105.375</v>
      </c>
      <c r="Z3408" s="104" t="s">
        <v>382</v>
      </c>
      <c r="AA3408" s="104" t="s">
        <v>471</v>
      </c>
      <c r="AB3408" s="105">
        <v>46100.772916666669</v>
      </c>
      <c r="AC3408" s="105"/>
    </row>
    <row r="3409" s="70" customFormat="1" ht="11.25" customHeight="1">
      <c r="A3409" s="87"/>
      <c r="C3409" s="43" t="s">
        <v>5428</v>
      </c>
      <c r="D3409" s="71" t="s">
        <v>382</v>
      </c>
      <c r="E3409" s="71" t="str">
        <f>MID(D3409,1,2)</f>
        <v>IL</v>
      </c>
      <c r="F3409" s="71" t="s">
        <v>468</v>
      </c>
      <c r="G3409" s="71" t="str">
        <f>MID(F3409,1,2)</f>
        <v>US</v>
      </c>
      <c r="H3409" s="43" t="s">
        <v>5189</v>
      </c>
      <c r="I3409" s="71" t="s">
        <v>5429</v>
      </c>
      <c r="J3409" s="71" t="s">
        <v>386</v>
      </c>
      <c r="K3409" s="43"/>
      <c r="L3409" s="71" t="s">
        <v>107</v>
      </c>
      <c r="M3409" s="73">
        <v>12</v>
      </c>
      <c r="N3409" s="71" t="s">
        <v>388</v>
      </c>
      <c r="O3409" s="73">
        <v>0.11</v>
      </c>
      <c r="P3409" s="71" t="s">
        <v>389</v>
      </c>
      <c r="Q3409" s="73">
        <v>18.5</v>
      </c>
      <c r="R3409" s="71" t="s">
        <v>388</v>
      </c>
      <c r="S3409" s="73">
        <v>0</v>
      </c>
      <c r="T3409" s="71" t="s">
        <v>390</v>
      </c>
      <c r="U3409" s="74">
        <v>1</v>
      </c>
      <c r="V3409" s="71" t="s">
        <v>446</v>
      </c>
      <c r="W3409" s="130">
        <v>46098.604166666664</v>
      </c>
      <c r="X3409" s="72">
        <v>46100.333333333336</v>
      </c>
      <c r="Y3409" s="72">
        <v>46105.375</v>
      </c>
      <c r="Z3409" s="104" t="s">
        <v>471</v>
      </c>
      <c r="AA3409" s="104" t="s">
        <v>468</v>
      </c>
      <c r="AB3409" s="105"/>
      <c r="AC3409" s="105"/>
    </row>
    <row r="3410" s="70" customFormat="1" ht="11.25" customHeight="1">
      <c r="A3410" s="87"/>
      <c r="C3410" s="43" t="s">
        <v>5430</v>
      </c>
      <c r="D3410" s="71" t="s">
        <v>382</v>
      </c>
      <c r="E3410" s="71" t="str">
        <f>MID(D3410,1,2)</f>
        <v>IL</v>
      </c>
      <c r="F3410" s="71" t="s">
        <v>522</v>
      </c>
      <c r="G3410" s="71" t="str">
        <f>MID(F3410,1,2)</f>
        <v>CZ</v>
      </c>
      <c r="H3410" s="43" t="s">
        <v>5431</v>
      </c>
      <c r="I3410" s="71" t="s">
        <v>5432</v>
      </c>
      <c r="J3410" s="71" t="s">
        <v>386</v>
      </c>
      <c r="K3410" s="43"/>
      <c r="L3410" s="71" t="s">
        <v>107</v>
      </c>
      <c r="M3410" s="73">
        <v>8</v>
      </c>
      <c r="N3410" s="71" t="s">
        <v>388</v>
      </c>
      <c r="O3410" s="73">
        <v>0.059</v>
      </c>
      <c r="P3410" s="71" t="s">
        <v>389</v>
      </c>
      <c r="Q3410" s="73">
        <v>10</v>
      </c>
      <c r="R3410" s="71" t="s">
        <v>388</v>
      </c>
      <c r="S3410" s="73">
        <v>0</v>
      </c>
      <c r="T3410" s="71" t="s">
        <v>390</v>
      </c>
      <c r="U3410" s="74">
        <v>1</v>
      </c>
      <c r="V3410" s="71" t="s">
        <v>391</v>
      </c>
      <c r="W3410" s="130">
        <v>46098.361805555556</v>
      </c>
      <c r="X3410" s="72">
        <v>46101.718055555553</v>
      </c>
      <c r="Y3410" s="72">
        <v>46106.719444444447</v>
      </c>
      <c r="Z3410" s="104" t="s">
        <v>382</v>
      </c>
      <c r="AA3410" s="104" t="s">
        <v>3173</v>
      </c>
      <c r="AB3410" s="105">
        <v>46101.60625</v>
      </c>
      <c r="AC3410" s="105"/>
    </row>
    <row r="3411" s="70" customFormat="1" ht="11.25" customHeight="1">
      <c r="A3411" s="87"/>
      <c r="C3411" s="43" t="s">
        <v>5430</v>
      </c>
      <c r="D3411" s="71" t="s">
        <v>382</v>
      </c>
      <c r="E3411" s="71" t="str">
        <f>MID(D3411,1,2)</f>
        <v>IL</v>
      </c>
      <c r="F3411" s="71" t="s">
        <v>522</v>
      </c>
      <c r="G3411" s="71" t="str">
        <f>MID(F3411,1,2)</f>
        <v>CZ</v>
      </c>
      <c r="H3411" s="43" t="s">
        <v>5431</v>
      </c>
      <c r="I3411" s="71" t="s">
        <v>5432</v>
      </c>
      <c r="J3411" s="71" t="s">
        <v>386</v>
      </c>
      <c r="K3411" s="43"/>
      <c r="L3411" s="71" t="s">
        <v>107</v>
      </c>
      <c r="M3411" s="73">
        <v>8</v>
      </c>
      <c r="N3411" s="71" t="s">
        <v>388</v>
      </c>
      <c r="O3411" s="73">
        <v>0.059</v>
      </c>
      <c r="P3411" s="71" t="s">
        <v>389</v>
      </c>
      <c r="Q3411" s="73">
        <v>10</v>
      </c>
      <c r="R3411" s="71" t="s">
        <v>388</v>
      </c>
      <c r="S3411" s="73">
        <v>0</v>
      </c>
      <c r="T3411" s="71" t="s">
        <v>390</v>
      </c>
      <c r="U3411" s="74">
        <v>1</v>
      </c>
      <c r="V3411" s="71" t="s">
        <v>391</v>
      </c>
      <c r="W3411" s="130">
        <v>46098.361805555556</v>
      </c>
      <c r="X3411" s="72">
        <v>46101.718055555553</v>
      </c>
      <c r="Y3411" s="72">
        <v>46106.719444444447</v>
      </c>
      <c r="Z3411" s="104" t="s">
        <v>3173</v>
      </c>
      <c r="AA3411" s="104" t="s">
        <v>408</v>
      </c>
      <c r="AB3411" s="105"/>
      <c r="AC3411" s="105"/>
    </row>
    <row r="3412" s="70" customFormat="1" ht="11.25" customHeight="1">
      <c r="A3412" s="87"/>
      <c r="C3412" s="43" t="s">
        <v>5430</v>
      </c>
      <c r="D3412" s="71" t="s">
        <v>382</v>
      </c>
      <c r="E3412" s="71" t="str">
        <f>MID(D3412,1,2)</f>
        <v>IL</v>
      </c>
      <c r="F3412" s="71" t="s">
        <v>522</v>
      </c>
      <c r="G3412" s="71" t="str">
        <f>MID(F3412,1,2)</f>
        <v>CZ</v>
      </c>
      <c r="H3412" s="43" t="s">
        <v>5431</v>
      </c>
      <c r="I3412" s="71" t="s">
        <v>5432</v>
      </c>
      <c r="J3412" s="71" t="s">
        <v>386</v>
      </c>
      <c r="K3412" s="43"/>
      <c r="L3412" s="71" t="s">
        <v>107</v>
      </c>
      <c r="M3412" s="73">
        <v>8</v>
      </c>
      <c r="N3412" s="71" t="s">
        <v>388</v>
      </c>
      <c r="O3412" s="73">
        <v>0.059</v>
      </c>
      <c r="P3412" s="71" t="s">
        <v>389</v>
      </c>
      <c r="Q3412" s="73">
        <v>10</v>
      </c>
      <c r="R3412" s="71" t="s">
        <v>388</v>
      </c>
      <c r="S3412" s="73">
        <v>0</v>
      </c>
      <c r="T3412" s="71" t="s">
        <v>390</v>
      </c>
      <c r="U3412" s="74">
        <v>1</v>
      </c>
      <c r="V3412" s="71" t="s">
        <v>391</v>
      </c>
      <c r="W3412" s="130">
        <v>46098.361805555556</v>
      </c>
      <c r="X3412" s="72">
        <v>46101.718055555553</v>
      </c>
      <c r="Y3412" s="72">
        <v>46106.719444444447</v>
      </c>
      <c r="Z3412" s="104" t="s">
        <v>408</v>
      </c>
      <c r="AA3412" s="104" t="s">
        <v>522</v>
      </c>
      <c r="AB3412" s="105"/>
      <c r="AC3412" s="105"/>
    </row>
    <row r="3413" s="70" customFormat="1" ht="11.25" customHeight="1">
      <c r="A3413" s="87"/>
      <c r="C3413" s="43" t="s">
        <v>5433</v>
      </c>
      <c r="D3413" s="71" t="s">
        <v>382</v>
      </c>
      <c r="E3413" s="71" t="str">
        <f>MID(D3413,1,2)</f>
        <v>IL</v>
      </c>
      <c r="F3413" s="71" t="s">
        <v>419</v>
      </c>
      <c r="G3413" s="71" t="str">
        <f>MID(F3413,1,2)</f>
        <v>US</v>
      </c>
      <c r="H3413" s="43" t="s">
        <v>5434</v>
      </c>
      <c r="I3413" s="71" t="s">
        <v>5435</v>
      </c>
      <c r="J3413" s="71" t="s">
        <v>386</v>
      </c>
      <c r="K3413" s="43"/>
      <c r="L3413" s="71" t="s">
        <v>107</v>
      </c>
      <c r="M3413" s="73">
        <v>85</v>
      </c>
      <c r="N3413" s="71" t="s">
        <v>388</v>
      </c>
      <c r="O3413" s="73">
        <v>1.451</v>
      </c>
      <c r="P3413" s="71" t="s">
        <v>389</v>
      </c>
      <c r="Q3413" s="73">
        <v>242</v>
      </c>
      <c r="R3413" s="71" t="s">
        <v>388</v>
      </c>
      <c r="S3413" s="73">
        <v>0</v>
      </c>
      <c r="T3413" s="71" t="s">
        <v>390</v>
      </c>
      <c r="U3413" s="74">
        <v>1</v>
      </c>
      <c r="V3413" s="71" t="s">
        <v>391</v>
      </c>
      <c r="W3413" s="130">
        <v>46097.722916666666</v>
      </c>
      <c r="X3413" s="72">
        <v>46100.625</v>
      </c>
      <c r="Y3413" s="72">
        <v>46103.761111111111</v>
      </c>
      <c r="Z3413" s="104" t="s">
        <v>382</v>
      </c>
      <c r="AA3413" s="104" t="s">
        <v>471</v>
      </c>
      <c r="AB3413" s="105">
        <v>46100.78125</v>
      </c>
      <c r="AC3413" s="105"/>
    </row>
    <row r="3414" s="70" customFormat="1" ht="11.25" customHeight="1">
      <c r="A3414" s="87"/>
      <c r="C3414" s="43" t="s">
        <v>5433</v>
      </c>
      <c r="D3414" s="71" t="s">
        <v>382</v>
      </c>
      <c r="E3414" s="71" t="str">
        <f>MID(D3414,1,2)</f>
        <v>IL</v>
      </c>
      <c r="F3414" s="71" t="s">
        <v>419</v>
      </c>
      <c r="G3414" s="71" t="str">
        <f>MID(F3414,1,2)</f>
        <v>US</v>
      </c>
      <c r="H3414" s="43" t="s">
        <v>5434</v>
      </c>
      <c r="I3414" s="71" t="s">
        <v>5435</v>
      </c>
      <c r="J3414" s="71" t="s">
        <v>386</v>
      </c>
      <c r="K3414" s="43"/>
      <c r="L3414" s="71" t="s">
        <v>107</v>
      </c>
      <c r="M3414" s="73">
        <v>85</v>
      </c>
      <c r="N3414" s="71" t="s">
        <v>388</v>
      </c>
      <c r="O3414" s="73">
        <v>1.451</v>
      </c>
      <c r="P3414" s="71" t="s">
        <v>389</v>
      </c>
      <c r="Q3414" s="73">
        <v>242</v>
      </c>
      <c r="R3414" s="71" t="s">
        <v>388</v>
      </c>
      <c r="S3414" s="73">
        <v>0</v>
      </c>
      <c r="T3414" s="71" t="s">
        <v>390</v>
      </c>
      <c r="U3414" s="74">
        <v>1</v>
      </c>
      <c r="V3414" s="71" t="s">
        <v>391</v>
      </c>
      <c r="W3414" s="130">
        <v>46097.722916666666</v>
      </c>
      <c r="X3414" s="72">
        <v>46100.625</v>
      </c>
      <c r="Y3414" s="72">
        <v>46103.761111111111</v>
      </c>
      <c r="Z3414" s="104" t="s">
        <v>471</v>
      </c>
      <c r="AA3414" s="104" t="s">
        <v>419</v>
      </c>
      <c r="AB3414" s="105">
        <v>46102.296527777777</v>
      </c>
      <c r="AC3414" s="105">
        <v>46102.40902777778</v>
      </c>
    </row>
    <row r="3415" s="70" customFormat="1" ht="11.25" customHeight="1">
      <c r="A3415" s="87"/>
      <c r="C3415" s="43" t="s">
        <v>5436</v>
      </c>
      <c r="D3415" s="71" t="s">
        <v>382</v>
      </c>
      <c r="E3415" s="71" t="str">
        <f>MID(D3415,1,2)</f>
        <v>IL</v>
      </c>
      <c r="F3415" s="71" t="s">
        <v>817</v>
      </c>
      <c r="G3415" s="71" t="str">
        <f>MID(F3415,1,2)</f>
        <v>IN</v>
      </c>
      <c r="H3415" s="43" t="s">
        <v>5437</v>
      </c>
      <c r="I3415" s="71" t="s">
        <v>5438</v>
      </c>
      <c r="J3415" s="71" t="s">
        <v>426</v>
      </c>
      <c r="K3415" s="43"/>
      <c r="L3415" s="71" t="s">
        <v>105</v>
      </c>
      <c r="M3415" s="73">
        <v>3</v>
      </c>
      <c r="N3415" s="71" t="s">
        <v>388</v>
      </c>
      <c r="O3415" s="73">
        <v>0.029</v>
      </c>
      <c r="P3415" s="71" t="s">
        <v>389</v>
      </c>
      <c r="Q3415" s="73">
        <v>5</v>
      </c>
      <c r="R3415" s="71" t="s">
        <v>388</v>
      </c>
      <c r="S3415" s="73">
        <v>0</v>
      </c>
      <c r="T3415" s="71" t="s">
        <v>390</v>
      </c>
      <c r="U3415" s="74">
        <v>1</v>
      </c>
      <c r="V3415" s="71" t="s">
        <v>391</v>
      </c>
      <c r="W3415" s="130">
        <v>46098.883645833332</v>
      </c>
      <c r="X3415" s="72">
        <v>46101.000694444447</v>
      </c>
      <c r="Y3415" s="72">
        <v>46110.0625</v>
      </c>
      <c r="Z3415" s="104" t="s">
        <v>382</v>
      </c>
      <c r="AA3415" s="104" t="s">
        <v>408</v>
      </c>
      <c r="AB3415" s="105"/>
      <c r="AC3415" s="105"/>
    </row>
    <row r="3416" s="70" customFormat="1" ht="11.25" customHeight="1">
      <c r="A3416" s="87"/>
      <c r="C3416" s="43" t="s">
        <v>5436</v>
      </c>
      <c r="D3416" s="71" t="s">
        <v>382</v>
      </c>
      <c r="E3416" s="71" t="str">
        <f>MID(D3416,1,2)</f>
        <v>IL</v>
      </c>
      <c r="F3416" s="71" t="s">
        <v>817</v>
      </c>
      <c r="G3416" s="71" t="str">
        <f>MID(F3416,1,2)</f>
        <v>IN</v>
      </c>
      <c r="H3416" s="43" t="s">
        <v>5437</v>
      </c>
      <c r="I3416" s="71" t="s">
        <v>5438</v>
      </c>
      <c r="J3416" s="71" t="s">
        <v>426</v>
      </c>
      <c r="K3416" s="43"/>
      <c r="L3416" s="71" t="s">
        <v>105</v>
      </c>
      <c r="M3416" s="73">
        <v>3</v>
      </c>
      <c r="N3416" s="71" t="s">
        <v>388</v>
      </c>
      <c r="O3416" s="73">
        <v>0.029</v>
      </c>
      <c r="P3416" s="71" t="s">
        <v>389</v>
      </c>
      <c r="Q3416" s="73">
        <v>5</v>
      </c>
      <c r="R3416" s="71" t="s">
        <v>388</v>
      </c>
      <c r="S3416" s="73">
        <v>0</v>
      </c>
      <c r="T3416" s="71" t="s">
        <v>390</v>
      </c>
      <c r="U3416" s="74">
        <v>1</v>
      </c>
      <c r="V3416" s="71" t="s">
        <v>391</v>
      </c>
      <c r="W3416" s="130">
        <v>46098.883645833332</v>
      </c>
      <c r="X3416" s="72">
        <v>46101.000694444447</v>
      </c>
      <c r="Y3416" s="72">
        <v>46110.0625</v>
      </c>
      <c r="Z3416" s="104" t="s">
        <v>408</v>
      </c>
      <c r="AA3416" s="104" t="s">
        <v>383</v>
      </c>
      <c r="AB3416" s="105"/>
      <c r="AC3416" s="105"/>
    </row>
    <row r="3417" s="70" customFormat="1" ht="11.25" customHeight="1">
      <c r="A3417" s="87"/>
      <c r="C3417" s="43" t="s">
        <v>5436</v>
      </c>
      <c r="D3417" s="71" t="s">
        <v>382</v>
      </c>
      <c r="E3417" s="71" t="str">
        <f>MID(D3417,1,2)</f>
        <v>IL</v>
      </c>
      <c r="F3417" s="71" t="s">
        <v>817</v>
      </c>
      <c r="G3417" s="71" t="str">
        <f>MID(F3417,1,2)</f>
        <v>IN</v>
      </c>
      <c r="H3417" s="43" t="s">
        <v>5437</v>
      </c>
      <c r="I3417" s="71" t="s">
        <v>5438</v>
      </c>
      <c r="J3417" s="71" t="s">
        <v>426</v>
      </c>
      <c r="K3417" s="43"/>
      <c r="L3417" s="71" t="s">
        <v>105</v>
      </c>
      <c r="M3417" s="73">
        <v>3</v>
      </c>
      <c r="N3417" s="71" t="s">
        <v>388</v>
      </c>
      <c r="O3417" s="73">
        <v>0.029</v>
      </c>
      <c r="P3417" s="71" t="s">
        <v>389</v>
      </c>
      <c r="Q3417" s="73">
        <v>5</v>
      </c>
      <c r="R3417" s="71" t="s">
        <v>388</v>
      </c>
      <c r="S3417" s="73">
        <v>0</v>
      </c>
      <c r="T3417" s="71" t="s">
        <v>390</v>
      </c>
      <c r="U3417" s="74">
        <v>1</v>
      </c>
      <c r="V3417" s="71" t="s">
        <v>391</v>
      </c>
      <c r="W3417" s="130">
        <v>46098.883645833332</v>
      </c>
      <c r="X3417" s="72">
        <v>46101.000694444447</v>
      </c>
      <c r="Y3417" s="72">
        <v>46110.0625</v>
      </c>
      <c r="Z3417" s="104" t="s">
        <v>383</v>
      </c>
      <c r="AA3417" s="104" t="s">
        <v>817</v>
      </c>
      <c r="AB3417" s="105"/>
      <c r="AC3417" s="105"/>
    </row>
    <row r="3418" s="70" customFormat="1" ht="11.25" customHeight="1">
      <c r="A3418" s="87"/>
      <c r="C3418" s="43" t="s">
        <v>5439</v>
      </c>
      <c r="D3418" s="71" t="s">
        <v>382</v>
      </c>
      <c r="E3418" s="71" t="str">
        <f>MID(D3418,1,2)</f>
        <v>IL</v>
      </c>
      <c r="F3418" s="71" t="s">
        <v>522</v>
      </c>
      <c r="G3418" s="71" t="str">
        <f>MID(F3418,1,2)</f>
        <v>CZ</v>
      </c>
      <c r="H3418" s="43" t="s">
        <v>5431</v>
      </c>
      <c r="I3418" s="71" t="s">
        <v>5440</v>
      </c>
      <c r="J3418" s="71" t="s">
        <v>386</v>
      </c>
      <c r="K3418" s="43"/>
      <c r="L3418" s="71" t="s">
        <v>107</v>
      </c>
      <c r="M3418" s="73">
        <v>2</v>
      </c>
      <c r="N3418" s="71" t="s">
        <v>388</v>
      </c>
      <c r="O3418" s="73">
        <v>0.012</v>
      </c>
      <c r="P3418" s="71" t="s">
        <v>389</v>
      </c>
      <c r="Q3418" s="73">
        <v>2</v>
      </c>
      <c r="R3418" s="71" t="s">
        <v>388</v>
      </c>
      <c r="S3418" s="73">
        <v>0</v>
      </c>
      <c r="T3418" s="71" t="s">
        <v>390</v>
      </c>
      <c r="U3418" s="74">
        <v>1</v>
      </c>
      <c r="V3418" s="71" t="s">
        <v>391</v>
      </c>
      <c r="W3418" s="130">
        <v>46098.479861111111</v>
      </c>
      <c r="X3418" s="72">
        <v>46101.718055555553</v>
      </c>
      <c r="Y3418" s="72">
        <v>46106.719444444447</v>
      </c>
      <c r="Z3418" s="104" t="s">
        <v>382</v>
      </c>
      <c r="AA3418" s="104" t="s">
        <v>3173</v>
      </c>
      <c r="AB3418" s="105">
        <v>46101.60625</v>
      </c>
      <c r="AC3418" s="105"/>
    </row>
    <row r="3419" s="70" customFormat="1" ht="11.25" customHeight="1">
      <c r="A3419" s="87"/>
      <c r="C3419" s="43" t="s">
        <v>5439</v>
      </c>
      <c r="D3419" s="71" t="s">
        <v>382</v>
      </c>
      <c r="E3419" s="71" t="str">
        <f>MID(D3419,1,2)</f>
        <v>IL</v>
      </c>
      <c r="F3419" s="71" t="s">
        <v>522</v>
      </c>
      <c r="G3419" s="71" t="str">
        <f>MID(F3419,1,2)</f>
        <v>CZ</v>
      </c>
      <c r="H3419" s="43" t="s">
        <v>5431</v>
      </c>
      <c r="I3419" s="71" t="s">
        <v>5440</v>
      </c>
      <c r="J3419" s="71" t="s">
        <v>386</v>
      </c>
      <c r="K3419" s="43"/>
      <c r="L3419" s="71" t="s">
        <v>107</v>
      </c>
      <c r="M3419" s="73">
        <v>2</v>
      </c>
      <c r="N3419" s="71" t="s">
        <v>388</v>
      </c>
      <c r="O3419" s="73">
        <v>0.012</v>
      </c>
      <c r="P3419" s="71" t="s">
        <v>389</v>
      </c>
      <c r="Q3419" s="73">
        <v>2</v>
      </c>
      <c r="R3419" s="71" t="s">
        <v>388</v>
      </c>
      <c r="S3419" s="73">
        <v>0</v>
      </c>
      <c r="T3419" s="71" t="s">
        <v>390</v>
      </c>
      <c r="U3419" s="74">
        <v>1</v>
      </c>
      <c r="V3419" s="71" t="s">
        <v>391</v>
      </c>
      <c r="W3419" s="130">
        <v>46098.479861111111</v>
      </c>
      <c r="X3419" s="72">
        <v>46101.718055555553</v>
      </c>
      <c r="Y3419" s="72">
        <v>46106.719444444447</v>
      </c>
      <c r="Z3419" s="104" t="s">
        <v>3173</v>
      </c>
      <c r="AA3419" s="104" t="s">
        <v>408</v>
      </c>
      <c r="AB3419" s="105"/>
      <c r="AC3419" s="105"/>
    </row>
    <row r="3420" s="70" customFormat="1" ht="11.25" customHeight="1">
      <c r="A3420" s="87"/>
      <c r="C3420" s="43" t="s">
        <v>5439</v>
      </c>
      <c r="D3420" s="71" t="s">
        <v>382</v>
      </c>
      <c r="E3420" s="71" t="str">
        <f>MID(D3420,1,2)</f>
        <v>IL</v>
      </c>
      <c r="F3420" s="71" t="s">
        <v>522</v>
      </c>
      <c r="G3420" s="71" t="str">
        <f>MID(F3420,1,2)</f>
        <v>CZ</v>
      </c>
      <c r="H3420" s="43" t="s">
        <v>5431</v>
      </c>
      <c r="I3420" s="71" t="s">
        <v>5440</v>
      </c>
      <c r="J3420" s="71" t="s">
        <v>386</v>
      </c>
      <c r="K3420" s="43"/>
      <c r="L3420" s="71" t="s">
        <v>107</v>
      </c>
      <c r="M3420" s="73">
        <v>2</v>
      </c>
      <c r="N3420" s="71" t="s">
        <v>388</v>
      </c>
      <c r="O3420" s="73">
        <v>0.012</v>
      </c>
      <c r="P3420" s="71" t="s">
        <v>389</v>
      </c>
      <c r="Q3420" s="73">
        <v>2</v>
      </c>
      <c r="R3420" s="71" t="s">
        <v>388</v>
      </c>
      <c r="S3420" s="73">
        <v>0</v>
      </c>
      <c r="T3420" s="71" t="s">
        <v>390</v>
      </c>
      <c r="U3420" s="74">
        <v>1</v>
      </c>
      <c r="V3420" s="71" t="s">
        <v>391</v>
      </c>
      <c r="W3420" s="130">
        <v>46098.479861111111</v>
      </c>
      <c r="X3420" s="72">
        <v>46101.718055555553</v>
      </c>
      <c r="Y3420" s="72">
        <v>46106.719444444447</v>
      </c>
      <c r="Z3420" s="104" t="s">
        <v>408</v>
      </c>
      <c r="AA3420" s="104" t="s">
        <v>522</v>
      </c>
      <c r="AB3420" s="105"/>
      <c r="AC3420" s="105"/>
    </row>
    <row r="3421" s="70" customFormat="1" ht="11.25" customHeight="1">
      <c r="A3421" s="87"/>
      <c r="C3421" s="43" t="s">
        <v>5441</v>
      </c>
      <c r="D3421" s="71" t="s">
        <v>382</v>
      </c>
      <c r="E3421" s="71" t="str">
        <f>MID(D3421,1,2)</f>
        <v>IL</v>
      </c>
      <c r="F3421" s="71" t="s">
        <v>468</v>
      </c>
      <c r="G3421" s="71" t="str">
        <f>MID(F3421,1,2)</f>
        <v>US</v>
      </c>
      <c r="H3421" s="43" t="s">
        <v>5189</v>
      </c>
      <c r="I3421" s="71" t="s">
        <v>5442</v>
      </c>
      <c r="J3421" s="71" t="s">
        <v>386</v>
      </c>
      <c r="K3421" s="43"/>
      <c r="L3421" s="71" t="s">
        <v>107</v>
      </c>
      <c r="M3421" s="73">
        <v>37</v>
      </c>
      <c r="N3421" s="71" t="s">
        <v>388</v>
      </c>
      <c r="O3421" s="73">
        <v>0.922</v>
      </c>
      <c r="P3421" s="71" t="s">
        <v>389</v>
      </c>
      <c r="Q3421" s="73">
        <v>154</v>
      </c>
      <c r="R3421" s="71" t="s">
        <v>388</v>
      </c>
      <c r="S3421" s="73">
        <v>0</v>
      </c>
      <c r="T3421" s="71" t="s">
        <v>390</v>
      </c>
      <c r="U3421" s="74">
        <v>1</v>
      </c>
      <c r="V3421" s="71" t="s">
        <v>391</v>
      </c>
      <c r="W3421" s="130">
        <v>46098.396527777775</v>
      </c>
      <c r="X3421" s="72">
        <v>46100.333333333336</v>
      </c>
      <c r="Y3421" s="72">
        <v>46105.375</v>
      </c>
      <c r="Z3421" s="104" t="s">
        <v>382</v>
      </c>
      <c r="AA3421" s="104" t="s">
        <v>471</v>
      </c>
      <c r="AB3421" s="105">
        <v>46100.772916666669</v>
      </c>
      <c r="AC3421" s="105"/>
    </row>
    <row r="3422" s="70" customFormat="1" ht="11.25" customHeight="1">
      <c r="A3422" s="87"/>
      <c r="C3422" s="43" t="s">
        <v>5441</v>
      </c>
      <c r="D3422" s="71" t="s">
        <v>382</v>
      </c>
      <c r="E3422" s="71" t="str">
        <f>MID(D3422,1,2)</f>
        <v>IL</v>
      </c>
      <c r="F3422" s="71" t="s">
        <v>468</v>
      </c>
      <c r="G3422" s="71" t="str">
        <f>MID(F3422,1,2)</f>
        <v>US</v>
      </c>
      <c r="H3422" s="43" t="s">
        <v>5189</v>
      </c>
      <c r="I3422" s="71" t="s">
        <v>5442</v>
      </c>
      <c r="J3422" s="71" t="s">
        <v>386</v>
      </c>
      <c r="K3422" s="43"/>
      <c r="L3422" s="71" t="s">
        <v>107</v>
      </c>
      <c r="M3422" s="73">
        <v>37</v>
      </c>
      <c r="N3422" s="71" t="s">
        <v>388</v>
      </c>
      <c r="O3422" s="73">
        <v>0.922</v>
      </c>
      <c r="P3422" s="71" t="s">
        <v>389</v>
      </c>
      <c r="Q3422" s="73">
        <v>154</v>
      </c>
      <c r="R3422" s="71" t="s">
        <v>388</v>
      </c>
      <c r="S3422" s="73">
        <v>0</v>
      </c>
      <c r="T3422" s="71" t="s">
        <v>390</v>
      </c>
      <c r="U3422" s="74">
        <v>1</v>
      </c>
      <c r="V3422" s="71" t="s">
        <v>391</v>
      </c>
      <c r="W3422" s="130">
        <v>46098.396527777775</v>
      </c>
      <c r="X3422" s="72">
        <v>46100.333333333336</v>
      </c>
      <c r="Y3422" s="72">
        <v>46105.375</v>
      </c>
      <c r="Z3422" s="104" t="s">
        <v>471</v>
      </c>
      <c r="AA3422" s="104" t="s">
        <v>468</v>
      </c>
      <c r="AB3422" s="105"/>
      <c r="AC3422" s="105"/>
    </row>
    <row r="3423" s="70" customFormat="1" ht="11.25" customHeight="1">
      <c r="A3423" s="87"/>
      <c r="C3423" s="43" t="s">
        <v>5443</v>
      </c>
      <c r="D3423" s="71" t="s">
        <v>382</v>
      </c>
      <c r="E3423" s="71" t="str">
        <f>MID(D3423,1,2)</f>
        <v>IL</v>
      </c>
      <c r="F3423" s="71" t="s">
        <v>774</v>
      </c>
      <c r="G3423" s="71" t="str">
        <f>MID(F3423,1,2)</f>
        <v>CN</v>
      </c>
      <c r="H3423" s="43" t="s">
        <v>5308</v>
      </c>
      <c r="I3423" s="71" t="s">
        <v>5444</v>
      </c>
      <c r="J3423" s="71" t="s">
        <v>755</v>
      </c>
      <c r="K3423" s="43"/>
      <c r="L3423" s="71" t="s">
        <v>105</v>
      </c>
      <c r="M3423" s="73">
        <v>0.7</v>
      </c>
      <c r="N3423" s="71" t="s">
        <v>388</v>
      </c>
      <c r="O3423" s="73">
        <v>0.012</v>
      </c>
      <c r="P3423" s="71" t="s">
        <v>389</v>
      </c>
      <c r="Q3423" s="73">
        <v>2</v>
      </c>
      <c r="R3423" s="71" t="s">
        <v>388</v>
      </c>
      <c r="S3423" s="73">
        <v>0</v>
      </c>
      <c r="T3423" s="71" t="s">
        <v>390</v>
      </c>
      <c r="U3423" s="74">
        <v>1</v>
      </c>
      <c r="V3423" s="71" t="s">
        <v>391</v>
      </c>
      <c r="W3423" s="130">
        <v>46098.550439814811</v>
      </c>
      <c r="X3423" s="72">
        <v>46099.638888888891</v>
      </c>
      <c r="Y3423" s="72">
        <v>46102.996527777781</v>
      </c>
      <c r="Z3423" s="104" t="s">
        <v>382</v>
      </c>
      <c r="AA3423" s="104" t="s">
        <v>402</v>
      </c>
      <c r="AB3423" s="105">
        <v>46099.772916666669</v>
      </c>
      <c r="AC3423" s="105">
        <v>46099.724305555559</v>
      </c>
    </row>
    <row r="3424" s="70" customFormat="1" ht="11.25" customHeight="1">
      <c r="A3424" s="87"/>
      <c r="C3424" s="43" t="s">
        <v>5443</v>
      </c>
      <c r="D3424" s="71" t="s">
        <v>382</v>
      </c>
      <c r="E3424" s="71" t="str">
        <f>MID(D3424,1,2)</f>
        <v>IL</v>
      </c>
      <c r="F3424" s="71" t="s">
        <v>774</v>
      </c>
      <c r="G3424" s="71" t="str">
        <f>MID(F3424,1,2)</f>
        <v>CN</v>
      </c>
      <c r="H3424" s="43" t="s">
        <v>5308</v>
      </c>
      <c r="I3424" s="71" t="s">
        <v>5444</v>
      </c>
      <c r="J3424" s="71" t="s">
        <v>755</v>
      </c>
      <c r="K3424" s="43"/>
      <c r="L3424" s="71" t="s">
        <v>105</v>
      </c>
      <c r="M3424" s="73">
        <v>0.7</v>
      </c>
      <c r="N3424" s="71" t="s">
        <v>388</v>
      </c>
      <c r="O3424" s="73">
        <v>0.012</v>
      </c>
      <c r="P3424" s="71" t="s">
        <v>389</v>
      </c>
      <c r="Q3424" s="73">
        <v>2</v>
      </c>
      <c r="R3424" s="71" t="s">
        <v>388</v>
      </c>
      <c r="S3424" s="73">
        <v>0</v>
      </c>
      <c r="T3424" s="71" t="s">
        <v>390</v>
      </c>
      <c r="U3424" s="74">
        <v>1</v>
      </c>
      <c r="V3424" s="71" t="s">
        <v>391</v>
      </c>
      <c r="W3424" s="130">
        <v>46098.550439814811</v>
      </c>
      <c r="X3424" s="72">
        <v>46099.638888888891</v>
      </c>
      <c r="Y3424" s="72">
        <v>46102.996527777781</v>
      </c>
      <c r="Z3424" s="104" t="s">
        <v>402</v>
      </c>
      <c r="AA3424" s="104" t="s">
        <v>403</v>
      </c>
      <c r="AB3424" s="105">
        <v>46099.928472222222</v>
      </c>
      <c r="AC3424" s="105"/>
    </row>
    <row r="3425" s="70" customFormat="1" ht="11.25" customHeight="1">
      <c r="A3425" s="87"/>
      <c r="C3425" s="43" t="s">
        <v>5443</v>
      </c>
      <c r="D3425" s="71" t="s">
        <v>382</v>
      </c>
      <c r="E3425" s="71" t="str">
        <f>MID(D3425,1,2)</f>
        <v>IL</v>
      </c>
      <c r="F3425" s="71" t="s">
        <v>774</v>
      </c>
      <c r="G3425" s="71" t="str">
        <f>MID(F3425,1,2)</f>
        <v>CN</v>
      </c>
      <c r="H3425" s="43" t="s">
        <v>5308</v>
      </c>
      <c r="I3425" s="71" t="s">
        <v>5444</v>
      </c>
      <c r="J3425" s="71" t="s">
        <v>755</v>
      </c>
      <c r="K3425" s="43"/>
      <c r="L3425" s="71" t="s">
        <v>105</v>
      </c>
      <c r="M3425" s="73">
        <v>0.7</v>
      </c>
      <c r="N3425" s="71" t="s">
        <v>388</v>
      </c>
      <c r="O3425" s="73">
        <v>0.012</v>
      </c>
      <c r="P3425" s="71" t="s">
        <v>389</v>
      </c>
      <c r="Q3425" s="73">
        <v>2</v>
      </c>
      <c r="R3425" s="71" t="s">
        <v>388</v>
      </c>
      <c r="S3425" s="73">
        <v>0</v>
      </c>
      <c r="T3425" s="71" t="s">
        <v>390</v>
      </c>
      <c r="U3425" s="74">
        <v>1</v>
      </c>
      <c r="V3425" s="71" t="s">
        <v>391</v>
      </c>
      <c r="W3425" s="130">
        <v>46098.550439814811</v>
      </c>
      <c r="X3425" s="72">
        <v>46099.638888888891</v>
      </c>
      <c r="Y3425" s="72">
        <v>46102.996527777781</v>
      </c>
      <c r="Z3425" s="104" t="s">
        <v>403</v>
      </c>
      <c r="AA3425" s="104" t="s">
        <v>774</v>
      </c>
      <c r="AB3425" s="105">
        <v>46102.884722222225</v>
      </c>
      <c r="AC3425" s="105">
        <v>46102.984027777777</v>
      </c>
    </row>
    <row r="3426" s="70" customFormat="1" ht="11.25" customHeight="1">
      <c r="A3426" s="87"/>
      <c r="C3426" s="43" t="s">
        <v>5445</v>
      </c>
      <c r="D3426" s="71" t="s">
        <v>382</v>
      </c>
      <c r="E3426" s="71" t="str">
        <f>MID(D3426,1,2)</f>
        <v>IL</v>
      </c>
      <c r="F3426" s="71" t="s">
        <v>419</v>
      </c>
      <c r="G3426" s="71" t="str">
        <f>MID(F3426,1,2)</f>
        <v>US</v>
      </c>
      <c r="H3426" s="43" t="s">
        <v>5446</v>
      </c>
      <c r="I3426" s="71" t="s">
        <v>5447</v>
      </c>
      <c r="J3426" s="71" t="s">
        <v>426</v>
      </c>
      <c r="K3426" s="43"/>
      <c r="L3426" s="71" t="s">
        <v>105</v>
      </c>
      <c r="M3426" s="73">
        <v>33</v>
      </c>
      <c r="N3426" s="71" t="s">
        <v>388</v>
      </c>
      <c r="O3426" s="73">
        <v>0.106</v>
      </c>
      <c r="P3426" s="71" t="s">
        <v>389</v>
      </c>
      <c r="Q3426" s="73">
        <v>100</v>
      </c>
      <c r="R3426" s="71" t="s">
        <v>388</v>
      </c>
      <c r="S3426" s="73">
        <v>0</v>
      </c>
      <c r="T3426" s="71" t="s">
        <v>390</v>
      </c>
      <c r="U3426" s="74">
        <v>1</v>
      </c>
      <c r="V3426" s="71" t="s">
        <v>391</v>
      </c>
      <c r="W3426" s="130">
        <v>46098.486111111109</v>
      </c>
      <c r="X3426" s="72">
        <v>46100.333333333336</v>
      </c>
      <c r="Y3426" s="72">
        <v>46102.791666666664</v>
      </c>
      <c r="Z3426" s="104" t="s">
        <v>382</v>
      </c>
      <c r="AA3426" s="104" t="s">
        <v>471</v>
      </c>
      <c r="AB3426" s="105">
        <v>46100.75</v>
      </c>
      <c r="AC3426" s="105"/>
    </row>
    <row r="3427" s="70" customFormat="1" ht="11.25" customHeight="1">
      <c r="A3427" s="87"/>
      <c r="C3427" s="43" t="s">
        <v>5445</v>
      </c>
      <c r="D3427" s="71" t="s">
        <v>382</v>
      </c>
      <c r="E3427" s="71" t="str">
        <f>MID(D3427,1,2)</f>
        <v>IL</v>
      </c>
      <c r="F3427" s="71" t="s">
        <v>419</v>
      </c>
      <c r="G3427" s="71" t="str">
        <f>MID(F3427,1,2)</f>
        <v>US</v>
      </c>
      <c r="H3427" s="43" t="s">
        <v>5446</v>
      </c>
      <c r="I3427" s="71" t="s">
        <v>5447</v>
      </c>
      <c r="J3427" s="71" t="s">
        <v>426</v>
      </c>
      <c r="K3427" s="43"/>
      <c r="L3427" s="71" t="s">
        <v>105</v>
      </c>
      <c r="M3427" s="73">
        <v>33</v>
      </c>
      <c r="N3427" s="71" t="s">
        <v>388</v>
      </c>
      <c r="O3427" s="73">
        <v>0.106</v>
      </c>
      <c r="P3427" s="71" t="s">
        <v>389</v>
      </c>
      <c r="Q3427" s="73">
        <v>100</v>
      </c>
      <c r="R3427" s="71" t="s">
        <v>388</v>
      </c>
      <c r="S3427" s="73">
        <v>0</v>
      </c>
      <c r="T3427" s="71" t="s">
        <v>390</v>
      </c>
      <c r="U3427" s="74">
        <v>1</v>
      </c>
      <c r="V3427" s="71" t="s">
        <v>391</v>
      </c>
      <c r="W3427" s="130">
        <v>46098.486111111109</v>
      </c>
      <c r="X3427" s="72">
        <v>46100.333333333336</v>
      </c>
      <c r="Y3427" s="72">
        <v>46102.791666666664</v>
      </c>
      <c r="Z3427" s="104" t="s">
        <v>471</v>
      </c>
      <c r="AA3427" s="104" t="s">
        <v>419</v>
      </c>
      <c r="AB3427" s="105">
        <v>46102.296527777777</v>
      </c>
      <c r="AC3427" s="105">
        <v>46102.40902777778</v>
      </c>
    </row>
    <row r="3428" s="70" customFormat="1" ht="11.25" customHeight="1">
      <c r="A3428" s="87"/>
      <c r="C3428" s="43" t="s">
        <v>5448</v>
      </c>
      <c r="D3428" s="71" t="s">
        <v>382</v>
      </c>
      <c r="E3428" s="71" t="str">
        <f>MID(D3428,1,2)</f>
        <v>IL</v>
      </c>
      <c r="F3428" s="71" t="s">
        <v>468</v>
      </c>
      <c r="G3428" s="71" t="str">
        <f>MID(F3428,1,2)</f>
        <v>US</v>
      </c>
      <c r="H3428" s="43" t="s">
        <v>5189</v>
      </c>
      <c r="I3428" s="71" t="s">
        <v>5449</v>
      </c>
      <c r="J3428" s="71" t="s">
        <v>386</v>
      </c>
      <c r="K3428" s="43"/>
      <c r="L3428" s="71" t="s">
        <v>107</v>
      </c>
      <c r="M3428" s="73">
        <v>51</v>
      </c>
      <c r="N3428" s="71" t="s">
        <v>388</v>
      </c>
      <c r="O3428" s="73">
        <v>1.421</v>
      </c>
      <c r="P3428" s="71" t="s">
        <v>389</v>
      </c>
      <c r="Q3428" s="73">
        <v>237</v>
      </c>
      <c r="R3428" s="71" t="s">
        <v>388</v>
      </c>
      <c r="S3428" s="73">
        <v>0</v>
      </c>
      <c r="T3428" s="71" t="s">
        <v>390</v>
      </c>
      <c r="U3428" s="74">
        <v>1</v>
      </c>
      <c r="V3428" s="71" t="s">
        <v>391</v>
      </c>
      <c r="W3428" s="130">
        <v>46098.8353125</v>
      </c>
      <c r="X3428" s="72">
        <v>46100.333333333336</v>
      </c>
      <c r="Y3428" s="72">
        <v>46105.375</v>
      </c>
      <c r="Z3428" s="104" t="s">
        <v>382</v>
      </c>
      <c r="AA3428" s="104" t="s">
        <v>471</v>
      </c>
      <c r="AB3428" s="105">
        <v>46100.772916666669</v>
      </c>
      <c r="AC3428" s="105"/>
    </row>
    <row r="3429" s="70" customFormat="1" ht="11.25" customHeight="1">
      <c r="A3429" s="87"/>
      <c r="C3429" s="43" t="s">
        <v>5448</v>
      </c>
      <c r="D3429" s="71" t="s">
        <v>382</v>
      </c>
      <c r="E3429" s="71" t="str">
        <f>MID(D3429,1,2)</f>
        <v>IL</v>
      </c>
      <c r="F3429" s="71" t="s">
        <v>468</v>
      </c>
      <c r="G3429" s="71" t="str">
        <f>MID(F3429,1,2)</f>
        <v>US</v>
      </c>
      <c r="H3429" s="43" t="s">
        <v>5189</v>
      </c>
      <c r="I3429" s="71" t="s">
        <v>5449</v>
      </c>
      <c r="J3429" s="71" t="s">
        <v>386</v>
      </c>
      <c r="K3429" s="43"/>
      <c r="L3429" s="71" t="s">
        <v>107</v>
      </c>
      <c r="M3429" s="73">
        <v>51</v>
      </c>
      <c r="N3429" s="71" t="s">
        <v>388</v>
      </c>
      <c r="O3429" s="73">
        <v>1.421</v>
      </c>
      <c r="P3429" s="71" t="s">
        <v>389</v>
      </c>
      <c r="Q3429" s="73">
        <v>237</v>
      </c>
      <c r="R3429" s="71" t="s">
        <v>388</v>
      </c>
      <c r="S3429" s="73">
        <v>0</v>
      </c>
      <c r="T3429" s="71" t="s">
        <v>390</v>
      </c>
      <c r="U3429" s="74">
        <v>1</v>
      </c>
      <c r="V3429" s="71" t="s">
        <v>391</v>
      </c>
      <c r="W3429" s="130">
        <v>46098.8353125</v>
      </c>
      <c r="X3429" s="72">
        <v>46100.333333333336</v>
      </c>
      <c r="Y3429" s="72">
        <v>46105.375</v>
      </c>
      <c r="Z3429" s="104" t="s">
        <v>471</v>
      </c>
      <c r="AA3429" s="104" t="s">
        <v>468</v>
      </c>
      <c r="AB3429" s="105"/>
      <c r="AC3429" s="105"/>
    </row>
    <row r="3430" s="70" customFormat="1" ht="11.25" customHeight="1">
      <c r="A3430" s="87"/>
      <c r="C3430" s="43" t="s">
        <v>5450</v>
      </c>
      <c r="D3430" s="71" t="s">
        <v>382</v>
      </c>
      <c r="E3430" s="71" t="str">
        <f>MID(D3430,1,2)</f>
        <v>IL</v>
      </c>
      <c r="F3430" s="71" t="s">
        <v>919</v>
      </c>
      <c r="G3430" s="71" t="str">
        <f>MID(F3430,1,2)</f>
        <v>CN</v>
      </c>
      <c r="H3430" s="43" t="s">
        <v>4929</v>
      </c>
      <c r="I3430" s="71" t="s">
        <v>5451</v>
      </c>
      <c r="J3430" s="71" t="s">
        <v>755</v>
      </c>
      <c r="K3430" s="43"/>
      <c r="L3430" s="71" t="s">
        <v>105</v>
      </c>
      <c r="M3430" s="73">
        <v>0.5</v>
      </c>
      <c r="N3430" s="71" t="s">
        <v>388</v>
      </c>
      <c r="O3430" s="73">
        <v>0.007</v>
      </c>
      <c r="P3430" s="71" t="s">
        <v>389</v>
      </c>
      <c r="Q3430" s="73">
        <v>1.5</v>
      </c>
      <c r="R3430" s="71" t="s">
        <v>388</v>
      </c>
      <c r="S3430" s="73">
        <v>0</v>
      </c>
      <c r="T3430" s="71" t="s">
        <v>390</v>
      </c>
      <c r="U3430" s="74">
        <v>1</v>
      </c>
      <c r="V3430" s="71" t="s">
        <v>391</v>
      </c>
      <c r="W3430" s="130">
        <v>46098.550370370373</v>
      </c>
      <c r="X3430" s="72">
        <v>46099.583333333336</v>
      </c>
      <c r="Y3430" s="72">
        <v>46102.73541666667</v>
      </c>
      <c r="Z3430" s="104" t="s">
        <v>382</v>
      </c>
      <c r="AA3430" s="104" t="s">
        <v>402</v>
      </c>
      <c r="AB3430" s="105">
        <v>46099.754166666666</v>
      </c>
      <c r="AC3430" s="105"/>
    </row>
    <row r="3431" s="70" customFormat="1" ht="11.25" customHeight="1">
      <c r="A3431" s="87"/>
      <c r="C3431" s="43" t="s">
        <v>5450</v>
      </c>
      <c r="D3431" s="71" t="s">
        <v>382</v>
      </c>
      <c r="E3431" s="71" t="str">
        <f>MID(D3431,1,2)</f>
        <v>IL</v>
      </c>
      <c r="F3431" s="71" t="s">
        <v>919</v>
      </c>
      <c r="G3431" s="71" t="str">
        <f>MID(F3431,1,2)</f>
        <v>CN</v>
      </c>
      <c r="H3431" s="43" t="s">
        <v>4929</v>
      </c>
      <c r="I3431" s="71" t="s">
        <v>5451</v>
      </c>
      <c r="J3431" s="71" t="s">
        <v>755</v>
      </c>
      <c r="K3431" s="43"/>
      <c r="L3431" s="71" t="s">
        <v>105</v>
      </c>
      <c r="M3431" s="73">
        <v>0.5</v>
      </c>
      <c r="N3431" s="71" t="s">
        <v>388</v>
      </c>
      <c r="O3431" s="73">
        <v>0.007</v>
      </c>
      <c r="P3431" s="71" t="s">
        <v>389</v>
      </c>
      <c r="Q3431" s="73">
        <v>1.5</v>
      </c>
      <c r="R3431" s="71" t="s">
        <v>388</v>
      </c>
      <c r="S3431" s="73">
        <v>0</v>
      </c>
      <c r="T3431" s="71" t="s">
        <v>390</v>
      </c>
      <c r="U3431" s="74">
        <v>1</v>
      </c>
      <c r="V3431" s="71" t="s">
        <v>391</v>
      </c>
      <c r="W3431" s="130">
        <v>46098.550370370373</v>
      </c>
      <c r="X3431" s="72">
        <v>46099.583333333336</v>
      </c>
      <c r="Y3431" s="72">
        <v>46102.73541666667</v>
      </c>
      <c r="Z3431" s="104" t="s">
        <v>402</v>
      </c>
      <c r="AA3431" s="104" t="s">
        <v>403</v>
      </c>
      <c r="AB3431" s="105">
        <v>46099.92083333333</v>
      </c>
      <c r="AC3431" s="105"/>
    </row>
    <row r="3432" s="70" customFormat="1" ht="11.25" customHeight="1">
      <c r="A3432" s="87"/>
      <c r="C3432" s="43" t="s">
        <v>5450</v>
      </c>
      <c r="D3432" s="71" t="s">
        <v>382</v>
      </c>
      <c r="E3432" s="71" t="str">
        <f>MID(D3432,1,2)</f>
        <v>IL</v>
      </c>
      <c r="F3432" s="71" t="s">
        <v>919</v>
      </c>
      <c r="G3432" s="71" t="str">
        <f>MID(F3432,1,2)</f>
        <v>CN</v>
      </c>
      <c r="H3432" s="43" t="s">
        <v>4929</v>
      </c>
      <c r="I3432" s="71" t="s">
        <v>5451</v>
      </c>
      <c r="J3432" s="71" t="s">
        <v>755</v>
      </c>
      <c r="K3432" s="43"/>
      <c r="L3432" s="71" t="s">
        <v>105</v>
      </c>
      <c r="M3432" s="73">
        <v>0.5</v>
      </c>
      <c r="N3432" s="71" t="s">
        <v>388</v>
      </c>
      <c r="O3432" s="73">
        <v>0.007</v>
      </c>
      <c r="P3432" s="71" t="s">
        <v>389</v>
      </c>
      <c r="Q3432" s="73">
        <v>1.5</v>
      </c>
      <c r="R3432" s="71" t="s">
        <v>388</v>
      </c>
      <c r="S3432" s="73">
        <v>0</v>
      </c>
      <c r="T3432" s="71" t="s">
        <v>390</v>
      </c>
      <c r="U3432" s="74">
        <v>1</v>
      </c>
      <c r="V3432" s="71" t="s">
        <v>391</v>
      </c>
      <c r="W3432" s="130">
        <v>46098.550370370373</v>
      </c>
      <c r="X3432" s="72">
        <v>46099.583333333336</v>
      </c>
      <c r="Y3432" s="72">
        <v>46102.73541666667</v>
      </c>
      <c r="Z3432" s="104" t="s">
        <v>403</v>
      </c>
      <c r="AA3432" s="104" t="s">
        <v>919</v>
      </c>
      <c r="AB3432" s="105">
        <v>46102.611111111109</v>
      </c>
      <c r="AC3432" s="105">
        <v>46102.760416666664</v>
      </c>
    </row>
    <row r="3433" s="70" customFormat="1" ht="11.25" customHeight="1">
      <c r="A3433" s="87"/>
      <c r="C3433" s="43" t="s">
        <v>5452</v>
      </c>
      <c r="D3433" s="71" t="s">
        <v>382</v>
      </c>
      <c r="E3433" s="71" t="str">
        <f>MID(D3433,1,2)</f>
        <v>IL</v>
      </c>
      <c r="F3433" s="71" t="s">
        <v>480</v>
      </c>
      <c r="G3433" s="71" t="str">
        <f>MID(F3433,1,2)</f>
        <v>CA</v>
      </c>
      <c r="H3433" s="43" t="s">
        <v>5280</v>
      </c>
      <c r="I3433" s="71" t="s">
        <v>5453</v>
      </c>
      <c r="J3433" s="71" t="s">
        <v>386</v>
      </c>
      <c r="K3433" s="43"/>
      <c r="L3433" s="71" t="s">
        <v>107</v>
      </c>
      <c r="M3433" s="73">
        <v>30</v>
      </c>
      <c r="N3433" s="71" t="s">
        <v>388</v>
      </c>
      <c r="O3433" s="73">
        <v>0.048</v>
      </c>
      <c r="P3433" s="71" t="s">
        <v>389</v>
      </c>
      <c r="Q3433" s="73">
        <v>30</v>
      </c>
      <c r="R3433" s="71" t="s">
        <v>388</v>
      </c>
      <c r="S3433" s="73">
        <v>0</v>
      </c>
      <c r="T3433" s="71" t="s">
        <v>390</v>
      </c>
      <c r="U3433" s="74">
        <v>1</v>
      </c>
      <c r="V3433" s="71" t="s">
        <v>417</v>
      </c>
      <c r="W3433" s="130">
        <v>46098.842037037037</v>
      </c>
      <c r="X3433" s="72">
        <v>46099.593055555553</v>
      </c>
      <c r="Y3433" s="72">
        <v>46108.958333333336</v>
      </c>
      <c r="Z3433" s="104" t="s">
        <v>382</v>
      </c>
      <c r="AA3433" s="104" t="s">
        <v>408</v>
      </c>
      <c r="AB3433" s="105">
        <v>46100.595138888886</v>
      </c>
      <c r="AC3433" s="105">
        <v>46101.2625</v>
      </c>
    </row>
    <row r="3434" s="70" customFormat="1" ht="11.25" customHeight="1">
      <c r="A3434" s="87"/>
      <c r="C3434" s="43" t="s">
        <v>5452</v>
      </c>
      <c r="D3434" s="71" t="s">
        <v>382</v>
      </c>
      <c r="E3434" s="71" t="str">
        <f>MID(D3434,1,2)</f>
        <v>IL</v>
      </c>
      <c r="F3434" s="71" t="s">
        <v>480</v>
      </c>
      <c r="G3434" s="71" t="str">
        <f>MID(F3434,1,2)</f>
        <v>CA</v>
      </c>
      <c r="H3434" s="43" t="s">
        <v>5280</v>
      </c>
      <c r="I3434" s="71" t="s">
        <v>5453</v>
      </c>
      <c r="J3434" s="71" t="s">
        <v>386</v>
      </c>
      <c r="K3434" s="43"/>
      <c r="L3434" s="71" t="s">
        <v>107</v>
      </c>
      <c r="M3434" s="73">
        <v>30</v>
      </c>
      <c r="N3434" s="71" t="s">
        <v>388</v>
      </c>
      <c r="O3434" s="73">
        <v>0.048</v>
      </c>
      <c r="P3434" s="71" t="s">
        <v>389</v>
      </c>
      <c r="Q3434" s="73">
        <v>30</v>
      </c>
      <c r="R3434" s="71" t="s">
        <v>388</v>
      </c>
      <c r="S3434" s="73">
        <v>0</v>
      </c>
      <c r="T3434" s="71" t="s">
        <v>390</v>
      </c>
      <c r="U3434" s="74">
        <v>1</v>
      </c>
      <c r="V3434" s="71" t="s">
        <v>417</v>
      </c>
      <c r="W3434" s="130">
        <v>46098.842037037037</v>
      </c>
      <c r="X3434" s="72">
        <v>46099.593055555553</v>
      </c>
      <c r="Y3434" s="72">
        <v>46108.958333333336</v>
      </c>
      <c r="Z3434" s="104" t="s">
        <v>408</v>
      </c>
      <c r="AA3434" s="104" t="s">
        <v>480</v>
      </c>
      <c r="AB3434" s="105"/>
      <c r="AC3434" s="105"/>
    </row>
    <row r="3435" s="70" customFormat="1" ht="11.25" customHeight="1">
      <c r="A3435" s="87"/>
      <c r="C3435" s="43" t="s">
        <v>5454</v>
      </c>
      <c r="D3435" s="71" t="s">
        <v>382</v>
      </c>
      <c r="E3435" s="71" t="str">
        <f>MID(D3435,1,2)</f>
        <v>IL</v>
      </c>
      <c r="F3435" s="71" t="s">
        <v>471</v>
      </c>
      <c r="G3435" s="71" t="str">
        <f>MID(F3435,1,2)</f>
        <v>US</v>
      </c>
      <c r="H3435" s="43" t="s">
        <v>5455</v>
      </c>
      <c r="I3435" s="71" t="s">
        <v>5456</v>
      </c>
      <c r="J3435" s="71" t="s">
        <v>454</v>
      </c>
      <c r="K3435" s="43"/>
      <c r="L3435" s="71" t="s">
        <v>107</v>
      </c>
      <c r="M3435" s="73">
        <v>4</v>
      </c>
      <c r="N3435" s="71" t="s">
        <v>388</v>
      </c>
      <c r="O3435" s="73">
        <v>0.043</v>
      </c>
      <c r="P3435" s="71" t="s">
        <v>389</v>
      </c>
      <c r="Q3435" s="73">
        <v>7.5</v>
      </c>
      <c r="R3435" s="71" t="s">
        <v>388</v>
      </c>
      <c r="S3435" s="73">
        <v>0</v>
      </c>
      <c r="T3435" s="71" t="s">
        <v>390</v>
      </c>
      <c r="U3435" s="74">
        <v>1</v>
      </c>
      <c r="V3435" s="71" t="s">
        <v>391</v>
      </c>
      <c r="W3435" s="130"/>
      <c r="X3435" s="72">
        <v>46100.416666666664</v>
      </c>
      <c r="Y3435" s="72">
        <v>46100.551388888889</v>
      </c>
      <c r="Z3435" s="104" t="s">
        <v>382</v>
      </c>
      <c r="AA3435" s="104" t="s">
        <v>471</v>
      </c>
      <c r="AB3435" s="105">
        <v>46100.78402777778</v>
      </c>
      <c r="AC3435" s="105">
        <v>46101.03402777778</v>
      </c>
    </row>
    <row r="3436" s="70" customFormat="1" ht="11.25" customHeight="1">
      <c r="A3436" s="87"/>
      <c r="C3436" s="43" t="s">
        <v>5457</v>
      </c>
      <c r="D3436" s="71" t="s">
        <v>382</v>
      </c>
      <c r="E3436" s="71" t="str">
        <f>MID(D3436,1,2)</f>
        <v>IL</v>
      </c>
      <c r="F3436" s="71" t="s">
        <v>468</v>
      </c>
      <c r="G3436" s="71" t="str">
        <f>MID(F3436,1,2)</f>
        <v>US</v>
      </c>
      <c r="H3436" s="43" t="s">
        <v>5189</v>
      </c>
      <c r="I3436" s="71" t="s">
        <v>5458</v>
      </c>
      <c r="J3436" s="71" t="s">
        <v>386</v>
      </c>
      <c r="K3436" s="43"/>
      <c r="L3436" s="71" t="s">
        <v>107</v>
      </c>
      <c r="M3436" s="73">
        <v>3</v>
      </c>
      <c r="N3436" s="71" t="s">
        <v>388</v>
      </c>
      <c r="O3436" s="73">
        <v>0.047</v>
      </c>
      <c r="P3436" s="71" t="s">
        <v>389</v>
      </c>
      <c r="Q3436" s="73">
        <v>8</v>
      </c>
      <c r="R3436" s="71" t="s">
        <v>388</v>
      </c>
      <c r="S3436" s="73">
        <v>0</v>
      </c>
      <c r="T3436" s="71" t="s">
        <v>390</v>
      </c>
      <c r="U3436" s="74">
        <v>1</v>
      </c>
      <c r="V3436" s="71" t="s">
        <v>446</v>
      </c>
      <c r="W3436" s="130">
        <v>46098.521527777775</v>
      </c>
      <c r="X3436" s="72">
        <v>46100.333333333336</v>
      </c>
      <c r="Y3436" s="72">
        <v>46105.375</v>
      </c>
      <c r="Z3436" s="104" t="s">
        <v>382</v>
      </c>
      <c r="AA3436" s="104" t="s">
        <v>471</v>
      </c>
      <c r="AB3436" s="105">
        <v>46100.772916666669</v>
      </c>
      <c r="AC3436" s="105"/>
    </row>
    <row r="3437" s="70" customFormat="1" ht="11.25" customHeight="1">
      <c r="A3437" s="87"/>
      <c r="C3437" s="43" t="s">
        <v>5457</v>
      </c>
      <c r="D3437" s="71" t="s">
        <v>382</v>
      </c>
      <c r="E3437" s="71" t="str">
        <f>MID(D3437,1,2)</f>
        <v>IL</v>
      </c>
      <c r="F3437" s="71" t="s">
        <v>468</v>
      </c>
      <c r="G3437" s="71" t="str">
        <f>MID(F3437,1,2)</f>
        <v>US</v>
      </c>
      <c r="H3437" s="43" t="s">
        <v>5189</v>
      </c>
      <c r="I3437" s="71" t="s">
        <v>5458</v>
      </c>
      <c r="J3437" s="71" t="s">
        <v>386</v>
      </c>
      <c r="K3437" s="43"/>
      <c r="L3437" s="71" t="s">
        <v>107</v>
      </c>
      <c r="M3437" s="73">
        <v>3</v>
      </c>
      <c r="N3437" s="71" t="s">
        <v>388</v>
      </c>
      <c r="O3437" s="73">
        <v>0.047</v>
      </c>
      <c r="P3437" s="71" t="s">
        <v>389</v>
      </c>
      <c r="Q3437" s="73">
        <v>8</v>
      </c>
      <c r="R3437" s="71" t="s">
        <v>388</v>
      </c>
      <c r="S3437" s="73">
        <v>0</v>
      </c>
      <c r="T3437" s="71" t="s">
        <v>390</v>
      </c>
      <c r="U3437" s="74">
        <v>1</v>
      </c>
      <c r="V3437" s="71" t="s">
        <v>446</v>
      </c>
      <c r="W3437" s="130">
        <v>46098.521527777775</v>
      </c>
      <c r="X3437" s="72">
        <v>46100.333333333336</v>
      </c>
      <c r="Y3437" s="72">
        <v>46105.375</v>
      </c>
      <c r="Z3437" s="104" t="s">
        <v>471</v>
      </c>
      <c r="AA3437" s="104" t="s">
        <v>468</v>
      </c>
      <c r="AB3437" s="105"/>
      <c r="AC3437" s="105"/>
    </row>
    <row r="3438" s="70" customFormat="1" ht="11.25" customHeight="1">
      <c r="A3438" s="87"/>
      <c r="C3438" s="43" t="s">
        <v>5459</v>
      </c>
      <c r="D3438" s="71" t="s">
        <v>382</v>
      </c>
      <c r="E3438" s="71" t="str">
        <f>MID(D3438,1,2)</f>
        <v>IL</v>
      </c>
      <c r="F3438" s="71" t="s">
        <v>774</v>
      </c>
      <c r="G3438" s="71" t="str">
        <f>MID(F3438,1,2)</f>
        <v>CN</v>
      </c>
      <c r="H3438" s="43" t="s">
        <v>5308</v>
      </c>
      <c r="I3438" s="71" t="s">
        <v>5460</v>
      </c>
      <c r="J3438" s="71" t="s">
        <v>755</v>
      </c>
      <c r="K3438" s="43"/>
      <c r="L3438" s="71" t="s">
        <v>105</v>
      </c>
      <c r="M3438" s="73">
        <v>54</v>
      </c>
      <c r="N3438" s="71" t="s">
        <v>388</v>
      </c>
      <c r="O3438" s="73">
        <v>0.273</v>
      </c>
      <c r="P3438" s="71" t="s">
        <v>389</v>
      </c>
      <c r="Q3438" s="73">
        <v>54</v>
      </c>
      <c r="R3438" s="71" t="s">
        <v>388</v>
      </c>
      <c r="S3438" s="73">
        <v>0</v>
      </c>
      <c r="T3438" s="71" t="s">
        <v>390</v>
      </c>
      <c r="U3438" s="74">
        <v>1</v>
      </c>
      <c r="V3438" s="71" t="s">
        <v>391</v>
      </c>
      <c r="W3438" s="130">
        <v>46098.553784722222</v>
      </c>
      <c r="X3438" s="72">
        <v>46099.638888888891</v>
      </c>
      <c r="Y3438" s="72">
        <v>46102.996527777781</v>
      </c>
      <c r="Z3438" s="104" t="s">
        <v>382</v>
      </c>
      <c r="AA3438" s="104" t="s">
        <v>402</v>
      </c>
      <c r="AB3438" s="105">
        <v>46099.772916666669</v>
      </c>
      <c r="AC3438" s="105">
        <v>46099.724305555559</v>
      </c>
    </row>
    <row r="3439" s="70" customFormat="1" ht="11.25" customHeight="1">
      <c r="A3439" s="87"/>
      <c r="C3439" s="43" t="s">
        <v>5459</v>
      </c>
      <c r="D3439" s="71" t="s">
        <v>382</v>
      </c>
      <c r="E3439" s="71" t="str">
        <f>MID(D3439,1,2)</f>
        <v>IL</v>
      </c>
      <c r="F3439" s="71" t="s">
        <v>774</v>
      </c>
      <c r="G3439" s="71" t="str">
        <f>MID(F3439,1,2)</f>
        <v>CN</v>
      </c>
      <c r="H3439" s="43" t="s">
        <v>5308</v>
      </c>
      <c r="I3439" s="71" t="s">
        <v>5460</v>
      </c>
      <c r="J3439" s="71" t="s">
        <v>755</v>
      </c>
      <c r="K3439" s="43"/>
      <c r="L3439" s="71" t="s">
        <v>105</v>
      </c>
      <c r="M3439" s="73">
        <v>54</v>
      </c>
      <c r="N3439" s="71" t="s">
        <v>388</v>
      </c>
      <c r="O3439" s="73">
        <v>0.273</v>
      </c>
      <c r="P3439" s="71" t="s">
        <v>389</v>
      </c>
      <c r="Q3439" s="73">
        <v>54</v>
      </c>
      <c r="R3439" s="71" t="s">
        <v>388</v>
      </c>
      <c r="S3439" s="73">
        <v>0</v>
      </c>
      <c r="T3439" s="71" t="s">
        <v>390</v>
      </c>
      <c r="U3439" s="74">
        <v>1</v>
      </c>
      <c r="V3439" s="71" t="s">
        <v>391</v>
      </c>
      <c r="W3439" s="130">
        <v>46098.553784722222</v>
      </c>
      <c r="X3439" s="72">
        <v>46099.638888888891</v>
      </c>
      <c r="Y3439" s="72">
        <v>46102.996527777781</v>
      </c>
      <c r="Z3439" s="104" t="s">
        <v>402</v>
      </c>
      <c r="AA3439" s="104" t="s">
        <v>403</v>
      </c>
      <c r="AB3439" s="105">
        <v>46099.928472222222</v>
      </c>
      <c r="AC3439" s="105"/>
    </row>
    <row r="3440" s="70" customFormat="1" ht="11.25" customHeight="1">
      <c r="A3440" s="87"/>
      <c r="C3440" s="43" t="s">
        <v>5459</v>
      </c>
      <c r="D3440" s="71" t="s">
        <v>382</v>
      </c>
      <c r="E3440" s="71" t="str">
        <f>MID(D3440,1,2)</f>
        <v>IL</v>
      </c>
      <c r="F3440" s="71" t="s">
        <v>774</v>
      </c>
      <c r="G3440" s="71" t="str">
        <f>MID(F3440,1,2)</f>
        <v>CN</v>
      </c>
      <c r="H3440" s="43" t="s">
        <v>5308</v>
      </c>
      <c r="I3440" s="71" t="s">
        <v>5460</v>
      </c>
      <c r="J3440" s="71" t="s">
        <v>755</v>
      </c>
      <c r="K3440" s="43"/>
      <c r="L3440" s="71" t="s">
        <v>105</v>
      </c>
      <c r="M3440" s="73">
        <v>54</v>
      </c>
      <c r="N3440" s="71" t="s">
        <v>388</v>
      </c>
      <c r="O3440" s="73">
        <v>0.273</v>
      </c>
      <c r="P3440" s="71" t="s">
        <v>389</v>
      </c>
      <c r="Q3440" s="73">
        <v>54</v>
      </c>
      <c r="R3440" s="71" t="s">
        <v>388</v>
      </c>
      <c r="S3440" s="73">
        <v>0</v>
      </c>
      <c r="T3440" s="71" t="s">
        <v>390</v>
      </c>
      <c r="U3440" s="74">
        <v>1</v>
      </c>
      <c r="V3440" s="71" t="s">
        <v>391</v>
      </c>
      <c r="W3440" s="130">
        <v>46098.553784722222</v>
      </c>
      <c r="X3440" s="72">
        <v>46099.638888888891</v>
      </c>
      <c r="Y3440" s="72">
        <v>46102.996527777781</v>
      </c>
      <c r="Z3440" s="104" t="s">
        <v>403</v>
      </c>
      <c r="AA3440" s="104" t="s">
        <v>774</v>
      </c>
      <c r="AB3440" s="105">
        <v>46102.884722222225</v>
      </c>
      <c r="AC3440" s="105">
        <v>46102.984027777777</v>
      </c>
    </row>
    <row r="3441" s="70" customFormat="1" ht="11.25" customHeight="1">
      <c r="A3441" s="87"/>
      <c r="C3441" s="43" t="s">
        <v>5461</v>
      </c>
      <c r="D3441" s="71" t="s">
        <v>382</v>
      </c>
      <c r="E3441" s="71" t="str">
        <f>MID(D3441,1,2)</f>
        <v>IL</v>
      </c>
      <c r="F3441" s="71" t="s">
        <v>471</v>
      </c>
      <c r="G3441" s="71" t="str">
        <f>MID(F3441,1,2)</f>
        <v>US</v>
      </c>
      <c r="H3441" s="43" t="s">
        <v>5455</v>
      </c>
      <c r="I3441" s="71" t="s">
        <v>5462</v>
      </c>
      <c r="J3441" s="71" t="s">
        <v>454</v>
      </c>
      <c r="K3441" s="43"/>
      <c r="L3441" s="71" t="s">
        <v>107</v>
      </c>
      <c r="M3441" s="73">
        <v>3</v>
      </c>
      <c r="N3441" s="71" t="s">
        <v>388</v>
      </c>
      <c r="O3441" s="73">
        <v>0.024</v>
      </c>
      <c r="P3441" s="71" t="s">
        <v>389</v>
      </c>
      <c r="Q3441" s="73">
        <v>4</v>
      </c>
      <c r="R3441" s="71" t="s">
        <v>388</v>
      </c>
      <c r="S3441" s="73">
        <v>0</v>
      </c>
      <c r="T3441" s="71" t="s">
        <v>390</v>
      </c>
      <c r="U3441" s="74">
        <v>1</v>
      </c>
      <c r="V3441" s="71" t="s">
        <v>391</v>
      </c>
      <c r="W3441" s="130"/>
      <c r="X3441" s="72">
        <v>46100.416666666664</v>
      </c>
      <c r="Y3441" s="72">
        <v>46100.551388888889</v>
      </c>
      <c r="Z3441" s="104" t="s">
        <v>382</v>
      </c>
      <c r="AA3441" s="104" t="s">
        <v>471</v>
      </c>
      <c r="AB3441" s="105">
        <v>46100.78402777778</v>
      </c>
      <c r="AC3441" s="105">
        <v>46101.03402777778</v>
      </c>
    </row>
    <row r="3442" s="70" customFormat="1" ht="11.25" customHeight="1">
      <c r="A3442" s="87"/>
      <c r="C3442" s="43" t="s">
        <v>5463</v>
      </c>
      <c r="D3442" s="71" t="s">
        <v>382</v>
      </c>
      <c r="E3442" s="71" t="str">
        <f>MID(D3442,1,2)</f>
        <v>IL</v>
      </c>
      <c r="F3442" s="71" t="s">
        <v>468</v>
      </c>
      <c r="G3442" s="71" t="str">
        <f>MID(F3442,1,2)</f>
        <v>US</v>
      </c>
      <c r="H3442" s="43" t="s">
        <v>5189</v>
      </c>
      <c r="I3442" s="71" t="s">
        <v>5464</v>
      </c>
      <c r="J3442" s="71" t="s">
        <v>386</v>
      </c>
      <c r="K3442" s="43"/>
      <c r="L3442" s="71" t="s">
        <v>107</v>
      </c>
      <c r="M3442" s="73">
        <v>3</v>
      </c>
      <c r="N3442" s="71" t="s">
        <v>388</v>
      </c>
      <c r="O3442" s="73">
        <v>0.047</v>
      </c>
      <c r="P3442" s="71" t="s">
        <v>389</v>
      </c>
      <c r="Q3442" s="73">
        <v>8</v>
      </c>
      <c r="R3442" s="71" t="s">
        <v>388</v>
      </c>
      <c r="S3442" s="73">
        <v>0</v>
      </c>
      <c r="T3442" s="71" t="s">
        <v>390</v>
      </c>
      <c r="U3442" s="74">
        <v>1</v>
      </c>
      <c r="V3442" s="71" t="s">
        <v>446</v>
      </c>
      <c r="W3442" s="130">
        <v>46098.55625</v>
      </c>
      <c r="X3442" s="72">
        <v>46100.333333333336</v>
      </c>
      <c r="Y3442" s="72">
        <v>46105.375</v>
      </c>
      <c r="Z3442" s="104" t="s">
        <v>382</v>
      </c>
      <c r="AA3442" s="104" t="s">
        <v>471</v>
      </c>
      <c r="AB3442" s="105">
        <v>46100.772916666669</v>
      </c>
      <c r="AC3442" s="105"/>
    </row>
    <row r="3443" s="70" customFormat="1" ht="11.25" customHeight="1">
      <c r="A3443" s="87"/>
      <c r="C3443" s="43" t="s">
        <v>5463</v>
      </c>
      <c r="D3443" s="71" t="s">
        <v>382</v>
      </c>
      <c r="E3443" s="71" t="str">
        <f>MID(D3443,1,2)</f>
        <v>IL</v>
      </c>
      <c r="F3443" s="71" t="s">
        <v>468</v>
      </c>
      <c r="G3443" s="71" t="str">
        <f>MID(F3443,1,2)</f>
        <v>US</v>
      </c>
      <c r="H3443" s="43" t="s">
        <v>5189</v>
      </c>
      <c r="I3443" s="71" t="s">
        <v>5464</v>
      </c>
      <c r="J3443" s="71" t="s">
        <v>386</v>
      </c>
      <c r="K3443" s="43"/>
      <c r="L3443" s="71" t="s">
        <v>107</v>
      </c>
      <c r="M3443" s="73">
        <v>3</v>
      </c>
      <c r="N3443" s="71" t="s">
        <v>388</v>
      </c>
      <c r="O3443" s="73">
        <v>0.047</v>
      </c>
      <c r="P3443" s="71" t="s">
        <v>389</v>
      </c>
      <c r="Q3443" s="73">
        <v>8</v>
      </c>
      <c r="R3443" s="71" t="s">
        <v>388</v>
      </c>
      <c r="S3443" s="73">
        <v>0</v>
      </c>
      <c r="T3443" s="71" t="s">
        <v>390</v>
      </c>
      <c r="U3443" s="74">
        <v>1</v>
      </c>
      <c r="V3443" s="71" t="s">
        <v>446</v>
      </c>
      <c r="W3443" s="130">
        <v>46098.55625</v>
      </c>
      <c r="X3443" s="72">
        <v>46100.333333333336</v>
      </c>
      <c r="Y3443" s="72">
        <v>46105.375</v>
      </c>
      <c r="Z3443" s="104" t="s">
        <v>471</v>
      </c>
      <c r="AA3443" s="104" t="s">
        <v>468</v>
      </c>
      <c r="AB3443" s="105"/>
      <c r="AC3443" s="105"/>
    </row>
    <row r="3444" s="70" customFormat="1" ht="11.25" customHeight="1">
      <c r="A3444" s="87"/>
      <c r="C3444" s="43" t="s">
        <v>5465</v>
      </c>
      <c r="D3444" s="71" t="s">
        <v>382</v>
      </c>
      <c r="E3444" s="71" t="str">
        <f>MID(D3444,1,2)</f>
        <v>IL</v>
      </c>
      <c r="F3444" s="71" t="s">
        <v>408</v>
      </c>
      <c r="G3444" s="71" t="str">
        <f>MID(F3444,1,2)</f>
        <v>GR</v>
      </c>
      <c r="H3444" s="43" t="s">
        <v>5267</v>
      </c>
      <c r="I3444" s="71" t="s">
        <v>5466</v>
      </c>
      <c r="J3444" s="71" t="s">
        <v>400</v>
      </c>
      <c r="K3444" s="43"/>
      <c r="L3444" s="71" t="s">
        <v>105</v>
      </c>
      <c r="M3444" s="73">
        <v>114</v>
      </c>
      <c r="N3444" s="71" t="s">
        <v>388</v>
      </c>
      <c r="O3444" s="73">
        <v>1.417</v>
      </c>
      <c r="P3444" s="71" t="s">
        <v>389</v>
      </c>
      <c r="Q3444" s="73">
        <v>236.5</v>
      </c>
      <c r="R3444" s="71" t="s">
        <v>388</v>
      </c>
      <c r="S3444" s="73">
        <v>0</v>
      </c>
      <c r="T3444" s="71" t="s">
        <v>390</v>
      </c>
      <c r="U3444" s="74">
        <v>2</v>
      </c>
      <c r="V3444" s="71" t="s">
        <v>391</v>
      </c>
      <c r="W3444" s="130">
        <v>46098.569444444445</v>
      </c>
      <c r="X3444" s="72">
        <v>46100</v>
      </c>
      <c r="Y3444" s="72">
        <v>46104.034722222219</v>
      </c>
      <c r="Z3444" s="104" t="s">
        <v>382</v>
      </c>
      <c r="AA3444" s="104" t="s">
        <v>408</v>
      </c>
      <c r="AB3444" s="105">
        <v>46101.465277777781</v>
      </c>
      <c r="AC3444" s="105"/>
    </row>
    <row r="3445" s="70" customFormat="1" ht="11.25" customHeight="1">
      <c r="A3445" s="87"/>
      <c r="C3445" s="43" t="s">
        <v>5467</v>
      </c>
      <c r="D3445" s="71" t="s">
        <v>382</v>
      </c>
      <c r="E3445" s="71" t="str">
        <f>MID(D3445,1,2)</f>
        <v>IL</v>
      </c>
      <c r="F3445" s="71" t="s">
        <v>408</v>
      </c>
      <c r="G3445" s="71" t="str">
        <f>MID(F3445,1,2)</f>
        <v>GR</v>
      </c>
      <c r="H3445" s="43" t="s">
        <v>5267</v>
      </c>
      <c r="I3445" s="71" t="s">
        <v>5468</v>
      </c>
      <c r="J3445" s="71" t="s">
        <v>400</v>
      </c>
      <c r="K3445" s="43"/>
      <c r="L3445" s="71" t="s">
        <v>105</v>
      </c>
      <c r="M3445" s="73">
        <v>99</v>
      </c>
      <c r="N3445" s="71" t="s">
        <v>388</v>
      </c>
      <c r="O3445" s="73">
        <v>1.772</v>
      </c>
      <c r="P3445" s="71" t="s">
        <v>389</v>
      </c>
      <c r="Q3445" s="73">
        <v>295.5</v>
      </c>
      <c r="R3445" s="71" t="s">
        <v>388</v>
      </c>
      <c r="S3445" s="73">
        <v>0</v>
      </c>
      <c r="T3445" s="71" t="s">
        <v>390</v>
      </c>
      <c r="U3445" s="74">
        <v>2</v>
      </c>
      <c r="V3445" s="71" t="s">
        <v>391</v>
      </c>
      <c r="W3445" s="130">
        <v>46098.974074074074</v>
      </c>
      <c r="X3445" s="72">
        <v>46100</v>
      </c>
      <c r="Y3445" s="72">
        <v>46104.034722222219</v>
      </c>
      <c r="Z3445" s="104" t="s">
        <v>382</v>
      </c>
      <c r="AA3445" s="104" t="s">
        <v>408</v>
      </c>
      <c r="AB3445" s="105">
        <v>46101.465277777781</v>
      </c>
      <c r="AC3445" s="105"/>
    </row>
    <row r="3446" s="70" customFormat="1" ht="11.25" customHeight="1">
      <c r="A3446" s="87"/>
      <c r="C3446" s="43" t="s">
        <v>5469</v>
      </c>
      <c r="D3446" s="71" t="s">
        <v>382</v>
      </c>
      <c r="E3446" s="71" t="str">
        <f>MID(D3446,1,2)</f>
        <v>IL</v>
      </c>
      <c r="F3446" s="71" t="s">
        <v>408</v>
      </c>
      <c r="G3446" s="71" t="str">
        <f>MID(F3446,1,2)</f>
        <v>GR</v>
      </c>
      <c r="H3446" s="43" t="s">
        <v>5267</v>
      </c>
      <c r="I3446" s="71" t="s">
        <v>5470</v>
      </c>
      <c r="J3446" s="71" t="s">
        <v>400</v>
      </c>
      <c r="K3446" s="43"/>
      <c r="L3446" s="71" t="s">
        <v>105</v>
      </c>
      <c r="M3446" s="73">
        <v>232</v>
      </c>
      <c r="N3446" s="71" t="s">
        <v>388</v>
      </c>
      <c r="O3446" s="73">
        <v>2.907</v>
      </c>
      <c r="P3446" s="71" t="s">
        <v>389</v>
      </c>
      <c r="Q3446" s="73">
        <v>484.5</v>
      </c>
      <c r="R3446" s="71" t="s">
        <v>388</v>
      </c>
      <c r="S3446" s="73">
        <v>0</v>
      </c>
      <c r="T3446" s="71" t="s">
        <v>390</v>
      </c>
      <c r="U3446" s="74">
        <v>5</v>
      </c>
      <c r="V3446" s="71" t="s">
        <v>391</v>
      </c>
      <c r="W3446" s="130">
        <v>46098.57708333333</v>
      </c>
      <c r="X3446" s="72">
        <v>46100</v>
      </c>
      <c r="Y3446" s="72">
        <v>46104.034722222219</v>
      </c>
      <c r="Z3446" s="104" t="s">
        <v>382</v>
      </c>
      <c r="AA3446" s="104" t="s">
        <v>408</v>
      </c>
      <c r="AB3446" s="105">
        <v>46101.465277777781</v>
      </c>
      <c r="AC3446" s="105"/>
    </row>
    <row r="3447" s="70" customFormat="1" ht="11.25" customHeight="1">
      <c r="A3447" s="87"/>
      <c r="C3447" s="43" t="s">
        <v>5471</v>
      </c>
      <c r="D3447" s="71" t="s">
        <v>382</v>
      </c>
      <c r="E3447" s="71" t="str">
        <f>MID(D3447,1,2)</f>
        <v>IL</v>
      </c>
      <c r="F3447" s="71" t="s">
        <v>1108</v>
      </c>
      <c r="G3447" s="71" t="str">
        <f>MID(F3447,1,2)</f>
        <v>TW</v>
      </c>
      <c r="H3447" s="43" t="s">
        <v>5472</v>
      </c>
      <c r="I3447" s="71" t="s">
        <v>5473</v>
      </c>
      <c r="J3447" s="71" t="s">
        <v>755</v>
      </c>
      <c r="K3447" s="43"/>
      <c r="L3447" s="71" t="s">
        <v>105</v>
      </c>
      <c r="M3447" s="73">
        <v>151</v>
      </c>
      <c r="N3447" s="71" t="s">
        <v>388</v>
      </c>
      <c r="O3447" s="73">
        <v>2.487</v>
      </c>
      <c r="P3447" s="71" t="s">
        <v>389</v>
      </c>
      <c r="Q3447" s="73">
        <v>414.5</v>
      </c>
      <c r="R3447" s="71" t="s">
        <v>388</v>
      </c>
      <c r="S3447" s="73">
        <v>0</v>
      </c>
      <c r="T3447" s="71" t="s">
        <v>390</v>
      </c>
      <c r="U3447" s="74">
        <v>2</v>
      </c>
      <c r="V3447" s="71" t="s">
        <v>391</v>
      </c>
      <c r="W3447" s="130">
        <v>46099.571412037039</v>
      </c>
      <c r="X3447" s="72">
        <v>46101.395833333336</v>
      </c>
      <c r="Y3447" s="72">
        <v>46105.85833333333</v>
      </c>
      <c r="Z3447" s="104" t="s">
        <v>382</v>
      </c>
      <c r="AA3447" s="104" t="s">
        <v>402</v>
      </c>
      <c r="AB3447" s="105">
        <v>46102.363194444442</v>
      </c>
      <c r="AC3447" s="105"/>
    </row>
    <row r="3448" s="70" customFormat="1" ht="11.25" customHeight="1">
      <c r="A3448" s="87"/>
      <c r="C3448" s="43" t="s">
        <v>5471</v>
      </c>
      <c r="D3448" s="71" t="s">
        <v>382</v>
      </c>
      <c r="E3448" s="71" t="str">
        <f>MID(D3448,1,2)</f>
        <v>IL</v>
      </c>
      <c r="F3448" s="71" t="s">
        <v>1108</v>
      </c>
      <c r="G3448" s="71" t="str">
        <f>MID(F3448,1,2)</f>
        <v>TW</v>
      </c>
      <c r="H3448" s="43" t="s">
        <v>5472</v>
      </c>
      <c r="I3448" s="71" t="s">
        <v>5473</v>
      </c>
      <c r="J3448" s="71" t="s">
        <v>755</v>
      </c>
      <c r="K3448" s="43"/>
      <c r="L3448" s="71" t="s">
        <v>105</v>
      </c>
      <c r="M3448" s="73">
        <v>151</v>
      </c>
      <c r="N3448" s="71" t="s">
        <v>388</v>
      </c>
      <c r="O3448" s="73">
        <v>2.487</v>
      </c>
      <c r="P3448" s="71" t="s">
        <v>389</v>
      </c>
      <c r="Q3448" s="73">
        <v>414.5</v>
      </c>
      <c r="R3448" s="71" t="s">
        <v>388</v>
      </c>
      <c r="S3448" s="73">
        <v>0</v>
      </c>
      <c r="T3448" s="71" t="s">
        <v>390</v>
      </c>
      <c r="U3448" s="74">
        <v>2</v>
      </c>
      <c r="V3448" s="71" t="s">
        <v>391</v>
      </c>
      <c r="W3448" s="130">
        <v>46099.571412037039</v>
      </c>
      <c r="X3448" s="72">
        <v>46101.395833333336</v>
      </c>
      <c r="Y3448" s="72">
        <v>46105.85833333333</v>
      </c>
      <c r="Z3448" s="104" t="s">
        <v>402</v>
      </c>
      <c r="AA3448" s="104" t="s">
        <v>403</v>
      </c>
      <c r="AB3448" s="105">
        <v>46101.501388888886</v>
      </c>
      <c r="AC3448" s="105"/>
    </row>
    <row r="3449" s="70" customFormat="1" ht="11.25" customHeight="1">
      <c r="A3449" s="87"/>
      <c r="C3449" s="43" t="s">
        <v>5471</v>
      </c>
      <c r="D3449" s="71" t="s">
        <v>382</v>
      </c>
      <c r="E3449" s="71" t="str">
        <f>MID(D3449,1,2)</f>
        <v>IL</v>
      </c>
      <c r="F3449" s="71" t="s">
        <v>1108</v>
      </c>
      <c r="G3449" s="71" t="str">
        <f>MID(F3449,1,2)</f>
        <v>TW</v>
      </c>
      <c r="H3449" s="43" t="s">
        <v>5472</v>
      </c>
      <c r="I3449" s="71" t="s">
        <v>5473</v>
      </c>
      <c r="J3449" s="71" t="s">
        <v>755</v>
      </c>
      <c r="K3449" s="43"/>
      <c r="L3449" s="71" t="s">
        <v>105</v>
      </c>
      <c r="M3449" s="73">
        <v>151</v>
      </c>
      <c r="N3449" s="71" t="s">
        <v>388</v>
      </c>
      <c r="O3449" s="73">
        <v>2.487</v>
      </c>
      <c r="P3449" s="71" t="s">
        <v>389</v>
      </c>
      <c r="Q3449" s="73">
        <v>414.5</v>
      </c>
      <c r="R3449" s="71" t="s">
        <v>388</v>
      </c>
      <c r="S3449" s="73">
        <v>0</v>
      </c>
      <c r="T3449" s="71" t="s">
        <v>390</v>
      </c>
      <c r="U3449" s="74">
        <v>2</v>
      </c>
      <c r="V3449" s="71" t="s">
        <v>391</v>
      </c>
      <c r="W3449" s="130">
        <v>46099.571412037039</v>
      </c>
      <c r="X3449" s="72">
        <v>46101.395833333336</v>
      </c>
      <c r="Y3449" s="72">
        <v>46105.85833333333</v>
      </c>
      <c r="Z3449" s="104" t="s">
        <v>403</v>
      </c>
      <c r="AA3449" s="104" t="s">
        <v>1108</v>
      </c>
      <c r="AB3449" s="105"/>
      <c r="AC3449" s="105"/>
    </row>
    <row r="3450" s="70" customFormat="1" ht="11.25" customHeight="1">
      <c r="A3450" s="87"/>
      <c r="C3450" s="43" t="s">
        <v>5474</v>
      </c>
      <c r="D3450" s="71" t="s">
        <v>382</v>
      </c>
      <c r="E3450" s="71" t="str">
        <f>MID(D3450,1,2)</f>
        <v>IL</v>
      </c>
      <c r="F3450" s="71" t="s">
        <v>408</v>
      </c>
      <c r="G3450" s="71" t="str">
        <f>MID(F3450,1,2)</f>
        <v>GR</v>
      </c>
      <c r="H3450" s="43" t="s">
        <v>5475</v>
      </c>
      <c r="I3450" s="71" t="s">
        <v>5476</v>
      </c>
      <c r="J3450" s="71" t="s">
        <v>426</v>
      </c>
      <c r="K3450" s="43"/>
      <c r="L3450" s="71" t="s">
        <v>105</v>
      </c>
      <c r="M3450" s="73">
        <v>215</v>
      </c>
      <c r="N3450" s="71" t="s">
        <v>388</v>
      </c>
      <c r="O3450" s="73">
        <v>0.961</v>
      </c>
      <c r="P3450" s="71" t="s">
        <v>389</v>
      </c>
      <c r="Q3450" s="73">
        <v>215</v>
      </c>
      <c r="R3450" s="71" t="s">
        <v>388</v>
      </c>
      <c r="S3450" s="73">
        <v>0</v>
      </c>
      <c r="T3450" s="71" t="s">
        <v>390</v>
      </c>
      <c r="U3450" s="74">
        <v>2</v>
      </c>
      <c r="V3450" s="71" t="s">
        <v>391</v>
      </c>
      <c r="W3450" s="130">
        <v>46098.59097222222</v>
      </c>
      <c r="X3450" s="72">
        <v>46098.436805555553</v>
      </c>
      <c r="Y3450" s="72">
        <v>46098.75</v>
      </c>
      <c r="Z3450" s="104" t="s">
        <v>382</v>
      </c>
      <c r="AA3450" s="104" t="s">
        <v>408</v>
      </c>
      <c r="AB3450" s="105">
        <v>46100.151388888888</v>
      </c>
      <c r="AC3450" s="105">
        <v>46100.239583333336</v>
      </c>
    </row>
    <row r="3451" s="70" customFormat="1" ht="11.25" customHeight="1">
      <c r="A3451" s="87"/>
      <c r="C3451" s="43" t="s">
        <v>5477</v>
      </c>
      <c r="D3451" s="71" t="s">
        <v>382</v>
      </c>
      <c r="E3451" s="71" t="str">
        <f>MID(D3451,1,2)</f>
        <v>IL</v>
      </c>
      <c r="F3451" s="71" t="s">
        <v>408</v>
      </c>
      <c r="G3451" s="71" t="str">
        <f>MID(F3451,1,2)</f>
        <v>GR</v>
      </c>
      <c r="H3451" s="43" t="s">
        <v>5267</v>
      </c>
      <c r="I3451" s="71" t="s">
        <v>5478</v>
      </c>
      <c r="J3451" s="71" t="s">
        <v>400</v>
      </c>
      <c r="K3451" s="43"/>
      <c r="L3451" s="71" t="s">
        <v>105</v>
      </c>
      <c r="M3451" s="73">
        <v>40</v>
      </c>
      <c r="N3451" s="71" t="s">
        <v>388</v>
      </c>
      <c r="O3451" s="73">
        <v>0.506</v>
      </c>
      <c r="P3451" s="71" t="s">
        <v>389</v>
      </c>
      <c r="Q3451" s="73">
        <v>84.5</v>
      </c>
      <c r="R3451" s="71" t="s">
        <v>388</v>
      </c>
      <c r="S3451" s="73">
        <v>0</v>
      </c>
      <c r="T3451" s="71" t="s">
        <v>390</v>
      </c>
      <c r="U3451" s="74">
        <v>1</v>
      </c>
      <c r="V3451" s="71" t="s">
        <v>391</v>
      </c>
      <c r="W3451" s="130">
        <v>46098.611805555556</v>
      </c>
      <c r="X3451" s="72">
        <v>46100</v>
      </c>
      <c r="Y3451" s="72">
        <v>46104.034722222219</v>
      </c>
      <c r="Z3451" s="104" t="s">
        <v>382</v>
      </c>
      <c r="AA3451" s="104" t="s">
        <v>408</v>
      </c>
      <c r="AB3451" s="105">
        <v>46101.465277777781</v>
      </c>
      <c r="AC3451" s="105"/>
    </row>
    <row r="3452" s="70" customFormat="1" ht="11.25" customHeight="1">
      <c r="A3452" s="87"/>
      <c r="C3452" s="43" t="s">
        <v>5479</v>
      </c>
      <c r="D3452" s="71" t="s">
        <v>382</v>
      </c>
      <c r="E3452" s="71" t="str">
        <f>MID(D3452,1,2)</f>
        <v>IL</v>
      </c>
      <c r="F3452" s="71" t="s">
        <v>408</v>
      </c>
      <c r="G3452" s="71" t="str">
        <f>MID(F3452,1,2)</f>
        <v>GR</v>
      </c>
      <c r="H3452" s="43" t="s">
        <v>5267</v>
      </c>
      <c r="I3452" s="71" t="s">
        <v>5480</v>
      </c>
      <c r="J3452" s="71" t="s">
        <v>400</v>
      </c>
      <c r="K3452" s="43"/>
      <c r="L3452" s="71" t="s">
        <v>105</v>
      </c>
      <c r="M3452" s="73">
        <v>350</v>
      </c>
      <c r="N3452" s="71" t="s">
        <v>388</v>
      </c>
      <c r="O3452" s="73">
        <v>4.048</v>
      </c>
      <c r="P3452" s="71" t="s">
        <v>389</v>
      </c>
      <c r="Q3452" s="73">
        <v>675</v>
      </c>
      <c r="R3452" s="71" t="s">
        <v>388</v>
      </c>
      <c r="S3452" s="73">
        <v>0</v>
      </c>
      <c r="T3452" s="71" t="s">
        <v>390</v>
      </c>
      <c r="U3452" s="74">
        <v>6</v>
      </c>
      <c r="V3452" s="71" t="s">
        <v>391</v>
      </c>
      <c r="W3452" s="130">
        <v>46098.611805555556</v>
      </c>
      <c r="X3452" s="72">
        <v>46100</v>
      </c>
      <c r="Y3452" s="72">
        <v>46104.034722222219</v>
      </c>
      <c r="Z3452" s="104" t="s">
        <v>382</v>
      </c>
      <c r="AA3452" s="104" t="s">
        <v>408</v>
      </c>
      <c r="AB3452" s="105">
        <v>46101.465277777781</v>
      </c>
      <c r="AC3452" s="105"/>
    </row>
    <row r="3453" s="70" customFormat="1" ht="11.25" customHeight="1">
      <c r="A3453" s="87"/>
      <c r="C3453" s="43" t="s">
        <v>5481</v>
      </c>
      <c r="D3453" s="71" t="s">
        <v>382</v>
      </c>
      <c r="E3453" s="71" t="str">
        <f>MID(D3453,1,2)</f>
        <v>IL</v>
      </c>
      <c r="F3453" s="71" t="s">
        <v>408</v>
      </c>
      <c r="G3453" s="71" t="str">
        <f>MID(F3453,1,2)</f>
        <v>GR</v>
      </c>
      <c r="H3453" s="43" t="s">
        <v>5267</v>
      </c>
      <c r="I3453" s="71" t="s">
        <v>5482</v>
      </c>
      <c r="J3453" s="71" t="s">
        <v>400</v>
      </c>
      <c r="K3453" s="43"/>
      <c r="L3453" s="71" t="s">
        <v>105</v>
      </c>
      <c r="M3453" s="73">
        <v>31</v>
      </c>
      <c r="N3453" s="71" t="s">
        <v>388</v>
      </c>
      <c r="O3453" s="73">
        <v>0.506</v>
      </c>
      <c r="P3453" s="71" t="s">
        <v>389</v>
      </c>
      <c r="Q3453" s="73">
        <v>84.5</v>
      </c>
      <c r="R3453" s="71" t="s">
        <v>388</v>
      </c>
      <c r="S3453" s="73">
        <v>0</v>
      </c>
      <c r="T3453" s="71" t="s">
        <v>390</v>
      </c>
      <c r="U3453" s="74">
        <v>1</v>
      </c>
      <c r="V3453" s="71" t="s">
        <v>391</v>
      </c>
      <c r="W3453" s="130">
        <v>46098.883831018517</v>
      </c>
      <c r="X3453" s="72">
        <v>46100</v>
      </c>
      <c r="Y3453" s="72">
        <v>46104.034722222219</v>
      </c>
      <c r="Z3453" s="104" t="s">
        <v>382</v>
      </c>
      <c r="AA3453" s="104" t="s">
        <v>408</v>
      </c>
      <c r="AB3453" s="105">
        <v>46101.465277777781</v>
      </c>
      <c r="AC3453" s="105"/>
    </row>
    <row r="3454" s="70" customFormat="1" ht="11.25" customHeight="1">
      <c r="A3454" s="87"/>
      <c r="C3454" s="43" t="s">
        <v>5483</v>
      </c>
      <c r="D3454" s="71" t="s">
        <v>382</v>
      </c>
      <c r="E3454" s="71" t="str">
        <f>MID(D3454,1,2)</f>
        <v>IL</v>
      </c>
      <c r="F3454" s="71" t="s">
        <v>408</v>
      </c>
      <c r="G3454" s="71" t="str">
        <f>MID(F3454,1,2)</f>
        <v>GR</v>
      </c>
      <c r="H3454" s="43" t="s">
        <v>5267</v>
      </c>
      <c r="I3454" s="71" t="s">
        <v>5484</v>
      </c>
      <c r="J3454" s="71" t="s">
        <v>400</v>
      </c>
      <c r="K3454" s="43"/>
      <c r="L3454" s="71" t="s">
        <v>105</v>
      </c>
      <c r="M3454" s="73">
        <v>1</v>
      </c>
      <c r="N3454" s="71" t="s">
        <v>388</v>
      </c>
      <c r="O3454" s="73">
        <v>0.012</v>
      </c>
      <c r="P3454" s="71" t="s">
        <v>389</v>
      </c>
      <c r="Q3454" s="73">
        <v>2</v>
      </c>
      <c r="R3454" s="71" t="s">
        <v>388</v>
      </c>
      <c r="S3454" s="73">
        <v>0</v>
      </c>
      <c r="T3454" s="71" t="s">
        <v>390</v>
      </c>
      <c r="U3454" s="74">
        <v>1</v>
      </c>
      <c r="V3454" s="71" t="s">
        <v>391</v>
      </c>
      <c r="W3454" s="130">
        <v>46098.652777777781</v>
      </c>
      <c r="X3454" s="72">
        <v>46100</v>
      </c>
      <c r="Y3454" s="72">
        <v>46104.034722222219</v>
      </c>
      <c r="Z3454" s="104" t="s">
        <v>382</v>
      </c>
      <c r="AA3454" s="104" t="s">
        <v>408</v>
      </c>
      <c r="AB3454" s="105">
        <v>46101.465277777781</v>
      </c>
      <c r="AC3454" s="105"/>
    </row>
    <row r="3455" s="70" customFormat="1" ht="11.25" customHeight="1">
      <c r="A3455" s="87"/>
      <c r="C3455" s="43" t="s">
        <v>5485</v>
      </c>
      <c r="D3455" s="71" t="s">
        <v>382</v>
      </c>
      <c r="E3455" s="71" t="str">
        <f>MID(D3455,1,2)</f>
        <v>IL</v>
      </c>
      <c r="F3455" s="71" t="s">
        <v>522</v>
      </c>
      <c r="G3455" s="71" t="str">
        <f>MID(F3455,1,2)</f>
        <v>CZ</v>
      </c>
      <c r="H3455" s="43" t="s">
        <v>5486</v>
      </c>
      <c r="I3455" s="71" t="s">
        <v>5487</v>
      </c>
      <c r="J3455" s="71" t="s">
        <v>426</v>
      </c>
      <c r="K3455" s="43"/>
      <c r="L3455" s="71" t="s">
        <v>105</v>
      </c>
      <c r="M3455" s="73">
        <v>174</v>
      </c>
      <c r="N3455" s="71" t="s">
        <v>388</v>
      </c>
      <c r="O3455" s="73">
        <v>0.432</v>
      </c>
      <c r="P3455" s="71" t="s">
        <v>389</v>
      </c>
      <c r="Q3455" s="73">
        <v>174</v>
      </c>
      <c r="R3455" s="71" t="s">
        <v>388</v>
      </c>
      <c r="S3455" s="73">
        <v>0</v>
      </c>
      <c r="T3455" s="71" t="s">
        <v>390</v>
      </c>
      <c r="U3455" s="74">
        <v>1</v>
      </c>
      <c r="V3455" s="71" t="s">
        <v>391</v>
      </c>
      <c r="W3455" s="130">
        <v>46099.52847222222</v>
      </c>
      <c r="X3455" s="72">
        <v>46103.645833333336</v>
      </c>
      <c r="Y3455" s="72">
        <v>46106.875</v>
      </c>
      <c r="Z3455" s="104" t="s">
        <v>382</v>
      </c>
      <c r="AA3455" s="104" t="s">
        <v>4692</v>
      </c>
      <c r="AB3455" s="105"/>
      <c r="AC3455" s="105"/>
    </row>
    <row r="3456" s="70" customFormat="1" ht="11.25" customHeight="1">
      <c r="A3456" s="87"/>
      <c r="C3456" s="43" t="s">
        <v>5485</v>
      </c>
      <c r="D3456" s="71" t="s">
        <v>382</v>
      </c>
      <c r="E3456" s="71" t="str">
        <f>MID(D3456,1,2)</f>
        <v>IL</v>
      </c>
      <c r="F3456" s="71" t="s">
        <v>522</v>
      </c>
      <c r="G3456" s="71" t="str">
        <f>MID(F3456,1,2)</f>
        <v>CZ</v>
      </c>
      <c r="H3456" s="43" t="s">
        <v>5486</v>
      </c>
      <c r="I3456" s="71" t="s">
        <v>5487</v>
      </c>
      <c r="J3456" s="71" t="s">
        <v>426</v>
      </c>
      <c r="K3456" s="43"/>
      <c r="L3456" s="71" t="s">
        <v>105</v>
      </c>
      <c r="M3456" s="73">
        <v>174</v>
      </c>
      <c r="N3456" s="71" t="s">
        <v>388</v>
      </c>
      <c r="O3456" s="73">
        <v>0.432</v>
      </c>
      <c r="P3456" s="71" t="s">
        <v>389</v>
      </c>
      <c r="Q3456" s="73">
        <v>174</v>
      </c>
      <c r="R3456" s="71" t="s">
        <v>388</v>
      </c>
      <c r="S3456" s="73">
        <v>0</v>
      </c>
      <c r="T3456" s="71" t="s">
        <v>390</v>
      </c>
      <c r="U3456" s="74">
        <v>1</v>
      </c>
      <c r="V3456" s="71" t="s">
        <v>391</v>
      </c>
      <c r="W3456" s="130">
        <v>46099.52847222222</v>
      </c>
      <c r="X3456" s="72">
        <v>46103.645833333336</v>
      </c>
      <c r="Y3456" s="72">
        <v>46106.875</v>
      </c>
      <c r="Z3456" s="104" t="s">
        <v>4692</v>
      </c>
      <c r="AA3456" s="104" t="s">
        <v>522</v>
      </c>
      <c r="AB3456" s="105"/>
      <c r="AC3456" s="105"/>
    </row>
    <row r="3457" s="70" customFormat="1" ht="11.25" customHeight="1">
      <c r="A3457" s="87"/>
      <c r="C3457" s="43" t="s">
        <v>5488</v>
      </c>
      <c r="D3457" s="71" t="s">
        <v>382</v>
      </c>
      <c r="E3457" s="71" t="str">
        <f>MID(D3457,1,2)</f>
        <v>IL</v>
      </c>
      <c r="F3457" s="71" t="s">
        <v>651</v>
      </c>
      <c r="G3457" s="71" t="str">
        <f>MID(F3457,1,2)</f>
        <v>BR</v>
      </c>
      <c r="H3457" s="43" t="s">
        <v>5489</v>
      </c>
      <c r="I3457" s="71" t="s">
        <v>5490</v>
      </c>
      <c r="J3457" s="71" t="s">
        <v>386</v>
      </c>
      <c r="K3457" s="43"/>
      <c r="L3457" s="71" t="s">
        <v>107</v>
      </c>
      <c r="M3457" s="73">
        <v>22</v>
      </c>
      <c r="N3457" s="71" t="s">
        <v>388</v>
      </c>
      <c r="O3457" s="73">
        <v>0.142</v>
      </c>
      <c r="P3457" s="71" t="s">
        <v>389</v>
      </c>
      <c r="Q3457" s="73">
        <v>24</v>
      </c>
      <c r="R3457" s="71" t="s">
        <v>388</v>
      </c>
      <c r="S3457" s="73">
        <v>0</v>
      </c>
      <c r="T3457" s="71" t="s">
        <v>390</v>
      </c>
      <c r="U3457" s="74">
        <v>1</v>
      </c>
      <c r="V3457" s="71" t="s">
        <v>391</v>
      </c>
      <c r="W3457" s="130">
        <v>46098.71597222222</v>
      </c>
      <c r="X3457" s="72">
        <v>46103.8125</v>
      </c>
      <c r="Y3457" s="72">
        <v>46110.833333333336</v>
      </c>
      <c r="Z3457" s="104" t="s">
        <v>382</v>
      </c>
      <c r="AA3457" s="104" t="s">
        <v>408</v>
      </c>
      <c r="AB3457" s="105"/>
      <c r="AC3457" s="105"/>
    </row>
    <row r="3458" s="70" customFormat="1" ht="11.25" customHeight="1">
      <c r="A3458" s="87"/>
      <c r="C3458" s="43" t="s">
        <v>5488</v>
      </c>
      <c r="D3458" s="71" t="s">
        <v>382</v>
      </c>
      <c r="E3458" s="71" t="str">
        <f>MID(D3458,1,2)</f>
        <v>IL</v>
      </c>
      <c r="F3458" s="71" t="s">
        <v>651</v>
      </c>
      <c r="G3458" s="71" t="str">
        <f>MID(F3458,1,2)</f>
        <v>BR</v>
      </c>
      <c r="H3458" s="43" t="s">
        <v>5489</v>
      </c>
      <c r="I3458" s="71" t="s">
        <v>5490</v>
      </c>
      <c r="J3458" s="71" t="s">
        <v>386</v>
      </c>
      <c r="K3458" s="43"/>
      <c r="L3458" s="71" t="s">
        <v>107</v>
      </c>
      <c r="M3458" s="73">
        <v>22</v>
      </c>
      <c r="N3458" s="71" t="s">
        <v>388</v>
      </c>
      <c r="O3458" s="73">
        <v>0.142</v>
      </c>
      <c r="P3458" s="71" t="s">
        <v>389</v>
      </c>
      <c r="Q3458" s="73">
        <v>24</v>
      </c>
      <c r="R3458" s="71" t="s">
        <v>388</v>
      </c>
      <c r="S3458" s="73">
        <v>0</v>
      </c>
      <c r="T3458" s="71" t="s">
        <v>390</v>
      </c>
      <c r="U3458" s="74">
        <v>1</v>
      </c>
      <c r="V3458" s="71" t="s">
        <v>391</v>
      </c>
      <c r="W3458" s="130">
        <v>46098.71597222222</v>
      </c>
      <c r="X3458" s="72">
        <v>46103.8125</v>
      </c>
      <c r="Y3458" s="72">
        <v>46110.833333333336</v>
      </c>
      <c r="Z3458" s="104" t="s">
        <v>408</v>
      </c>
      <c r="AA3458" s="104" t="s">
        <v>405</v>
      </c>
      <c r="AB3458" s="105"/>
      <c r="AC3458" s="105"/>
    </row>
    <row r="3459" s="70" customFormat="1" ht="11.25" customHeight="1">
      <c r="A3459" s="87"/>
      <c r="C3459" s="43" t="s">
        <v>5488</v>
      </c>
      <c r="D3459" s="71" t="s">
        <v>382</v>
      </c>
      <c r="E3459" s="71" t="str">
        <f>MID(D3459,1,2)</f>
        <v>IL</v>
      </c>
      <c r="F3459" s="71" t="s">
        <v>651</v>
      </c>
      <c r="G3459" s="71" t="str">
        <f>MID(F3459,1,2)</f>
        <v>BR</v>
      </c>
      <c r="H3459" s="43" t="s">
        <v>5489</v>
      </c>
      <c r="I3459" s="71" t="s">
        <v>5490</v>
      </c>
      <c r="J3459" s="71" t="s">
        <v>386</v>
      </c>
      <c r="K3459" s="43"/>
      <c r="L3459" s="71" t="s">
        <v>107</v>
      </c>
      <c r="M3459" s="73">
        <v>22</v>
      </c>
      <c r="N3459" s="71" t="s">
        <v>388</v>
      </c>
      <c r="O3459" s="73">
        <v>0.142</v>
      </c>
      <c r="P3459" s="71" t="s">
        <v>389</v>
      </c>
      <c r="Q3459" s="73">
        <v>24</v>
      </c>
      <c r="R3459" s="71" t="s">
        <v>388</v>
      </c>
      <c r="S3459" s="73">
        <v>0</v>
      </c>
      <c r="T3459" s="71" t="s">
        <v>390</v>
      </c>
      <c r="U3459" s="74">
        <v>1</v>
      </c>
      <c r="V3459" s="71" t="s">
        <v>391</v>
      </c>
      <c r="W3459" s="130">
        <v>46098.71597222222</v>
      </c>
      <c r="X3459" s="72">
        <v>46103.8125</v>
      </c>
      <c r="Y3459" s="72">
        <v>46110.833333333336</v>
      </c>
      <c r="Z3459" s="104" t="s">
        <v>405</v>
      </c>
      <c r="AA3459" s="104" t="s">
        <v>651</v>
      </c>
      <c r="AB3459" s="105"/>
      <c r="AC3459" s="105"/>
    </row>
    <row r="3460" s="70" customFormat="1" ht="11.25" customHeight="1">
      <c r="A3460" s="87"/>
      <c r="C3460" s="43" t="s">
        <v>5491</v>
      </c>
      <c r="D3460" s="71" t="s">
        <v>382</v>
      </c>
      <c r="E3460" s="71" t="str">
        <f>MID(D3460,1,2)</f>
        <v>IL</v>
      </c>
      <c r="F3460" s="71" t="s">
        <v>414</v>
      </c>
      <c r="G3460" s="71" t="str">
        <f>MID(F3460,1,2)</f>
        <v>US</v>
      </c>
      <c r="H3460" s="43" t="s">
        <v>5492</v>
      </c>
      <c r="I3460" s="71" t="s">
        <v>5493</v>
      </c>
      <c r="J3460" s="71" t="s">
        <v>386</v>
      </c>
      <c r="K3460" s="43"/>
      <c r="L3460" s="71" t="s">
        <v>107</v>
      </c>
      <c r="M3460" s="73">
        <v>4182</v>
      </c>
      <c r="N3460" s="71" t="s">
        <v>388</v>
      </c>
      <c r="O3460" s="73">
        <v>19.197</v>
      </c>
      <c r="P3460" s="71" t="s">
        <v>389</v>
      </c>
      <c r="Q3460" s="73">
        <v>6000</v>
      </c>
      <c r="R3460" s="71" t="s">
        <v>388</v>
      </c>
      <c r="S3460" s="73">
        <v>0</v>
      </c>
      <c r="T3460" s="71" t="s">
        <v>390</v>
      </c>
      <c r="U3460" s="74">
        <v>1</v>
      </c>
      <c r="V3460" s="71" t="s">
        <v>391</v>
      </c>
      <c r="W3460" s="130">
        <v>46098.71597222222</v>
      </c>
      <c r="X3460" s="72">
        <v>46103.379861111112</v>
      </c>
      <c r="Y3460" s="72">
        <v>46107.78125</v>
      </c>
      <c r="Z3460" s="104" t="s">
        <v>382</v>
      </c>
      <c r="AA3460" s="104" t="s">
        <v>414</v>
      </c>
      <c r="AB3460" s="105"/>
      <c r="AC3460" s="105"/>
    </row>
    <row r="3461" s="70" customFormat="1" ht="11.25" customHeight="1">
      <c r="A3461" s="87"/>
      <c r="C3461" s="43" t="s">
        <v>5494</v>
      </c>
      <c r="D3461" s="71" t="s">
        <v>382</v>
      </c>
      <c r="E3461" s="71" t="str">
        <f>MID(D3461,1,2)</f>
        <v>IL</v>
      </c>
      <c r="F3461" s="71" t="s">
        <v>468</v>
      </c>
      <c r="G3461" s="71" t="str">
        <f>MID(F3461,1,2)</f>
        <v>US</v>
      </c>
      <c r="H3461" s="43" t="s">
        <v>5189</v>
      </c>
      <c r="I3461" s="71" t="s">
        <v>5495</v>
      </c>
      <c r="J3461" s="71" t="s">
        <v>386</v>
      </c>
      <c r="K3461" s="43"/>
      <c r="L3461" s="71" t="s">
        <v>107</v>
      </c>
      <c r="M3461" s="73">
        <v>27</v>
      </c>
      <c r="N3461" s="71" t="s">
        <v>388</v>
      </c>
      <c r="O3461" s="73">
        <v>0.232</v>
      </c>
      <c r="P3461" s="71" t="s">
        <v>389</v>
      </c>
      <c r="Q3461" s="73">
        <v>39</v>
      </c>
      <c r="R3461" s="71" t="s">
        <v>388</v>
      </c>
      <c r="S3461" s="73">
        <v>0</v>
      </c>
      <c r="T3461" s="71" t="s">
        <v>390</v>
      </c>
      <c r="U3461" s="74">
        <v>1</v>
      </c>
      <c r="V3461" s="71" t="s">
        <v>391</v>
      </c>
      <c r="W3461" s="130">
        <v>46098.736805555556</v>
      </c>
      <c r="X3461" s="72">
        <v>46100.333333333336</v>
      </c>
      <c r="Y3461" s="72">
        <v>46105.375</v>
      </c>
      <c r="Z3461" s="104" t="s">
        <v>382</v>
      </c>
      <c r="AA3461" s="104" t="s">
        <v>471</v>
      </c>
      <c r="AB3461" s="105">
        <v>46100.772916666669</v>
      </c>
      <c r="AC3461" s="105"/>
    </row>
    <row r="3462" s="70" customFormat="1" ht="11.25" customHeight="1">
      <c r="A3462" s="87"/>
      <c r="C3462" s="43" t="s">
        <v>5494</v>
      </c>
      <c r="D3462" s="71" t="s">
        <v>382</v>
      </c>
      <c r="E3462" s="71" t="str">
        <f>MID(D3462,1,2)</f>
        <v>IL</v>
      </c>
      <c r="F3462" s="71" t="s">
        <v>468</v>
      </c>
      <c r="G3462" s="71" t="str">
        <f>MID(F3462,1,2)</f>
        <v>US</v>
      </c>
      <c r="H3462" s="43" t="s">
        <v>5189</v>
      </c>
      <c r="I3462" s="71" t="s">
        <v>5495</v>
      </c>
      <c r="J3462" s="71" t="s">
        <v>386</v>
      </c>
      <c r="K3462" s="43"/>
      <c r="L3462" s="71" t="s">
        <v>107</v>
      </c>
      <c r="M3462" s="73">
        <v>27</v>
      </c>
      <c r="N3462" s="71" t="s">
        <v>388</v>
      </c>
      <c r="O3462" s="73">
        <v>0.232</v>
      </c>
      <c r="P3462" s="71" t="s">
        <v>389</v>
      </c>
      <c r="Q3462" s="73">
        <v>39</v>
      </c>
      <c r="R3462" s="71" t="s">
        <v>388</v>
      </c>
      <c r="S3462" s="73">
        <v>0</v>
      </c>
      <c r="T3462" s="71" t="s">
        <v>390</v>
      </c>
      <c r="U3462" s="74">
        <v>1</v>
      </c>
      <c r="V3462" s="71" t="s">
        <v>391</v>
      </c>
      <c r="W3462" s="130">
        <v>46098.736805555556</v>
      </c>
      <c r="X3462" s="72">
        <v>46100.333333333336</v>
      </c>
      <c r="Y3462" s="72">
        <v>46105.375</v>
      </c>
      <c r="Z3462" s="104" t="s">
        <v>471</v>
      </c>
      <c r="AA3462" s="104" t="s">
        <v>468</v>
      </c>
      <c r="AB3462" s="105"/>
      <c r="AC3462" s="105"/>
    </row>
    <row r="3463" s="70" customFormat="1" ht="11.25" customHeight="1">
      <c r="A3463" s="87"/>
      <c r="C3463" s="43" t="s">
        <v>5496</v>
      </c>
      <c r="D3463" s="71" t="s">
        <v>382</v>
      </c>
      <c r="E3463" s="71" t="str">
        <f>MID(D3463,1,2)</f>
        <v>IL</v>
      </c>
      <c r="F3463" s="71" t="s">
        <v>651</v>
      </c>
      <c r="G3463" s="71" t="str">
        <f>MID(F3463,1,2)</f>
        <v>BR</v>
      </c>
      <c r="H3463" s="43" t="s">
        <v>5489</v>
      </c>
      <c r="I3463" s="71" t="s">
        <v>5497</v>
      </c>
      <c r="J3463" s="71" t="s">
        <v>386</v>
      </c>
      <c r="K3463" s="43"/>
      <c r="L3463" s="71" t="s">
        <v>107</v>
      </c>
      <c r="M3463" s="73">
        <v>44</v>
      </c>
      <c r="N3463" s="71" t="s">
        <v>388</v>
      </c>
      <c r="O3463" s="73">
        <v>0.284</v>
      </c>
      <c r="P3463" s="71" t="s">
        <v>389</v>
      </c>
      <c r="Q3463" s="73">
        <v>47.5</v>
      </c>
      <c r="R3463" s="71" t="s">
        <v>388</v>
      </c>
      <c r="S3463" s="73">
        <v>0</v>
      </c>
      <c r="T3463" s="71" t="s">
        <v>390</v>
      </c>
      <c r="U3463" s="74">
        <v>2</v>
      </c>
      <c r="V3463" s="71" t="s">
        <v>391</v>
      </c>
      <c r="W3463" s="130">
        <v>46098.833333333336</v>
      </c>
      <c r="X3463" s="72">
        <v>46103.8125</v>
      </c>
      <c r="Y3463" s="72">
        <v>46110.833333333336</v>
      </c>
      <c r="Z3463" s="104" t="s">
        <v>382</v>
      </c>
      <c r="AA3463" s="104" t="s">
        <v>408</v>
      </c>
      <c r="AB3463" s="105"/>
      <c r="AC3463" s="105"/>
    </row>
    <row r="3464" s="70" customFormat="1" ht="11.25" customHeight="1">
      <c r="A3464" s="87"/>
      <c r="C3464" s="43" t="s">
        <v>5496</v>
      </c>
      <c r="D3464" s="71" t="s">
        <v>382</v>
      </c>
      <c r="E3464" s="71" t="str">
        <f>MID(D3464,1,2)</f>
        <v>IL</v>
      </c>
      <c r="F3464" s="71" t="s">
        <v>651</v>
      </c>
      <c r="G3464" s="71" t="str">
        <f>MID(F3464,1,2)</f>
        <v>BR</v>
      </c>
      <c r="H3464" s="43" t="s">
        <v>5489</v>
      </c>
      <c r="I3464" s="71" t="s">
        <v>5497</v>
      </c>
      <c r="J3464" s="71" t="s">
        <v>386</v>
      </c>
      <c r="K3464" s="43"/>
      <c r="L3464" s="71" t="s">
        <v>107</v>
      </c>
      <c r="M3464" s="73">
        <v>44</v>
      </c>
      <c r="N3464" s="71" t="s">
        <v>388</v>
      </c>
      <c r="O3464" s="73">
        <v>0.284</v>
      </c>
      <c r="P3464" s="71" t="s">
        <v>389</v>
      </c>
      <c r="Q3464" s="73">
        <v>47.5</v>
      </c>
      <c r="R3464" s="71" t="s">
        <v>388</v>
      </c>
      <c r="S3464" s="73">
        <v>0</v>
      </c>
      <c r="T3464" s="71" t="s">
        <v>390</v>
      </c>
      <c r="U3464" s="74">
        <v>2</v>
      </c>
      <c r="V3464" s="71" t="s">
        <v>391</v>
      </c>
      <c r="W3464" s="130">
        <v>46098.833333333336</v>
      </c>
      <c r="X3464" s="72">
        <v>46103.8125</v>
      </c>
      <c r="Y3464" s="72">
        <v>46110.833333333336</v>
      </c>
      <c r="Z3464" s="104" t="s">
        <v>408</v>
      </c>
      <c r="AA3464" s="104" t="s">
        <v>405</v>
      </c>
      <c r="AB3464" s="105"/>
      <c r="AC3464" s="105"/>
    </row>
    <row r="3465" s="70" customFormat="1" ht="11.25" customHeight="1">
      <c r="A3465" s="87"/>
      <c r="C3465" s="43" t="s">
        <v>5496</v>
      </c>
      <c r="D3465" s="71" t="s">
        <v>382</v>
      </c>
      <c r="E3465" s="71" t="str">
        <f>MID(D3465,1,2)</f>
        <v>IL</v>
      </c>
      <c r="F3465" s="71" t="s">
        <v>651</v>
      </c>
      <c r="G3465" s="71" t="str">
        <f>MID(F3465,1,2)</f>
        <v>BR</v>
      </c>
      <c r="H3465" s="43" t="s">
        <v>5489</v>
      </c>
      <c r="I3465" s="71" t="s">
        <v>5497</v>
      </c>
      <c r="J3465" s="71" t="s">
        <v>386</v>
      </c>
      <c r="K3465" s="43"/>
      <c r="L3465" s="71" t="s">
        <v>107</v>
      </c>
      <c r="M3465" s="73">
        <v>44</v>
      </c>
      <c r="N3465" s="71" t="s">
        <v>388</v>
      </c>
      <c r="O3465" s="73">
        <v>0.284</v>
      </c>
      <c r="P3465" s="71" t="s">
        <v>389</v>
      </c>
      <c r="Q3465" s="73">
        <v>47.5</v>
      </c>
      <c r="R3465" s="71" t="s">
        <v>388</v>
      </c>
      <c r="S3465" s="73">
        <v>0</v>
      </c>
      <c r="T3465" s="71" t="s">
        <v>390</v>
      </c>
      <c r="U3465" s="74">
        <v>2</v>
      </c>
      <c r="V3465" s="71" t="s">
        <v>391</v>
      </c>
      <c r="W3465" s="130">
        <v>46098.833333333336</v>
      </c>
      <c r="X3465" s="72">
        <v>46103.8125</v>
      </c>
      <c r="Y3465" s="72">
        <v>46110.833333333336</v>
      </c>
      <c r="Z3465" s="104" t="s">
        <v>405</v>
      </c>
      <c r="AA3465" s="104" t="s">
        <v>651</v>
      </c>
      <c r="AB3465" s="105"/>
      <c r="AC3465" s="105"/>
    </row>
    <row r="3466" s="70" customFormat="1" ht="11.25" customHeight="1">
      <c r="A3466" s="87"/>
      <c r="C3466" s="43" t="s">
        <v>5498</v>
      </c>
      <c r="D3466" s="71" t="s">
        <v>382</v>
      </c>
      <c r="E3466" s="71" t="str">
        <f>MID(D3466,1,2)</f>
        <v>IL</v>
      </c>
      <c r="F3466" s="71" t="s">
        <v>383</v>
      </c>
      <c r="G3466" s="71" t="str">
        <f>MID(F3466,1,2)</f>
        <v>DE</v>
      </c>
      <c r="H3466" s="43" t="s">
        <v>4936</v>
      </c>
      <c r="I3466" s="71" t="s">
        <v>5499</v>
      </c>
      <c r="J3466" s="71" t="s">
        <v>454</v>
      </c>
      <c r="K3466" s="43"/>
      <c r="L3466" s="71" t="s">
        <v>107</v>
      </c>
      <c r="M3466" s="73">
        <v>3</v>
      </c>
      <c r="N3466" s="71" t="s">
        <v>388</v>
      </c>
      <c r="O3466" s="73">
        <v>0.028</v>
      </c>
      <c r="P3466" s="71" t="s">
        <v>389</v>
      </c>
      <c r="Q3466" s="73">
        <v>5</v>
      </c>
      <c r="R3466" s="71" t="s">
        <v>388</v>
      </c>
      <c r="S3466" s="73">
        <v>0</v>
      </c>
      <c r="T3466" s="71" t="s">
        <v>390</v>
      </c>
      <c r="U3466" s="74">
        <v>1</v>
      </c>
      <c r="V3466" s="71" t="s">
        <v>390</v>
      </c>
      <c r="W3466" s="130">
        <v>46098.840277777781</v>
      </c>
      <c r="X3466" s="72">
        <v>46100.333333333336</v>
      </c>
      <c r="Y3466" s="72">
        <v>46104.513888888891</v>
      </c>
      <c r="Z3466" s="104" t="s">
        <v>382</v>
      </c>
      <c r="AA3466" s="104" t="s">
        <v>383</v>
      </c>
      <c r="AB3466" s="105">
        <v>46103.441666666666</v>
      </c>
      <c r="AC3466" s="105"/>
    </row>
    <row r="3467" s="70" customFormat="1" ht="11.25" customHeight="1">
      <c r="A3467" s="87"/>
      <c r="C3467" s="43" t="s">
        <v>5500</v>
      </c>
      <c r="D3467" s="71" t="s">
        <v>382</v>
      </c>
      <c r="E3467" s="71" t="str">
        <f>MID(D3467,1,2)</f>
        <v>IL</v>
      </c>
      <c r="F3467" s="71" t="s">
        <v>1108</v>
      </c>
      <c r="G3467" s="71" t="str">
        <f>MID(F3467,1,2)</f>
        <v>TW</v>
      </c>
      <c r="H3467" s="43" t="s">
        <v>5472</v>
      </c>
      <c r="I3467" s="71" t="s">
        <v>5501</v>
      </c>
      <c r="J3467" s="71" t="s">
        <v>426</v>
      </c>
      <c r="K3467" s="43"/>
      <c r="L3467" s="71" t="s">
        <v>105</v>
      </c>
      <c r="M3467" s="73">
        <v>137</v>
      </c>
      <c r="N3467" s="71" t="s">
        <v>388</v>
      </c>
      <c r="O3467" s="73">
        <v>0.554</v>
      </c>
      <c r="P3467" s="71" t="s">
        <v>389</v>
      </c>
      <c r="Q3467" s="73">
        <v>137</v>
      </c>
      <c r="R3467" s="71" t="s">
        <v>388</v>
      </c>
      <c r="S3467" s="73">
        <v>0</v>
      </c>
      <c r="T3467" s="71" t="s">
        <v>390</v>
      </c>
      <c r="U3467" s="74">
        <v>1</v>
      </c>
      <c r="V3467" s="71" t="s">
        <v>391</v>
      </c>
      <c r="W3467" s="130">
        <v>46099.727569444447</v>
      </c>
      <c r="X3467" s="72">
        <v>46101.395833333336</v>
      </c>
      <c r="Y3467" s="72">
        <v>46105.85833333333</v>
      </c>
      <c r="Z3467" s="104" t="s">
        <v>382</v>
      </c>
      <c r="AA3467" s="104" t="s">
        <v>402</v>
      </c>
      <c r="AB3467" s="105">
        <v>46102.363194444442</v>
      </c>
      <c r="AC3467" s="105"/>
    </row>
    <row r="3468" s="70" customFormat="1" ht="11.25" customHeight="1">
      <c r="A3468" s="87"/>
      <c r="C3468" s="43" t="s">
        <v>5500</v>
      </c>
      <c r="D3468" s="71" t="s">
        <v>382</v>
      </c>
      <c r="E3468" s="71" t="str">
        <f>MID(D3468,1,2)</f>
        <v>IL</v>
      </c>
      <c r="F3468" s="71" t="s">
        <v>1108</v>
      </c>
      <c r="G3468" s="71" t="str">
        <f>MID(F3468,1,2)</f>
        <v>TW</v>
      </c>
      <c r="H3468" s="43" t="s">
        <v>5472</v>
      </c>
      <c r="I3468" s="71" t="s">
        <v>5501</v>
      </c>
      <c r="J3468" s="71" t="s">
        <v>426</v>
      </c>
      <c r="K3468" s="43"/>
      <c r="L3468" s="71" t="s">
        <v>105</v>
      </c>
      <c r="M3468" s="73">
        <v>137</v>
      </c>
      <c r="N3468" s="71" t="s">
        <v>388</v>
      </c>
      <c r="O3468" s="73">
        <v>0.554</v>
      </c>
      <c r="P3468" s="71" t="s">
        <v>389</v>
      </c>
      <c r="Q3468" s="73">
        <v>137</v>
      </c>
      <c r="R3468" s="71" t="s">
        <v>388</v>
      </c>
      <c r="S3468" s="73">
        <v>0</v>
      </c>
      <c r="T3468" s="71" t="s">
        <v>390</v>
      </c>
      <c r="U3468" s="74">
        <v>1</v>
      </c>
      <c r="V3468" s="71" t="s">
        <v>391</v>
      </c>
      <c r="W3468" s="130">
        <v>46099.727569444447</v>
      </c>
      <c r="X3468" s="72">
        <v>46101.395833333336</v>
      </c>
      <c r="Y3468" s="72">
        <v>46105.85833333333</v>
      </c>
      <c r="Z3468" s="104" t="s">
        <v>402</v>
      </c>
      <c r="AA3468" s="104" t="s">
        <v>403</v>
      </c>
      <c r="AB3468" s="105">
        <v>46101.501388888886</v>
      </c>
      <c r="AC3468" s="105"/>
    </row>
    <row r="3469" s="70" customFormat="1" ht="11.25" customHeight="1">
      <c r="A3469" s="87"/>
      <c r="C3469" s="43" t="s">
        <v>5500</v>
      </c>
      <c r="D3469" s="71" t="s">
        <v>382</v>
      </c>
      <c r="E3469" s="71" t="str">
        <f>MID(D3469,1,2)</f>
        <v>IL</v>
      </c>
      <c r="F3469" s="71" t="s">
        <v>1108</v>
      </c>
      <c r="G3469" s="71" t="str">
        <f>MID(F3469,1,2)</f>
        <v>TW</v>
      </c>
      <c r="H3469" s="43" t="s">
        <v>5472</v>
      </c>
      <c r="I3469" s="71" t="s">
        <v>5501</v>
      </c>
      <c r="J3469" s="71" t="s">
        <v>426</v>
      </c>
      <c r="K3469" s="43"/>
      <c r="L3469" s="71" t="s">
        <v>105</v>
      </c>
      <c r="M3469" s="73">
        <v>137</v>
      </c>
      <c r="N3469" s="71" t="s">
        <v>388</v>
      </c>
      <c r="O3469" s="73">
        <v>0.554</v>
      </c>
      <c r="P3469" s="71" t="s">
        <v>389</v>
      </c>
      <c r="Q3469" s="73">
        <v>137</v>
      </c>
      <c r="R3469" s="71" t="s">
        <v>388</v>
      </c>
      <c r="S3469" s="73">
        <v>0</v>
      </c>
      <c r="T3469" s="71" t="s">
        <v>390</v>
      </c>
      <c r="U3469" s="74">
        <v>1</v>
      </c>
      <c r="V3469" s="71" t="s">
        <v>391</v>
      </c>
      <c r="W3469" s="130">
        <v>46099.727569444447</v>
      </c>
      <c r="X3469" s="72">
        <v>46101.395833333336</v>
      </c>
      <c r="Y3469" s="72">
        <v>46105.85833333333</v>
      </c>
      <c r="Z3469" s="104" t="s">
        <v>403</v>
      </c>
      <c r="AA3469" s="104" t="s">
        <v>1108</v>
      </c>
      <c r="AB3469" s="105"/>
      <c r="AC3469" s="105"/>
    </row>
    <row r="3470" s="70" customFormat="1" ht="11.25" customHeight="1">
      <c r="A3470" s="87"/>
      <c r="C3470" s="43" t="s">
        <v>5502</v>
      </c>
      <c r="D3470" s="71" t="s">
        <v>382</v>
      </c>
      <c r="E3470" s="71" t="str">
        <f>MID(D3470,1,2)</f>
        <v>IL</v>
      </c>
      <c r="F3470" s="71" t="s">
        <v>978</v>
      </c>
      <c r="G3470" s="71" t="str">
        <f>MID(F3470,1,2)</f>
        <v>PL</v>
      </c>
      <c r="H3470" s="43" t="s">
        <v>5503</v>
      </c>
      <c r="I3470" s="71" t="s">
        <v>5504</v>
      </c>
      <c r="J3470" s="71" t="s">
        <v>386</v>
      </c>
      <c r="K3470" s="43"/>
      <c r="L3470" s="71" t="s">
        <v>107</v>
      </c>
      <c r="M3470" s="73">
        <v>1023</v>
      </c>
      <c r="N3470" s="71" t="s">
        <v>388</v>
      </c>
      <c r="O3470" s="73">
        <v>0.887</v>
      </c>
      <c r="P3470" s="71" t="s">
        <v>389</v>
      </c>
      <c r="Q3470" s="73">
        <v>1023</v>
      </c>
      <c r="R3470" s="71" t="s">
        <v>388</v>
      </c>
      <c r="S3470" s="73">
        <v>0</v>
      </c>
      <c r="T3470" s="71" t="s">
        <v>390</v>
      </c>
      <c r="U3470" s="74">
        <v>2</v>
      </c>
      <c r="V3470" s="71" t="s">
        <v>391</v>
      </c>
      <c r="W3470" s="130">
        <v>46099.424305555556</v>
      </c>
      <c r="X3470" s="72">
        <v>46102.895833333336</v>
      </c>
      <c r="Y3470" s="72">
        <v>46106.125</v>
      </c>
      <c r="Z3470" s="104" t="s">
        <v>382</v>
      </c>
      <c r="AA3470" s="104" t="s">
        <v>466</v>
      </c>
      <c r="AB3470" s="105">
        <v>46102.916666666664</v>
      </c>
      <c r="AC3470" s="105">
        <v>46103.048611111109</v>
      </c>
    </row>
    <row r="3471" s="70" customFormat="1" ht="11.25" customHeight="1">
      <c r="A3471" s="87"/>
      <c r="C3471" s="43" t="s">
        <v>5502</v>
      </c>
      <c r="D3471" s="71" t="s">
        <v>382</v>
      </c>
      <c r="E3471" s="71" t="str">
        <f>MID(D3471,1,2)</f>
        <v>IL</v>
      </c>
      <c r="F3471" s="71" t="s">
        <v>978</v>
      </c>
      <c r="G3471" s="71" t="str">
        <f>MID(F3471,1,2)</f>
        <v>PL</v>
      </c>
      <c r="H3471" s="43" t="s">
        <v>5503</v>
      </c>
      <c r="I3471" s="71" t="s">
        <v>5504</v>
      </c>
      <c r="J3471" s="71" t="s">
        <v>386</v>
      </c>
      <c r="K3471" s="43"/>
      <c r="L3471" s="71" t="s">
        <v>107</v>
      </c>
      <c r="M3471" s="73">
        <v>1023</v>
      </c>
      <c r="N3471" s="71" t="s">
        <v>388</v>
      </c>
      <c r="O3471" s="73">
        <v>0.887</v>
      </c>
      <c r="P3471" s="71" t="s">
        <v>389</v>
      </c>
      <c r="Q3471" s="73">
        <v>1023</v>
      </c>
      <c r="R3471" s="71" t="s">
        <v>388</v>
      </c>
      <c r="S3471" s="73">
        <v>0</v>
      </c>
      <c r="T3471" s="71" t="s">
        <v>390</v>
      </c>
      <c r="U3471" s="74">
        <v>2</v>
      </c>
      <c r="V3471" s="71" t="s">
        <v>391</v>
      </c>
      <c r="W3471" s="130">
        <v>46099.424305555556</v>
      </c>
      <c r="X3471" s="72">
        <v>46102.895833333336</v>
      </c>
      <c r="Y3471" s="72">
        <v>46106.125</v>
      </c>
      <c r="Z3471" s="104" t="s">
        <v>466</v>
      </c>
      <c r="AA3471" s="104" t="s">
        <v>383</v>
      </c>
      <c r="AB3471" s="105"/>
      <c r="AC3471" s="105"/>
    </row>
    <row r="3472" s="70" customFormat="1" ht="11.25" customHeight="1">
      <c r="A3472" s="87"/>
      <c r="C3472" s="43" t="s">
        <v>5505</v>
      </c>
      <c r="D3472" s="71" t="s">
        <v>382</v>
      </c>
      <c r="E3472" s="71" t="str">
        <f>MID(D3472,1,2)</f>
        <v>IL</v>
      </c>
      <c r="F3472" s="71" t="s">
        <v>1538</v>
      </c>
      <c r="G3472" s="71" t="str">
        <f>MID(F3472,1,2)</f>
        <v>KR</v>
      </c>
      <c r="H3472" s="43" t="s">
        <v>5506</v>
      </c>
      <c r="I3472" s="71" t="s">
        <v>5507</v>
      </c>
      <c r="J3472" s="71" t="s">
        <v>755</v>
      </c>
      <c r="K3472" s="43"/>
      <c r="L3472" s="71" t="s">
        <v>105</v>
      </c>
      <c r="M3472" s="73">
        <v>89</v>
      </c>
      <c r="N3472" s="71" t="s">
        <v>388</v>
      </c>
      <c r="O3472" s="73">
        <v>0.854</v>
      </c>
      <c r="P3472" s="71" t="s">
        <v>389</v>
      </c>
      <c r="Q3472" s="73">
        <v>142.5</v>
      </c>
      <c r="R3472" s="71" t="s">
        <v>388</v>
      </c>
      <c r="S3472" s="73">
        <v>0</v>
      </c>
      <c r="T3472" s="71" t="s">
        <v>390</v>
      </c>
      <c r="U3472" s="74">
        <v>1</v>
      </c>
      <c r="V3472" s="71" t="s">
        <v>391</v>
      </c>
      <c r="W3472" s="130">
        <v>46099.5678125</v>
      </c>
      <c r="X3472" s="72">
        <v>46101.533333333333</v>
      </c>
      <c r="Y3472" s="72">
        <v>46105.583333333336</v>
      </c>
      <c r="Z3472" s="104" t="s">
        <v>382</v>
      </c>
      <c r="AA3472" s="104" t="s">
        <v>402</v>
      </c>
      <c r="AB3472" s="105">
        <v>46102.363194444442</v>
      </c>
      <c r="AC3472" s="105"/>
    </row>
    <row r="3473" s="70" customFormat="1" ht="11.25" customHeight="1">
      <c r="A3473" s="87"/>
      <c r="C3473" s="43" t="s">
        <v>5505</v>
      </c>
      <c r="D3473" s="71" t="s">
        <v>382</v>
      </c>
      <c r="E3473" s="71" t="str">
        <f>MID(D3473,1,2)</f>
        <v>IL</v>
      </c>
      <c r="F3473" s="71" t="s">
        <v>1538</v>
      </c>
      <c r="G3473" s="71" t="str">
        <f>MID(F3473,1,2)</f>
        <v>KR</v>
      </c>
      <c r="H3473" s="43" t="s">
        <v>5506</v>
      </c>
      <c r="I3473" s="71" t="s">
        <v>5507</v>
      </c>
      <c r="J3473" s="71" t="s">
        <v>755</v>
      </c>
      <c r="K3473" s="43"/>
      <c r="L3473" s="71" t="s">
        <v>105</v>
      </c>
      <c r="M3473" s="73">
        <v>89</v>
      </c>
      <c r="N3473" s="71" t="s">
        <v>388</v>
      </c>
      <c r="O3473" s="73">
        <v>0.854</v>
      </c>
      <c r="P3473" s="71" t="s">
        <v>389</v>
      </c>
      <c r="Q3473" s="73">
        <v>142.5</v>
      </c>
      <c r="R3473" s="71" t="s">
        <v>388</v>
      </c>
      <c r="S3473" s="73">
        <v>0</v>
      </c>
      <c r="T3473" s="71" t="s">
        <v>390</v>
      </c>
      <c r="U3473" s="74">
        <v>1</v>
      </c>
      <c r="V3473" s="71" t="s">
        <v>391</v>
      </c>
      <c r="W3473" s="130">
        <v>46099.5678125</v>
      </c>
      <c r="X3473" s="72">
        <v>46101.533333333333</v>
      </c>
      <c r="Y3473" s="72">
        <v>46105.583333333336</v>
      </c>
      <c r="Z3473" s="104" t="s">
        <v>402</v>
      </c>
      <c r="AA3473" s="104" t="s">
        <v>403</v>
      </c>
      <c r="AB3473" s="105">
        <v>46102.864583333336</v>
      </c>
      <c r="AC3473" s="105">
        <v>46103.722916666666</v>
      </c>
    </row>
    <row r="3474" s="70" customFormat="1" ht="11.25" customHeight="1">
      <c r="A3474" s="87"/>
      <c r="C3474" s="43" t="s">
        <v>5505</v>
      </c>
      <c r="D3474" s="71" t="s">
        <v>382</v>
      </c>
      <c r="E3474" s="71" t="str">
        <f>MID(D3474,1,2)</f>
        <v>IL</v>
      </c>
      <c r="F3474" s="71" t="s">
        <v>1538</v>
      </c>
      <c r="G3474" s="71" t="str">
        <f>MID(F3474,1,2)</f>
        <v>KR</v>
      </c>
      <c r="H3474" s="43" t="s">
        <v>5506</v>
      </c>
      <c r="I3474" s="71" t="s">
        <v>5507</v>
      </c>
      <c r="J3474" s="71" t="s">
        <v>755</v>
      </c>
      <c r="K3474" s="43"/>
      <c r="L3474" s="71" t="s">
        <v>105</v>
      </c>
      <c r="M3474" s="73">
        <v>89</v>
      </c>
      <c r="N3474" s="71" t="s">
        <v>388</v>
      </c>
      <c r="O3474" s="73">
        <v>0.854</v>
      </c>
      <c r="P3474" s="71" t="s">
        <v>389</v>
      </c>
      <c r="Q3474" s="73">
        <v>142.5</v>
      </c>
      <c r="R3474" s="71" t="s">
        <v>388</v>
      </c>
      <c r="S3474" s="73">
        <v>0</v>
      </c>
      <c r="T3474" s="71" t="s">
        <v>390</v>
      </c>
      <c r="U3474" s="74">
        <v>1</v>
      </c>
      <c r="V3474" s="71" t="s">
        <v>391</v>
      </c>
      <c r="W3474" s="130">
        <v>46099.5678125</v>
      </c>
      <c r="X3474" s="72">
        <v>46101.533333333333</v>
      </c>
      <c r="Y3474" s="72">
        <v>46105.583333333336</v>
      </c>
      <c r="Z3474" s="104" t="s">
        <v>403</v>
      </c>
      <c r="AA3474" s="104" t="s">
        <v>1538</v>
      </c>
      <c r="AB3474" s="105"/>
      <c r="AC3474" s="105"/>
    </row>
    <row r="3475" s="70" customFormat="1" ht="11.25" customHeight="1">
      <c r="A3475" s="87"/>
      <c r="C3475" s="43" t="s">
        <v>5508</v>
      </c>
      <c r="D3475" s="71" t="s">
        <v>382</v>
      </c>
      <c r="E3475" s="71" t="str">
        <f>MID(D3475,1,2)</f>
        <v>IL</v>
      </c>
      <c r="F3475" s="71" t="s">
        <v>774</v>
      </c>
      <c r="G3475" s="71" t="str">
        <f>MID(F3475,1,2)</f>
        <v>CN</v>
      </c>
      <c r="H3475" s="43" t="s">
        <v>5509</v>
      </c>
      <c r="I3475" s="71" t="s">
        <v>5510</v>
      </c>
      <c r="J3475" s="71" t="s">
        <v>755</v>
      </c>
      <c r="K3475" s="43"/>
      <c r="L3475" s="71" t="s">
        <v>105</v>
      </c>
      <c r="M3475" s="73">
        <v>2.5</v>
      </c>
      <c r="N3475" s="71" t="s">
        <v>388</v>
      </c>
      <c r="O3475" s="73">
        <v>0.064</v>
      </c>
      <c r="P3475" s="71" t="s">
        <v>389</v>
      </c>
      <c r="Q3475" s="73">
        <v>11</v>
      </c>
      <c r="R3475" s="71" t="s">
        <v>388</v>
      </c>
      <c r="S3475" s="73">
        <v>0</v>
      </c>
      <c r="T3475" s="71" t="s">
        <v>390</v>
      </c>
      <c r="U3475" s="74">
        <v>1</v>
      </c>
      <c r="V3475" s="71" t="s">
        <v>391</v>
      </c>
      <c r="W3475" s="130">
        <v>46099.567835648151</v>
      </c>
      <c r="X3475" s="72">
        <v>46101.533333333333</v>
      </c>
      <c r="Y3475" s="72">
        <v>46105.840277777781</v>
      </c>
      <c r="Z3475" s="104" t="s">
        <v>382</v>
      </c>
      <c r="AA3475" s="104" t="s">
        <v>402</v>
      </c>
      <c r="AB3475" s="105">
        <v>46102.363194444442</v>
      </c>
      <c r="AC3475" s="105"/>
    </row>
    <row r="3476" s="70" customFormat="1" ht="11.25" customHeight="1">
      <c r="A3476" s="87"/>
      <c r="C3476" s="43" t="s">
        <v>5508</v>
      </c>
      <c r="D3476" s="71" t="s">
        <v>382</v>
      </c>
      <c r="E3476" s="71" t="str">
        <f>MID(D3476,1,2)</f>
        <v>IL</v>
      </c>
      <c r="F3476" s="71" t="s">
        <v>774</v>
      </c>
      <c r="G3476" s="71" t="str">
        <f>MID(F3476,1,2)</f>
        <v>CN</v>
      </c>
      <c r="H3476" s="43" t="s">
        <v>5509</v>
      </c>
      <c r="I3476" s="71" t="s">
        <v>5510</v>
      </c>
      <c r="J3476" s="71" t="s">
        <v>755</v>
      </c>
      <c r="K3476" s="43"/>
      <c r="L3476" s="71" t="s">
        <v>105</v>
      </c>
      <c r="M3476" s="73">
        <v>2.5</v>
      </c>
      <c r="N3476" s="71" t="s">
        <v>388</v>
      </c>
      <c r="O3476" s="73">
        <v>0.064</v>
      </c>
      <c r="P3476" s="71" t="s">
        <v>389</v>
      </c>
      <c r="Q3476" s="73">
        <v>11</v>
      </c>
      <c r="R3476" s="71" t="s">
        <v>388</v>
      </c>
      <c r="S3476" s="73">
        <v>0</v>
      </c>
      <c r="T3476" s="71" t="s">
        <v>390</v>
      </c>
      <c r="U3476" s="74">
        <v>1</v>
      </c>
      <c r="V3476" s="71" t="s">
        <v>391</v>
      </c>
      <c r="W3476" s="130">
        <v>46099.567835648151</v>
      </c>
      <c r="X3476" s="72">
        <v>46101.533333333333</v>
      </c>
      <c r="Y3476" s="72">
        <v>46105.840277777781</v>
      </c>
      <c r="Z3476" s="104" t="s">
        <v>402</v>
      </c>
      <c r="AA3476" s="104" t="s">
        <v>403</v>
      </c>
      <c r="AB3476" s="105">
        <v>46102.864583333336</v>
      </c>
      <c r="AC3476" s="105"/>
    </row>
    <row r="3477" s="70" customFormat="1" ht="11.25" customHeight="1">
      <c r="A3477" s="87"/>
      <c r="C3477" s="43" t="s">
        <v>5508</v>
      </c>
      <c r="D3477" s="71" t="s">
        <v>382</v>
      </c>
      <c r="E3477" s="71" t="str">
        <f>MID(D3477,1,2)</f>
        <v>IL</v>
      </c>
      <c r="F3477" s="71" t="s">
        <v>774</v>
      </c>
      <c r="G3477" s="71" t="str">
        <f>MID(F3477,1,2)</f>
        <v>CN</v>
      </c>
      <c r="H3477" s="43" t="s">
        <v>5509</v>
      </c>
      <c r="I3477" s="71" t="s">
        <v>5510</v>
      </c>
      <c r="J3477" s="71" t="s">
        <v>755</v>
      </c>
      <c r="K3477" s="43"/>
      <c r="L3477" s="71" t="s">
        <v>105</v>
      </c>
      <c r="M3477" s="73">
        <v>2.5</v>
      </c>
      <c r="N3477" s="71" t="s">
        <v>388</v>
      </c>
      <c r="O3477" s="73">
        <v>0.064</v>
      </c>
      <c r="P3477" s="71" t="s">
        <v>389</v>
      </c>
      <c r="Q3477" s="73">
        <v>11</v>
      </c>
      <c r="R3477" s="71" t="s">
        <v>388</v>
      </c>
      <c r="S3477" s="73">
        <v>0</v>
      </c>
      <c r="T3477" s="71" t="s">
        <v>390</v>
      </c>
      <c r="U3477" s="74">
        <v>1</v>
      </c>
      <c r="V3477" s="71" t="s">
        <v>391</v>
      </c>
      <c r="W3477" s="130">
        <v>46099.567835648151</v>
      </c>
      <c r="X3477" s="72">
        <v>46101.533333333333</v>
      </c>
      <c r="Y3477" s="72">
        <v>46105.840277777781</v>
      </c>
      <c r="Z3477" s="104" t="s">
        <v>403</v>
      </c>
      <c r="AA3477" s="104" t="s">
        <v>774</v>
      </c>
      <c r="AB3477" s="105"/>
      <c r="AC3477" s="105"/>
    </row>
    <row r="3478" s="70" customFormat="1" ht="11.25" customHeight="1">
      <c r="A3478" s="87"/>
      <c r="C3478" s="43" t="s">
        <v>5511</v>
      </c>
      <c r="D3478" s="71" t="s">
        <v>382</v>
      </c>
      <c r="E3478" s="71" t="str">
        <f>MID(D3478,1,2)</f>
        <v>IL</v>
      </c>
      <c r="F3478" s="71" t="s">
        <v>383</v>
      </c>
      <c r="G3478" s="71" t="str">
        <f>MID(F3478,1,2)</f>
        <v>DE</v>
      </c>
      <c r="H3478" s="43" t="s">
        <v>4936</v>
      </c>
      <c r="I3478" s="71" t="s">
        <v>5512</v>
      </c>
      <c r="J3478" s="71" t="s">
        <v>400</v>
      </c>
      <c r="K3478" s="43"/>
      <c r="L3478" s="71" t="s">
        <v>105</v>
      </c>
      <c r="M3478" s="73">
        <v>41</v>
      </c>
      <c r="N3478" s="71" t="s">
        <v>388</v>
      </c>
      <c r="O3478" s="73">
        <v>0.382</v>
      </c>
      <c r="P3478" s="71" t="s">
        <v>389</v>
      </c>
      <c r="Q3478" s="73">
        <v>64</v>
      </c>
      <c r="R3478" s="71" t="s">
        <v>388</v>
      </c>
      <c r="S3478" s="73">
        <v>0</v>
      </c>
      <c r="T3478" s="71" t="s">
        <v>390</v>
      </c>
      <c r="U3478" s="74">
        <v>1</v>
      </c>
      <c r="V3478" s="71" t="s">
        <v>391</v>
      </c>
      <c r="W3478" s="130">
        <v>46099.459027777775</v>
      </c>
      <c r="X3478" s="72">
        <v>46100.333333333336</v>
      </c>
      <c r="Y3478" s="72">
        <v>46104.513888888891</v>
      </c>
      <c r="Z3478" s="104" t="s">
        <v>382</v>
      </c>
      <c r="AA3478" s="104" t="s">
        <v>383</v>
      </c>
      <c r="AB3478" s="105">
        <v>46103.441666666666</v>
      </c>
      <c r="AC3478" s="105"/>
    </row>
    <row r="3479" s="70" customFormat="1" ht="11.25" customHeight="1">
      <c r="A3479" s="87"/>
      <c r="C3479" s="43" t="s">
        <v>5513</v>
      </c>
      <c r="D3479" s="71" t="s">
        <v>382</v>
      </c>
      <c r="E3479" s="71" t="str">
        <f>MID(D3479,1,2)</f>
        <v>IL</v>
      </c>
      <c r="F3479" s="71" t="s">
        <v>405</v>
      </c>
      <c r="G3479" s="71" t="str">
        <f>MID(F3479,1,2)</f>
        <v>CA</v>
      </c>
      <c r="H3479" s="43" t="s">
        <v>5514</v>
      </c>
      <c r="I3479" s="71" t="s">
        <v>5515</v>
      </c>
      <c r="J3479" s="71" t="s">
        <v>435</v>
      </c>
      <c r="K3479" s="43"/>
      <c r="L3479" s="71" t="s">
        <v>105</v>
      </c>
      <c r="M3479" s="73">
        <v>64</v>
      </c>
      <c r="N3479" s="71" t="s">
        <v>388</v>
      </c>
      <c r="O3479" s="73">
        <v>0.309</v>
      </c>
      <c r="P3479" s="71" t="s">
        <v>389</v>
      </c>
      <c r="Q3479" s="73">
        <v>100</v>
      </c>
      <c r="R3479" s="71" t="s">
        <v>388</v>
      </c>
      <c r="S3479" s="73">
        <v>0</v>
      </c>
      <c r="T3479" s="71" t="s">
        <v>390</v>
      </c>
      <c r="U3479" s="74">
        <v>1</v>
      </c>
      <c r="V3479" s="71" t="s">
        <v>391</v>
      </c>
      <c r="W3479" s="130">
        <v>46099.500694444447</v>
      </c>
      <c r="X3479" s="72">
        <v>46103.229166666664</v>
      </c>
      <c r="Y3479" s="72">
        <v>46105.39166666667</v>
      </c>
      <c r="Z3479" s="104" t="s">
        <v>382</v>
      </c>
      <c r="AA3479" s="104" t="s">
        <v>408</v>
      </c>
      <c r="AB3479" s="105"/>
      <c r="AC3479" s="105"/>
    </row>
    <row r="3480" s="70" customFormat="1" ht="11.25" customHeight="1">
      <c r="A3480" s="87"/>
      <c r="C3480" s="43" t="s">
        <v>5513</v>
      </c>
      <c r="D3480" s="71" t="s">
        <v>382</v>
      </c>
      <c r="E3480" s="71" t="str">
        <f>MID(D3480,1,2)</f>
        <v>IL</v>
      </c>
      <c r="F3480" s="71" t="s">
        <v>405</v>
      </c>
      <c r="G3480" s="71" t="str">
        <f>MID(F3480,1,2)</f>
        <v>CA</v>
      </c>
      <c r="H3480" s="43" t="s">
        <v>5514</v>
      </c>
      <c r="I3480" s="71" t="s">
        <v>5515</v>
      </c>
      <c r="J3480" s="71" t="s">
        <v>435</v>
      </c>
      <c r="K3480" s="43"/>
      <c r="L3480" s="71" t="s">
        <v>105</v>
      </c>
      <c r="M3480" s="73">
        <v>64</v>
      </c>
      <c r="N3480" s="71" t="s">
        <v>388</v>
      </c>
      <c r="O3480" s="73">
        <v>0.309</v>
      </c>
      <c r="P3480" s="71" t="s">
        <v>389</v>
      </c>
      <c r="Q3480" s="73">
        <v>100</v>
      </c>
      <c r="R3480" s="71" t="s">
        <v>388</v>
      </c>
      <c r="S3480" s="73">
        <v>0</v>
      </c>
      <c r="T3480" s="71" t="s">
        <v>390</v>
      </c>
      <c r="U3480" s="74">
        <v>1</v>
      </c>
      <c r="V3480" s="71" t="s">
        <v>391</v>
      </c>
      <c r="W3480" s="130">
        <v>46099.500694444447</v>
      </c>
      <c r="X3480" s="72">
        <v>46103.229166666664</v>
      </c>
      <c r="Y3480" s="72">
        <v>46105.39166666667</v>
      </c>
      <c r="Z3480" s="104" t="s">
        <v>408</v>
      </c>
      <c r="AA3480" s="104" t="s">
        <v>405</v>
      </c>
      <c r="AB3480" s="105"/>
      <c r="AC3480" s="105"/>
    </row>
    <row r="3481" s="70" customFormat="1" ht="11.25" customHeight="1">
      <c r="A3481" s="87"/>
      <c r="C3481" s="43" t="s">
        <v>5516</v>
      </c>
      <c r="D3481" s="71" t="s">
        <v>382</v>
      </c>
      <c r="E3481" s="71" t="str">
        <f>MID(D3481,1,2)</f>
        <v>IL</v>
      </c>
      <c r="F3481" s="71" t="s">
        <v>1117</v>
      </c>
      <c r="G3481" s="71" t="str">
        <f>MID(F3481,1,2)</f>
        <v>BE</v>
      </c>
      <c r="H3481" s="43" t="s">
        <v>5517</v>
      </c>
      <c r="I3481" s="71" t="s">
        <v>5518</v>
      </c>
      <c r="J3481" s="71" t="s">
        <v>454</v>
      </c>
      <c r="K3481" s="43"/>
      <c r="L3481" s="71" t="s">
        <v>107</v>
      </c>
      <c r="M3481" s="73">
        <v>39</v>
      </c>
      <c r="N3481" s="71" t="s">
        <v>388</v>
      </c>
      <c r="O3481" s="73">
        <v>0.265</v>
      </c>
      <c r="P3481" s="71" t="s">
        <v>389</v>
      </c>
      <c r="Q3481" s="73">
        <v>100</v>
      </c>
      <c r="R3481" s="71" t="s">
        <v>388</v>
      </c>
      <c r="S3481" s="73">
        <v>0</v>
      </c>
      <c r="T3481" s="71" t="s">
        <v>390</v>
      </c>
      <c r="U3481" s="74">
        <v>1</v>
      </c>
      <c r="V3481" s="71" t="s">
        <v>391</v>
      </c>
      <c r="W3481" s="130">
        <v>46100.599618055552</v>
      </c>
      <c r="X3481" s="72">
        <v>46103.645833333336</v>
      </c>
      <c r="Y3481" s="72">
        <v>46105.875</v>
      </c>
      <c r="Z3481" s="104" t="s">
        <v>382</v>
      </c>
      <c r="AA3481" s="104" t="s">
        <v>4692</v>
      </c>
      <c r="AB3481" s="105"/>
      <c r="AC3481" s="105"/>
    </row>
    <row r="3482" s="70" customFormat="1" ht="11.25" customHeight="1">
      <c r="A3482" s="87"/>
      <c r="C3482" s="43" t="s">
        <v>5516</v>
      </c>
      <c r="D3482" s="71" t="s">
        <v>382</v>
      </c>
      <c r="E3482" s="71" t="str">
        <f>MID(D3482,1,2)</f>
        <v>IL</v>
      </c>
      <c r="F3482" s="71" t="s">
        <v>1117</v>
      </c>
      <c r="G3482" s="71" t="str">
        <f>MID(F3482,1,2)</f>
        <v>BE</v>
      </c>
      <c r="H3482" s="43" t="s">
        <v>5517</v>
      </c>
      <c r="I3482" s="71" t="s">
        <v>5518</v>
      </c>
      <c r="J3482" s="71" t="s">
        <v>454</v>
      </c>
      <c r="K3482" s="43"/>
      <c r="L3482" s="71" t="s">
        <v>107</v>
      </c>
      <c r="M3482" s="73">
        <v>39</v>
      </c>
      <c r="N3482" s="71" t="s">
        <v>388</v>
      </c>
      <c r="O3482" s="73">
        <v>0.265</v>
      </c>
      <c r="P3482" s="71" t="s">
        <v>389</v>
      </c>
      <c r="Q3482" s="73">
        <v>100</v>
      </c>
      <c r="R3482" s="71" t="s">
        <v>388</v>
      </c>
      <c r="S3482" s="73">
        <v>0</v>
      </c>
      <c r="T3482" s="71" t="s">
        <v>390</v>
      </c>
      <c r="U3482" s="74">
        <v>1</v>
      </c>
      <c r="V3482" s="71" t="s">
        <v>391</v>
      </c>
      <c r="W3482" s="130">
        <v>46100.599618055552</v>
      </c>
      <c r="X3482" s="72">
        <v>46103.645833333336</v>
      </c>
      <c r="Y3482" s="72">
        <v>46105.875</v>
      </c>
      <c r="Z3482" s="104" t="s">
        <v>4692</v>
      </c>
      <c r="AA3482" s="104" t="s">
        <v>1117</v>
      </c>
      <c r="AB3482" s="105"/>
      <c r="AC3482" s="105"/>
    </row>
    <row r="3483" s="70" customFormat="1" ht="11.25" customHeight="1">
      <c r="A3483" s="87"/>
      <c r="C3483" s="43" t="s">
        <v>5519</v>
      </c>
      <c r="D3483" s="71" t="s">
        <v>382</v>
      </c>
      <c r="E3483" s="71" t="str">
        <f>MID(D3483,1,2)</f>
        <v>IL</v>
      </c>
      <c r="F3483" s="71" t="s">
        <v>1108</v>
      </c>
      <c r="G3483" s="71" t="str">
        <f>MID(F3483,1,2)</f>
        <v>TW</v>
      </c>
      <c r="H3483" s="43" t="s">
        <v>5520</v>
      </c>
      <c r="I3483" s="71" t="s">
        <v>5521</v>
      </c>
      <c r="J3483" s="71" t="s">
        <v>454</v>
      </c>
      <c r="K3483" s="43"/>
      <c r="L3483" s="71" t="s">
        <v>107</v>
      </c>
      <c r="M3483" s="73">
        <v>188</v>
      </c>
      <c r="N3483" s="71" t="s">
        <v>388</v>
      </c>
      <c r="O3483" s="73">
        <v>3.138</v>
      </c>
      <c r="P3483" s="71" t="s">
        <v>389</v>
      </c>
      <c r="Q3483" s="73">
        <v>523</v>
      </c>
      <c r="R3483" s="71" t="s">
        <v>388</v>
      </c>
      <c r="S3483" s="73">
        <v>0</v>
      </c>
      <c r="T3483" s="71" t="s">
        <v>390</v>
      </c>
      <c r="U3483" s="74">
        <v>2</v>
      </c>
      <c r="V3483" s="71" t="s">
        <v>391</v>
      </c>
      <c r="W3483" s="130">
        <v>46099.498402777775</v>
      </c>
      <c r="X3483" s="72">
        <v>46102</v>
      </c>
      <c r="Y3483" s="72">
        <v>46106</v>
      </c>
      <c r="Z3483" s="104" t="s">
        <v>382</v>
      </c>
      <c r="AA3483" s="104" t="s">
        <v>402</v>
      </c>
      <c r="AB3483" s="105">
        <v>46102.864583333336</v>
      </c>
      <c r="AC3483" s="105">
        <v>46102.892361111109</v>
      </c>
    </row>
    <row r="3484" s="70" customFormat="1" ht="11.25" customHeight="1">
      <c r="A3484" s="87"/>
      <c r="C3484" s="43" t="s">
        <v>5519</v>
      </c>
      <c r="D3484" s="71" t="s">
        <v>382</v>
      </c>
      <c r="E3484" s="71" t="str">
        <f>MID(D3484,1,2)</f>
        <v>IL</v>
      </c>
      <c r="F3484" s="71" t="s">
        <v>1108</v>
      </c>
      <c r="G3484" s="71" t="str">
        <f>MID(F3484,1,2)</f>
        <v>TW</v>
      </c>
      <c r="H3484" s="43" t="s">
        <v>5520</v>
      </c>
      <c r="I3484" s="71" t="s">
        <v>5521</v>
      </c>
      <c r="J3484" s="71" t="s">
        <v>454</v>
      </c>
      <c r="K3484" s="43"/>
      <c r="L3484" s="71" t="s">
        <v>107</v>
      </c>
      <c r="M3484" s="73">
        <v>188</v>
      </c>
      <c r="N3484" s="71" t="s">
        <v>388</v>
      </c>
      <c r="O3484" s="73">
        <v>3.138</v>
      </c>
      <c r="P3484" s="71" t="s">
        <v>389</v>
      </c>
      <c r="Q3484" s="73">
        <v>523</v>
      </c>
      <c r="R3484" s="71" t="s">
        <v>388</v>
      </c>
      <c r="S3484" s="73">
        <v>0</v>
      </c>
      <c r="T3484" s="71" t="s">
        <v>390</v>
      </c>
      <c r="U3484" s="74">
        <v>2</v>
      </c>
      <c r="V3484" s="71" t="s">
        <v>391</v>
      </c>
      <c r="W3484" s="130">
        <v>46099.498402777775</v>
      </c>
      <c r="X3484" s="72">
        <v>46102</v>
      </c>
      <c r="Y3484" s="72">
        <v>46106</v>
      </c>
      <c r="Z3484" s="104" t="s">
        <v>402</v>
      </c>
      <c r="AA3484" s="104" t="s">
        <v>403</v>
      </c>
      <c r="AB3484" s="105">
        <v>46102.989583333336</v>
      </c>
      <c r="AC3484" s="105"/>
    </row>
    <row r="3485" s="70" customFormat="1" ht="11.25" customHeight="1">
      <c r="A3485" s="87"/>
      <c r="C3485" s="43" t="s">
        <v>5519</v>
      </c>
      <c r="D3485" s="71" t="s">
        <v>382</v>
      </c>
      <c r="E3485" s="71" t="str">
        <f>MID(D3485,1,2)</f>
        <v>IL</v>
      </c>
      <c r="F3485" s="71" t="s">
        <v>1108</v>
      </c>
      <c r="G3485" s="71" t="str">
        <f>MID(F3485,1,2)</f>
        <v>TW</v>
      </c>
      <c r="H3485" s="43" t="s">
        <v>5520</v>
      </c>
      <c r="I3485" s="71" t="s">
        <v>5521</v>
      </c>
      <c r="J3485" s="71" t="s">
        <v>454</v>
      </c>
      <c r="K3485" s="43"/>
      <c r="L3485" s="71" t="s">
        <v>107</v>
      </c>
      <c r="M3485" s="73">
        <v>188</v>
      </c>
      <c r="N3485" s="71" t="s">
        <v>388</v>
      </c>
      <c r="O3485" s="73">
        <v>3.138</v>
      </c>
      <c r="P3485" s="71" t="s">
        <v>389</v>
      </c>
      <c r="Q3485" s="73">
        <v>523</v>
      </c>
      <c r="R3485" s="71" t="s">
        <v>388</v>
      </c>
      <c r="S3485" s="73">
        <v>0</v>
      </c>
      <c r="T3485" s="71" t="s">
        <v>390</v>
      </c>
      <c r="U3485" s="74">
        <v>2</v>
      </c>
      <c r="V3485" s="71" t="s">
        <v>391</v>
      </c>
      <c r="W3485" s="130">
        <v>46099.498402777775</v>
      </c>
      <c r="X3485" s="72">
        <v>46102</v>
      </c>
      <c r="Y3485" s="72">
        <v>46106</v>
      </c>
      <c r="Z3485" s="104" t="s">
        <v>403</v>
      </c>
      <c r="AA3485" s="104" t="s">
        <v>1108</v>
      </c>
      <c r="AB3485" s="105"/>
      <c r="AC3485" s="105"/>
    </row>
    <row r="3486" s="70" customFormat="1" ht="11.25" customHeight="1">
      <c r="A3486" s="87"/>
      <c r="C3486" s="43" t="s">
        <v>5522</v>
      </c>
      <c r="D3486" s="71" t="s">
        <v>382</v>
      </c>
      <c r="E3486" s="71" t="str">
        <f>MID(D3486,1,2)</f>
        <v>IL</v>
      </c>
      <c r="F3486" s="71" t="s">
        <v>546</v>
      </c>
      <c r="G3486" s="71" t="str">
        <f>MID(F3486,1,2)</f>
        <v>GB</v>
      </c>
      <c r="H3486" s="43" t="s">
        <v>5523</v>
      </c>
      <c r="I3486" s="71" t="s">
        <v>5524</v>
      </c>
      <c r="J3486" s="71" t="s">
        <v>454</v>
      </c>
      <c r="K3486" s="43"/>
      <c r="L3486" s="71" t="s">
        <v>107</v>
      </c>
      <c r="M3486" s="73">
        <v>200</v>
      </c>
      <c r="N3486" s="71" t="s">
        <v>388</v>
      </c>
      <c r="O3486" s="73">
        <v>0.432</v>
      </c>
      <c r="P3486" s="71" t="s">
        <v>389</v>
      </c>
      <c r="Q3486" s="73">
        <v>200</v>
      </c>
      <c r="R3486" s="71" t="s">
        <v>388</v>
      </c>
      <c r="S3486" s="73">
        <v>0</v>
      </c>
      <c r="T3486" s="71" t="s">
        <v>390</v>
      </c>
      <c r="U3486" s="74">
        <v>1</v>
      </c>
      <c r="V3486" s="71" t="s">
        <v>391</v>
      </c>
      <c r="W3486" s="130">
        <v>46099.569444444445</v>
      </c>
      <c r="X3486" s="72">
        <v>46103.645833333336</v>
      </c>
      <c r="Y3486" s="72">
        <v>46106.833333333336</v>
      </c>
      <c r="Z3486" s="104" t="s">
        <v>382</v>
      </c>
      <c r="AA3486" s="104" t="s">
        <v>4692</v>
      </c>
      <c r="AB3486" s="105"/>
      <c r="AC3486" s="105"/>
    </row>
    <row r="3487" s="70" customFormat="1" ht="11.25" customHeight="1">
      <c r="A3487" s="87"/>
      <c r="C3487" s="43" t="s">
        <v>5522</v>
      </c>
      <c r="D3487" s="71" t="s">
        <v>382</v>
      </c>
      <c r="E3487" s="71" t="str">
        <f>MID(D3487,1,2)</f>
        <v>IL</v>
      </c>
      <c r="F3487" s="71" t="s">
        <v>546</v>
      </c>
      <c r="G3487" s="71" t="str">
        <f>MID(F3487,1,2)</f>
        <v>GB</v>
      </c>
      <c r="H3487" s="43" t="s">
        <v>5523</v>
      </c>
      <c r="I3487" s="71" t="s">
        <v>5524</v>
      </c>
      <c r="J3487" s="71" t="s">
        <v>454</v>
      </c>
      <c r="K3487" s="43"/>
      <c r="L3487" s="71" t="s">
        <v>107</v>
      </c>
      <c r="M3487" s="73">
        <v>200</v>
      </c>
      <c r="N3487" s="71" t="s">
        <v>388</v>
      </c>
      <c r="O3487" s="73">
        <v>0.432</v>
      </c>
      <c r="P3487" s="71" t="s">
        <v>389</v>
      </c>
      <c r="Q3487" s="73">
        <v>200</v>
      </c>
      <c r="R3487" s="71" t="s">
        <v>388</v>
      </c>
      <c r="S3487" s="73">
        <v>0</v>
      </c>
      <c r="T3487" s="71" t="s">
        <v>390</v>
      </c>
      <c r="U3487" s="74">
        <v>1</v>
      </c>
      <c r="V3487" s="71" t="s">
        <v>391</v>
      </c>
      <c r="W3487" s="130">
        <v>46099.569444444445</v>
      </c>
      <c r="X3487" s="72">
        <v>46103.645833333336</v>
      </c>
      <c r="Y3487" s="72">
        <v>46106.833333333336</v>
      </c>
      <c r="Z3487" s="104" t="s">
        <v>4692</v>
      </c>
      <c r="AA3487" s="104" t="s">
        <v>546</v>
      </c>
      <c r="AB3487" s="105"/>
      <c r="AC3487" s="105"/>
    </row>
    <row r="3488" s="70" customFormat="1" ht="11.25" customHeight="1">
      <c r="A3488" s="87"/>
      <c r="C3488" s="43" t="s">
        <v>5525</v>
      </c>
      <c r="D3488" s="71" t="s">
        <v>382</v>
      </c>
      <c r="E3488" s="71" t="str">
        <f>MID(D3488,1,2)</f>
        <v>IL</v>
      </c>
      <c r="F3488" s="71" t="s">
        <v>3173</v>
      </c>
      <c r="G3488" s="71" t="str">
        <f>MID(F3488,1,2)</f>
        <v>LV</v>
      </c>
      <c r="H3488" s="43" t="s">
        <v>5526</v>
      </c>
      <c r="I3488" s="71" t="s">
        <v>5527</v>
      </c>
      <c r="J3488" s="71" t="s">
        <v>386</v>
      </c>
      <c r="K3488" s="43"/>
      <c r="L3488" s="71" t="s">
        <v>107</v>
      </c>
      <c r="M3488" s="73">
        <v>414</v>
      </c>
      <c r="N3488" s="71" t="s">
        <v>388</v>
      </c>
      <c r="O3488" s="73">
        <v>2.016</v>
      </c>
      <c r="P3488" s="71" t="s">
        <v>389</v>
      </c>
      <c r="Q3488" s="73">
        <v>414</v>
      </c>
      <c r="R3488" s="71" t="s">
        <v>388</v>
      </c>
      <c r="S3488" s="73">
        <v>0</v>
      </c>
      <c r="T3488" s="71" t="s">
        <v>390</v>
      </c>
      <c r="U3488" s="74">
        <v>2</v>
      </c>
      <c r="V3488" s="71" t="s">
        <v>391</v>
      </c>
      <c r="W3488" s="130">
        <v>46099.584027777775</v>
      </c>
      <c r="X3488" s="72">
        <v>46103.996527777781</v>
      </c>
      <c r="Y3488" s="72">
        <v>46106.961805555555</v>
      </c>
      <c r="Z3488" s="104" t="s">
        <v>382</v>
      </c>
      <c r="AA3488" s="104" t="s">
        <v>4692</v>
      </c>
      <c r="AB3488" s="105"/>
      <c r="AC3488" s="105"/>
    </row>
    <row r="3489" s="70" customFormat="1" ht="11.25" customHeight="1">
      <c r="A3489" s="87"/>
      <c r="C3489" s="43" t="s">
        <v>5525</v>
      </c>
      <c r="D3489" s="71" t="s">
        <v>382</v>
      </c>
      <c r="E3489" s="71" t="str">
        <f>MID(D3489,1,2)</f>
        <v>IL</v>
      </c>
      <c r="F3489" s="71" t="s">
        <v>3173</v>
      </c>
      <c r="G3489" s="71" t="str">
        <f>MID(F3489,1,2)</f>
        <v>LV</v>
      </c>
      <c r="H3489" s="43" t="s">
        <v>5526</v>
      </c>
      <c r="I3489" s="71" t="s">
        <v>5527</v>
      </c>
      <c r="J3489" s="71" t="s">
        <v>386</v>
      </c>
      <c r="K3489" s="43"/>
      <c r="L3489" s="71" t="s">
        <v>107</v>
      </c>
      <c r="M3489" s="73">
        <v>414</v>
      </c>
      <c r="N3489" s="71" t="s">
        <v>388</v>
      </c>
      <c r="O3489" s="73">
        <v>2.016</v>
      </c>
      <c r="P3489" s="71" t="s">
        <v>389</v>
      </c>
      <c r="Q3489" s="73">
        <v>414</v>
      </c>
      <c r="R3489" s="71" t="s">
        <v>388</v>
      </c>
      <c r="S3489" s="73">
        <v>0</v>
      </c>
      <c r="T3489" s="71" t="s">
        <v>390</v>
      </c>
      <c r="U3489" s="74">
        <v>2</v>
      </c>
      <c r="V3489" s="71" t="s">
        <v>391</v>
      </c>
      <c r="W3489" s="130">
        <v>46099.584027777775</v>
      </c>
      <c r="X3489" s="72">
        <v>46103.996527777781</v>
      </c>
      <c r="Y3489" s="72">
        <v>46106.961805555555</v>
      </c>
      <c r="Z3489" s="104" t="s">
        <v>4692</v>
      </c>
      <c r="AA3489" s="104" t="s">
        <v>3173</v>
      </c>
      <c r="AB3489" s="105"/>
      <c r="AC3489" s="105"/>
    </row>
    <row r="3490" s="70" customFormat="1" ht="11.25" customHeight="1">
      <c r="A3490" s="87"/>
      <c r="C3490" s="43" t="s">
        <v>5528</v>
      </c>
      <c r="D3490" s="71" t="s">
        <v>382</v>
      </c>
      <c r="E3490" s="71" t="str">
        <f>MID(D3490,1,2)</f>
        <v>IL</v>
      </c>
      <c r="F3490" s="71" t="s">
        <v>702</v>
      </c>
      <c r="G3490" s="71" t="str">
        <f>MID(F3490,1,2)</f>
        <v>JP</v>
      </c>
      <c r="H3490" s="43" t="s">
        <v>5529</v>
      </c>
      <c r="I3490" s="71" t="s">
        <v>5530</v>
      </c>
      <c r="J3490" s="71" t="s">
        <v>811</v>
      </c>
      <c r="K3490" s="43"/>
      <c r="L3490" s="71" t="s">
        <v>105</v>
      </c>
      <c r="M3490" s="73">
        <v>60</v>
      </c>
      <c r="N3490" s="71" t="s">
        <v>388</v>
      </c>
      <c r="O3490" s="73">
        <v>0.444</v>
      </c>
      <c r="P3490" s="71" t="s">
        <v>389</v>
      </c>
      <c r="Q3490" s="73">
        <v>74</v>
      </c>
      <c r="R3490" s="71" t="s">
        <v>388</v>
      </c>
      <c r="S3490" s="73">
        <v>0</v>
      </c>
      <c r="T3490" s="71" t="s">
        <v>390</v>
      </c>
      <c r="U3490" s="74">
        <v>1</v>
      </c>
      <c r="V3490" s="71" t="s">
        <v>391</v>
      </c>
      <c r="W3490" s="130"/>
      <c r="X3490" s="72">
        <v>46101.561111111114</v>
      </c>
      <c r="Y3490" s="72">
        <v>46103.561111111114</v>
      </c>
      <c r="Z3490" s="104" t="s">
        <v>382</v>
      </c>
      <c r="AA3490" s="104" t="s">
        <v>702</v>
      </c>
      <c r="AB3490" s="105"/>
      <c r="AC3490" s="105"/>
    </row>
    <row r="3491" s="70" customFormat="1" ht="11.25" customHeight="1">
      <c r="A3491" s="87"/>
      <c r="C3491" s="43" t="s">
        <v>5531</v>
      </c>
      <c r="D3491" s="71" t="s">
        <v>382</v>
      </c>
      <c r="E3491" s="71" t="str">
        <f>MID(D3491,1,2)</f>
        <v>IL</v>
      </c>
      <c r="F3491" s="71" t="s">
        <v>774</v>
      </c>
      <c r="G3491" s="71" t="str">
        <f>MID(F3491,1,2)</f>
        <v>CN</v>
      </c>
      <c r="H3491" s="43" t="s">
        <v>5509</v>
      </c>
      <c r="I3491" s="71" t="s">
        <v>5532</v>
      </c>
      <c r="J3491" s="71" t="s">
        <v>755</v>
      </c>
      <c r="K3491" s="43"/>
      <c r="L3491" s="71" t="s">
        <v>105</v>
      </c>
      <c r="M3491" s="73">
        <v>2</v>
      </c>
      <c r="N3491" s="71" t="s">
        <v>388</v>
      </c>
      <c r="O3491" s="73">
        <v>0.043</v>
      </c>
      <c r="P3491" s="71" t="s">
        <v>389</v>
      </c>
      <c r="Q3491" s="73">
        <v>7.5</v>
      </c>
      <c r="R3491" s="71" t="s">
        <v>388</v>
      </c>
      <c r="S3491" s="73">
        <v>0</v>
      </c>
      <c r="T3491" s="71" t="s">
        <v>390</v>
      </c>
      <c r="U3491" s="74">
        <v>1</v>
      </c>
      <c r="V3491" s="71" t="s">
        <v>391</v>
      </c>
      <c r="W3491" s="130">
        <v>46100.582083333335</v>
      </c>
      <c r="X3491" s="72">
        <v>46102.375</v>
      </c>
      <c r="Y3491" s="72">
        <v>46105.840277777781</v>
      </c>
      <c r="Z3491" s="104" t="s">
        <v>382</v>
      </c>
      <c r="AA3491" s="104" t="s">
        <v>402</v>
      </c>
      <c r="AB3491" s="105">
        <v>46102.363194444442</v>
      </c>
      <c r="AC3491" s="105"/>
    </row>
    <row r="3492" s="70" customFormat="1" ht="11.25" customHeight="1">
      <c r="A3492" s="87"/>
      <c r="C3492" s="43" t="s">
        <v>5531</v>
      </c>
      <c r="D3492" s="71" t="s">
        <v>382</v>
      </c>
      <c r="E3492" s="71" t="str">
        <f>MID(D3492,1,2)</f>
        <v>IL</v>
      </c>
      <c r="F3492" s="71" t="s">
        <v>774</v>
      </c>
      <c r="G3492" s="71" t="str">
        <f>MID(F3492,1,2)</f>
        <v>CN</v>
      </c>
      <c r="H3492" s="43" t="s">
        <v>5509</v>
      </c>
      <c r="I3492" s="71" t="s">
        <v>5532</v>
      </c>
      <c r="J3492" s="71" t="s">
        <v>755</v>
      </c>
      <c r="K3492" s="43"/>
      <c r="L3492" s="71" t="s">
        <v>105</v>
      </c>
      <c r="M3492" s="73">
        <v>2</v>
      </c>
      <c r="N3492" s="71" t="s">
        <v>388</v>
      </c>
      <c r="O3492" s="73">
        <v>0.043</v>
      </c>
      <c r="P3492" s="71" t="s">
        <v>389</v>
      </c>
      <c r="Q3492" s="73">
        <v>7.5</v>
      </c>
      <c r="R3492" s="71" t="s">
        <v>388</v>
      </c>
      <c r="S3492" s="73">
        <v>0</v>
      </c>
      <c r="T3492" s="71" t="s">
        <v>390</v>
      </c>
      <c r="U3492" s="74">
        <v>1</v>
      </c>
      <c r="V3492" s="71" t="s">
        <v>391</v>
      </c>
      <c r="W3492" s="130">
        <v>46100.582083333335</v>
      </c>
      <c r="X3492" s="72">
        <v>46102.375</v>
      </c>
      <c r="Y3492" s="72">
        <v>46105.840277777781</v>
      </c>
      <c r="Z3492" s="104" t="s">
        <v>402</v>
      </c>
      <c r="AA3492" s="104" t="s">
        <v>403</v>
      </c>
      <c r="AB3492" s="105">
        <v>46102.864583333336</v>
      </c>
      <c r="AC3492" s="105"/>
    </row>
    <row r="3493" s="70" customFormat="1" ht="11.25" customHeight="1">
      <c r="A3493" s="87"/>
      <c r="C3493" s="43" t="s">
        <v>5531</v>
      </c>
      <c r="D3493" s="71" t="s">
        <v>382</v>
      </c>
      <c r="E3493" s="71" t="str">
        <f>MID(D3493,1,2)</f>
        <v>IL</v>
      </c>
      <c r="F3493" s="71" t="s">
        <v>774</v>
      </c>
      <c r="G3493" s="71" t="str">
        <f>MID(F3493,1,2)</f>
        <v>CN</v>
      </c>
      <c r="H3493" s="43" t="s">
        <v>5509</v>
      </c>
      <c r="I3493" s="71" t="s">
        <v>5532</v>
      </c>
      <c r="J3493" s="71" t="s">
        <v>755</v>
      </c>
      <c r="K3493" s="43"/>
      <c r="L3493" s="71" t="s">
        <v>105</v>
      </c>
      <c r="M3493" s="73">
        <v>2</v>
      </c>
      <c r="N3493" s="71" t="s">
        <v>388</v>
      </c>
      <c r="O3493" s="73">
        <v>0.043</v>
      </c>
      <c r="P3493" s="71" t="s">
        <v>389</v>
      </c>
      <c r="Q3493" s="73">
        <v>7.5</v>
      </c>
      <c r="R3493" s="71" t="s">
        <v>388</v>
      </c>
      <c r="S3493" s="73">
        <v>0</v>
      </c>
      <c r="T3493" s="71" t="s">
        <v>390</v>
      </c>
      <c r="U3493" s="74">
        <v>1</v>
      </c>
      <c r="V3493" s="71" t="s">
        <v>391</v>
      </c>
      <c r="W3493" s="130">
        <v>46100.582083333335</v>
      </c>
      <c r="X3493" s="72">
        <v>46102.375</v>
      </c>
      <c r="Y3493" s="72">
        <v>46105.840277777781</v>
      </c>
      <c r="Z3493" s="104" t="s">
        <v>403</v>
      </c>
      <c r="AA3493" s="104" t="s">
        <v>774</v>
      </c>
      <c r="AB3493" s="105"/>
      <c r="AC3493" s="105"/>
    </row>
    <row r="3494" s="70" customFormat="1" ht="11.25" customHeight="1">
      <c r="A3494" s="87"/>
      <c r="C3494" s="43" t="s">
        <v>5533</v>
      </c>
      <c r="D3494" s="71" t="s">
        <v>382</v>
      </c>
      <c r="E3494" s="71" t="str">
        <f>MID(D3494,1,2)</f>
        <v>IL</v>
      </c>
      <c r="F3494" s="71" t="s">
        <v>3670</v>
      </c>
      <c r="G3494" s="71" t="str">
        <f>MID(F3494,1,2)</f>
        <v>TZ</v>
      </c>
      <c r="H3494" s="43" t="s">
        <v>5400</v>
      </c>
      <c r="I3494" s="71" t="s">
        <v>5534</v>
      </c>
      <c r="J3494" s="71" t="s">
        <v>426</v>
      </c>
      <c r="K3494" s="43"/>
      <c r="L3494" s="71" t="s">
        <v>105</v>
      </c>
      <c r="M3494" s="73">
        <v>62</v>
      </c>
      <c r="N3494" s="71" t="s">
        <v>388</v>
      </c>
      <c r="O3494" s="73">
        <v>0.265</v>
      </c>
      <c r="P3494" s="71" t="s">
        <v>389</v>
      </c>
      <c r="Q3494" s="73">
        <v>100</v>
      </c>
      <c r="R3494" s="71" t="s">
        <v>388</v>
      </c>
      <c r="S3494" s="73">
        <v>0</v>
      </c>
      <c r="T3494" s="71" t="s">
        <v>390</v>
      </c>
      <c r="U3494" s="74">
        <v>1</v>
      </c>
      <c r="V3494" s="71" t="s">
        <v>391</v>
      </c>
      <c r="W3494" s="130">
        <v>46100.588912037034</v>
      </c>
      <c r="X3494" s="72">
        <v>46102.5625</v>
      </c>
      <c r="Y3494" s="72">
        <v>46105.666666666664</v>
      </c>
      <c r="Z3494" s="104" t="s">
        <v>382</v>
      </c>
      <c r="AA3494" s="104" t="s">
        <v>466</v>
      </c>
      <c r="AB3494" s="105"/>
      <c r="AC3494" s="105"/>
    </row>
    <row r="3495" s="70" customFormat="1" ht="11.25" customHeight="1">
      <c r="A3495" s="87"/>
      <c r="C3495" s="43" t="s">
        <v>5533</v>
      </c>
      <c r="D3495" s="71" t="s">
        <v>382</v>
      </c>
      <c r="E3495" s="71" t="str">
        <f>MID(D3495,1,2)</f>
        <v>IL</v>
      </c>
      <c r="F3495" s="71" t="s">
        <v>3670</v>
      </c>
      <c r="G3495" s="71" t="str">
        <f>MID(F3495,1,2)</f>
        <v>TZ</v>
      </c>
      <c r="H3495" s="43" t="s">
        <v>5400</v>
      </c>
      <c r="I3495" s="71" t="s">
        <v>5534</v>
      </c>
      <c r="J3495" s="71" t="s">
        <v>426</v>
      </c>
      <c r="K3495" s="43"/>
      <c r="L3495" s="71" t="s">
        <v>105</v>
      </c>
      <c r="M3495" s="73">
        <v>62</v>
      </c>
      <c r="N3495" s="71" t="s">
        <v>388</v>
      </c>
      <c r="O3495" s="73">
        <v>0.265</v>
      </c>
      <c r="P3495" s="71" t="s">
        <v>389</v>
      </c>
      <c r="Q3495" s="73">
        <v>100</v>
      </c>
      <c r="R3495" s="71" t="s">
        <v>388</v>
      </c>
      <c r="S3495" s="73">
        <v>0</v>
      </c>
      <c r="T3495" s="71" t="s">
        <v>390</v>
      </c>
      <c r="U3495" s="74">
        <v>1</v>
      </c>
      <c r="V3495" s="71" t="s">
        <v>391</v>
      </c>
      <c r="W3495" s="130">
        <v>46100.588912037034</v>
      </c>
      <c r="X3495" s="72">
        <v>46102.5625</v>
      </c>
      <c r="Y3495" s="72">
        <v>46105.666666666664</v>
      </c>
      <c r="Z3495" s="104" t="s">
        <v>466</v>
      </c>
      <c r="AA3495" s="104" t="s">
        <v>1310</v>
      </c>
      <c r="AB3495" s="105"/>
      <c r="AC3495" s="105"/>
    </row>
    <row r="3496" s="70" customFormat="1" ht="11.25" customHeight="1">
      <c r="A3496" s="87"/>
      <c r="C3496" s="43" t="s">
        <v>5533</v>
      </c>
      <c r="D3496" s="71" t="s">
        <v>382</v>
      </c>
      <c r="E3496" s="71" t="str">
        <f>MID(D3496,1,2)</f>
        <v>IL</v>
      </c>
      <c r="F3496" s="71" t="s">
        <v>3670</v>
      </c>
      <c r="G3496" s="71" t="str">
        <f>MID(F3496,1,2)</f>
        <v>TZ</v>
      </c>
      <c r="H3496" s="43" t="s">
        <v>5400</v>
      </c>
      <c r="I3496" s="71" t="s">
        <v>5534</v>
      </c>
      <c r="J3496" s="71" t="s">
        <v>426</v>
      </c>
      <c r="K3496" s="43"/>
      <c r="L3496" s="71" t="s">
        <v>105</v>
      </c>
      <c r="M3496" s="73">
        <v>62</v>
      </c>
      <c r="N3496" s="71" t="s">
        <v>388</v>
      </c>
      <c r="O3496" s="73">
        <v>0.265</v>
      </c>
      <c r="P3496" s="71" t="s">
        <v>389</v>
      </c>
      <c r="Q3496" s="73">
        <v>100</v>
      </c>
      <c r="R3496" s="71" t="s">
        <v>388</v>
      </c>
      <c r="S3496" s="73">
        <v>0</v>
      </c>
      <c r="T3496" s="71" t="s">
        <v>390</v>
      </c>
      <c r="U3496" s="74">
        <v>1</v>
      </c>
      <c r="V3496" s="71" t="s">
        <v>391</v>
      </c>
      <c r="W3496" s="130">
        <v>46100.588912037034</v>
      </c>
      <c r="X3496" s="72">
        <v>46102.5625</v>
      </c>
      <c r="Y3496" s="72">
        <v>46105.666666666664</v>
      </c>
      <c r="Z3496" s="104" t="s">
        <v>1310</v>
      </c>
      <c r="AA3496" s="104" t="s">
        <v>3670</v>
      </c>
      <c r="AB3496" s="105"/>
      <c r="AC3496" s="105"/>
    </row>
    <row r="3497" s="70" customFormat="1" ht="11.25" customHeight="1">
      <c r="A3497" s="87"/>
      <c r="C3497" s="43" t="s">
        <v>5535</v>
      </c>
      <c r="D3497" s="71" t="s">
        <v>382</v>
      </c>
      <c r="E3497" s="71" t="str">
        <f>MID(D3497,1,2)</f>
        <v>IL</v>
      </c>
      <c r="F3497" s="71" t="s">
        <v>774</v>
      </c>
      <c r="G3497" s="71" t="str">
        <f>MID(F3497,1,2)</f>
        <v>CN</v>
      </c>
      <c r="H3497" s="43" t="s">
        <v>5509</v>
      </c>
      <c r="I3497" s="71" t="s">
        <v>5536</v>
      </c>
      <c r="J3497" s="71" t="s">
        <v>755</v>
      </c>
      <c r="K3497" s="43"/>
      <c r="L3497" s="71" t="s">
        <v>105</v>
      </c>
      <c r="M3497" s="73">
        <v>0.8</v>
      </c>
      <c r="N3497" s="71" t="s">
        <v>388</v>
      </c>
      <c r="O3497" s="73">
        <v>0.008</v>
      </c>
      <c r="P3497" s="71" t="s">
        <v>389</v>
      </c>
      <c r="Q3497" s="73">
        <v>1.5</v>
      </c>
      <c r="R3497" s="71" t="s">
        <v>388</v>
      </c>
      <c r="S3497" s="73">
        <v>0</v>
      </c>
      <c r="T3497" s="71" t="s">
        <v>390</v>
      </c>
      <c r="U3497" s="74">
        <v>1</v>
      </c>
      <c r="V3497" s="71" t="s">
        <v>391</v>
      </c>
      <c r="W3497" s="130">
        <v>46100.585416666669</v>
      </c>
      <c r="X3497" s="72">
        <v>46102.375</v>
      </c>
      <c r="Y3497" s="72">
        <v>46105.840277777781</v>
      </c>
      <c r="Z3497" s="104" t="s">
        <v>382</v>
      </c>
      <c r="AA3497" s="104" t="s">
        <v>402</v>
      </c>
      <c r="AB3497" s="105">
        <v>46102.363194444442</v>
      </c>
      <c r="AC3497" s="105"/>
    </row>
    <row r="3498" s="70" customFormat="1" ht="11.25" customHeight="1">
      <c r="A3498" s="87"/>
      <c r="C3498" s="43" t="s">
        <v>5535</v>
      </c>
      <c r="D3498" s="71" t="s">
        <v>382</v>
      </c>
      <c r="E3498" s="71" t="str">
        <f>MID(D3498,1,2)</f>
        <v>IL</v>
      </c>
      <c r="F3498" s="71" t="s">
        <v>774</v>
      </c>
      <c r="G3498" s="71" t="str">
        <f>MID(F3498,1,2)</f>
        <v>CN</v>
      </c>
      <c r="H3498" s="43" t="s">
        <v>5509</v>
      </c>
      <c r="I3498" s="71" t="s">
        <v>5536</v>
      </c>
      <c r="J3498" s="71" t="s">
        <v>755</v>
      </c>
      <c r="K3498" s="43"/>
      <c r="L3498" s="71" t="s">
        <v>105</v>
      </c>
      <c r="M3498" s="73">
        <v>0.8</v>
      </c>
      <c r="N3498" s="71" t="s">
        <v>388</v>
      </c>
      <c r="O3498" s="73">
        <v>0.008</v>
      </c>
      <c r="P3498" s="71" t="s">
        <v>389</v>
      </c>
      <c r="Q3498" s="73">
        <v>1.5</v>
      </c>
      <c r="R3498" s="71" t="s">
        <v>388</v>
      </c>
      <c r="S3498" s="73">
        <v>0</v>
      </c>
      <c r="T3498" s="71" t="s">
        <v>390</v>
      </c>
      <c r="U3498" s="74">
        <v>1</v>
      </c>
      <c r="V3498" s="71" t="s">
        <v>391</v>
      </c>
      <c r="W3498" s="130">
        <v>46100.585416666669</v>
      </c>
      <c r="X3498" s="72">
        <v>46102.375</v>
      </c>
      <c r="Y3498" s="72">
        <v>46105.840277777781</v>
      </c>
      <c r="Z3498" s="104" t="s">
        <v>402</v>
      </c>
      <c r="AA3498" s="104" t="s">
        <v>403</v>
      </c>
      <c r="AB3498" s="105">
        <v>46102.864583333336</v>
      </c>
      <c r="AC3498" s="105"/>
    </row>
    <row r="3499" s="70" customFormat="1" ht="11.25" customHeight="1">
      <c r="A3499" s="87"/>
      <c r="C3499" s="43" t="s">
        <v>5535</v>
      </c>
      <c r="D3499" s="71" t="s">
        <v>382</v>
      </c>
      <c r="E3499" s="71" t="str">
        <f>MID(D3499,1,2)</f>
        <v>IL</v>
      </c>
      <c r="F3499" s="71" t="s">
        <v>774</v>
      </c>
      <c r="G3499" s="71" t="str">
        <f>MID(F3499,1,2)</f>
        <v>CN</v>
      </c>
      <c r="H3499" s="43" t="s">
        <v>5509</v>
      </c>
      <c r="I3499" s="71" t="s">
        <v>5536</v>
      </c>
      <c r="J3499" s="71" t="s">
        <v>755</v>
      </c>
      <c r="K3499" s="43"/>
      <c r="L3499" s="71" t="s">
        <v>105</v>
      </c>
      <c r="M3499" s="73">
        <v>0.8</v>
      </c>
      <c r="N3499" s="71" t="s">
        <v>388</v>
      </c>
      <c r="O3499" s="73">
        <v>0.008</v>
      </c>
      <c r="P3499" s="71" t="s">
        <v>389</v>
      </c>
      <c r="Q3499" s="73">
        <v>1.5</v>
      </c>
      <c r="R3499" s="71" t="s">
        <v>388</v>
      </c>
      <c r="S3499" s="73">
        <v>0</v>
      </c>
      <c r="T3499" s="71" t="s">
        <v>390</v>
      </c>
      <c r="U3499" s="74">
        <v>1</v>
      </c>
      <c r="V3499" s="71" t="s">
        <v>391</v>
      </c>
      <c r="W3499" s="130">
        <v>46100.585416666669</v>
      </c>
      <c r="X3499" s="72">
        <v>46102.375</v>
      </c>
      <c r="Y3499" s="72">
        <v>46105.840277777781</v>
      </c>
      <c r="Z3499" s="104" t="s">
        <v>403</v>
      </c>
      <c r="AA3499" s="104" t="s">
        <v>774</v>
      </c>
      <c r="AB3499" s="105"/>
      <c r="AC3499" s="105"/>
    </row>
    <row r="3500" s="70" customFormat="1" ht="11.25" customHeight="1">
      <c r="A3500" s="87"/>
      <c r="C3500" s="43" t="s">
        <v>5537</v>
      </c>
      <c r="D3500" s="71" t="s">
        <v>382</v>
      </c>
      <c r="E3500" s="71" t="str">
        <f>MID(D3500,1,2)</f>
        <v>IL</v>
      </c>
      <c r="F3500" s="71" t="s">
        <v>774</v>
      </c>
      <c r="G3500" s="71" t="str">
        <f>MID(F3500,1,2)</f>
        <v>CN</v>
      </c>
      <c r="H3500" s="43" t="s">
        <v>5509</v>
      </c>
      <c r="I3500" s="71" t="s">
        <v>5538</v>
      </c>
      <c r="J3500" s="71" t="s">
        <v>755</v>
      </c>
      <c r="K3500" s="43"/>
      <c r="L3500" s="71" t="s">
        <v>105</v>
      </c>
      <c r="M3500" s="73">
        <v>0.6</v>
      </c>
      <c r="N3500" s="71" t="s">
        <v>388</v>
      </c>
      <c r="O3500" s="73">
        <v>0.011</v>
      </c>
      <c r="P3500" s="71" t="s">
        <v>389</v>
      </c>
      <c r="Q3500" s="73">
        <v>2</v>
      </c>
      <c r="R3500" s="71" t="s">
        <v>388</v>
      </c>
      <c r="S3500" s="73">
        <v>0</v>
      </c>
      <c r="T3500" s="71" t="s">
        <v>390</v>
      </c>
      <c r="U3500" s="74">
        <v>1</v>
      </c>
      <c r="V3500" s="71" t="s">
        <v>391</v>
      </c>
      <c r="W3500" s="130">
        <v>46100.585416666669</v>
      </c>
      <c r="X3500" s="72">
        <v>46102.375</v>
      </c>
      <c r="Y3500" s="72">
        <v>46105.840277777781</v>
      </c>
      <c r="Z3500" s="104" t="s">
        <v>382</v>
      </c>
      <c r="AA3500" s="104" t="s">
        <v>402</v>
      </c>
      <c r="AB3500" s="105">
        <v>46102.363194444442</v>
      </c>
      <c r="AC3500" s="105"/>
    </row>
    <row r="3501" s="70" customFormat="1" ht="11.25" customHeight="1">
      <c r="A3501" s="87"/>
      <c r="C3501" s="43" t="s">
        <v>5537</v>
      </c>
      <c r="D3501" s="71" t="s">
        <v>382</v>
      </c>
      <c r="E3501" s="71" t="str">
        <f>MID(D3501,1,2)</f>
        <v>IL</v>
      </c>
      <c r="F3501" s="71" t="s">
        <v>774</v>
      </c>
      <c r="G3501" s="71" t="str">
        <f>MID(F3501,1,2)</f>
        <v>CN</v>
      </c>
      <c r="H3501" s="43" t="s">
        <v>5509</v>
      </c>
      <c r="I3501" s="71" t="s">
        <v>5538</v>
      </c>
      <c r="J3501" s="71" t="s">
        <v>755</v>
      </c>
      <c r="K3501" s="43"/>
      <c r="L3501" s="71" t="s">
        <v>105</v>
      </c>
      <c r="M3501" s="73">
        <v>0.6</v>
      </c>
      <c r="N3501" s="71" t="s">
        <v>388</v>
      </c>
      <c r="O3501" s="73">
        <v>0.011</v>
      </c>
      <c r="P3501" s="71" t="s">
        <v>389</v>
      </c>
      <c r="Q3501" s="73">
        <v>2</v>
      </c>
      <c r="R3501" s="71" t="s">
        <v>388</v>
      </c>
      <c r="S3501" s="73">
        <v>0</v>
      </c>
      <c r="T3501" s="71" t="s">
        <v>390</v>
      </c>
      <c r="U3501" s="74">
        <v>1</v>
      </c>
      <c r="V3501" s="71" t="s">
        <v>391</v>
      </c>
      <c r="W3501" s="130">
        <v>46100.585416666669</v>
      </c>
      <c r="X3501" s="72">
        <v>46102.375</v>
      </c>
      <c r="Y3501" s="72">
        <v>46105.840277777781</v>
      </c>
      <c r="Z3501" s="104" t="s">
        <v>402</v>
      </c>
      <c r="AA3501" s="104" t="s">
        <v>403</v>
      </c>
      <c r="AB3501" s="105">
        <v>46102.864583333336</v>
      </c>
      <c r="AC3501" s="105"/>
    </row>
    <row r="3502" s="70" customFormat="1" ht="11.25" customHeight="1">
      <c r="A3502" s="87"/>
      <c r="C3502" s="43" t="s">
        <v>5537</v>
      </c>
      <c r="D3502" s="71" t="s">
        <v>382</v>
      </c>
      <c r="E3502" s="71" t="str">
        <f>MID(D3502,1,2)</f>
        <v>IL</v>
      </c>
      <c r="F3502" s="71" t="s">
        <v>774</v>
      </c>
      <c r="G3502" s="71" t="str">
        <f>MID(F3502,1,2)</f>
        <v>CN</v>
      </c>
      <c r="H3502" s="43" t="s">
        <v>5509</v>
      </c>
      <c r="I3502" s="71" t="s">
        <v>5538</v>
      </c>
      <c r="J3502" s="71" t="s">
        <v>755</v>
      </c>
      <c r="K3502" s="43"/>
      <c r="L3502" s="71" t="s">
        <v>105</v>
      </c>
      <c r="M3502" s="73">
        <v>0.6</v>
      </c>
      <c r="N3502" s="71" t="s">
        <v>388</v>
      </c>
      <c r="O3502" s="73">
        <v>0.011</v>
      </c>
      <c r="P3502" s="71" t="s">
        <v>389</v>
      </c>
      <c r="Q3502" s="73">
        <v>2</v>
      </c>
      <c r="R3502" s="71" t="s">
        <v>388</v>
      </c>
      <c r="S3502" s="73">
        <v>0</v>
      </c>
      <c r="T3502" s="71" t="s">
        <v>390</v>
      </c>
      <c r="U3502" s="74">
        <v>1</v>
      </c>
      <c r="V3502" s="71" t="s">
        <v>391</v>
      </c>
      <c r="W3502" s="130">
        <v>46100.585416666669</v>
      </c>
      <c r="X3502" s="72">
        <v>46102.375</v>
      </c>
      <c r="Y3502" s="72">
        <v>46105.840277777781</v>
      </c>
      <c r="Z3502" s="104" t="s">
        <v>403</v>
      </c>
      <c r="AA3502" s="104" t="s">
        <v>774</v>
      </c>
      <c r="AB3502" s="105"/>
      <c r="AC3502" s="105"/>
    </row>
    <row r="3503" s="70" customFormat="1" ht="11.25" customHeight="1">
      <c r="A3503" s="87"/>
      <c r="C3503" s="43" t="s">
        <v>5539</v>
      </c>
      <c r="D3503" s="71" t="s">
        <v>382</v>
      </c>
      <c r="E3503" s="71" t="str">
        <f>MID(D3503,1,2)</f>
        <v>IL</v>
      </c>
      <c r="F3503" s="71" t="s">
        <v>774</v>
      </c>
      <c r="G3503" s="71" t="str">
        <f>MID(F3503,1,2)</f>
        <v>CN</v>
      </c>
      <c r="H3503" s="43" t="s">
        <v>5509</v>
      </c>
      <c r="I3503" s="71" t="s">
        <v>5540</v>
      </c>
      <c r="J3503" s="71" t="s">
        <v>755</v>
      </c>
      <c r="K3503" s="43"/>
      <c r="L3503" s="71" t="s">
        <v>105</v>
      </c>
      <c r="M3503" s="73">
        <v>0.5</v>
      </c>
      <c r="N3503" s="71" t="s">
        <v>388</v>
      </c>
      <c r="O3503" s="73">
        <v>0.005</v>
      </c>
      <c r="P3503" s="71" t="s">
        <v>389</v>
      </c>
      <c r="Q3503" s="73">
        <v>1</v>
      </c>
      <c r="R3503" s="71" t="s">
        <v>388</v>
      </c>
      <c r="S3503" s="73">
        <v>0</v>
      </c>
      <c r="T3503" s="71" t="s">
        <v>390</v>
      </c>
      <c r="U3503" s="74">
        <v>1</v>
      </c>
      <c r="V3503" s="71" t="s">
        <v>391</v>
      </c>
      <c r="W3503" s="130">
        <v>46100.582071759258</v>
      </c>
      <c r="X3503" s="72">
        <v>46102.375</v>
      </c>
      <c r="Y3503" s="72">
        <v>46105.840277777781</v>
      </c>
      <c r="Z3503" s="104" t="s">
        <v>382</v>
      </c>
      <c r="AA3503" s="104" t="s">
        <v>402</v>
      </c>
      <c r="AB3503" s="105">
        <v>46102.363194444442</v>
      </c>
      <c r="AC3503" s="105"/>
    </row>
    <row r="3504" s="70" customFormat="1" ht="11.25" customHeight="1">
      <c r="A3504" s="87"/>
      <c r="C3504" s="43" t="s">
        <v>5539</v>
      </c>
      <c r="D3504" s="71" t="s">
        <v>382</v>
      </c>
      <c r="E3504" s="71" t="str">
        <f>MID(D3504,1,2)</f>
        <v>IL</v>
      </c>
      <c r="F3504" s="71" t="s">
        <v>774</v>
      </c>
      <c r="G3504" s="71" t="str">
        <f>MID(F3504,1,2)</f>
        <v>CN</v>
      </c>
      <c r="H3504" s="43" t="s">
        <v>5509</v>
      </c>
      <c r="I3504" s="71" t="s">
        <v>5540</v>
      </c>
      <c r="J3504" s="71" t="s">
        <v>755</v>
      </c>
      <c r="K3504" s="43"/>
      <c r="L3504" s="71" t="s">
        <v>105</v>
      </c>
      <c r="M3504" s="73">
        <v>0.5</v>
      </c>
      <c r="N3504" s="71" t="s">
        <v>388</v>
      </c>
      <c r="O3504" s="73">
        <v>0.005</v>
      </c>
      <c r="P3504" s="71" t="s">
        <v>389</v>
      </c>
      <c r="Q3504" s="73">
        <v>1</v>
      </c>
      <c r="R3504" s="71" t="s">
        <v>388</v>
      </c>
      <c r="S3504" s="73">
        <v>0</v>
      </c>
      <c r="T3504" s="71" t="s">
        <v>390</v>
      </c>
      <c r="U3504" s="74">
        <v>1</v>
      </c>
      <c r="V3504" s="71" t="s">
        <v>391</v>
      </c>
      <c r="W3504" s="130">
        <v>46100.582071759258</v>
      </c>
      <c r="X3504" s="72">
        <v>46102.375</v>
      </c>
      <c r="Y3504" s="72">
        <v>46105.840277777781</v>
      </c>
      <c r="Z3504" s="104" t="s">
        <v>402</v>
      </c>
      <c r="AA3504" s="104" t="s">
        <v>403</v>
      </c>
      <c r="AB3504" s="105">
        <v>46102.864583333336</v>
      </c>
      <c r="AC3504" s="105"/>
    </row>
    <row r="3505" s="70" customFormat="1" ht="11.25" customHeight="1">
      <c r="A3505" s="87"/>
      <c r="C3505" s="43" t="s">
        <v>5539</v>
      </c>
      <c r="D3505" s="71" t="s">
        <v>382</v>
      </c>
      <c r="E3505" s="71" t="str">
        <f>MID(D3505,1,2)</f>
        <v>IL</v>
      </c>
      <c r="F3505" s="71" t="s">
        <v>774</v>
      </c>
      <c r="G3505" s="71" t="str">
        <f>MID(F3505,1,2)</f>
        <v>CN</v>
      </c>
      <c r="H3505" s="43" t="s">
        <v>5509</v>
      </c>
      <c r="I3505" s="71" t="s">
        <v>5540</v>
      </c>
      <c r="J3505" s="71" t="s">
        <v>755</v>
      </c>
      <c r="K3505" s="43"/>
      <c r="L3505" s="71" t="s">
        <v>105</v>
      </c>
      <c r="M3505" s="73">
        <v>0.5</v>
      </c>
      <c r="N3505" s="71" t="s">
        <v>388</v>
      </c>
      <c r="O3505" s="73">
        <v>0.005</v>
      </c>
      <c r="P3505" s="71" t="s">
        <v>389</v>
      </c>
      <c r="Q3505" s="73">
        <v>1</v>
      </c>
      <c r="R3505" s="71" t="s">
        <v>388</v>
      </c>
      <c r="S3505" s="73">
        <v>0</v>
      </c>
      <c r="T3505" s="71" t="s">
        <v>390</v>
      </c>
      <c r="U3505" s="74">
        <v>1</v>
      </c>
      <c r="V3505" s="71" t="s">
        <v>391</v>
      </c>
      <c r="W3505" s="130">
        <v>46100.582071759258</v>
      </c>
      <c r="X3505" s="72">
        <v>46102.375</v>
      </c>
      <c r="Y3505" s="72">
        <v>46105.840277777781</v>
      </c>
      <c r="Z3505" s="104" t="s">
        <v>403</v>
      </c>
      <c r="AA3505" s="104" t="s">
        <v>774</v>
      </c>
      <c r="AB3505" s="105"/>
      <c r="AC3505" s="105"/>
    </row>
    <row r="3506" s="70" customFormat="1" ht="11.25" customHeight="1">
      <c r="A3506" s="87"/>
      <c r="C3506" s="43" t="s">
        <v>5541</v>
      </c>
      <c r="D3506" s="71" t="s">
        <v>382</v>
      </c>
      <c r="E3506" s="71" t="str">
        <f>MID(D3506,1,2)</f>
        <v>IL</v>
      </c>
      <c r="F3506" s="71" t="s">
        <v>419</v>
      </c>
      <c r="G3506" s="71" t="str">
        <f>MID(F3506,1,2)</f>
        <v>US</v>
      </c>
      <c r="H3506" s="43" t="s">
        <v>5542</v>
      </c>
      <c r="I3506" s="71" t="s">
        <v>5543</v>
      </c>
      <c r="J3506" s="71" t="s">
        <v>426</v>
      </c>
      <c r="K3506" s="43"/>
      <c r="L3506" s="71" t="s">
        <v>105</v>
      </c>
      <c r="M3506" s="73">
        <v>8</v>
      </c>
      <c r="N3506" s="71" t="s">
        <v>388</v>
      </c>
      <c r="O3506" s="73">
        <v>0.048</v>
      </c>
      <c r="P3506" s="71" t="s">
        <v>389</v>
      </c>
      <c r="Q3506" s="73">
        <v>8</v>
      </c>
      <c r="R3506" s="71" t="s">
        <v>388</v>
      </c>
      <c r="S3506" s="73">
        <v>0</v>
      </c>
      <c r="T3506" s="71" t="s">
        <v>390</v>
      </c>
      <c r="U3506" s="74">
        <v>1</v>
      </c>
      <c r="V3506" s="71" t="s">
        <v>391</v>
      </c>
      <c r="W3506" s="130">
        <v>46100.549305555556</v>
      </c>
      <c r="X3506" s="72">
        <v>46103.253472222219</v>
      </c>
      <c r="Y3506" s="72">
        <v>46105.833333333336</v>
      </c>
      <c r="Z3506" s="104" t="s">
        <v>382</v>
      </c>
      <c r="AA3506" s="104" t="s">
        <v>546</v>
      </c>
      <c r="AB3506" s="105"/>
      <c r="AC3506" s="105"/>
    </row>
    <row r="3507" s="70" customFormat="1" ht="11.25" customHeight="1">
      <c r="A3507" s="87"/>
      <c r="C3507" s="43" t="s">
        <v>5541</v>
      </c>
      <c r="D3507" s="71" t="s">
        <v>382</v>
      </c>
      <c r="E3507" s="71" t="str">
        <f>MID(D3507,1,2)</f>
        <v>IL</v>
      </c>
      <c r="F3507" s="71" t="s">
        <v>419</v>
      </c>
      <c r="G3507" s="71" t="str">
        <f>MID(F3507,1,2)</f>
        <v>US</v>
      </c>
      <c r="H3507" s="43" t="s">
        <v>5542</v>
      </c>
      <c r="I3507" s="71" t="s">
        <v>5543</v>
      </c>
      <c r="J3507" s="71" t="s">
        <v>426</v>
      </c>
      <c r="K3507" s="43"/>
      <c r="L3507" s="71" t="s">
        <v>105</v>
      </c>
      <c r="M3507" s="73">
        <v>8</v>
      </c>
      <c r="N3507" s="71" t="s">
        <v>388</v>
      </c>
      <c r="O3507" s="73">
        <v>0.048</v>
      </c>
      <c r="P3507" s="71" t="s">
        <v>389</v>
      </c>
      <c r="Q3507" s="73">
        <v>8</v>
      </c>
      <c r="R3507" s="71" t="s">
        <v>388</v>
      </c>
      <c r="S3507" s="73">
        <v>0</v>
      </c>
      <c r="T3507" s="71" t="s">
        <v>390</v>
      </c>
      <c r="U3507" s="74">
        <v>1</v>
      </c>
      <c r="V3507" s="71" t="s">
        <v>391</v>
      </c>
      <c r="W3507" s="130">
        <v>46100.549305555556</v>
      </c>
      <c r="X3507" s="72">
        <v>46103.253472222219</v>
      </c>
      <c r="Y3507" s="72">
        <v>46105.833333333336</v>
      </c>
      <c r="Z3507" s="104" t="s">
        <v>546</v>
      </c>
      <c r="AA3507" s="104" t="s">
        <v>419</v>
      </c>
      <c r="AB3507" s="105"/>
      <c r="AC3507" s="105"/>
    </row>
    <row r="3508" s="70" customFormat="1" ht="11.25" customHeight="1">
      <c r="A3508" s="87"/>
      <c r="C3508" s="43" t="s">
        <v>5544</v>
      </c>
      <c r="D3508" s="71" t="s">
        <v>382</v>
      </c>
      <c r="E3508" s="71" t="str">
        <f>MID(D3508,1,2)</f>
        <v>IL</v>
      </c>
      <c r="F3508" s="71" t="s">
        <v>1108</v>
      </c>
      <c r="G3508" s="71" t="str">
        <f>MID(F3508,1,2)</f>
        <v>TW</v>
      </c>
      <c r="H3508" s="43" t="s">
        <v>5545</v>
      </c>
      <c r="I3508" s="71" t="s">
        <v>5546</v>
      </c>
      <c r="J3508" s="71" t="s">
        <v>454</v>
      </c>
      <c r="K3508" s="43"/>
      <c r="L3508" s="71" t="s">
        <v>107</v>
      </c>
      <c r="M3508" s="73">
        <v>132</v>
      </c>
      <c r="N3508" s="71" t="s">
        <v>388</v>
      </c>
      <c r="O3508" s="73">
        <v>1.589</v>
      </c>
      <c r="P3508" s="71" t="s">
        <v>389</v>
      </c>
      <c r="Q3508" s="73">
        <v>265</v>
      </c>
      <c r="R3508" s="71" t="s">
        <v>388</v>
      </c>
      <c r="S3508" s="73">
        <v>0</v>
      </c>
      <c r="T3508" s="71" t="s">
        <v>390</v>
      </c>
      <c r="U3508" s="74">
        <v>1</v>
      </c>
      <c r="V3508" s="71" t="s">
        <v>391</v>
      </c>
      <c r="W3508" s="130">
        <v>46100.592361111114</v>
      </c>
      <c r="X3508" s="72">
        <v>46101.533333333333</v>
      </c>
      <c r="Y3508" s="72">
        <v>46104.520833333336</v>
      </c>
      <c r="Z3508" s="104" t="s">
        <v>382</v>
      </c>
      <c r="AA3508" s="104" t="s">
        <v>1108</v>
      </c>
      <c r="AB3508" s="105"/>
      <c r="AC3508" s="105"/>
    </row>
    <row r="3509" s="70" customFormat="1" ht="11.25" customHeight="1">
      <c r="A3509" s="87"/>
      <c r="C3509" s="43" t="s">
        <v>5547</v>
      </c>
      <c r="D3509" s="71" t="s">
        <v>382</v>
      </c>
      <c r="E3509" s="71" t="str">
        <f>MID(D3509,1,2)</f>
        <v>IL</v>
      </c>
      <c r="F3509" s="71" t="s">
        <v>546</v>
      </c>
      <c r="G3509" s="71" t="str">
        <f>MID(F3509,1,2)</f>
        <v>GB</v>
      </c>
      <c r="H3509" s="43" t="s">
        <v>5548</v>
      </c>
      <c r="I3509" s="71" t="s">
        <v>5549</v>
      </c>
      <c r="J3509" s="71" t="s">
        <v>454</v>
      </c>
      <c r="K3509" s="43"/>
      <c r="L3509" s="71" t="s">
        <v>107</v>
      </c>
      <c r="M3509" s="73">
        <v>149</v>
      </c>
      <c r="N3509" s="71" t="s">
        <v>388</v>
      </c>
      <c r="O3509" s="73">
        <v>1.091</v>
      </c>
      <c r="P3509" s="71" t="s">
        <v>389</v>
      </c>
      <c r="Q3509" s="73">
        <v>182</v>
      </c>
      <c r="R3509" s="71" t="s">
        <v>388</v>
      </c>
      <c r="S3509" s="73">
        <v>0</v>
      </c>
      <c r="T3509" s="71" t="s">
        <v>390</v>
      </c>
      <c r="U3509" s="74">
        <v>1</v>
      </c>
      <c r="V3509" s="71" t="s">
        <v>391</v>
      </c>
      <c r="W3509" s="130">
        <v>46100.486111111109</v>
      </c>
      <c r="X3509" s="72">
        <v>46101.313194444447</v>
      </c>
      <c r="Y3509" s="72">
        <v>46104.697916666664</v>
      </c>
      <c r="Z3509" s="104" t="s">
        <v>382</v>
      </c>
      <c r="AA3509" s="104" t="s">
        <v>546</v>
      </c>
      <c r="AB3509" s="105"/>
      <c r="AC3509" s="105"/>
    </row>
    <row r="3510" s="70" customFormat="1" ht="11.25" customHeight="1">
      <c r="A3510" s="87"/>
      <c r="C3510" s="43" t="s">
        <v>5550</v>
      </c>
      <c r="D3510" s="71" t="s">
        <v>382</v>
      </c>
      <c r="E3510" s="71" t="str">
        <f>MID(D3510,1,2)</f>
        <v>IL</v>
      </c>
      <c r="F3510" s="71" t="s">
        <v>774</v>
      </c>
      <c r="G3510" s="71" t="str">
        <f>MID(F3510,1,2)</f>
        <v>CN</v>
      </c>
      <c r="H3510" s="43" t="s">
        <v>5509</v>
      </c>
      <c r="I3510" s="71" t="s">
        <v>5551</v>
      </c>
      <c r="J3510" s="71" t="s">
        <v>755</v>
      </c>
      <c r="K3510" s="43"/>
      <c r="L3510" s="71" t="s">
        <v>105</v>
      </c>
      <c r="M3510" s="73">
        <v>0.5</v>
      </c>
      <c r="N3510" s="71" t="s">
        <v>388</v>
      </c>
      <c r="O3510" s="73">
        <v>0.002</v>
      </c>
      <c r="P3510" s="71" t="s">
        <v>389</v>
      </c>
      <c r="Q3510" s="73">
        <v>0.5</v>
      </c>
      <c r="R3510" s="71" t="s">
        <v>388</v>
      </c>
      <c r="S3510" s="73">
        <v>0</v>
      </c>
      <c r="T3510" s="71" t="s">
        <v>390</v>
      </c>
      <c r="U3510" s="74">
        <v>1</v>
      </c>
      <c r="V3510" s="71" t="s">
        <v>391</v>
      </c>
      <c r="W3510" s="130">
        <v>46100.588923611111</v>
      </c>
      <c r="X3510" s="72">
        <v>46102.375</v>
      </c>
      <c r="Y3510" s="72">
        <v>46105.840277777781</v>
      </c>
      <c r="Z3510" s="104" t="s">
        <v>382</v>
      </c>
      <c r="AA3510" s="104" t="s">
        <v>402</v>
      </c>
      <c r="AB3510" s="105">
        <v>46102.363194444442</v>
      </c>
      <c r="AC3510" s="105"/>
    </row>
    <row r="3511" s="70" customFormat="1" ht="11.25" customHeight="1">
      <c r="A3511" s="87"/>
      <c r="C3511" s="43" t="s">
        <v>5550</v>
      </c>
      <c r="D3511" s="71" t="s">
        <v>382</v>
      </c>
      <c r="E3511" s="71" t="str">
        <f>MID(D3511,1,2)</f>
        <v>IL</v>
      </c>
      <c r="F3511" s="71" t="s">
        <v>774</v>
      </c>
      <c r="G3511" s="71" t="str">
        <f>MID(F3511,1,2)</f>
        <v>CN</v>
      </c>
      <c r="H3511" s="43" t="s">
        <v>5509</v>
      </c>
      <c r="I3511" s="71" t="s">
        <v>5551</v>
      </c>
      <c r="J3511" s="71" t="s">
        <v>755</v>
      </c>
      <c r="K3511" s="43"/>
      <c r="L3511" s="71" t="s">
        <v>105</v>
      </c>
      <c r="M3511" s="73">
        <v>0.5</v>
      </c>
      <c r="N3511" s="71" t="s">
        <v>388</v>
      </c>
      <c r="O3511" s="73">
        <v>0.002</v>
      </c>
      <c r="P3511" s="71" t="s">
        <v>389</v>
      </c>
      <c r="Q3511" s="73">
        <v>0.5</v>
      </c>
      <c r="R3511" s="71" t="s">
        <v>388</v>
      </c>
      <c r="S3511" s="73">
        <v>0</v>
      </c>
      <c r="T3511" s="71" t="s">
        <v>390</v>
      </c>
      <c r="U3511" s="74">
        <v>1</v>
      </c>
      <c r="V3511" s="71" t="s">
        <v>391</v>
      </c>
      <c r="W3511" s="130">
        <v>46100.588923611111</v>
      </c>
      <c r="X3511" s="72">
        <v>46102.375</v>
      </c>
      <c r="Y3511" s="72">
        <v>46105.840277777781</v>
      </c>
      <c r="Z3511" s="104" t="s">
        <v>402</v>
      </c>
      <c r="AA3511" s="104" t="s">
        <v>403</v>
      </c>
      <c r="AB3511" s="105">
        <v>46102.864583333336</v>
      </c>
      <c r="AC3511" s="105"/>
    </row>
    <row r="3512" s="70" customFormat="1" ht="11.25" customHeight="1">
      <c r="A3512" s="87"/>
      <c r="C3512" s="43" t="s">
        <v>5550</v>
      </c>
      <c r="D3512" s="71" t="s">
        <v>382</v>
      </c>
      <c r="E3512" s="71" t="str">
        <f>MID(D3512,1,2)</f>
        <v>IL</v>
      </c>
      <c r="F3512" s="71" t="s">
        <v>774</v>
      </c>
      <c r="G3512" s="71" t="str">
        <f>MID(F3512,1,2)</f>
        <v>CN</v>
      </c>
      <c r="H3512" s="43" t="s">
        <v>5509</v>
      </c>
      <c r="I3512" s="71" t="s">
        <v>5551</v>
      </c>
      <c r="J3512" s="71" t="s">
        <v>755</v>
      </c>
      <c r="K3512" s="43"/>
      <c r="L3512" s="71" t="s">
        <v>105</v>
      </c>
      <c r="M3512" s="73">
        <v>0.5</v>
      </c>
      <c r="N3512" s="71" t="s">
        <v>388</v>
      </c>
      <c r="O3512" s="73">
        <v>0.002</v>
      </c>
      <c r="P3512" s="71" t="s">
        <v>389</v>
      </c>
      <c r="Q3512" s="73">
        <v>0.5</v>
      </c>
      <c r="R3512" s="71" t="s">
        <v>388</v>
      </c>
      <c r="S3512" s="73">
        <v>0</v>
      </c>
      <c r="T3512" s="71" t="s">
        <v>390</v>
      </c>
      <c r="U3512" s="74">
        <v>1</v>
      </c>
      <c r="V3512" s="71" t="s">
        <v>391</v>
      </c>
      <c r="W3512" s="130">
        <v>46100.588923611111</v>
      </c>
      <c r="X3512" s="72">
        <v>46102.375</v>
      </c>
      <c r="Y3512" s="72">
        <v>46105.840277777781</v>
      </c>
      <c r="Z3512" s="104" t="s">
        <v>403</v>
      </c>
      <c r="AA3512" s="104" t="s">
        <v>774</v>
      </c>
      <c r="AB3512" s="105"/>
      <c r="AC3512" s="105"/>
    </row>
    <row r="3513" s="70" customFormat="1" ht="11.25" customHeight="1">
      <c r="A3513" s="87"/>
      <c r="C3513" s="43" t="s">
        <v>5552</v>
      </c>
      <c r="D3513" s="71" t="s">
        <v>382</v>
      </c>
      <c r="E3513" s="71" t="str">
        <f>MID(D3513,1,2)</f>
        <v>IL</v>
      </c>
      <c r="F3513" s="71" t="s">
        <v>577</v>
      </c>
      <c r="G3513" s="71" t="str">
        <f>MID(F3513,1,2)</f>
        <v>FR</v>
      </c>
      <c r="H3513" s="43" t="s">
        <v>5553</v>
      </c>
      <c r="I3513" s="71" t="s">
        <v>5554</v>
      </c>
      <c r="J3513" s="71" t="s">
        <v>454</v>
      </c>
      <c r="K3513" s="43"/>
      <c r="L3513" s="71" t="s">
        <v>107</v>
      </c>
      <c r="M3513" s="73">
        <v>726</v>
      </c>
      <c r="N3513" s="71" t="s">
        <v>388</v>
      </c>
      <c r="O3513" s="73">
        <v>2.536</v>
      </c>
      <c r="P3513" s="71" t="s">
        <v>389</v>
      </c>
      <c r="Q3513" s="73">
        <v>726</v>
      </c>
      <c r="R3513" s="71" t="s">
        <v>388</v>
      </c>
      <c r="S3513" s="73">
        <v>0</v>
      </c>
      <c r="T3513" s="71" t="s">
        <v>390</v>
      </c>
      <c r="U3513" s="74">
        <v>2</v>
      </c>
      <c r="V3513" s="71" t="s">
        <v>391</v>
      </c>
      <c r="W3513" s="130">
        <v>46100.507638888892</v>
      </c>
      <c r="X3513" s="72">
        <v>46103.645833333336</v>
      </c>
      <c r="Y3513" s="72">
        <v>46103.611805555556</v>
      </c>
      <c r="Z3513" s="104" t="s">
        <v>382</v>
      </c>
      <c r="AA3513" s="104" t="s">
        <v>577</v>
      </c>
      <c r="AB3513" s="105"/>
      <c r="AC3513" s="105"/>
    </row>
    <row r="3514" s="70" customFormat="1" ht="11.25" customHeight="1">
      <c r="A3514" s="87"/>
      <c r="C3514" s="43" t="s">
        <v>5555</v>
      </c>
      <c r="D3514" s="71" t="s">
        <v>382</v>
      </c>
      <c r="E3514" s="71" t="str">
        <f>MID(D3514,1,2)</f>
        <v>IL</v>
      </c>
      <c r="F3514" s="71" t="s">
        <v>383</v>
      </c>
      <c r="G3514" s="71" t="str">
        <f>MID(F3514,1,2)</f>
        <v>DE</v>
      </c>
      <c r="H3514" s="43" t="s">
        <v>4936</v>
      </c>
      <c r="I3514" s="71" t="s">
        <v>5556</v>
      </c>
      <c r="J3514" s="71" t="s">
        <v>454</v>
      </c>
      <c r="K3514" s="43"/>
      <c r="L3514" s="71" t="s">
        <v>107</v>
      </c>
      <c r="M3514" s="73">
        <v>8</v>
      </c>
      <c r="N3514" s="71" t="s">
        <v>388</v>
      </c>
      <c r="O3514" s="73">
        <v>0.052</v>
      </c>
      <c r="P3514" s="71" t="s">
        <v>389</v>
      </c>
      <c r="Q3514" s="73">
        <v>9</v>
      </c>
      <c r="R3514" s="71" t="s">
        <v>388</v>
      </c>
      <c r="S3514" s="73">
        <v>0</v>
      </c>
      <c r="T3514" s="71" t="s">
        <v>390</v>
      </c>
      <c r="U3514" s="74">
        <v>1</v>
      </c>
      <c r="V3514" s="71" t="s">
        <v>391</v>
      </c>
      <c r="W3514" s="130">
        <v>46100.507638888892</v>
      </c>
      <c r="X3514" s="72">
        <v>46103</v>
      </c>
      <c r="Y3514" s="72">
        <v>46104.513888888891</v>
      </c>
      <c r="Z3514" s="104" t="s">
        <v>382</v>
      </c>
      <c r="AA3514" s="104" t="s">
        <v>383</v>
      </c>
      <c r="AB3514" s="105">
        <v>46103.441666666666</v>
      </c>
      <c r="AC3514" s="105"/>
    </row>
    <row r="3515" s="70" customFormat="1" ht="11.25" customHeight="1">
      <c r="A3515" s="87"/>
      <c r="C3515" s="43" t="s">
        <v>5557</v>
      </c>
      <c r="D3515" s="71" t="s">
        <v>382</v>
      </c>
      <c r="E3515" s="71" t="str">
        <f>MID(D3515,1,2)</f>
        <v>IL</v>
      </c>
      <c r="F3515" s="71" t="s">
        <v>774</v>
      </c>
      <c r="G3515" s="71" t="str">
        <f>MID(F3515,1,2)</f>
        <v>CN</v>
      </c>
      <c r="H3515" s="43" t="s">
        <v>5558</v>
      </c>
      <c r="I3515" s="71" t="s">
        <v>5559</v>
      </c>
      <c r="J3515" s="71" t="s">
        <v>454</v>
      </c>
      <c r="K3515" s="43"/>
      <c r="L3515" s="71" t="s">
        <v>107</v>
      </c>
      <c r="M3515" s="73">
        <v>131</v>
      </c>
      <c r="N3515" s="71" t="s">
        <v>388</v>
      </c>
      <c r="O3515" s="73">
        <v>1.526</v>
      </c>
      <c r="P3515" s="71" t="s">
        <v>389</v>
      </c>
      <c r="Q3515" s="73">
        <v>254.5</v>
      </c>
      <c r="R3515" s="71" t="s">
        <v>388</v>
      </c>
      <c r="S3515" s="73">
        <v>0</v>
      </c>
      <c r="T3515" s="71" t="s">
        <v>390</v>
      </c>
      <c r="U3515" s="74">
        <v>2</v>
      </c>
      <c r="V3515" s="71" t="s">
        <v>391</v>
      </c>
      <c r="W3515" s="130">
        <v>46100.891053240739</v>
      </c>
      <c r="X3515" s="72">
        <v>46102.395833333336</v>
      </c>
      <c r="Y3515" s="72">
        <v>46105.916666666664</v>
      </c>
      <c r="Z3515" s="104" t="s">
        <v>382</v>
      </c>
      <c r="AA3515" s="104" t="s">
        <v>402</v>
      </c>
      <c r="AB3515" s="105">
        <v>46102.864583333336</v>
      </c>
      <c r="AC3515" s="105"/>
    </row>
    <row r="3516" s="70" customFormat="1" ht="11.25" customHeight="1">
      <c r="A3516" s="87"/>
      <c r="C3516" s="43" t="s">
        <v>5557</v>
      </c>
      <c r="D3516" s="71" t="s">
        <v>382</v>
      </c>
      <c r="E3516" s="71" t="str">
        <f>MID(D3516,1,2)</f>
        <v>IL</v>
      </c>
      <c r="F3516" s="71" t="s">
        <v>774</v>
      </c>
      <c r="G3516" s="71" t="str">
        <f>MID(F3516,1,2)</f>
        <v>CN</v>
      </c>
      <c r="H3516" s="43" t="s">
        <v>5558</v>
      </c>
      <c r="I3516" s="71" t="s">
        <v>5559</v>
      </c>
      <c r="J3516" s="71" t="s">
        <v>454</v>
      </c>
      <c r="K3516" s="43"/>
      <c r="L3516" s="71" t="s">
        <v>107</v>
      </c>
      <c r="M3516" s="73">
        <v>131</v>
      </c>
      <c r="N3516" s="71" t="s">
        <v>388</v>
      </c>
      <c r="O3516" s="73">
        <v>1.526</v>
      </c>
      <c r="P3516" s="71" t="s">
        <v>389</v>
      </c>
      <c r="Q3516" s="73">
        <v>254.5</v>
      </c>
      <c r="R3516" s="71" t="s">
        <v>388</v>
      </c>
      <c r="S3516" s="73">
        <v>0</v>
      </c>
      <c r="T3516" s="71" t="s">
        <v>390</v>
      </c>
      <c r="U3516" s="74">
        <v>2</v>
      </c>
      <c r="V3516" s="71" t="s">
        <v>391</v>
      </c>
      <c r="W3516" s="130">
        <v>46100.891053240739</v>
      </c>
      <c r="X3516" s="72">
        <v>46102.395833333336</v>
      </c>
      <c r="Y3516" s="72">
        <v>46105.916666666664</v>
      </c>
      <c r="Z3516" s="104" t="s">
        <v>402</v>
      </c>
      <c r="AA3516" s="104" t="s">
        <v>403</v>
      </c>
      <c r="AB3516" s="105">
        <v>46102.864583333336</v>
      </c>
      <c r="AC3516" s="105">
        <v>46103.725694444445</v>
      </c>
    </row>
    <row r="3517" s="70" customFormat="1" ht="11.25" customHeight="1">
      <c r="A3517" s="87"/>
      <c r="C3517" s="43" t="s">
        <v>5557</v>
      </c>
      <c r="D3517" s="71" t="s">
        <v>382</v>
      </c>
      <c r="E3517" s="71" t="str">
        <f>MID(D3517,1,2)</f>
        <v>IL</v>
      </c>
      <c r="F3517" s="71" t="s">
        <v>774</v>
      </c>
      <c r="G3517" s="71" t="str">
        <f>MID(F3517,1,2)</f>
        <v>CN</v>
      </c>
      <c r="H3517" s="43" t="s">
        <v>5558</v>
      </c>
      <c r="I3517" s="71" t="s">
        <v>5559</v>
      </c>
      <c r="J3517" s="71" t="s">
        <v>454</v>
      </c>
      <c r="K3517" s="43"/>
      <c r="L3517" s="71" t="s">
        <v>107</v>
      </c>
      <c r="M3517" s="73">
        <v>131</v>
      </c>
      <c r="N3517" s="71" t="s">
        <v>388</v>
      </c>
      <c r="O3517" s="73">
        <v>1.526</v>
      </c>
      <c r="P3517" s="71" t="s">
        <v>389</v>
      </c>
      <c r="Q3517" s="73">
        <v>254.5</v>
      </c>
      <c r="R3517" s="71" t="s">
        <v>388</v>
      </c>
      <c r="S3517" s="73">
        <v>0</v>
      </c>
      <c r="T3517" s="71" t="s">
        <v>390</v>
      </c>
      <c r="U3517" s="74">
        <v>2</v>
      </c>
      <c r="V3517" s="71" t="s">
        <v>391</v>
      </c>
      <c r="W3517" s="130">
        <v>46100.891053240739</v>
      </c>
      <c r="X3517" s="72">
        <v>46102.395833333336</v>
      </c>
      <c r="Y3517" s="72">
        <v>46105.916666666664</v>
      </c>
      <c r="Z3517" s="104" t="s">
        <v>403</v>
      </c>
      <c r="AA3517" s="104" t="s">
        <v>774</v>
      </c>
      <c r="AB3517" s="105"/>
      <c r="AC3517" s="105"/>
    </row>
    <row r="3518" s="70" customFormat="1" ht="11.25" customHeight="1">
      <c r="A3518" s="87"/>
      <c r="C3518" s="43" t="s">
        <v>5560</v>
      </c>
      <c r="D3518" s="71" t="s">
        <v>382</v>
      </c>
      <c r="E3518" s="71" t="str">
        <f>MID(D3518,1,2)</f>
        <v>IL</v>
      </c>
      <c r="F3518" s="71" t="s">
        <v>476</v>
      </c>
      <c r="G3518" s="71" t="str">
        <f>MID(F3518,1,2)</f>
        <v>SG</v>
      </c>
      <c r="H3518" s="43" t="s">
        <v>5561</v>
      </c>
      <c r="I3518" s="71" t="s">
        <v>5562</v>
      </c>
      <c r="J3518" s="71" t="s">
        <v>454</v>
      </c>
      <c r="K3518" s="43"/>
      <c r="L3518" s="71" t="s">
        <v>107</v>
      </c>
      <c r="M3518" s="73">
        <v>326</v>
      </c>
      <c r="N3518" s="71" t="s">
        <v>388</v>
      </c>
      <c r="O3518" s="73">
        <v>2.823</v>
      </c>
      <c r="P3518" s="71" t="s">
        <v>389</v>
      </c>
      <c r="Q3518" s="73">
        <v>470.5</v>
      </c>
      <c r="R3518" s="71" t="s">
        <v>388</v>
      </c>
      <c r="S3518" s="73">
        <v>0</v>
      </c>
      <c r="T3518" s="71" t="s">
        <v>390</v>
      </c>
      <c r="U3518" s="74">
        <v>2</v>
      </c>
      <c r="V3518" s="71" t="s">
        <v>391</v>
      </c>
      <c r="W3518" s="130">
        <v>46100.891053240739</v>
      </c>
      <c r="X3518" s="72">
        <v>46102.629861111112</v>
      </c>
      <c r="Y3518" s="72">
        <v>46103.628472222219</v>
      </c>
      <c r="Z3518" s="104" t="s">
        <v>382</v>
      </c>
      <c r="AA3518" s="104" t="s">
        <v>402</v>
      </c>
      <c r="AB3518" s="105">
        <v>46102.864583333336</v>
      </c>
      <c r="AC3518" s="105"/>
    </row>
    <row r="3519" s="70" customFormat="1" ht="11.25" customHeight="1">
      <c r="A3519" s="87"/>
      <c r="C3519" s="43" t="s">
        <v>5560</v>
      </c>
      <c r="D3519" s="71" t="s">
        <v>382</v>
      </c>
      <c r="E3519" s="71" t="str">
        <f>MID(D3519,1,2)</f>
        <v>IL</v>
      </c>
      <c r="F3519" s="71" t="s">
        <v>476</v>
      </c>
      <c r="G3519" s="71" t="str">
        <f>MID(F3519,1,2)</f>
        <v>SG</v>
      </c>
      <c r="H3519" s="43" t="s">
        <v>5561</v>
      </c>
      <c r="I3519" s="71" t="s">
        <v>5562</v>
      </c>
      <c r="J3519" s="71" t="s">
        <v>454</v>
      </c>
      <c r="K3519" s="43"/>
      <c r="L3519" s="71" t="s">
        <v>107</v>
      </c>
      <c r="M3519" s="73">
        <v>326</v>
      </c>
      <c r="N3519" s="71" t="s">
        <v>388</v>
      </c>
      <c r="O3519" s="73">
        <v>2.823</v>
      </c>
      <c r="P3519" s="71" t="s">
        <v>389</v>
      </c>
      <c r="Q3519" s="73">
        <v>470.5</v>
      </c>
      <c r="R3519" s="71" t="s">
        <v>388</v>
      </c>
      <c r="S3519" s="73">
        <v>0</v>
      </c>
      <c r="T3519" s="71" t="s">
        <v>390</v>
      </c>
      <c r="U3519" s="74">
        <v>2</v>
      </c>
      <c r="V3519" s="71" t="s">
        <v>391</v>
      </c>
      <c r="W3519" s="130">
        <v>46100.891053240739</v>
      </c>
      <c r="X3519" s="72">
        <v>46102.629861111112</v>
      </c>
      <c r="Y3519" s="72">
        <v>46103.628472222219</v>
      </c>
      <c r="Z3519" s="104" t="s">
        <v>402</v>
      </c>
      <c r="AA3519" s="104" t="s">
        <v>476</v>
      </c>
      <c r="AB3519" s="105"/>
      <c r="AC3519" s="105"/>
    </row>
    <row r="3520" s="70" customFormat="1" ht="11.25" customHeight="1">
      <c r="A3520" s="87"/>
      <c r="C3520" s="43" t="s">
        <v>5563</v>
      </c>
      <c r="D3520" s="71" t="s">
        <v>382</v>
      </c>
      <c r="E3520" s="71" t="str">
        <f>MID(D3520,1,2)</f>
        <v>IL</v>
      </c>
      <c r="F3520" s="71" t="s">
        <v>383</v>
      </c>
      <c r="G3520" s="71" t="str">
        <f>MID(F3520,1,2)</f>
        <v>DE</v>
      </c>
      <c r="H3520" s="43" t="s">
        <v>4936</v>
      </c>
      <c r="I3520" s="71" t="s">
        <v>5564</v>
      </c>
      <c r="J3520" s="71" t="s">
        <v>426</v>
      </c>
      <c r="K3520" s="43"/>
      <c r="L3520" s="71" t="s">
        <v>105</v>
      </c>
      <c r="M3520" s="73">
        <v>169</v>
      </c>
      <c r="N3520" s="71" t="s">
        <v>388</v>
      </c>
      <c r="O3520" s="73">
        <v>0.432</v>
      </c>
      <c r="P3520" s="71" t="s">
        <v>389</v>
      </c>
      <c r="Q3520" s="73">
        <v>169</v>
      </c>
      <c r="R3520" s="71" t="s">
        <v>388</v>
      </c>
      <c r="S3520" s="73">
        <v>0</v>
      </c>
      <c r="T3520" s="71" t="s">
        <v>390</v>
      </c>
      <c r="U3520" s="74">
        <v>1</v>
      </c>
      <c r="V3520" s="71" t="s">
        <v>391</v>
      </c>
      <c r="W3520" s="130">
        <v>46100.960717592592</v>
      </c>
      <c r="X3520" s="72">
        <v>46103</v>
      </c>
      <c r="Y3520" s="72">
        <v>46104.513888888891</v>
      </c>
      <c r="Z3520" s="104" t="s">
        <v>382</v>
      </c>
      <c r="AA3520" s="104" t="s">
        <v>383</v>
      </c>
      <c r="AB3520" s="105">
        <v>46103.441666666666</v>
      </c>
      <c r="AC3520" s="105"/>
    </row>
    <row r="3521" s="70" customFormat="1" ht="11.25" customHeight="1">
      <c r="A3521" s="87"/>
      <c r="C3521" s="43" t="s">
        <v>5565</v>
      </c>
      <c r="D3521" s="71" t="s">
        <v>382</v>
      </c>
      <c r="E3521" s="71" t="str">
        <f>MID(D3521,1,2)</f>
        <v>IL</v>
      </c>
      <c r="F3521" s="71" t="s">
        <v>546</v>
      </c>
      <c r="G3521" s="71" t="str">
        <f>MID(F3521,1,2)</f>
        <v>GB</v>
      </c>
      <c r="H3521" s="43" t="s">
        <v>574</v>
      </c>
      <c r="I3521" s="71" t="s">
        <v>5566</v>
      </c>
      <c r="J3521" s="71" t="s">
        <v>400</v>
      </c>
      <c r="K3521" s="43"/>
      <c r="L3521" s="71" t="s">
        <v>105</v>
      </c>
      <c r="M3521" s="73">
        <v>1035</v>
      </c>
      <c r="N3521" s="71" t="s">
        <v>388</v>
      </c>
      <c r="O3521" s="73">
        <v>9.324</v>
      </c>
      <c r="P3521" s="71" t="s">
        <v>389</v>
      </c>
      <c r="Q3521" s="73">
        <v>1554</v>
      </c>
      <c r="R3521" s="71" t="s">
        <v>388</v>
      </c>
      <c r="S3521" s="73">
        <v>0</v>
      </c>
      <c r="T3521" s="71" t="s">
        <v>390</v>
      </c>
      <c r="U3521" s="74">
        <v>6</v>
      </c>
      <c r="V3521" s="71" t="s">
        <v>391</v>
      </c>
      <c r="W3521" s="130"/>
      <c r="X3521" s="72">
        <v>46103.40902777778</v>
      </c>
      <c r="Y3521" s="72"/>
      <c r="Z3521" s="104" t="s">
        <v>382</v>
      </c>
      <c r="AA3521" s="104" t="s">
        <v>546</v>
      </c>
      <c r="AB3521" s="105"/>
      <c r="AC3521" s="105"/>
    </row>
    <row r="3522" s="70" customFormat="1" ht="11.25" customHeight="1">
      <c r="A3522" s="87"/>
      <c r="C3522" s="43" t="s">
        <v>5567</v>
      </c>
      <c r="D3522" s="71" t="s">
        <v>382</v>
      </c>
      <c r="E3522" s="71" t="str">
        <f>MID(D3522,1,2)</f>
        <v>IL</v>
      </c>
      <c r="F3522" s="71" t="s">
        <v>2453</v>
      </c>
      <c r="G3522" s="71" t="str">
        <f>MID(F3522,1,2)</f>
        <v>GE</v>
      </c>
      <c r="H3522" s="43" t="s">
        <v>5568</v>
      </c>
      <c r="I3522" s="71"/>
      <c r="J3522" s="71" t="s">
        <v>400</v>
      </c>
      <c r="K3522" s="43"/>
      <c r="L3522" s="71" t="s">
        <v>105</v>
      </c>
      <c r="M3522" s="73">
        <v>3.4</v>
      </c>
      <c r="N3522" s="71" t="s">
        <v>388</v>
      </c>
      <c r="O3522" s="73">
        <v>0.014</v>
      </c>
      <c r="P3522" s="71" t="s">
        <v>389</v>
      </c>
      <c r="Q3522" s="73">
        <v>3.5</v>
      </c>
      <c r="R3522" s="71" t="s">
        <v>388</v>
      </c>
      <c r="S3522" s="73">
        <v>0</v>
      </c>
      <c r="T3522" s="71" t="s">
        <v>390</v>
      </c>
      <c r="U3522" s="74">
        <v>1</v>
      </c>
      <c r="V3522" s="71" t="s">
        <v>391</v>
      </c>
      <c r="W3522" s="130"/>
      <c r="X3522" s="72">
        <v>46103.45</v>
      </c>
      <c r="Y3522" s="72">
        <v>46103.45</v>
      </c>
      <c r="Z3522" s="104" t="s">
        <v>382</v>
      </c>
      <c r="AA3522" s="104" t="s">
        <v>2453</v>
      </c>
      <c r="AB3522" s="105"/>
      <c r="AC3522" s="105"/>
    </row>
    <row r="3523" s="70" customFormat="1" ht="11.25" customHeight="1">
      <c r="A3523" s="87"/>
      <c r="C3523" s="43" t="s">
        <v>5569</v>
      </c>
      <c r="D3523" s="71" t="s">
        <v>382</v>
      </c>
      <c r="E3523" s="71" t="str">
        <f>MID(D3523,1,2)</f>
        <v>IL</v>
      </c>
      <c r="F3523" s="71" t="s">
        <v>597</v>
      </c>
      <c r="G3523" s="71" t="str">
        <f>MID(F3523,1,2)</f>
        <v>NL</v>
      </c>
      <c r="H3523" s="43" t="s">
        <v>5570</v>
      </c>
      <c r="I3523" s="71" t="s">
        <v>5570</v>
      </c>
      <c r="J3523" s="71" t="s">
        <v>400</v>
      </c>
      <c r="K3523" s="43"/>
      <c r="L3523" s="71" t="s">
        <v>105</v>
      </c>
      <c r="M3523" s="73">
        <v>8</v>
      </c>
      <c r="N3523" s="71" t="s">
        <v>388</v>
      </c>
      <c r="O3523" s="73">
        <v>0.074</v>
      </c>
      <c r="P3523" s="71" t="s">
        <v>389</v>
      </c>
      <c r="Q3523" s="73">
        <v>12.5</v>
      </c>
      <c r="R3523" s="71" t="s">
        <v>388</v>
      </c>
      <c r="S3523" s="73">
        <v>0</v>
      </c>
      <c r="T3523" s="71" t="s">
        <v>390</v>
      </c>
      <c r="U3523" s="74">
        <v>1</v>
      </c>
      <c r="V3523" s="71" t="s">
        <v>391</v>
      </c>
      <c r="W3523" s="130"/>
      <c r="X3523" s="72">
        <v>46101.475694444445</v>
      </c>
      <c r="Y3523" s="72">
        <v>46101.475694444445</v>
      </c>
      <c r="Z3523" s="104" t="s">
        <v>382</v>
      </c>
      <c r="AA3523" s="104" t="s">
        <v>597</v>
      </c>
      <c r="AB3523" s="105"/>
      <c r="AC3523" s="105"/>
    </row>
    <row r="3524">
      <c r="A3524" s="87"/>
      <c r="H3524" s="25"/>
    </row>
    <row r="3525">
      <c r="H3525" s="25"/>
    </row>
    <row r="3526">
      <c r="H3526" s="25"/>
    </row>
    <row r="3527">
      <c r="H3527" s="25"/>
    </row>
  </sheetData>
  <pageMargins left="0.393700787401575" right="0.393700787401575" top="0.393700787401575" bottom="0.393700787401575" header="0.511811023622047" footer="0.511811023622047"/>
  <pageSetup paperSize="9" scale="11" fitToHeight="0" orientation="landscape" r:id="flId1"/>
  <headerFooter>
    <oddFooter>&amp;C_x000D_&amp;1#&amp;"Aptos"&amp;10&amp;K000000 DSV internal</oddFooter>
  </headerFooter>
  <rowBreaks count="1" manualBreakCount="1">
    <brk man="1" id="3523" max="16383"/>
  </rowBreaks>
</worksheet>
</file>

<file path=xl/worksheets/sheet2.xml><?xml version="1.0" encoding="utf-8"?>
<worksheet xmlns:r="http://schemas.openxmlformats.org/officeDocument/2006/relationships" xmlns="http://schemas.openxmlformats.org/spreadsheetml/2006/main">
  <dimension ref="A1:E383"/>
  <sheetViews>
    <sheetView topLeftCell="A365" workbookViewId="0">
      <selection activeCell="D375" sqref="D375"/>
    </sheetView>
  </sheetViews>
  <sheetFormatPr defaultColWidth="9.109375" defaultRowHeight="13.2"/>
  <cols>
    <col min="1" max="1" width="29.5546875" style="84" bestFit="1" customWidth="1"/>
    <col min="2" max="2" width="11.44140625" style="84" bestFit="1" customWidth="1"/>
    <col min="3" max="3" width="33.88671875" style="84" bestFit="1" customWidth="1"/>
    <col min="4" max="4" width="49.44140625" style="84" bestFit="1" customWidth="1"/>
    <col min="5" max="16384" width="9.109375" style="84"/>
  </cols>
  <sheetData>
    <row r="1">
      <c r="A1" s="82" t="s">
        <v>1</v>
      </c>
      <c r="B1" s="83" t="s">
        <v>2</v>
      </c>
      <c r="C1" s="83" t="s">
        <v>3</v>
      </c>
      <c r="D1" s="83"/>
      <c r="E1" s="83"/>
    </row>
    <row r="2">
      <c r="A2" s="82"/>
      <c r="B2" s="83" t="s">
        <v>4</v>
      </c>
      <c r="C2" s="83" t="s">
        <v>5</v>
      </c>
      <c r="D2" s="83"/>
      <c r="E2" s="83"/>
    </row>
    <row r="3">
      <c r="A3" s="82"/>
      <c r="B3" s="83" t="s">
        <v>6</v>
      </c>
      <c r="C3" s="83" t="s">
        <v>7</v>
      </c>
      <c r="D3" s="83" t="s">
        <v>8</v>
      </c>
      <c r="E3" s="83"/>
    </row>
    <row r="4">
      <c r="A4" s="82"/>
      <c r="B4" s="83"/>
      <c r="C4" s="83" t="s">
        <v>9</v>
      </c>
      <c r="D4" s="83" t="s">
        <v>10</v>
      </c>
      <c r="E4" s="83"/>
    </row>
    <row r="5">
      <c r="A5" s="82"/>
      <c r="B5" s="83"/>
      <c r="C5" s="83" t="s">
        <v>11</v>
      </c>
      <c r="D5" s="83" t="s">
        <v>12</v>
      </c>
      <c r="E5" s="83"/>
    </row>
    <row r="6">
      <c r="A6" s="82"/>
      <c r="B6" s="83"/>
      <c r="C6" s="83" t="s">
        <v>13</v>
      </c>
      <c r="D6" s="83" t="s">
        <v>14</v>
      </c>
      <c r="E6" s="83"/>
    </row>
    <row r="7">
      <c r="A7" s="82"/>
      <c r="B7" s="83"/>
      <c r="C7" s="83" t="s">
        <v>15</v>
      </c>
      <c r="D7" s="83" t="s">
        <v>16</v>
      </c>
      <c r="E7" s="83"/>
    </row>
    <row r="8">
      <c r="A8" s="82"/>
      <c r="B8" s="83"/>
      <c r="C8" s="83" t="s">
        <v>17</v>
      </c>
      <c r="D8" s="83" t="s">
        <v>18</v>
      </c>
      <c r="E8" s="83"/>
    </row>
    <row r="9">
      <c r="A9" s="82"/>
      <c r="B9" s="83"/>
      <c r="C9" s="83" t="s">
        <v>19</v>
      </c>
      <c r="D9" s="83" t="s">
        <v>20</v>
      </c>
      <c r="E9" s="83"/>
    </row>
    <row r="10">
      <c r="A10" s="82"/>
      <c r="B10" s="83" t="s">
        <v>21</v>
      </c>
      <c r="C10" s="83" t="s">
        <v>2</v>
      </c>
      <c r="D10" s="83"/>
      <c r="E10" s="83"/>
    </row>
    <row r="11">
      <c r="A11" s="82" t="s">
        <v>22</v>
      </c>
      <c r="B11" s="83" t="s">
        <v>2</v>
      </c>
      <c r="C11" s="83" t="s">
        <v>3</v>
      </c>
      <c r="D11" s="83"/>
      <c r="E11" s="83"/>
    </row>
    <row r="12">
      <c r="A12" s="82"/>
      <c r="B12" s="83" t="s">
        <v>4</v>
      </c>
      <c r="C12" s="83" t="s">
        <v>5</v>
      </c>
      <c r="D12" s="83"/>
      <c r="E12" s="83"/>
    </row>
    <row r="13">
      <c r="A13" s="82"/>
      <c r="B13" s="83" t="s">
        <v>6</v>
      </c>
      <c r="C13" s="83" t="s">
        <v>23</v>
      </c>
      <c r="D13" s="83" t="s">
        <v>24</v>
      </c>
      <c r="E13" s="83"/>
    </row>
    <row r="14">
      <c r="A14" s="82"/>
      <c r="B14" s="83"/>
      <c r="C14" s="83" t="s">
        <v>7</v>
      </c>
      <c r="D14" s="83" t="s">
        <v>25</v>
      </c>
      <c r="E14" s="83"/>
    </row>
    <row r="15">
      <c r="A15" s="82"/>
      <c r="B15" s="83"/>
      <c r="C15" s="83" t="s">
        <v>26</v>
      </c>
      <c r="D15" s="83" t="s">
        <v>27</v>
      </c>
      <c r="E15" s="83"/>
    </row>
    <row r="16">
      <c r="A16" s="82"/>
      <c r="B16" s="83"/>
      <c r="C16" s="83" t="s">
        <v>28</v>
      </c>
      <c r="D16" s="83" t="s">
        <v>29</v>
      </c>
      <c r="E16" s="83"/>
    </row>
    <row r="17">
      <c r="A17" s="82"/>
      <c r="B17" s="83"/>
      <c r="C17" s="83" t="s">
        <v>30</v>
      </c>
      <c r="D17" s="83" t="s">
        <v>31</v>
      </c>
      <c r="E17" s="83"/>
    </row>
    <row r="18">
      <c r="A18" s="82"/>
      <c r="B18" s="83"/>
      <c r="C18" s="83" t="s">
        <v>32</v>
      </c>
      <c r="D18" s="83" t="s">
        <v>33</v>
      </c>
      <c r="E18" s="83"/>
    </row>
    <row r="19">
      <c r="A19" s="82"/>
      <c r="B19" s="83"/>
      <c r="C19" s="83" t="s">
        <v>34</v>
      </c>
      <c r="D19" s="83" t="s">
        <v>35</v>
      </c>
      <c r="E19" s="83"/>
    </row>
    <row r="20">
      <c r="A20" s="82"/>
      <c r="B20" s="83"/>
      <c r="C20" s="83" t="s">
        <v>36</v>
      </c>
      <c r="D20" s="83" t="s">
        <v>37</v>
      </c>
      <c r="E20" s="83"/>
    </row>
    <row r="21">
      <c r="A21" s="82"/>
      <c r="B21" s="83"/>
      <c r="C21" s="83" t="s">
        <v>38</v>
      </c>
      <c r="D21" s="83" t="s">
        <v>39</v>
      </c>
      <c r="E21" s="83"/>
    </row>
    <row r="22">
      <c r="A22" s="82"/>
      <c r="B22" s="83"/>
      <c r="C22" s="83" t="s">
        <v>40</v>
      </c>
      <c r="D22" s="83" t="s">
        <v>41</v>
      </c>
      <c r="E22" s="83"/>
    </row>
    <row r="23">
      <c r="A23" s="82"/>
      <c r="B23" s="83"/>
      <c r="C23" s="83" t="s">
        <v>42</v>
      </c>
      <c r="D23" s="83" t="s">
        <v>43</v>
      </c>
      <c r="E23" s="83"/>
    </row>
    <row r="24">
      <c r="A24" s="82"/>
      <c r="B24" s="83"/>
      <c r="C24" s="83" t="s">
        <v>44</v>
      </c>
      <c r="D24" s="83" t="s">
        <v>45</v>
      </c>
      <c r="E24" s="83"/>
    </row>
    <row r="25">
      <c r="A25" s="82"/>
      <c r="B25" s="83"/>
      <c r="C25" s="83" t="s">
        <v>46</v>
      </c>
      <c r="D25" s="83" t="s">
        <v>47</v>
      </c>
      <c r="E25" s="83"/>
    </row>
    <row r="26">
      <c r="A26" s="82"/>
      <c r="B26" s="83"/>
      <c r="C26" s="83" t="s">
        <v>48</v>
      </c>
      <c r="D26" s="83" t="s">
        <v>49</v>
      </c>
      <c r="E26" s="83"/>
    </row>
    <row r="27">
      <c r="A27" s="82"/>
      <c r="B27" s="83"/>
      <c r="C27" s="83" t="s">
        <v>50</v>
      </c>
      <c r="D27" s="83" t="s">
        <v>51</v>
      </c>
      <c r="E27" s="83"/>
    </row>
    <row r="28">
      <c r="A28" s="82"/>
      <c r="B28" s="83"/>
      <c r="C28" s="83" t="s">
        <v>52</v>
      </c>
      <c r="D28" s="83" t="s">
        <v>53</v>
      </c>
      <c r="E28" s="83"/>
    </row>
    <row r="29">
      <c r="A29" s="82"/>
      <c r="B29" s="83"/>
      <c r="C29" s="83" t="s">
        <v>54</v>
      </c>
      <c r="D29" s="83" t="s">
        <v>55</v>
      </c>
      <c r="E29" s="83"/>
    </row>
    <row r="30">
      <c r="A30" s="82"/>
      <c r="B30" s="83"/>
      <c r="C30" s="83" t="s">
        <v>56</v>
      </c>
      <c r="D30" s="83" t="s">
        <v>57</v>
      </c>
      <c r="E30" s="83"/>
    </row>
    <row r="31">
      <c r="A31" s="82"/>
      <c r="B31" s="83"/>
      <c r="C31" s="83" t="s">
        <v>58</v>
      </c>
      <c r="D31" s="83" t="s">
        <v>59</v>
      </c>
      <c r="E31" s="83"/>
    </row>
    <row r="32">
      <c r="A32" s="82"/>
      <c r="B32" s="83"/>
      <c r="C32" s="83" t="s">
        <v>60</v>
      </c>
      <c r="D32" s="83" t="s">
        <v>61</v>
      </c>
      <c r="E32" s="83"/>
    </row>
    <row r="33">
      <c r="A33" s="82"/>
      <c r="B33" s="83"/>
      <c r="C33" s="83" t="s">
        <v>62</v>
      </c>
      <c r="D33" s="83" t="s">
        <v>63</v>
      </c>
      <c r="E33" s="83"/>
    </row>
    <row r="34">
      <c r="A34" s="82"/>
      <c r="B34" s="83"/>
      <c r="C34" s="83" t="s">
        <v>64</v>
      </c>
      <c r="D34" s="83" t="s">
        <v>65</v>
      </c>
      <c r="E34" s="83"/>
    </row>
    <row r="35">
      <c r="A35" s="82"/>
      <c r="B35" s="83"/>
      <c r="C35" s="83" t="s">
        <v>66</v>
      </c>
      <c r="D35" s="83" t="s">
        <v>67</v>
      </c>
      <c r="E35" s="83"/>
    </row>
    <row r="36">
      <c r="A36" s="82"/>
      <c r="B36" s="83"/>
      <c r="C36" s="83" t="s">
        <v>68</v>
      </c>
      <c r="D36" s="83" t="s">
        <v>69</v>
      </c>
      <c r="E36" s="83"/>
    </row>
    <row r="37">
      <c r="A37" s="82"/>
      <c r="B37" s="83" t="s">
        <v>21</v>
      </c>
      <c r="C37" s="83" t="s">
        <v>70</v>
      </c>
      <c r="D37" s="83"/>
      <c r="E37" s="83"/>
    </row>
    <row r="38">
      <c r="A38" s="82" t="s">
        <v>71</v>
      </c>
      <c r="B38" s="83" t="s">
        <v>2</v>
      </c>
      <c r="C38" s="93" t="s">
        <v>191</v>
      </c>
      <c r="D38" s="83"/>
      <c r="E38" s="83"/>
    </row>
    <row r="39">
      <c r="A39" s="82" t="s">
        <v>72</v>
      </c>
      <c r="B39" s="83" t="s">
        <v>2</v>
      </c>
      <c r="C39" s="93" t="s">
        <v>191</v>
      </c>
      <c r="D39" s="83"/>
      <c r="E39" s="83"/>
    </row>
    <row r="40">
      <c r="A40" s="82" t="s">
        <v>73</v>
      </c>
      <c r="B40" s="83" t="s">
        <v>2</v>
      </c>
      <c r="C40" s="83" t="s">
        <v>74</v>
      </c>
      <c r="D40" s="83"/>
      <c r="E40" s="83"/>
    </row>
    <row r="41">
      <c r="A41" s="82"/>
      <c r="B41" s="83" t="s">
        <v>21</v>
      </c>
      <c r="C41" s="83" t="s">
        <v>73</v>
      </c>
      <c r="D41" s="83"/>
      <c r="E41" s="83"/>
    </row>
    <row r="42" ht="13.8">
      <c r="A42" s="82"/>
      <c r="B42" s="106" t="s">
        <v>199</v>
      </c>
      <c r="C42" s="107"/>
      <c r="D42" s="83"/>
      <c r="E42" s="83"/>
    </row>
    <row r="43" ht="13.8">
      <c r="A43" s="82"/>
      <c r="B43" s="108" t="s">
        <v>198</v>
      </c>
      <c r="C43" s="107"/>
      <c r="D43" s="83"/>
      <c r="E43" s="83"/>
    </row>
    <row r="44" ht="13.8">
      <c r="A44" s="82"/>
      <c r="B44" s="163" t="s">
        <v>331</v>
      </c>
      <c r="C44" s="163">
        <v>6</v>
      </c>
      <c r="D44" s="83"/>
      <c r="E44" s="83"/>
    </row>
    <row r="45" ht="13.8">
      <c r="A45" s="82"/>
      <c r="B45" s="109" t="s">
        <v>200</v>
      </c>
      <c r="C45" s="109" t="s">
        <v>201</v>
      </c>
      <c r="D45" s="83"/>
      <c r="E45" s="83"/>
    </row>
    <row r="46">
      <c r="A46" s="82" t="s">
        <v>75</v>
      </c>
      <c r="B46" s="83" t="s">
        <v>2</v>
      </c>
      <c r="C46" s="83" t="s">
        <v>74</v>
      </c>
      <c r="D46" s="83"/>
      <c r="E46" s="83"/>
    </row>
    <row r="47">
      <c r="A47" s="82"/>
      <c r="B47" s="83" t="s">
        <v>21</v>
      </c>
      <c r="C47" s="83" t="s">
        <v>75</v>
      </c>
      <c r="D47" s="83"/>
      <c r="E47" s="83"/>
    </row>
    <row r="48" ht="13.8">
      <c r="A48" s="82"/>
      <c r="B48" s="106" t="s">
        <v>199</v>
      </c>
      <c r="C48" s="107"/>
      <c r="D48" s="83"/>
      <c r="E48" s="83"/>
    </row>
    <row r="49" ht="13.8">
      <c r="A49" s="82"/>
      <c r="B49" s="108" t="s">
        <v>198</v>
      </c>
      <c r="C49" s="107"/>
      <c r="D49" s="83"/>
      <c r="E49" s="83"/>
    </row>
    <row r="50" ht="13.8">
      <c r="A50" s="82"/>
      <c r="B50" s="163" t="s">
        <v>331</v>
      </c>
      <c r="C50" s="163">
        <v>6</v>
      </c>
      <c r="D50" s="83"/>
      <c r="E50" s="83"/>
    </row>
    <row r="51" ht="13.8">
      <c r="A51" s="82"/>
      <c r="B51" s="109" t="s">
        <v>200</v>
      </c>
      <c r="C51" s="109" t="s">
        <v>201</v>
      </c>
      <c r="D51" s="83"/>
      <c r="E51" s="83"/>
    </row>
    <row r="52">
      <c r="A52" s="82" t="s">
        <v>76</v>
      </c>
      <c r="B52" s="83" t="s">
        <v>2</v>
      </c>
      <c r="C52" s="83" t="s">
        <v>74</v>
      </c>
      <c r="D52" s="83"/>
      <c r="E52" s="83"/>
    </row>
    <row r="53">
      <c r="A53" s="82"/>
      <c r="B53" s="83" t="s">
        <v>77</v>
      </c>
      <c r="C53" s="83" t="s">
        <v>78</v>
      </c>
      <c r="D53" s="83"/>
      <c r="E53" s="83"/>
    </row>
    <row r="54" ht="13.8">
      <c r="A54" s="82"/>
      <c r="B54" s="106" t="s">
        <v>199</v>
      </c>
      <c r="C54" s="83"/>
      <c r="D54" s="83"/>
      <c r="E54" s="83"/>
    </row>
    <row r="55" ht="13.8">
      <c r="A55" s="82"/>
      <c r="B55" s="108" t="s">
        <v>198</v>
      </c>
      <c r="C55" s="83"/>
      <c r="D55" s="83"/>
      <c r="E55" s="83"/>
    </row>
    <row r="56" ht="13.8">
      <c r="A56" s="82"/>
      <c r="B56" s="107" t="s">
        <v>195</v>
      </c>
      <c r="C56" s="83"/>
      <c r="D56" s="83"/>
      <c r="E56" s="83"/>
    </row>
    <row r="57" ht="13.8">
      <c r="A57" s="82"/>
      <c r="B57" s="163" t="s">
        <v>331</v>
      </c>
      <c r="C57" s="163">
        <v>12</v>
      </c>
      <c r="D57" s="83"/>
      <c r="E57" s="83"/>
    </row>
    <row r="58" ht="13.8">
      <c r="A58" s="82"/>
      <c r="B58" s="109" t="s">
        <v>202</v>
      </c>
      <c r="C58" s="83"/>
      <c r="D58" s="83"/>
      <c r="E58" s="83"/>
    </row>
    <row r="59">
      <c r="A59" s="82" t="s">
        <v>79</v>
      </c>
      <c r="B59" s="83" t="s">
        <v>2</v>
      </c>
      <c r="C59" s="83" t="s">
        <v>80</v>
      </c>
      <c r="D59" s="83"/>
      <c r="E59" s="83"/>
    </row>
    <row r="60">
      <c r="A60" s="82"/>
      <c r="B60" s="83" t="s">
        <v>21</v>
      </c>
      <c r="C60" s="83" t="s">
        <v>81</v>
      </c>
      <c r="D60" s="83"/>
      <c r="E60" s="83"/>
    </row>
    <row r="61">
      <c r="A61" s="82" t="s">
        <v>82</v>
      </c>
      <c r="B61" s="83" t="s">
        <v>2</v>
      </c>
      <c r="C61" s="83" t="s">
        <v>83</v>
      </c>
      <c r="D61" s="83"/>
      <c r="E61" s="83"/>
    </row>
    <row r="62">
      <c r="A62" s="82"/>
      <c r="B62" s="83" t="s">
        <v>21</v>
      </c>
      <c r="C62" s="83" t="s">
        <v>84</v>
      </c>
      <c r="D62" s="83"/>
      <c r="E62" s="83"/>
    </row>
    <row r="63">
      <c r="A63" s="82" t="s">
        <v>85</v>
      </c>
      <c r="B63" s="83" t="s">
        <v>2</v>
      </c>
      <c r="C63" s="83" t="s">
        <v>86</v>
      </c>
      <c r="D63" s="83"/>
      <c r="E63" s="83"/>
    </row>
    <row r="64">
      <c r="A64" s="82"/>
      <c r="B64" s="83" t="s">
        <v>87</v>
      </c>
      <c r="C64" s="83" t="s">
        <v>88</v>
      </c>
      <c r="D64" s="83" t="s">
        <v>115</v>
      </c>
      <c r="E64" s="83"/>
    </row>
    <row r="65">
      <c r="A65" s="82"/>
      <c r="B65" s="83" t="s">
        <v>21</v>
      </c>
      <c r="C65" s="83" t="s">
        <v>89</v>
      </c>
      <c r="D65" s="83"/>
      <c r="E65" s="83"/>
    </row>
    <row r="66">
      <c r="A66" s="82" t="s">
        <v>101</v>
      </c>
      <c r="B66" s="83" t="s">
        <v>2</v>
      </c>
      <c r="C66" s="83" t="s">
        <v>102</v>
      </c>
      <c r="D66" s="83"/>
      <c r="E66" s="83"/>
    </row>
    <row r="67">
      <c r="A67" s="82"/>
      <c r="B67" s="83" t="s">
        <v>21</v>
      </c>
      <c r="C67" s="83" t="s">
        <v>103</v>
      </c>
      <c r="D67" s="83"/>
      <c r="E67" s="83"/>
    </row>
    <row r="68">
      <c r="A68" s="82" t="s">
        <v>104</v>
      </c>
      <c r="B68" s="83" t="s">
        <v>2</v>
      </c>
      <c r="C68" s="83" t="s">
        <v>3</v>
      </c>
      <c r="D68" s="83"/>
      <c r="E68" s="83"/>
    </row>
    <row r="69">
      <c r="A69" s="82"/>
      <c r="B69" s="83" t="s">
        <v>4</v>
      </c>
      <c r="C69" s="83" t="s">
        <v>5</v>
      </c>
      <c r="D69" s="83"/>
      <c r="E69" s="83"/>
    </row>
    <row r="70">
      <c r="A70" s="82"/>
      <c r="B70" s="83" t="s">
        <v>6</v>
      </c>
      <c r="C70" s="83" t="s">
        <v>105</v>
      </c>
      <c r="D70" s="83" t="s">
        <v>106</v>
      </c>
      <c r="E70" s="83"/>
    </row>
    <row r="71">
      <c r="A71" s="82"/>
      <c r="B71" s="83"/>
      <c r="C71" s="83" t="s">
        <v>107</v>
      </c>
      <c r="D71" s="83" t="s">
        <v>108</v>
      </c>
      <c r="E71" s="83"/>
    </row>
    <row r="72">
      <c r="A72" s="82"/>
      <c r="B72" s="83" t="s">
        <v>21</v>
      </c>
      <c r="C72" s="83" t="s">
        <v>109</v>
      </c>
      <c r="D72" s="83"/>
      <c r="E72" s="83"/>
    </row>
    <row r="73">
      <c r="A73" s="82" t="s">
        <v>175</v>
      </c>
      <c r="B73" s="83" t="s">
        <v>2</v>
      </c>
      <c r="C73" s="83" t="s">
        <v>86</v>
      </c>
      <c r="D73" s="83"/>
      <c r="E73" s="83"/>
    </row>
    <row r="74">
      <c r="A74" s="82"/>
      <c r="B74" s="83" t="s">
        <v>87</v>
      </c>
      <c r="C74" s="83" t="s">
        <v>88</v>
      </c>
      <c r="D74" s="83" t="s">
        <v>176</v>
      </c>
      <c r="E74" s="83"/>
    </row>
    <row r="75">
      <c r="A75" s="82" t="s">
        <v>196</v>
      </c>
      <c r="B75" s="83" t="s">
        <v>90</v>
      </c>
      <c r="C75" s="83" t="s">
        <v>91</v>
      </c>
      <c r="D75" s="83"/>
      <c r="E75" s="83"/>
    </row>
    <row r="76">
      <c r="A76" s="82"/>
      <c r="B76" s="83" t="s">
        <v>21</v>
      </c>
      <c r="C76" s="93" t="s">
        <v>197</v>
      </c>
      <c r="D76" s="83"/>
      <c r="E76" s="83"/>
    </row>
    <row r="77">
      <c r="A77" s="82" t="s">
        <v>116</v>
      </c>
      <c r="B77" s="83" t="s">
        <v>2</v>
      </c>
      <c r="C77" s="83" t="s">
        <v>3</v>
      </c>
      <c r="D77" s="83"/>
      <c r="E77" s="83"/>
    </row>
    <row r="78">
      <c r="A78" s="82"/>
      <c r="B78" s="83" t="s">
        <v>4</v>
      </c>
      <c r="C78" s="83" t="s">
        <v>5</v>
      </c>
      <c r="D78" s="83"/>
      <c r="E78" s="83"/>
    </row>
    <row r="79">
      <c r="A79" s="82"/>
      <c r="B79" s="83" t="s">
        <v>117</v>
      </c>
      <c r="C79" s="83" t="s">
        <v>118</v>
      </c>
      <c r="D79" s="83"/>
      <c r="E79" s="83"/>
    </row>
    <row r="80">
      <c r="A80" s="82"/>
      <c r="B80" s="83" t="s">
        <v>6</v>
      </c>
      <c r="C80" s="83" t="s">
        <v>118</v>
      </c>
      <c r="D80" s="83" t="s">
        <v>119</v>
      </c>
      <c r="E80" s="83"/>
    </row>
    <row r="81">
      <c r="A81" s="82"/>
      <c r="B81" s="83"/>
      <c r="C81" s="83" t="s">
        <v>124</v>
      </c>
      <c r="D81" s="83" t="s">
        <v>120</v>
      </c>
      <c r="E81" s="83"/>
    </row>
    <row r="82">
      <c r="A82" s="82"/>
      <c r="B82" s="83"/>
      <c r="C82" s="83" t="s">
        <v>125</v>
      </c>
      <c r="D82" s="83" t="s">
        <v>121</v>
      </c>
      <c r="E82" s="83"/>
    </row>
    <row r="83">
      <c r="A83" s="82"/>
      <c r="B83" s="83"/>
      <c r="C83" s="93" t="s">
        <v>192</v>
      </c>
      <c r="D83" s="83" t="s">
        <v>122</v>
      </c>
      <c r="E83" s="83"/>
    </row>
    <row r="84">
      <c r="A84" s="82" t="s">
        <v>182</v>
      </c>
      <c r="B84" s="83" t="s">
        <v>2</v>
      </c>
      <c r="C84" s="83" t="s">
        <v>3</v>
      </c>
      <c r="D84" s="83"/>
      <c r="E84" s="83"/>
    </row>
    <row r="85">
      <c r="A85" s="82"/>
      <c r="B85" s="83" t="s">
        <v>4</v>
      </c>
      <c r="C85" s="83" t="s">
        <v>5</v>
      </c>
      <c r="D85" s="83"/>
      <c r="E85" s="83"/>
    </row>
    <row r="86">
      <c r="A86" s="82"/>
      <c r="B86" s="93" t="s">
        <v>6</v>
      </c>
      <c r="C86" s="93" t="s">
        <v>118</v>
      </c>
      <c r="D86" s="93" t="s">
        <v>119</v>
      </c>
      <c r="E86" s="83"/>
    </row>
    <row r="87">
      <c r="A87" s="82"/>
      <c r="B87" s="83"/>
      <c r="C87" s="93" t="s">
        <v>183</v>
      </c>
      <c r="D87" s="93" t="s">
        <v>186</v>
      </c>
      <c r="E87" s="83"/>
    </row>
    <row r="88">
      <c r="A88" s="82"/>
      <c r="B88" s="83"/>
      <c r="C88" s="93" t="s">
        <v>184</v>
      </c>
      <c r="D88" s="93" t="s">
        <v>187</v>
      </c>
      <c r="E88" s="83"/>
    </row>
    <row r="89">
      <c r="A89" s="82"/>
      <c r="B89" s="83"/>
      <c r="C89" s="93" t="s">
        <v>185</v>
      </c>
      <c r="D89" s="93" t="s">
        <v>188</v>
      </c>
      <c r="E89" s="83"/>
    </row>
    <row r="90">
      <c r="A90" s="82"/>
      <c r="B90" s="83" t="s">
        <v>117</v>
      </c>
      <c r="C90" s="83" t="s">
        <v>118</v>
      </c>
      <c r="D90" s="83"/>
      <c r="E90" s="83"/>
    </row>
    <row r="91" ht="13.8">
      <c r="A91" s="112" t="s">
        <v>214</v>
      </c>
      <c r="B91" s="113" t="s">
        <v>2</v>
      </c>
      <c r="C91" s="113" t="s">
        <v>3</v>
      </c>
      <c r="D91" s="113"/>
      <c r="E91" s="83"/>
    </row>
    <row r="92" ht="13.8">
      <c r="A92" s="112"/>
      <c r="B92" s="113" t="s">
        <v>6</v>
      </c>
      <c r="C92" s="113" t="s">
        <v>88</v>
      </c>
      <c r="D92" s="113" t="s">
        <v>215</v>
      </c>
      <c r="E92" s="83"/>
    </row>
    <row r="93" ht="13.8">
      <c r="A93" s="112"/>
      <c r="B93" s="113"/>
      <c r="C93" s="113" t="s">
        <v>213</v>
      </c>
      <c r="D93" s="113" t="s">
        <v>216</v>
      </c>
      <c r="E93" s="83"/>
    </row>
    <row r="94">
      <c r="A94" s="162" t="s">
        <v>313</v>
      </c>
      <c r="B94" s="161" t="s">
        <v>2</v>
      </c>
      <c r="C94" s="161" t="s">
        <v>191</v>
      </c>
      <c r="D94" s="161"/>
      <c r="E94" s="83"/>
    </row>
    <row r="95">
      <c r="A95" s="161"/>
      <c r="B95" s="161" t="s">
        <v>123</v>
      </c>
      <c r="C95" s="161" t="s">
        <v>314</v>
      </c>
      <c r="D95" s="161"/>
      <c r="E95" s="83"/>
    </row>
    <row r="96">
      <c r="A96" s="162" t="s">
        <v>329</v>
      </c>
      <c r="B96" s="161" t="s">
        <v>2</v>
      </c>
      <c r="C96" s="161" t="s">
        <v>74</v>
      </c>
      <c r="D96" s="161"/>
      <c r="E96" s="83"/>
    </row>
    <row r="97">
      <c r="A97" s="161"/>
      <c r="B97" s="161" t="s">
        <v>198</v>
      </c>
      <c r="C97" s="161"/>
      <c r="D97" s="161"/>
      <c r="E97" s="83"/>
    </row>
    <row r="98">
      <c r="A98" s="161"/>
      <c r="B98" s="161" t="s">
        <v>199</v>
      </c>
      <c r="C98" s="161"/>
      <c r="D98" s="161"/>
      <c r="E98" s="83"/>
    </row>
    <row r="99">
      <c r="A99" s="161"/>
      <c r="B99" s="161" t="s">
        <v>123</v>
      </c>
      <c r="C99" s="161" t="s">
        <v>314</v>
      </c>
      <c r="D99" s="161"/>
      <c r="E99" s="83"/>
    </row>
    <row r="100">
      <c r="A100" s="162" t="s">
        <v>315</v>
      </c>
      <c r="B100" s="161" t="s">
        <v>2</v>
      </c>
      <c r="C100" s="161" t="s">
        <v>86</v>
      </c>
      <c r="D100" s="161"/>
      <c r="E100" s="83"/>
    </row>
    <row r="101">
      <c r="A101" s="161"/>
      <c r="B101" s="161" t="s">
        <v>87</v>
      </c>
      <c r="C101" s="161" t="s">
        <v>88</v>
      </c>
      <c r="D101" s="161" t="s">
        <v>315</v>
      </c>
      <c r="E101" s="83"/>
    </row>
    <row r="102">
      <c r="A102" s="161"/>
      <c r="B102" s="161" t="s">
        <v>123</v>
      </c>
      <c r="C102" s="161" t="s">
        <v>314</v>
      </c>
      <c r="D102" s="161"/>
      <c r="E102" s="83"/>
    </row>
    <row r="103">
      <c r="A103" s="162" t="s">
        <v>316</v>
      </c>
      <c r="B103" s="161" t="s">
        <v>2</v>
      </c>
      <c r="C103" s="161" t="s">
        <v>191</v>
      </c>
      <c r="D103" s="161"/>
      <c r="E103" s="83"/>
    </row>
    <row r="104">
      <c r="A104" s="161"/>
      <c r="B104" s="161" t="s">
        <v>123</v>
      </c>
      <c r="C104" s="161" t="s">
        <v>314</v>
      </c>
      <c r="D104" s="161"/>
      <c r="E104" s="83"/>
    </row>
    <row r="105">
      <c r="A105" s="162" t="s">
        <v>330</v>
      </c>
      <c r="B105" s="161" t="s">
        <v>2</v>
      </c>
      <c r="C105" s="161" t="s">
        <v>74</v>
      </c>
      <c r="D105" s="161"/>
      <c r="E105" s="83"/>
    </row>
    <row r="106">
      <c r="A106" s="161"/>
      <c r="B106" s="161" t="s">
        <v>198</v>
      </c>
      <c r="C106" s="161"/>
      <c r="D106" s="161"/>
      <c r="E106" s="83"/>
    </row>
    <row r="107">
      <c r="A107" s="161"/>
      <c r="B107" s="161" t="s">
        <v>199</v>
      </c>
      <c r="C107" s="161"/>
      <c r="D107" s="161"/>
      <c r="E107" s="83"/>
    </row>
    <row r="108">
      <c r="A108" s="161"/>
      <c r="B108" s="161" t="s">
        <v>123</v>
      </c>
      <c r="C108" s="161" t="s">
        <v>314</v>
      </c>
      <c r="D108" s="161"/>
      <c r="E108" s="83"/>
    </row>
    <row r="109">
      <c r="A109" s="162" t="s">
        <v>317</v>
      </c>
      <c r="B109" s="161" t="s">
        <v>2</v>
      </c>
      <c r="C109" s="161" t="s">
        <v>86</v>
      </c>
      <c r="D109" s="161"/>
      <c r="E109" s="83"/>
    </row>
    <row r="110">
      <c r="A110" s="161"/>
      <c r="B110" s="161" t="s">
        <v>87</v>
      </c>
      <c r="C110" s="161" t="s">
        <v>88</v>
      </c>
      <c r="D110" s="161" t="s">
        <v>317</v>
      </c>
      <c r="E110" s="83"/>
    </row>
    <row r="111">
      <c r="A111" s="161"/>
      <c r="B111" s="161" t="s">
        <v>123</v>
      </c>
      <c r="C111" s="161" t="s">
        <v>314</v>
      </c>
      <c r="D111" s="161"/>
      <c r="E111" s="83"/>
    </row>
    <row r="112">
      <c r="A112" s="82" t="s">
        <v>324</v>
      </c>
      <c r="B112" s="84" t="s">
        <v>2</v>
      </c>
      <c r="C112" s="84" t="s">
        <v>74</v>
      </c>
      <c r="E112" s="83"/>
    </row>
    <row r="113">
      <c r="B113" s="84" t="s">
        <v>326</v>
      </c>
      <c r="E113" s="83"/>
    </row>
    <row r="114">
      <c r="B114" s="84" t="s">
        <v>327</v>
      </c>
      <c r="E114" s="83"/>
    </row>
    <row r="115">
      <c r="B115" s="84" t="s">
        <v>328</v>
      </c>
      <c r="E115" s="83"/>
    </row>
    <row r="116">
      <c r="B116" s="93" t="s">
        <v>123</v>
      </c>
      <c r="C116" s="93" t="s">
        <v>194</v>
      </c>
      <c r="E116" s="83"/>
    </row>
    <row r="117">
      <c r="A117" s="82" t="s">
        <v>325</v>
      </c>
      <c r="B117" s="84" t="s">
        <v>2</v>
      </c>
      <c r="C117" s="84" t="s">
        <v>74</v>
      </c>
      <c r="E117" s="83"/>
    </row>
    <row r="118">
      <c r="B118" s="84" t="s">
        <v>326</v>
      </c>
      <c r="E118" s="83"/>
    </row>
    <row r="119">
      <c r="B119" s="84" t="s">
        <v>327</v>
      </c>
      <c r="E119" s="83"/>
    </row>
    <row r="120">
      <c r="B120" s="93" t="s">
        <v>123</v>
      </c>
      <c r="C120" s="93" t="s">
        <v>194</v>
      </c>
      <c r="E120" s="83"/>
    </row>
    <row r="121">
      <c r="A121" s="82" t="s">
        <v>318</v>
      </c>
      <c r="B121" s="93" t="s">
        <v>2</v>
      </c>
      <c r="C121" s="93" t="s">
        <v>74</v>
      </c>
      <c r="D121" s="93"/>
      <c r="E121" s="83"/>
    </row>
    <row r="122">
      <c r="A122" s="82"/>
      <c r="B122" s="93" t="s">
        <v>21</v>
      </c>
      <c r="C122" s="93" t="s">
        <v>319</v>
      </c>
      <c r="D122" s="93"/>
      <c r="E122" s="83"/>
    </row>
    <row r="123">
      <c r="A123" s="82"/>
      <c r="B123" s="93" t="s">
        <v>195</v>
      </c>
      <c r="C123" s="93"/>
      <c r="D123" s="93"/>
      <c r="E123" s="83"/>
    </row>
    <row r="124">
      <c r="A124" s="82"/>
      <c r="B124" s="93" t="s">
        <v>123</v>
      </c>
      <c r="C124" s="93" t="s">
        <v>194</v>
      </c>
      <c r="D124" s="93"/>
      <c r="E124" s="83"/>
    </row>
    <row r="125">
      <c r="A125" s="82" t="s">
        <v>320</v>
      </c>
      <c r="B125" s="93" t="s">
        <v>90</v>
      </c>
      <c r="C125" s="93" t="s">
        <v>91</v>
      </c>
      <c r="D125" s="93"/>
      <c r="E125" s="83"/>
    </row>
    <row r="126">
      <c r="A126" s="82"/>
      <c r="B126" s="93" t="s">
        <v>21</v>
      </c>
      <c r="C126" s="93" t="s">
        <v>321</v>
      </c>
      <c r="D126" s="93"/>
      <c r="E126" s="83"/>
    </row>
    <row r="127">
      <c r="A127" s="82"/>
      <c r="B127" s="93" t="s">
        <v>123</v>
      </c>
      <c r="C127" s="93" t="s">
        <v>194</v>
      </c>
      <c r="D127" s="93"/>
      <c r="E127" s="83"/>
    </row>
    <row r="128">
      <c r="A128" s="82" t="s">
        <v>322</v>
      </c>
      <c r="B128" s="93" t="s">
        <v>2</v>
      </c>
      <c r="C128" s="93" t="s">
        <v>323</v>
      </c>
      <c r="D128" s="93"/>
      <c r="E128" s="83"/>
    </row>
    <row r="129">
      <c r="A129" s="82"/>
      <c r="B129" s="93" t="s">
        <v>21</v>
      </c>
      <c r="C129" s="93" t="s">
        <v>92</v>
      </c>
      <c r="D129" s="93"/>
      <c r="E129" s="83"/>
    </row>
    <row r="130">
      <c r="A130" s="82"/>
      <c r="B130" s="83" t="s">
        <v>123</v>
      </c>
      <c r="C130" s="93" t="s">
        <v>194</v>
      </c>
      <c r="D130" s="83"/>
      <c r="E130" s="83"/>
    </row>
    <row r="131">
      <c r="A131" s="82" t="s">
        <v>93</v>
      </c>
      <c r="B131" s="83" t="s">
        <v>2</v>
      </c>
      <c r="C131" s="83" t="s">
        <v>94</v>
      </c>
      <c r="D131" s="83"/>
      <c r="E131" s="83"/>
    </row>
    <row r="132">
      <c r="A132" s="82"/>
      <c r="B132" s="83" t="s">
        <v>21</v>
      </c>
      <c r="C132" s="83" t="s">
        <v>95</v>
      </c>
      <c r="D132" s="83"/>
      <c r="E132" s="83"/>
    </row>
    <row r="133">
      <c r="A133" s="82"/>
      <c r="B133" s="83" t="s">
        <v>123</v>
      </c>
      <c r="C133" s="93" t="s">
        <v>194</v>
      </c>
      <c r="D133" s="83"/>
      <c r="E133" s="83"/>
    </row>
    <row r="134">
      <c r="A134" s="82" t="s">
        <v>96</v>
      </c>
      <c r="B134" s="83" t="s">
        <v>2</v>
      </c>
      <c r="C134" s="83" t="s">
        <v>97</v>
      </c>
      <c r="D134" s="83"/>
      <c r="E134" s="83"/>
    </row>
    <row r="135">
      <c r="A135" s="82"/>
      <c r="B135" s="83" t="s">
        <v>21</v>
      </c>
      <c r="C135" s="83" t="s">
        <v>98</v>
      </c>
      <c r="D135" s="83"/>
      <c r="E135" s="83"/>
    </row>
    <row r="136">
      <c r="A136" s="82"/>
      <c r="B136" s="83" t="s">
        <v>123</v>
      </c>
      <c r="C136" s="93" t="s">
        <v>194</v>
      </c>
      <c r="D136" s="83"/>
      <c r="E136" s="83"/>
    </row>
    <row r="137">
      <c r="A137" s="82" t="s">
        <v>99</v>
      </c>
      <c r="B137" s="83" t="s">
        <v>2</v>
      </c>
      <c r="C137" s="83" t="s">
        <v>97</v>
      </c>
      <c r="D137" s="83"/>
      <c r="E137" s="83"/>
    </row>
    <row r="138">
      <c r="A138" s="82"/>
      <c r="B138" s="83" t="s">
        <v>21</v>
      </c>
      <c r="C138" s="83" t="s">
        <v>100</v>
      </c>
      <c r="D138" s="83"/>
      <c r="E138" s="83"/>
    </row>
    <row r="139">
      <c r="A139" s="82"/>
      <c r="B139" s="83" t="s">
        <v>123</v>
      </c>
      <c r="C139" s="93" t="s">
        <v>194</v>
      </c>
      <c r="D139" s="83"/>
      <c r="E139" s="83"/>
    </row>
    <row r="140">
      <c r="A140" s="114" t="s">
        <v>110</v>
      </c>
      <c r="B140" s="115" t="s">
        <v>2</v>
      </c>
      <c r="C140" s="116" t="s">
        <v>86</v>
      </c>
      <c r="D140" s="115"/>
      <c r="E140" s="83"/>
    </row>
    <row r="141">
      <c r="A141" s="114"/>
      <c r="B141" s="117" t="s">
        <v>87</v>
      </c>
      <c r="C141" s="118" t="s">
        <v>217</v>
      </c>
      <c r="D141" s="118" t="s">
        <v>218</v>
      </c>
      <c r="E141" s="83"/>
    </row>
    <row r="142">
      <c r="A142" s="114"/>
      <c r="B142" s="117"/>
      <c r="C142" s="118" t="s">
        <v>219</v>
      </c>
      <c r="D142" s="118" t="s">
        <v>220</v>
      </c>
      <c r="E142" s="83"/>
    </row>
    <row r="143">
      <c r="A143" s="114"/>
      <c r="B143" s="115"/>
      <c r="C143" s="118" t="s">
        <v>221</v>
      </c>
      <c r="D143" s="118" t="s">
        <v>222</v>
      </c>
      <c r="E143" s="83"/>
    </row>
    <row r="144">
      <c r="A144" s="114"/>
      <c r="B144" s="115"/>
      <c r="C144" s="118" t="s">
        <v>223</v>
      </c>
      <c r="D144" s="118" t="s">
        <v>224</v>
      </c>
      <c r="E144" s="83"/>
    </row>
    <row r="145">
      <c r="A145" s="114"/>
      <c r="B145" s="115"/>
      <c r="C145" s="118" t="s">
        <v>225</v>
      </c>
      <c r="D145" s="118" t="s">
        <v>226</v>
      </c>
      <c r="E145" s="83"/>
    </row>
    <row r="146">
      <c r="A146" s="114"/>
      <c r="B146" s="115"/>
      <c r="C146" s="118" t="s">
        <v>227</v>
      </c>
      <c r="D146" s="118" t="s">
        <v>228</v>
      </c>
      <c r="E146" s="83"/>
    </row>
    <row r="147">
      <c r="A147" s="114"/>
      <c r="B147" s="115"/>
      <c r="C147" s="118" t="s">
        <v>229</v>
      </c>
      <c r="D147" s="118" t="s">
        <v>230</v>
      </c>
      <c r="E147" s="83"/>
    </row>
    <row r="148">
      <c r="A148" s="114"/>
      <c r="B148" s="115"/>
      <c r="C148" s="118" t="s">
        <v>231</v>
      </c>
      <c r="D148" s="118" t="s">
        <v>232</v>
      </c>
      <c r="E148" s="83"/>
    </row>
    <row r="149">
      <c r="A149" s="114"/>
      <c r="B149" s="115"/>
      <c r="C149" s="118" t="s">
        <v>233</v>
      </c>
      <c r="D149" s="118" t="s">
        <v>234</v>
      </c>
      <c r="E149" s="83"/>
    </row>
    <row r="150">
      <c r="A150" s="114"/>
      <c r="B150" s="115"/>
      <c r="C150" s="118" t="s">
        <v>235</v>
      </c>
      <c r="D150" s="118" t="s">
        <v>236</v>
      </c>
      <c r="E150" s="83"/>
    </row>
    <row r="151">
      <c r="A151" s="114"/>
      <c r="B151" s="115"/>
      <c r="C151" s="118" t="s">
        <v>237</v>
      </c>
      <c r="D151" s="118" t="s">
        <v>238</v>
      </c>
      <c r="E151" s="83"/>
    </row>
    <row r="152">
      <c r="A152" s="114"/>
      <c r="B152" s="115"/>
      <c r="C152" s="118" t="s">
        <v>239</v>
      </c>
      <c r="D152" s="118" t="s">
        <v>240</v>
      </c>
      <c r="E152" s="83"/>
    </row>
    <row r="153">
      <c r="A153" s="114"/>
      <c r="B153" s="115" t="s">
        <v>21</v>
      </c>
      <c r="C153" s="115" t="s">
        <v>111</v>
      </c>
      <c r="D153" s="115"/>
      <c r="E153" s="83"/>
    </row>
    <row r="154">
      <c r="A154" s="114"/>
      <c r="B154" s="115" t="s">
        <v>123</v>
      </c>
      <c r="C154" s="116" t="s">
        <v>194</v>
      </c>
      <c r="D154" s="115"/>
      <c r="E154" s="83"/>
    </row>
    <row r="155">
      <c r="A155" s="82"/>
      <c r="B155" s="83"/>
      <c r="C155" s="83"/>
      <c r="D155" s="83"/>
      <c r="E155" s="83"/>
    </row>
    <row r="156">
      <c r="A156" s="82" t="s">
        <v>126</v>
      </c>
      <c r="B156" s="83" t="s">
        <v>2</v>
      </c>
      <c r="C156" s="83" t="s">
        <v>3</v>
      </c>
      <c r="D156" s="83"/>
      <c r="E156" s="83"/>
    </row>
    <row r="157">
      <c r="A157" s="82"/>
      <c r="B157" s="83" t="s">
        <v>4</v>
      </c>
      <c r="C157" s="83" t="s">
        <v>5</v>
      </c>
      <c r="D157" s="83"/>
      <c r="E157" s="83"/>
    </row>
    <row r="158">
      <c r="A158" s="82"/>
      <c r="B158" s="83" t="s">
        <v>6</v>
      </c>
      <c r="C158" s="83" t="s">
        <v>128</v>
      </c>
      <c r="D158" s="83" t="s">
        <v>131</v>
      </c>
    </row>
    <row r="159">
      <c r="A159" s="82"/>
      <c r="B159" s="83"/>
      <c r="C159" s="83" t="s">
        <v>129</v>
      </c>
      <c r="D159" s="83" t="s">
        <v>82</v>
      </c>
    </row>
    <row r="160">
      <c r="A160" s="82"/>
      <c r="B160" s="83"/>
      <c r="C160" s="83" t="s">
        <v>40</v>
      </c>
      <c r="D160" s="83" t="s">
        <v>114</v>
      </c>
    </row>
    <row r="161">
      <c r="A161" s="82"/>
      <c r="B161" s="83"/>
      <c r="C161" s="83" t="s">
        <v>130</v>
      </c>
      <c r="D161" s="93" t="s">
        <v>196</v>
      </c>
    </row>
    <row r="162">
      <c r="A162" s="82"/>
      <c r="B162" s="83" t="s">
        <v>123</v>
      </c>
      <c r="C162" s="83" t="s">
        <v>127</v>
      </c>
    </row>
    <row r="163">
      <c r="A163" s="82" t="s">
        <v>134</v>
      </c>
      <c r="B163" s="83" t="s">
        <v>2</v>
      </c>
      <c r="C163" s="83" t="s">
        <v>3</v>
      </c>
      <c r="D163" s="83"/>
    </row>
    <row r="164">
      <c r="A164" s="82"/>
      <c r="B164" s="83" t="s">
        <v>4</v>
      </c>
      <c r="C164" s="83" t="s">
        <v>5</v>
      </c>
      <c r="D164" s="83"/>
    </row>
    <row r="165">
      <c r="A165" s="82"/>
      <c r="B165" s="83" t="s">
        <v>6</v>
      </c>
      <c r="C165" s="84" t="s">
        <v>157</v>
      </c>
      <c r="D165" s="84" t="s">
        <v>158</v>
      </c>
    </row>
    <row r="166">
      <c r="A166" s="82"/>
      <c r="B166" s="83"/>
      <c r="C166" s="84" t="s">
        <v>169</v>
      </c>
      <c r="D166" s="84" t="s">
        <v>170</v>
      </c>
    </row>
    <row r="167">
      <c r="A167" s="82"/>
      <c r="B167" s="83"/>
      <c r="C167" s="84" t="s">
        <v>159</v>
      </c>
      <c r="D167" s="84" t="s">
        <v>160</v>
      </c>
    </row>
    <row r="168">
      <c r="A168" s="82"/>
      <c r="B168" s="83"/>
      <c r="C168" s="84" t="s">
        <v>167</v>
      </c>
      <c r="D168" s="84" t="s">
        <v>168</v>
      </c>
    </row>
    <row r="169">
      <c r="A169" s="82"/>
      <c r="B169" s="83"/>
      <c r="C169" s="84" t="s">
        <v>139</v>
      </c>
      <c r="D169" s="84" t="s">
        <v>140</v>
      </c>
    </row>
    <row r="170">
      <c r="A170" s="82"/>
      <c r="B170" s="83"/>
      <c r="C170" s="84" t="s">
        <v>153</v>
      </c>
      <c r="D170" s="84" t="s">
        <v>154</v>
      </c>
    </row>
    <row r="171">
      <c r="A171" s="82"/>
      <c r="B171" s="83"/>
      <c r="C171" s="84" t="s">
        <v>164</v>
      </c>
      <c r="D171" s="84" t="s">
        <v>196</v>
      </c>
    </row>
    <row r="172">
      <c r="A172" s="82"/>
      <c r="B172" s="83"/>
      <c r="C172" s="84" t="s">
        <v>178</v>
      </c>
      <c r="D172" s="84" t="s">
        <v>180</v>
      </c>
    </row>
    <row r="173">
      <c r="A173" s="82"/>
      <c r="B173" s="83"/>
      <c r="C173" s="84" t="s">
        <v>161</v>
      </c>
      <c r="D173" s="84" t="s">
        <v>181</v>
      </c>
    </row>
    <row r="174">
      <c r="A174" s="82"/>
      <c r="B174" s="83"/>
      <c r="C174" s="84" t="s">
        <v>135</v>
      </c>
      <c r="D174" s="84" t="s">
        <v>136</v>
      </c>
    </row>
    <row r="175">
      <c r="A175" s="82"/>
      <c r="B175" s="83"/>
      <c r="C175" s="84" t="s">
        <v>137</v>
      </c>
      <c r="D175" s="84" t="s">
        <v>138</v>
      </c>
    </row>
    <row r="176">
      <c r="A176" s="82"/>
      <c r="B176" s="83"/>
      <c r="C176" s="84" t="s">
        <v>173</v>
      </c>
      <c r="D176" s="84" t="s">
        <v>174</v>
      </c>
    </row>
    <row r="177">
      <c r="A177" s="82"/>
      <c r="B177" s="83"/>
      <c r="C177" s="84" t="s">
        <v>189</v>
      </c>
      <c r="D177" s="84" t="s">
        <v>190</v>
      </c>
    </row>
    <row r="178">
      <c r="A178" s="82"/>
      <c r="B178" s="83"/>
      <c r="C178" s="84" t="s">
        <v>171</v>
      </c>
      <c r="D178" s="84" t="s">
        <v>172</v>
      </c>
    </row>
    <row r="179">
      <c r="A179" s="82"/>
      <c r="B179" s="83"/>
      <c r="C179" s="84" t="s">
        <v>177</v>
      </c>
      <c r="D179" s="84" t="s">
        <v>179</v>
      </c>
    </row>
    <row r="180">
      <c r="A180" s="82"/>
      <c r="C180" s="84" t="s">
        <v>149</v>
      </c>
      <c r="D180" s="84" t="s">
        <v>150</v>
      </c>
    </row>
    <row r="181">
      <c r="A181" s="82"/>
      <c r="C181" s="84" t="s">
        <v>141</v>
      </c>
      <c r="D181" s="84" t="s">
        <v>142</v>
      </c>
    </row>
    <row r="182">
      <c r="A182" s="82"/>
      <c r="C182" s="84" t="s">
        <v>143</v>
      </c>
      <c r="D182" s="84" t="s">
        <v>144</v>
      </c>
    </row>
    <row r="183">
      <c r="A183" s="82"/>
      <c r="C183" s="84" t="s">
        <v>147</v>
      </c>
      <c r="D183" s="84" t="s">
        <v>148</v>
      </c>
    </row>
    <row r="184">
      <c r="A184" s="82"/>
      <c r="C184" s="84" t="s">
        <v>145</v>
      </c>
      <c r="D184" s="84" t="s">
        <v>146</v>
      </c>
    </row>
    <row r="185">
      <c r="A185" s="82"/>
      <c r="C185" s="84" t="s">
        <v>162</v>
      </c>
      <c r="D185" s="84" t="s">
        <v>163</v>
      </c>
    </row>
    <row r="186">
      <c r="C186" s="84" t="s">
        <v>151</v>
      </c>
      <c r="D186" s="84" t="s">
        <v>152</v>
      </c>
    </row>
    <row r="187">
      <c r="C187" s="84" t="s">
        <v>155</v>
      </c>
      <c r="D187" s="84" t="s">
        <v>156</v>
      </c>
    </row>
    <row r="188">
      <c r="C188" s="84" t="s">
        <v>165</v>
      </c>
      <c r="D188" s="84" t="s">
        <v>166</v>
      </c>
    </row>
    <row r="189">
      <c r="A189" s="82"/>
      <c r="B189" s="83" t="s">
        <v>123</v>
      </c>
      <c r="C189" s="83" t="s">
        <v>127</v>
      </c>
    </row>
    <row r="190">
      <c r="A190" s="82" t="s">
        <v>132</v>
      </c>
      <c r="B190" s="84" t="s">
        <v>2</v>
      </c>
      <c r="C190" s="83" t="s">
        <v>133</v>
      </c>
    </row>
    <row r="191">
      <c r="A191" s="82"/>
      <c r="B191" s="83" t="s">
        <v>123</v>
      </c>
      <c r="C191" s="93" t="s">
        <v>127</v>
      </c>
    </row>
    <row r="192">
      <c r="A192" s="82"/>
      <c r="B192" s="83"/>
      <c r="C192" s="83"/>
    </row>
    <row r="193" ht="13.8">
      <c r="A193" s="144" t="s">
        <v>308</v>
      </c>
      <c r="B193" s="145" t="s">
        <v>2</v>
      </c>
      <c r="C193" s="145" t="s">
        <v>3</v>
      </c>
      <c r="D193" s="145"/>
    </row>
    <row r="194" ht="13.8">
      <c r="A194" s="144"/>
      <c r="B194" s="145" t="s">
        <v>4</v>
      </c>
      <c r="C194" s="145" t="s">
        <v>5</v>
      </c>
      <c r="D194" s="145"/>
    </row>
    <row r="195" ht="13.8">
      <c r="A195" s="144"/>
      <c r="B195" s="145" t="s">
        <v>117</v>
      </c>
      <c r="C195" s="145" t="s">
        <v>213</v>
      </c>
      <c r="D195" s="145"/>
    </row>
    <row r="196" ht="13.8">
      <c r="A196" s="144"/>
      <c r="B196" s="145" t="s">
        <v>6</v>
      </c>
      <c r="C196" s="145" t="s">
        <v>213</v>
      </c>
      <c r="D196" s="146" t="s">
        <v>242</v>
      </c>
    </row>
    <row r="197" ht="13.8">
      <c r="A197" s="144"/>
      <c r="B197" s="145"/>
      <c r="C197" s="145" t="s">
        <v>88</v>
      </c>
      <c r="D197" s="145" t="s">
        <v>309</v>
      </c>
    </row>
    <row r="198" ht="13.8">
      <c r="A198" s="144"/>
      <c r="B198" s="145" t="s">
        <v>123</v>
      </c>
      <c r="C198" s="145" t="s">
        <v>127</v>
      </c>
      <c r="D198" s="145"/>
    </row>
    <row r="199" ht="13.8">
      <c r="A199" s="144" t="s">
        <v>310</v>
      </c>
      <c r="B199" s="145" t="s">
        <v>2</v>
      </c>
      <c r="C199" s="122" t="s">
        <v>91</v>
      </c>
      <c r="D199" s="145"/>
    </row>
    <row r="200" ht="13.8">
      <c r="A200" s="144"/>
      <c r="B200" s="145" t="s">
        <v>21</v>
      </c>
      <c r="C200" s="145" t="s">
        <v>311</v>
      </c>
      <c r="D200" s="145"/>
    </row>
    <row r="201" ht="13.8">
      <c r="A201" s="144"/>
      <c r="B201" s="122" t="s">
        <v>123</v>
      </c>
      <c r="C201" s="122" t="s">
        <v>127</v>
      </c>
      <c r="D201" s="145"/>
    </row>
    <row r="202" ht="13.8">
      <c r="A202" s="121" t="s">
        <v>243</v>
      </c>
      <c r="B202" s="122" t="s">
        <v>2</v>
      </c>
      <c r="C202" s="122" t="s">
        <v>3</v>
      </c>
      <c r="D202" s="123"/>
    </row>
    <row r="203" ht="13.8">
      <c r="A203" s="121"/>
      <c r="B203" s="122" t="s">
        <v>4</v>
      </c>
      <c r="C203" s="122" t="s">
        <v>5</v>
      </c>
      <c r="D203" s="122"/>
    </row>
    <row r="204" ht="13.8">
      <c r="A204" s="121"/>
      <c r="B204" s="122" t="s">
        <v>117</v>
      </c>
      <c r="C204" s="122" t="s">
        <v>213</v>
      </c>
      <c r="D204" s="122"/>
    </row>
    <row r="205" ht="13.8">
      <c r="A205" s="121"/>
      <c r="B205" s="122" t="s">
        <v>6</v>
      </c>
      <c r="C205" s="122" t="s">
        <v>213</v>
      </c>
      <c r="D205" s="122" t="s">
        <v>242</v>
      </c>
    </row>
    <row r="206" ht="13.8">
      <c r="A206" s="121"/>
      <c r="B206" s="122"/>
      <c r="C206" s="122" t="s">
        <v>88</v>
      </c>
      <c r="D206" s="122" t="s">
        <v>244</v>
      </c>
    </row>
    <row r="207" ht="13.8">
      <c r="A207" s="121"/>
      <c r="B207" s="122" t="s">
        <v>123</v>
      </c>
      <c r="C207" s="122" t="s">
        <v>307</v>
      </c>
      <c r="D207" s="122"/>
    </row>
    <row r="208" ht="13.8">
      <c r="A208" s="121" t="s">
        <v>245</v>
      </c>
      <c r="B208" s="122" t="s">
        <v>2</v>
      </c>
      <c r="C208" s="122" t="s">
        <v>241</v>
      </c>
      <c r="D208" s="122"/>
    </row>
    <row r="209" ht="13.8">
      <c r="A209" s="121"/>
      <c r="B209" s="122" t="s">
        <v>123</v>
      </c>
      <c r="C209" s="122" t="s">
        <v>307</v>
      </c>
      <c r="D209" s="122"/>
    </row>
    <row r="210" ht="13.8">
      <c r="A210" s="121" t="s">
        <v>246</v>
      </c>
      <c r="B210" s="122" t="s">
        <v>2</v>
      </c>
      <c r="C210" s="122" t="s">
        <v>241</v>
      </c>
      <c r="D210" s="122"/>
    </row>
    <row r="211" ht="13.8">
      <c r="A211" s="121"/>
      <c r="B211" s="122" t="s">
        <v>123</v>
      </c>
      <c r="C211" s="122" t="s">
        <v>307</v>
      </c>
      <c r="D211" s="122"/>
    </row>
    <row r="212" ht="13.8">
      <c r="A212" s="121" t="s">
        <v>247</v>
      </c>
      <c r="B212" s="122" t="s">
        <v>2</v>
      </c>
      <c r="C212" s="122" t="s">
        <v>241</v>
      </c>
      <c r="D212" s="122"/>
    </row>
    <row r="213" ht="13.8">
      <c r="A213" s="121"/>
      <c r="B213" s="122" t="s">
        <v>123</v>
      </c>
      <c r="C213" s="122" t="s">
        <v>307</v>
      </c>
      <c r="D213" s="122"/>
    </row>
    <row r="214" ht="13.8">
      <c r="A214" s="121" t="s">
        <v>248</v>
      </c>
      <c r="B214" s="122" t="s">
        <v>2</v>
      </c>
      <c r="C214" s="122" t="s">
        <v>241</v>
      </c>
      <c r="D214" s="122"/>
    </row>
    <row r="215" ht="13.8">
      <c r="A215" s="121"/>
      <c r="B215" s="122" t="s">
        <v>123</v>
      </c>
      <c r="C215" s="122" t="s">
        <v>307</v>
      </c>
      <c r="D215" s="122"/>
    </row>
    <row r="216" ht="13.8">
      <c r="A216" s="121" t="s">
        <v>249</v>
      </c>
      <c r="B216" s="122" t="s">
        <v>2</v>
      </c>
      <c r="C216" s="122" t="s">
        <v>241</v>
      </c>
      <c r="D216" s="122"/>
    </row>
    <row r="217" ht="13.8">
      <c r="A217" s="121"/>
      <c r="B217" s="122" t="s">
        <v>123</v>
      </c>
      <c r="C217" s="122" t="s">
        <v>307</v>
      </c>
      <c r="D217" s="122"/>
    </row>
    <row r="218" ht="13.8">
      <c r="A218" s="121" t="s">
        <v>250</v>
      </c>
      <c r="B218" s="122" t="s">
        <v>2</v>
      </c>
      <c r="C218" s="122" t="s">
        <v>241</v>
      </c>
      <c r="D218" s="122"/>
    </row>
    <row r="219" ht="13.8">
      <c r="A219" s="121"/>
      <c r="B219" s="122" t="s">
        <v>123</v>
      </c>
      <c r="C219" s="122" t="s">
        <v>307</v>
      </c>
      <c r="D219" s="122"/>
    </row>
    <row r="220" ht="13.8">
      <c r="A220" s="121" t="s">
        <v>251</v>
      </c>
      <c r="B220" s="122" t="s">
        <v>2</v>
      </c>
      <c r="C220" s="122" t="s">
        <v>241</v>
      </c>
      <c r="D220" s="122"/>
    </row>
    <row r="221" ht="13.8">
      <c r="A221" s="121"/>
      <c r="B221" s="122" t="s">
        <v>123</v>
      </c>
      <c r="C221" s="122" t="s">
        <v>307</v>
      </c>
      <c r="D221" s="122"/>
    </row>
    <row r="222" ht="13.8">
      <c r="A222" s="121" t="s">
        <v>252</v>
      </c>
      <c r="B222" s="122" t="s">
        <v>2</v>
      </c>
      <c r="C222" s="122" t="s">
        <v>241</v>
      </c>
      <c r="D222" s="122"/>
    </row>
    <row r="223" ht="13.8">
      <c r="A223" s="121"/>
      <c r="B223" s="122" t="s">
        <v>123</v>
      </c>
      <c r="C223" s="122" t="s">
        <v>307</v>
      </c>
      <c r="D223" s="122"/>
    </row>
    <row r="224" ht="13.8">
      <c r="A224" s="121" t="s">
        <v>253</v>
      </c>
      <c r="B224" s="122" t="s">
        <v>2</v>
      </c>
      <c r="C224" s="122" t="s">
        <v>241</v>
      </c>
      <c r="D224" s="122"/>
    </row>
    <row r="225" ht="13.8">
      <c r="A225" s="121"/>
      <c r="B225" s="122" t="s">
        <v>123</v>
      </c>
      <c r="C225" s="122" t="s">
        <v>307</v>
      </c>
      <c r="D225" s="122"/>
    </row>
    <row r="226" ht="13.8">
      <c r="A226" s="121" t="s">
        <v>254</v>
      </c>
      <c r="B226" s="122" t="s">
        <v>2</v>
      </c>
      <c r="C226" s="122" t="s">
        <v>241</v>
      </c>
      <c r="D226" s="122"/>
    </row>
    <row r="227" ht="13.8">
      <c r="A227" s="121"/>
      <c r="B227" s="122" t="s">
        <v>123</v>
      </c>
      <c r="C227" s="122" t="s">
        <v>307</v>
      </c>
      <c r="D227" s="122"/>
    </row>
    <row r="228" ht="13.8">
      <c r="A228" s="121" t="s">
        <v>255</v>
      </c>
      <c r="B228" s="122" t="s">
        <v>2</v>
      </c>
      <c r="C228" s="122" t="s">
        <v>241</v>
      </c>
      <c r="D228" s="122"/>
    </row>
    <row r="229" ht="13.8">
      <c r="A229" s="121"/>
      <c r="B229" s="122" t="s">
        <v>123</v>
      </c>
      <c r="C229" s="122" t="s">
        <v>307</v>
      </c>
      <c r="D229" s="122"/>
    </row>
    <row r="230" ht="13.8">
      <c r="A230" s="121" t="s">
        <v>256</v>
      </c>
      <c r="B230" s="122" t="s">
        <v>2</v>
      </c>
      <c r="C230" s="122" t="s">
        <v>241</v>
      </c>
      <c r="D230" s="122"/>
    </row>
    <row r="231" ht="13.8">
      <c r="A231" s="121"/>
      <c r="B231" s="122" t="s">
        <v>123</v>
      </c>
      <c r="C231" s="122" t="s">
        <v>307</v>
      </c>
      <c r="D231" s="122"/>
    </row>
    <row r="232" ht="13.8">
      <c r="A232" s="121" t="s">
        <v>257</v>
      </c>
      <c r="B232" s="122" t="s">
        <v>2</v>
      </c>
      <c r="C232" s="122" t="s">
        <v>241</v>
      </c>
      <c r="D232" s="122"/>
    </row>
    <row r="233" ht="13.8">
      <c r="A233" s="121"/>
      <c r="B233" s="122" t="s">
        <v>123</v>
      </c>
      <c r="C233" s="122" t="s">
        <v>307</v>
      </c>
      <c r="D233" s="122"/>
    </row>
    <row r="234" ht="13.8">
      <c r="A234" s="121" t="s">
        <v>258</v>
      </c>
      <c r="B234" s="122" t="s">
        <v>2</v>
      </c>
      <c r="C234" s="122" t="s">
        <v>241</v>
      </c>
      <c r="D234" s="122"/>
    </row>
    <row r="235" ht="13.8">
      <c r="A235" s="121"/>
      <c r="B235" s="122" t="s">
        <v>123</v>
      </c>
      <c r="C235" s="122" t="s">
        <v>307</v>
      </c>
      <c r="D235" s="122"/>
    </row>
    <row r="236" ht="13.8">
      <c r="A236" s="121" t="s">
        <v>259</v>
      </c>
      <c r="B236" s="122" t="s">
        <v>2</v>
      </c>
      <c r="C236" s="122" t="s">
        <v>241</v>
      </c>
      <c r="D236" s="122"/>
    </row>
    <row r="237" ht="13.8">
      <c r="A237" s="121"/>
      <c r="B237" s="122" t="s">
        <v>123</v>
      </c>
      <c r="C237" s="122" t="s">
        <v>307</v>
      </c>
      <c r="D237" s="122"/>
    </row>
    <row r="238" ht="13.8">
      <c r="A238" s="121" t="s">
        <v>260</v>
      </c>
      <c r="B238" s="122" t="s">
        <v>2</v>
      </c>
      <c r="C238" s="122" t="s">
        <v>241</v>
      </c>
      <c r="D238" s="122"/>
    </row>
    <row r="239" ht="13.8">
      <c r="A239" s="121"/>
      <c r="B239" s="122" t="s">
        <v>123</v>
      </c>
      <c r="C239" s="122" t="s">
        <v>307</v>
      </c>
      <c r="D239" s="122"/>
    </row>
    <row r="240" ht="13.8">
      <c r="A240" s="124" t="s">
        <v>261</v>
      </c>
      <c r="B240" s="125" t="s">
        <v>2</v>
      </c>
      <c r="C240" s="125" t="s">
        <v>3</v>
      </c>
      <c r="D240" s="126"/>
    </row>
    <row r="241" ht="13.8">
      <c r="A241" s="125"/>
      <c r="B241" s="122" t="s">
        <v>4</v>
      </c>
      <c r="C241" s="122" t="s">
        <v>5</v>
      </c>
      <c r="D241" s="126"/>
    </row>
    <row r="242" ht="13.8">
      <c r="A242" s="125"/>
      <c r="B242" s="125" t="s">
        <v>6</v>
      </c>
      <c r="C242" s="125" t="s">
        <v>262</v>
      </c>
      <c r="D242" s="125" t="s">
        <v>264</v>
      </c>
    </row>
    <row r="243" ht="13.8">
      <c r="A243" s="125"/>
      <c r="B243" s="125"/>
      <c r="C243" s="125" t="s">
        <v>263</v>
      </c>
      <c r="D243" s="125" t="s">
        <v>265</v>
      </c>
    </row>
    <row r="244" ht="179.4">
      <c r="A244" s="125"/>
      <c r="B244" s="125" t="s">
        <v>21</v>
      </c>
      <c r="C244" s="127" t="s">
        <v>266</v>
      </c>
      <c r="D244" s="125"/>
    </row>
    <row r="245" ht="13.8">
      <c r="A245" s="125"/>
      <c r="B245" s="125" t="s">
        <v>123</v>
      </c>
      <c r="C245" s="122" t="s">
        <v>307</v>
      </c>
      <c r="D245" s="125"/>
    </row>
    <row r="246" ht="13.8">
      <c r="A246" s="125"/>
      <c r="B246" s="125"/>
      <c r="C246" s="125"/>
      <c r="D246" s="125"/>
    </row>
    <row r="247" ht="13.8">
      <c r="A247" s="121" t="s">
        <v>268</v>
      </c>
      <c r="B247" s="122" t="s">
        <v>2</v>
      </c>
      <c r="C247" s="122" t="s">
        <v>3</v>
      </c>
      <c r="D247" s="123"/>
    </row>
    <row r="248" ht="13.8">
      <c r="A248" s="121"/>
      <c r="B248" s="122" t="s">
        <v>4</v>
      </c>
      <c r="C248" s="122" t="s">
        <v>5</v>
      </c>
      <c r="D248" s="122"/>
    </row>
    <row r="249" ht="13.8">
      <c r="A249" s="121"/>
      <c r="B249" s="122" t="s">
        <v>117</v>
      </c>
      <c r="C249" s="122" t="s">
        <v>213</v>
      </c>
      <c r="D249" s="122"/>
    </row>
    <row r="250" ht="13.8">
      <c r="A250" s="121"/>
      <c r="B250" s="122" t="s">
        <v>6</v>
      </c>
      <c r="C250" s="122" t="s">
        <v>213</v>
      </c>
      <c r="D250" s="122" t="s">
        <v>242</v>
      </c>
    </row>
    <row r="251" ht="13.8">
      <c r="A251" s="121"/>
      <c r="B251" s="122"/>
      <c r="C251" s="122" t="s">
        <v>88</v>
      </c>
      <c r="D251" s="122" t="s">
        <v>244</v>
      </c>
    </row>
    <row r="252" ht="13.8">
      <c r="A252" s="121"/>
      <c r="B252" s="122" t="s">
        <v>123</v>
      </c>
      <c r="C252" s="122" t="s">
        <v>285</v>
      </c>
      <c r="D252" s="122"/>
    </row>
    <row r="253" ht="13.8">
      <c r="A253" s="121" t="s">
        <v>269</v>
      </c>
      <c r="B253" s="122" t="s">
        <v>2</v>
      </c>
      <c r="C253" s="122" t="s">
        <v>241</v>
      </c>
      <c r="D253" s="122"/>
    </row>
    <row r="254" ht="13.8">
      <c r="A254" s="121"/>
      <c r="B254" s="122" t="s">
        <v>123</v>
      </c>
      <c r="C254" s="122" t="s">
        <v>285</v>
      </c>
      <c r="D254" s="122"/>
    </row>
    <row r="255" ht="13.8">
      <c r="A255" s="121" t="s">
        <v>270</v>
      </c>
      <c r="B255" s="122" t="s">
        <v>2</v>
      </c>
      <c r="C255" s="122" t="s">
        <v>241</v>
      </c>
      <c r="D255" s="122"/>
    </row>
    <row r="256" ht="13.8">
      <c r="A256" s="121"/>
      <c r="B256" s="122" t="s">
        <v>123</v>
      </c>
      <c r="C256" s="122" t="s">
        <v>285</v>
      </c>
      <c r="D256" s="122"/>
    </row>
    <row r="257" ht="13.8">
      <c r="A257" s="121" t="s">
        <v>271</v>
      </c>
      <c r="B257" s="122" t="s">
        <v>2</v>
      </c>
      <c r="C257" s="122" t="s">
        <v>241</v>
      </c>
      <c r="D257" s="122"/>
    </row>
    <row r="258" ht="13.8">
      <c r="A258" s="121"/>
      <c r="B258" s="122" t="s">
        <v>123</v>
      </c>
      <c r="C258" s="122" t="s">
        <v>285</v>
      </c>
      <c r="D258" s="122"/>
    </row>
    <row r="259" ht="13.8">
      <c r="A259" s="121" t="s">
        <v>272</v>
      </c>
      <c r="B259" s="122" t="s">
        <v>2</v>
      </c>
      <c r="C259" s="122" t="s">
        <v>241</v>
      </c>
      <c r="D259" s="122"/>
    </row>
    <row r="260" ht="13.8">
      <c r="A260" s="121"/>
      <c r="B260" s="122" t="s">
        <v>123</v>
      </c>
      <c r="C260" s="122" t="s">
        <v>285</v>
      </c>
      <c r="D260" s="122"/>
    </row>
    <row r="261" ht="13.8">
      <c r="A261" s="121" t="s">
        <v>273</v>
      </c>
      <c r="B261" s="122" t="s">
        <v>2</v>
      </c>
      <c r="C261" s="122" t="s">
        <v>241</v>
      </c>
      <c r="D261" s="122"/>
    </row>
    <row r="262" ht="13.8">
      <c r="A262" s="121"/>
      <c r="B262" s="122" t="s">
        <v>123</v>
      </c>
      <c r="C262" s="122" t="s">
        <v>285</v>
      </c>
      <c r="D262" s="122"/>
    </row>
    <row r="263" ht="13.8">
      <c r="A263" s="121" t="s">
        <v>274</v>
      </c>
      <c r="B263" s="122" t="s">
        <v>2</v>
      </c>
      <c r="C263" s="122" t="s">
        <v>241</v>
      </c>
      <c r="D263" s="122"/>
    </row>
    <row r="264" ht="13.8">
      <c r="A264" s="121"/>
      <c r="B264" s="122" t="s">
        <v>123</v>
      </c>
      <c r="C264" s="122" t="s">
        <v>285</v>
      </c>
      <c r="D264" s="122"/>
    </row>
    <row r="265" ht="13.8">
      <c r="A265" s="121" t="s">
        <v>275</v>
      </c>
      <c r="B265" s="122" t="s">
        <v>2</v>
      </c>
      <c r="C265" s="122" t="s">
        <v>241</v>
      </c>
      <c r="D265" s="122"/>
    </row>
    <row r="266" ht="13.8">
      <c r="A266" s="121"/>
      <c r="B266" s="122" t="s">
        <v>123</v>
      </c>
      <c r="C266" s="122" t="s">
        <v>285</v>
      </c>
      <c r="D266" s="122"/>
    </row>
    <row r="267" ht="13.8">
      <c r="A267" s="121" t="s">
        <v>276</v>
      </c>
      <c r="B267" s="122" t="s">
        <v>2</v>
      </c>
      <c r="C267" s="122" t="s">
        <v>241</v>
      </c>
      <c r="D267" s="122"/>
    </row>
    <row r="268" ht="13.8">
      <c r="A268" s="121"/>
      <c r="B268" s="122" t="s">
        <v>123</v>
      </c>
      <c r="C268" s="122" t="s">
        <v>285</v>
      </c>
      <c r="D268" s="122"/>
    </row>
    <row r="269" ht="13.8">
      <c r="A269" s="121" t="s">
        <v>277</v>
      </c>
      <c r="B269" s="122" t="s">
        <v>2</v>
      </c>
      <c r="C269" s="122" t="s">
        <v>241</v>
      </c>
      <c r="D269" s="122"/>
    </row>
    <row r="270" ht="13.8">
      <c r="A270" s="121"/>
      <c r="B270" s="122" t="s">
        <v>123</v>
      </c>
      <c r="C270" s="122" t="s">
        <v>285</v>
      </c>
      <c r="D270" s="122"/>
    </row>
    <row r="271" ht="13.8">
      <c r="A271" s="121" t="s">
        <v>278</v>
      </c>
      <c r="B271" s="122" t="s">
        <v>2</v>
      </c>
      <c r="C271" s="122" t="s">
        <v>241</v>
      </c>
      <c r="D271" s="122"/>
    </row>
    <row r="272" ht="13.8">
      <c r="A272" s="121"/>
      <c r="B272" s="122" t="s">
        <v>123</v>
      </c>
      <c r="C272" s="122" t="s">
        <v>285</v>
      </c>
      <c r="D272" s="122"/>
    </row>
    <row r="273" ht="13.8">
      <c r="A273" s="121" t="s">
        <v>279</v>
      </c>
      <c r="B273" s="122" t="s">
        <v>2</v>
      </c>
      <c r="C273" s="122" t="s">
        <v>241</v>
      </c>
      <c r="D273" s="122"/>
    </row>
    <row r="274" ht="13.8">
      <c r="A274" s="121"/>
      <c r="B274" s="122" t="s">
        <v>123</v>
      </c>
      <c r="C274" s="122" t="s">
        <v>285</v>
      </c>
      <c r="D274" s="122"/>
    </row>
    <row r="275" ht="13.8">
      <c r="A275" s="121" t="s">
        <v>280</v>
      </c>
      <c r="B275" s="122" t="s">
        <v>2</v>
      </c>
      <c r="C275" s="122" t="s">
        <v>241</v>
      </c>
      <c r="D275" s="122"/>
    </row>
    <row r="276" ht="13.8">
      <c r="A276" s="121"/>
      <c r="B276" s="122" t="s">
        <v>123</v>
      </c>
      <c r="C276" s="122" t="s">
        <v>285</v>
      </c>
      <c r="D276" s="122"/>
    </row>
    <row r="277" ht="13.8">
      <c r="A277" s="121" t="s">
        <v>281</v>
      </c>
      <c r="B277" s="122" t="s">
        <v>2</v>
      </c>
      <c r="C277" s="122" t="s">
        <v>241</v>
      </c>
      <c r="D277" s="122"/>
    </row>
    <row r="278" ht="13.8">
      <c r="A278" s="121"/>
      <c r="B278" s="122" t="s">
        <v>123</v>
      </c>
      <c r="C278" s="122" t="s">
        <v>285</v>
      </c>
      <c r="D278" s="122"/>
    </row>
    <row r="279" ht="13.8">
      <c r="A279" s="121" t="s">
        <v>282</v>
      </c>
      <c r="B279" s="122" t="s">
        <v>2</v>
      </c>
      <c r="C279" s="122" t="s">
        <v>241</v>
      </c>
      <c r="D279" s="122"/>
    </row>
    <row r="280" ht="13.8">
      <c r="A280" s="121"/>
      <c r="B280" s="122" t="s">
        <v>123</v>
      </c>
      <c r="C280" s="122" t="s">
        <v>285</v>
      </c>
      <c r="D280" s="122"/>
    </row>
    <row r="281" ht="13.8">
      <c r="A281" s="121" t="s">
        <v>283</v>
      </c>
      <c r="B281" s="122" t="s">
        <v>2</v>
      </c>
      <c r="C281" s="122" t="s">
        <v>241</v>
      </c>
      <c r="D281" s="122"/>
    </row>
    <row r="282" ht="13.8">
      <c r="A282" s="121"/>
      <c r="B282" s="122" t="s">
        <v>123</v>
      </c>
      <c r="C282" s="122" t="s">
        <v>285</v>
      </c>
      <c r="D282" s="122"/>
    </row>
    <row r="283" ht="13.8">
      <c r="A283" s="121" t="s">
        <v>284</v>
      </c>
      <c r="B283" s="122" t="s">
        <v>2</v>
      </c>
      <c r="C283" s="122" t="s">
        <v>241</v>
      </c>
      <c r="D283" s="122"/>
    </row>
    <row r="284" ht="13.8">
      <c r="A284" s="121"/>
      <c r="B284" s="122" t="s">
        <v>123</v>
      </c>
      <c r="C284" s="122" t="s">
        <v>285</v>
      </c>
      <c r="D284" s="122"/>
    </row>
    <row r="285" ht="13.8">
      <c r="A285" s="124" t="s">
        <v>286</v>
      </c>
      <c r="B285" s="125" t="s">
        <v>2</v>
      </c>
      <c r="C285" s="125" t="s">
        <v>3</v>
      </c>
      <c r="D285" s="126"/>
    </row>
    <row r="286" ht="13.8">
      <c r="A286" s="125"/>
      <c r="B286" s="122" t="s">
        <v>4</v>
      </c>
      <c r="C286" s="122" t="s">
        <v>5</v>
      </c>
      <c r="D286" s="126"/>
    </row>
    <row r="287" ht="13.8">
      <c r="A287" s="125"/>
      <c r="B287" s="125" t="s">
        <v>6</v>
      </c>
      <c r="C287" s="125" t="s">
        <v>262</v>
      </c>
      <c r="D287" s="125" t="s">
        <v>264</v>
      </c>
    </row>
    <row r="288" ht="13.8">
      <c r="A288" s="125"/>
      <c r="B288" s="125"/>
      <c r="C288" s="125" t="s">
        <v>263</v>
      </c>
      <c r="D288" s="125" t="s">
        <v>265</v>
      </c>
    </row>
    <row r="289" ht="207">
      <c r="A289" s="125"/>
      <c r="B289" s="125" t="s">
        <v>21</v>
      </c>
      <c r="C289" s="127" t="s">
        <v>312</v>
      </c>
      <c r="D289" s="125"/>
    </row>
    <row r="290" ht="13.8">
      <c r="A290" s="125"/>
      <c r="B290" s="125" t="s">
        <v>123</v>
      </c>
      <c r="C290" s="122" t="s">
        <v>285</v>
      </c>
      <c r="D290" s="125"/>
    </row>
    <row r="291" ht="13.8">
      <c r="A291" s="125"/>
      <c r="B291" s="125"/>
      <c r="C291" s="125"/>
      <c r="D291" s="125"/>
    </row>
    <row r="292" ht="13.8">
      <c r="A292" s="121" t="s">
        <v>287</v>
      </c>
      <c r="B292" s="122" t="s">
        <v>2</v>
      </c>
      <c r="C292" s="122" t="s">
        <v>3</v>
      </c>
      <c r="D292" s="123"/>
    </row>
    <row r="293" ht="13.8">
      <c r="A293" s="121"/>
      <c r="B293" s="122" t="s">
        <v>4</v>
      </c>
      <c r="C293" s="122" t="s">
        <v>5</v>
      </c>
      <c r="D293" s="122"/>
    </row>
    <row r="294" ht="13.8">
      <c r="A294" s="121"/>
      <c r="B294" s="122" t="s">
        <v>117</v>
      </c>
      <c r="C294" s="122" t="s">
        <v>213</v>
      </c>
      <c r="D294" s="122"/>
    </row>
    <row r="295" ht="13.8">
      <c r="A295" s="121"/>
      <c r="B295" s="122" t="s">
        <v>6</v>
      </c>
      <c r="C295" s="122" t="s">
        <v>213</v>
      </c>
      <c r="D295" s="122" t="s">
        <v>242</v>
      </c>
    </row>
    <row r="296" ht="13.8">
      <c r="A296" s="121"/>
      <c r="B296" s="122"/>
      <c r="C296" s="122" t="s">
        <v>88</v>
      </c>
      <c r="D296" s="122" t="s">
        <v>244</v>
      </c>
    </row>
    <row r="297" ht="13.8">
      <c r="A297" s="121"/>
      <c r="B297" s="122" t="s">
        <v>123</v>
      </c>
      <c r="C297" s="122" t="s">
        <v>288</v>
      </c>
      <c r="D297" s="122"/>
    </row>
    <row r="298" ht="13.8">
      <c r="A298" s="121" t="s">
        <v>289</v>
      </c>
      <c r="B298" s="122" t="s">
        <v>2</v>
      </c>
      <c r="C298" s="122" t="s">
        <v>241</v>
      </c>
      <c r="D298" s="122"/>
    </row>
    <row r="299" ht="13.8">
      <c r="A299" s="121"/>
      <c r="B299" s="122" t="s">
        <v>123</v>
      </c>
      <c r="C299" s="122" t="s">
        <v>288</v>
      </c>
      <c r="D299" s="122"/>
    </row>
    <row r="300" ht="13.8">
      <c r="A300" s="121" t="s">
        <v>290</v>
      </c>
      <c r="B300" s="122" t="s">
        <v>2</v>
      </c>
      <c r="C300" s="122" t="s">
        <v>241</v>
      </c>
      <c r="D300" s="122"/>
    </row>
    <row r="301" ht="13.8">
      <c r="A301" s="121"/>
      <c r="B301" s="122" t="s">
        <v>123</v>
      </c>
      <c r="C301" s="122" t="s">
        <v>288</v>
      </c>
      <c r="D301" s="122"/>
    </row>
    <row r="302" ht="13.8">
      <c r="A302" s="121" t="s">
        <v>291</v>
      </c>
      <c r="B302" s="122" t="s">
        <v>2</v>
      </c>
      <c r="C302" s="122" t="s">
        <v>241</v>
      </c>
      <c r="D302" s="122"/>
    </row>
    <row r="303" ht="13.8">
      <c r="A303" s="121"/>
      <c r="B303" s="122" t="s">
        <v>123</v>
      </c>
      <c r="C303" s="122" t="s">
        <v>288</v>
      </c>
      <c r="D303" s="122"/>
    </row>
    <row r="304" ht="13.8">
      <c r="A304" s="121" t="s">
        <v>292</v>
      </c>
      <c r="B304" s="122" t="s">
        <v>2</v>
      </c>
      <c r="C304" s="122" t="s">
        <v>241</v>
      </c>
      <c r="D304" s="122"/>
    </row>
    <row r="305" ht="13.8">
      <c r="A305" s="121"/>
      <c r="B305" s="122" t="s">
        <v>123</v>
      </c>
      <c r="C305" s="122" t="s">
        <v>288</v>
      </c>
      <c r="D305" s="122"/>
    </row>
    <row r="306" ht="13.8">
      <c r="A306" s="121" t="s">
        <v>293</v>
      </c>
      <c r="B306" s="122" t="s">
        <v>2</v>
      </c>
      <c r="C306" s="122" t="s">
        <v>241</v>
      </c>
      <c r="D306" s="122"/>
    </row>
    <row r="307" ht="13.8">
      <c r="A307" s="121"/>
      <c r="B307" s="122" t="s">
        <v>123</v>
      </c>
      <c r="C307" s="122" t="s">
        <v>288</v>
      </c>
      <c r="D307" s="122"/>
    </row>
    <row r="308" ht="13.8">
      <c r="A308" s="121" t="s">
        <v>294</v>
      </c>
      <c r="B308" s="122" t="s">
        <v>2</v>
      </c>
      <c r="C308" s="122" t="s">
        <v>241</v>
      </c>
      <c r="D308" s="122"/>
    </row>
    <row r="309" ht="13.8">
      <c r="A309" s="121"/>
      <c r="B309" s="122" t="s">
        <v>123</v>
      </c>
      <c r="C309" s="122" t="s">
        <v>288</v>
      </c>
      <c r="D309" s="122"/>
    </row>
    <row r="310" ht="13.8">
      <c r="A310" s="121" t="s">
        <v>295</v>
      </c>
      <c r="B310" s="122" t="s">
        <v>2</v>
      </c>
      <c r="C310" s="122" t="s">
        <v>241</v>
      </c>
      <c r="D310" s="122"/>
    </row>
    <row r="311" ht="13.8">
      <c r="A311" s="121"/>
      <c r="B311" s="122" t="s">
        <v>123</v>
      </c>
      <c r="C311" s="122" t="s">
        <v>288</v>
      </c>
      <c r="D311" s="122"/>
    </row>
    <row r="312" ht="13.8">
      <c r="A312" s="121" t="s">
        <v>296</v>
      </c>
      <c r="B312" s="122" t="s">
        <v>2</v>
      </c>
      <c r="C312" s="122" t="s">
        <v>241</v>
      </c>
      <c r="D312" s="122"/>
    </row>
    <row r="313" ht="13.8">
      <c r="A313" s="121"/>
      <c r="B313" s="122" t="s">
        <v>123</v>
      </c>
      <c r="C313" s="122" t="s">
        <v>288</v>
      </c>
      <c r="D313" s="122"/>
    </row>
    <row r="314" ht="13.8">
      <c r="A314" s="121" t="s">
        <v>297</v>
      </c>
      <c r="B314" s="122" t="s">
        <v>2</v>
      </c>
      <c r="C314" s="122" t="s">
        <v>241</v>
      </c>
      <c r="D314" s="122"/>
    </row>
    <row r="315" ht="13.8">
      <c r="A315" s="121"/>
      <c r="B315" s="122" t="s">
        <v>123</v>
      </c>
      <c r="C315" s="122" t="s">
        <v>288</v>
      </c>
      <c r="D315" s="122"/>
    </row>
    <row r="316" ht="13.8">
      <c r="A316" s="121" t="s">
        <v>298</v>
      </c>
      <c r="B316" s="122" t="s">
        <v>2</v>
      </c>
      <c r="C316" s="122" t="s">
        <v>241</v>
      </c>
      <c r="D316" s="122"/>
    </row>
    <row r="317" ht="13.8">
      <c r="A317" s="121"/>
      <c r="B317" s="122" t="s">
        <v>123</v>
      </c>
      <c r="C317" s="122" t="s">
        <v>288</v>
      </c>
      <c r="D317" s="122"/>
    </row>
    <row r="318" ht="13.8">
      <c r="A318" s="121" t="s">
        <v>299</v>
      </c>
      <c r="B318" s="122" t="s">
        <v>2</v>
      </c>
      <c r="C318" s="122" t="s">
        <v>241</v>
      </c>
      <c r="D318" s="122"/>
    </row>
    <row r="319" ht="13.8">
      <c r="A319" s="121"/>
      <c r="B319" s="122" t="s">
        <v>123</v>
      </c>
      <c r="C319" s="122" t="s">
        <v>288</v>
      </c>
      <c r="D319" s="122"/>
    </row>
    <row r="320" ht="13.8">
      <c r="A320" s="121" t="s">
        <v>300</v>
      </c>
      <c r="B320" s="122" t="s">
        <v>2</v>
      </c>
      <c r="C320" s="122" t="s">
        <v>241</v>
      </c>
      <c r="D320" s="122"/>
    </row>
    <row r="321" ht="13.8">
      <c r="A321" s="121"/>
      <c r="B321" s="122" t="s">
        <v>123</v>
      </c>
      <c r="C321" s="122" t="s">
        <v>288</v>
      </c>
      <c r="D321" s="122"/>
    </row>
    <row r="322" ht="13.8">
      <c r="A322" s="121" t="s">
        <v>301</v>
      </c>
      <c r="B322" s="122" t="s">
        <v>2</v>
      </c>
      <c r="C322" s="122" t="s">
        <v>241</v>
      </c>
      <c r="D322" s="122"/>
    </row>
    <row r="323" ht="13.8">
      <c r="A323" s="121"/>
      <c r="B323" s="122" t="s">
        <v>123</v>
      </c>
      <c r="C323" s="122" t="s">
        <v>288</v>
      </c>
      <c r="D323" s="122"/>
    </row>
    <row r="324" ht="13.8">
      <c r="A324" s="121" t="s">
        <v>302</v>
      </c>
      <c r="B324" s="122" t="s">
        <v>2</v>
      </c>
      <c r="C324" s="122" t="s">
        <v>241</v>
      </c>
      <c r="D324" s="122"/>
    </row>
    <row r="325" ht="13.8">
      <c r="A325" s="121"/>
      <c r="B325" s="122" t="s">
        <v>123</v>
      </c>
      <c r="C325" s="122" t="s">
        <v>288</v>
      </c>
      <c r="D325" s="122"/>
    </row>
    <row r="326" ht="13.8">
      <c r="A326" s="121" t="s">
        <v>303</v>
      </c>
      <c r="B326" s="122" t="s">
        <v>2</v>
      </c>
      <c r="C326" s="122" t="s">
        <v>241</v>
      </c>
      <c r="D326" s="122"/>
    </row>
    <row r="327" ht="13.8">
      <c r="A327" s="121"/>
      <c r="B327" s="122" t="s">
        <v>123</v>
      </c>
      <c r="C327" s="122" t="s">
        <v>288</v>
      </c>
      <c r="D327" s="122"/>
    </row>
    <row r="328" ht="13.8">
      <c r="A328" s="121" t="s">
        <v>304</v>
      </c>
      <c r="B328" s="122" t="s">
        <v>2</v>
      </c>
      <c r="C328" s="122" t="s">
        <v>241</v>
      </c>
      <c r="D328" s="122"/>
    </row>
    <row r="329" ht="13.8">
      <c r="A329" s="121"/>
      <c r="B329" s="122" t="s">
        <v>123</v>
      </c>
      <c r="C329" s="122" t="s">
        <v>288</v>
      </c>
      <c r="D329" s="122"/>
    </row>
    <row r="330" ht="13.8">
      <c r="A330" s="124" t="s">
        <v>305</v>
      </c>
      <c r="B330" s="125" t="s">
        <v>2</v>
      </c>
      <c r="C330" s="125" t="s">
        <v>3</v>
      </c>
      <c r="D330" s="126"/>
    </row>
    <row r="331" ht="13.8">
      <c r="A331" s="125"/>
      <c r="B331" s="122" t="s">
        <v>4</v>
      </c>
      <c r="C331" s="122" t="s">
        <v>5</v>
      </c>
      <c r="D331" s="126"/>
    </row>
    <row r="332" ht="13.8">
      <c r="A332" s="125"/>
      <c r="B332" s="125" t="s">
        <v>6</v>
      </c>
      <c r="C332" s="125" t="s">
        <v>262</v>
      </c>
      <c r="D332" s="125" t="s">
        <v>264</v>
      </c>
    </row>
    <row r="333" ht="13.8">
      <c r="A333" s="125"/>
      <c r="B333" s="125"/>
      <c r="C333" s="125" t="s">
        <v>263</v>
      </c>
      <c r="D333" s="125" t="s">
        <v>265</v>
      </c>
    </row>
    <row r="334" ht="110.4">
      <c r="A334" s="125"/>
      <c r="B334" s="125" t="s">
        <v>21</v>
      </c>
      <c r="C334" s="127" t="s">
        <v>306</v>
      </c>
      <c r="D334" s="125"/>
    </row>
    <row r="335" ht="13.8">
      <c r="A335" s="125"/>
      <c r="B335" s="125" t="s">
        <v>123</v>
      </c>
      <c r="C335" s="122" t="s">
        <v>288</v>
      </c>
      <c r="D335" s="125"/>
    </row>
    <row r="336" ht="13.8">
      <c r="A336" s="125"/>
      <c r="B336" s="125"/>
      <c r="C336" s="125"/>
      <c r="D336" s="125"/>
    </row>
    <row r="337" ht="13.8">
      <c r="A337" s="121" t="s">
        <v>333</v>
      </c>
      <c r="B337" s="122" t="s">
        <v>2</v>
      </c>
      <c r="C337" s="122" t="s">
        <v>241</v>
      </c>
      <c r="D337" s="122"/>
    </row>
    <row r="338" ht="13.8">
      <c r="A338" s="121"/>
      <c r="B338" s="122" t="s">
        <v>123</v>
      </c>
      <c r="C338" s="122" t="s">
        <v>332</v>
      </c>
      <c r="D338" s="122"/>
    </row>
    <row r="339" ht="13.8">
      <c r="A339" s="121" t="s">
        <v>334</v>
      </c>
      <c r="B339" s="122" t="s">
        <v>2</v>
      </c>
      <c r="C339" s="122" t="s">
        <v>241</v>
      </c>
      <c r="D339" s="122"/>
    </row>
    <row r="340" ht="13.8">
      <c r="A340" s="121"/>
      <c r="B340" s="122" t="s">
        <v>123</v>
      </c>
      <c r="C340" s="122" t="s">
        <v>332</v>
      </c>
      <c r="D340" s="122"/>
    </row>
    <row r="341" ht="13.8">
      <c r="A341" s="121" t="s">
        <v>335</v>
      </c>
      <c r="B341" s="122" t="s">
        <v>2</v>
      </c>
      <c r="C341" s="122" t="s">
        <v>241</v>
      </c>
      <c r="D341" s="122"/>
    </row>
    <row r="342" ht="13.8">
      <c r="A342" s="121"/>
      <c r="B342" s="122" t="s">
        <v>123</v>
      </c>
      <c r="C342" s="122" t="s">
        <v>332</v>
      </c>
      <c r="D342" s="122"/>
    </row>
    <row r="343" ht="13.8">
      <c r="A343" s="121" t="s">
        <v>336</v>
      </c>
      <c r="B343" s="122" t="s">
        <v>2</v>
      </c>
      <c r="C343" s="122" t="s">
        <v>241</v>
      </c>
      <c r="D343" s="122"/>
    </row>
    <row r="344" ht="13.8">
      <c r="A344" s="121"/>
      <c r="B344" s="122" t="s">
        <v>123</v>
      </c>
      <c r="C344" s="122" t="s">
        <v>332</v>
      </c>
      <c r="D344" s="122"/>
    </row>
    <row r="345" ht="13.8">
      <c r="A345" s="121" t="s">
        <v>337</v>
      </c>
      <c r="B345" s="122" t="s">
        <v>2</v>
      </c>
      <c r="C345" s="122" t="s">
        <v>241</v>
      </c>
      <c r="D345" s="122"/>
    </row>
    <row r="346" ht="13.8">
      <c r="A346" s="121"/>
      <c r="B346" s="122" t="s">
        <v>123</v>
      </c>
      <c r="C346" s="122" t="s">
        <v>332</v>
      </c>
      <c r="D346" s="122"/>
    </row>
    <row r="347" ht="13.8">
      <c r="A347" s="121" t="s">
        <v>338</v>
      </c>
      <c r="B347" s="122" t="s">
        <v>2</v>
      </c>
      <c r="C347" s="122" t="s">
        <v>241</v>
      </c>
      <c r="D347" s="122"/>
    </row>
    <row r="348" ht="13.8">
      <c r="A348" s="121"/>
      <c r="B348" s="122" t="s">
        <v>123</v>
      </c>
      <c r="C348" s="122" t="s">
        <v>332</v>
      </c>
      <c r="D348" s="122"/>
    </row>
    <row r="349" ht="13.8">
      <c r="A349" s="121" t="s">
        <v>339</v>
      </c>
      <c r="B349" s="122" t="s">
        <v>2</v>
      </c>
      <c r="C349" s="122" t="s">
        <v>241</v>
      </c>
      <c r="D349" s="122"/>
    </row>
    <row r="350" ht="13.8">
      <c r="A350" s="121"/>
      <c r="B350" s="122" t="s">
        <v>123</v>
      </c>
      <c r="C350" s="122" t="s">
        <v>332</v>
      </c>
      <c r="D350" s="122"/>
    </row>
    <row r="351" ht="13.8">
      <c r="A351" s="121" t="s">
        <v>340</v>
      </c>
      <c r="B351" s="122" t="s">
        <v>2</v>
      </c>
      <c r="C351" s="122" t="s">
        <v>241</v>
      </c>
      <c r="D351" s="122"/>
    </row>
    <row r="352" ht="13.8">
      <c r="A352" s="121"/>
      <c r="B352" s="122" t="s">
        <v>123</v>
      </c>
      <c r="C352" s="122" t="s">
        <v>332</v>
      </c>
      <c r="D352" s="122"/>
    </row>
    <row r="353" ht="13.8">
      <c r="A353" s="121" t="s">
        <v>341</v>
      </c>
      <c r="B353" s="122" t="s">
        <v>2</v>
      </c>
      <c r="C353" s="122" t="s">
        <v>241</v>
      </c>
      <c r="D353" s="122"/>
    </row>
    <row r="354" ht="13.8">
      <c r="A354" s="121"/>
      <c r="B354" s="122" t="s">
        <v>123</v>
      </c>
      <c r="C354" s="122" t="s">
        <v>332</v>
      </c>
      <c r="D354" s="122"/>
    </row>
    <row r="355" ht="13.8">
      <c r="A355" s="121" t="s">
        <v>342</v>
      </c>
      <c r="B355" s="122" t="s">
        <v>2</v>
      </c>
      <c r="C355" s="122" t="s">
        <v>241</v>
      </c>
      <c r="D355" s="122"/>
    </row>
    <row r="356" ht="13.8">
      <c r="A356" s="121"/>
      <c r="B356" s="122" t="s">
        <v>123</v>
      </c>
      <c r="C356" s="122" t="s">
        <v>332</v>
      </c>
      <c r="D356" s="122"/>
    </row>
    <row r="357" ht="13.8">
      <c r="A357" s="121" t="s">
        <v>347</v>
      </c>
      <c r="B357" s="122" t="s">
        <v>2</v>
      </c>
      <c r="C357" s="122" t="s">
        <v>241</v>
      </c>
      <c r="D357" s="122"/>
    </row>
    <row r="358" ht="13.8">
      <c r="A358" s="121"/>
      <c r="B358" s="122" t="s">
        <v>123</v>
      </c>
      <c r="C358" s="122" t="s">
        <v>332</v>
      </c>
      <c r="D358" s="122"/>
    </row>
    <row r="359" ht="13.8">
      <c r="A359" s="121" t="s">
        <v>348</v>
      </c>
      <c r="B359" s="122" t="s">
        <v>2</v>
      </c>
      <c r="C359" s="122" t="s">
        <v>241</v>
      </c>
      <c r="D359" s="122"/>
    </row>
    <row r="360" ht="13.8">
      <c r="A360" s="121"/>
      <c r="B360" s="122" t="s">
        <v>123</v>
      </c>
      <c r="C360" s="122" t="s">
        <v>332</v>
      </c>
      <c r="D360" s="122"/>
    </row>
    <row r="361" ht="13.8">
      <c r="A361" s="121" t="s">
        <v>349</v>
      </c>
      <c r="B361" s="122" t="s">
        <v>2</v>
      </c>
      <c r="C361" s="122" t="s">
        <v>241</v>
      </c>
      <c r="D361" s="122"/>
    </row>
    <row r="362" ht="13.8">
      <c r="A362" s="121"/>
      <c r="B362" s="122" t="s">
        <v>123</v>
      </c>
      <c r="C362" s="122" t="s">
        <v>332</v>
      </c>
      <c r="D362" s="122"/>
    </row>
    <row r="363" ht="13.8">
      <c r="A363" s="121" t="s">
        <v>350</v>
      </c>
      <c r="B363" s="122" t="s">
        <v>2</v>
      </c>
      <c r="C363" s="122" t="s">
        <v>241</v>
      </c>
      <c r="D363" s="122"/>
    </row>
    <row r="364" ht="13.8">
      <c r="A364" s="121"/>
      <c r="B364" s="122" t="s">
        <v>123</v>
      </c>
      <c r="C364" s="122" t="s">
        <v>332</v>
      </c>
      <c r="D364" s="122"/>
    </row>
    <row r="365" ht="13.8">
      <c r="A365" s="121" t="s">
        <v>351</v>
      </c>
      <c r="B365" s="122" t="s">
        <v>2</v>
      </c>
      <c r="C365" s="122" t="s">
        <v>241</v>
      </c>
      <c r="D365" s="122"/>
    </row>
    <row r="366" ht="13.8">
      <c r="A366" s="121"/>
      <c r="B366" s="122" t="s">
        <v>123</v>
      </c>
      <c r="C366" s="122" t="s">
        <v>332</v>
      </c>
      <c r="D366" s="122"/>
    </row>
    <row r="367" ht="13.8">
      <c r="A367" s="121" t="s">
        <v>352</v>
      </c>
      <c r="B367" s="122" t="s">
        <v>2</v>
      </c>
      <c r="C367" s="122" t="s">
        <v>241</v>
      </c>
      <c r="D367" s="122"/>
    </row>
    <row r="368" ht="13.8">
      <c r="A368" s="121"/>
      <c r="B368" s="122" t="s">
        <v>123</v>
      </c>
      <c r="C368" s="122" t="s">
        <v>332</v>
      </c>
      <c r="D368" s="122"/>
    </row>
    <row r="369" ht="13.2" customHeight="1">
      <c r="A369" s="121" t="s">
        <v>353</v>
      </c>
      <c r="B369" s="122" t="s">
        <v>2</v>
      </c>
      <c r="C369" s="122" t="s">
        <v>241</v>
      </c>
      <c r="D369" s="122"/>
    </row>
    <row r="370" ht="13.8">
      <c r="A370" s="121"/>
      <c r="B370" s="122" t="s">
        <v>123</v>
      </c>
      <c r="C370" s="122" t="s">
        <v>332</v>
      </c>
      <c r="D370" s="122"/>
    </row>
    <row r="371" ht="13.8">
      <c r="A371" s="121" t="s">
        <v>354</v>
      </c>
      <c r="B371" s="122" t="s">
        <v>2</v>
      </c>
      <c r="C371" s="122" t="s">
        <v>241</v>
      </c>
      <c r="D371" s="122"/>
    </row>
    <row r="372" ht="13.8">
      <c r="A372" s="121"/>
      <c r="B372" s="122" t="s">
        <v>123</v>
      </c>
      <c r="C372" s="122" t="s">
        <v>332</v>
      </c>
      <c r="D372" s="122"/>
    </row>
    <row r="373" ht="13.8">
      <c r="A373" s="121" t="s">
        <v>355</v>
      </c>
      <c r="B373" s="122" t="s">
        <v>2</v>
      </c>
      <c r="C373" s="122" t="s">
        <v>241</v>
      </c>
      <c r="D373" s="122"/>
    </row>
    <row r="374" ht="13.8">
      <c r="A374" s="121"/>
      <c r="B374" s="122" t="s">
        <v>123</v>
      </c>
      <c r="C374" s="122" t="s">
        <v>332</v>
      </c>
      <c r="D374" s="122"/>
    </row>
    <row r="375" ht="13.8">
      <c r="A375" s="121" t="s">
        <v>356</v>
      </c>
      <c r="B375" s="122" t="s">
        <v>2</v>
      </c>
      <c r="C375" s="122" t="s">
        <v>241</v>
      </c>
      <c r="D375" s="122"/>
    </row>
    <row r="376" ht="13.8">
      <c r="A376" s="121"/>
      <c r="B376" s="122" t="s">
        <v>123</v>
      </c>
      <c r="C376" s="122" t="s">
        <v>332</v>
      </c>
      <c r="D376" s="122"/>
    </row>
    <row r="377" ht="13.8">
      <c r="A377" s="124" t="s">
        <v>343</v>
      </c>
      <c r="B377" s="125" t="s">
        <v>2</v>
      </c>
      <c r="C377" s="125" t="s">
        <v>3</v>
      </c>
      <c r="D377" s="126"/>
    </row>
    <row r="378" ht="13.8">
      <c r="A378" s="125"/>
      <c r="B378" s="122" t="s">
        <v>4</v>
      </c>
      <c r="C378" s="122" t="s">
        <v>5</v>
      </c>
      <c r="D378" s="126"/>
    </row>
    <row r="379" ht="13.8">
      <c r="A379" s="125"/>
      <c r="B379" s="125" t="s">
        <v>6</v>
      </c>
      <c r="C379" s="125" t="s">
        <v>262</v>
      </c>
      <c r="D379" s="125" t="s">
        <v>344</v>
      </c>
    </row>
    <row r="380" ht="13.8">
      <c r="A380" s="125"/>
      <c r="B380" s="125"/>
      <c r="C380" s="125" t="s">
        <v>263</v>
      </c>
      <c r="D380" s="125" t="s">
        <v>345</v>
      </c>
    </row>
    <row r="381" ht="151.8">
      <c r="A381" s="125"/>
      <c r="B381" s="125" t="s">
        <v>21</v>
      </c>
      <c r="C381" s="127" t="s">
        <v>346</v>
      </c>
      <c r="D381" s="125"/>
    </row>
    <row r="382" ht="13.8">
      <c r="A382" s="121"/>
      <c r="B382" s="122" t="s">
        <v>123</v>
      </c>
      <c r="C382" s="122" t="s">
        <v>332</v>
      </c>
      <c r="D382" s="122"/>
    </row>
    <row r="383" ht="13.8">
      <c r="A383" s="121" t="s">
        <v>267</v>
      </c>
      <c r="B383" s="121"/>
      <c r="C383" s="121"/>
      <c r="D383" s="121"/>
    </row>
  </sheetData>
  <pageMargins left="0.7" right="0.7" top="0.75" bottom="0.75" header="0.3" footer="0.3"/>
  <pageSetup orientation="portrait" r:id="flId1"/>
  <headerFooter>
    <oddFooter>&amp;C_x000D_&amp;1#&amp;"Aptos"&amp;10&amp;K000000 DSV internal</oddFooter>
  </headerFooter>
</worksheet>
</file>

<file path=xl/worksheets/sheet3.xml><?xml version="1.0" encoding="utf-8"?>
<worksheet xmlns:r="http://schemas.openxmlformats.org/officeDocument/2006/relationships" xmlns="http://schemas.openxmlformats.org/spreadsheetml/2006/main">
  <dimension ref="A1:C6"/>
  <sheetViews>
    <sheetView topLeftCell="A1" workbookViewId="0">
      <selection activeCell="G7" sqref="G7"/>
    </sheetView>
  </sheetViews>
  <sheetFormatPr defaultColWidth="9.140625" defaultRowHeight="14.4"/>
  <cols>
    <col min="1" max="1" width="19.109375" customWidth="1"/>
    <col min="2" max="2" width="38.88671875" customWidth="1"/>
  </cols>
  <sheetData>
    <row r="1">
      <c r="A1" s="110" t="s">
        <v>203</v>
      </c>
      <c r="B1" s="111" t="s">
        <v>204</v>
      </c>
      <c r="C1" s="110" t="s">
        <v>113</v>
      </c>
    </row>
    <row r="2">
      <c r="A2" s="110" t="s">
        <v>205</v>
      </c>
      <c r="B2" s="111" t="s">
        <v>209</v>
      </c>
      <c r="C2" s="111"/>
    </row>
    <row r="3">
      <c r="A3" s="110" t="s">
        <v>206</v>
      </c>
      <c r="B3" s="111" t="s">
        <v>210</v>
      </c>
      <c r="C3" s="111"/>
    </row>
    <row r="4">
      <c r="A4" s="110" t="s">
        <v>207</v>
      </c>
      <c r="B4" s="111" t="s">
        <v>211</v>
      </c>
      <c r="C4" s="111"/>
    </row>
    <row r="5">
      <c r="A5" s="110" t="s">
        <v>208</v>
      </c>
      <c r="B5" s="111" t="s">
        <v>212</v>
      </c>
      <c r="C5" s="111"/>
    </row>
    <row r="6">
      <c r="A6" s="110" t="s">
        <v>112</v>
      </c>
      <c r="B6" s="111"/>
      <c r="C6" s="111"/>
    </row>
  </sheetData>
  <pageMargins left="0.7" right="0.7" top="0.75" bottom="0.75" header="0.3" footer="0.3"/>
  <pageSetup usePrinterDefaults="0"/>
  <headerFooter>
    <oddFooter>&amp;C_x000D_&amp;1#&amp;"Aptos"&amp;10&amp;K000000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AA955-0253-4B63-B744-2B5AD20FEF4D}">
  <ds:schemaRefs>
    <ds:schemaRef ds:uri="http://schemas.microsoft.com/sharepoint/v3/contenttype/forms"/>
  </ds:schemaRefs>
</ds:datastoreItem>
</file>

<file path=customXml/itemProps2.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Shipment Profile</vt:lpstr>
    </vt:vector>
  </TitlesOfParts>
  <AppVersion>07.0021</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2026-03-22T13:18:27Z</dcterms:created>
  <dcterms:modified xsi:type="dcterms:W3CDTF">2026-03-22T13:18:27Z</dcterms:modified>
</cp:coreProperties>
</file>