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2"/>
  <workbookPr defaultThemeVersion="124226"/>
  <mc:AlternateContent xmlns:mc="http://schemas.openxmlformats.org/markup-compatibility/2006">
    <mc:Choice Requires="x15">
      <x15ac:absPath xmlns:x15ac="http://schemas.microsoft.com/office/spreadsheetml/2010/11/ac" url="/Users/alonmarom/Downloads/"/>
    </mc:Choice>
  </mc:AlternateContent>
  <xr:revisionPtr revIDLastSave="0" documentId="13_ncr:1_{CE3F8A81-D663-C34B-B01C-6E2F08A05118}" xr6:coauthVersionLast="47" xr6:coauthVersionMax="47" xr10:uidLastSave="{00000000-0000-0000-0000-000000000000}"/>
  <bookViews>
    <workbookView xWindow="0" yWindow="0" windowWidth="28800" windowHeight="18000" xr2:uid="{00000000-000D-0000-FFFF-FFFF00000000}"/>
  </bookViews>
  <sheets>
    <sheet name="Shipment Profile" sheetId="1" r:id="rId1"/>
    <sheet name="Filter" sheetId="2" state="veryHidden" r:id="rId2"/>
    <sheet name="Sort" sheetId="3" state="veryHidden" r:id="rId3"/>
  </sheets>
  <definedNames>
    <definedName name="_xlnm.Print_Titles" localSheetId="0">'Shipment Profile'!$1:$14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6" i="1"/>
  <c r="B8" i="1"/>
  <c r="B10" i="1"/>
  <c r="B12" i="1"/>
  <c r="E15" i="1"/>
  <c r="G15" i="1"/>
  <c r="E16" i="1"/>
  <c r="G16" i="1"/>
  <c r="E17" i="1"/>
  <c r="G17" i="1"/>
  <c r="E18" i="1"/>
  <c r="G18" i="1"/>
  <c r="E19" i="1"/>
  <c r="G19" i="1"/>
  <c r="E20" i="1"/>
  <c r="G20" i="1"/>
  <c r="E21" i="1"/>
  <c r="G21" i="1"/>
  <c r="E22" i="1"/>
  <c r="G22" i="1"/>
  <c r="E23" i="1"/>
  <c r="G23" i="1"/>
  <c r="E24" i="1"/>
  <c r="G24" i="1"/>
  <c r="E25" i="1"/>
  <c r="G25" i="1"/>
  <c r="E26" i="1"/>
  <c r="G26" i="1"/>
</calcChain>
</file>

<file path=xl/sharedStrings.xml><?xml version="1.0" encoding="utf-8"?>
<sst xmlns="http://schemas.openxmlformats.org/spreadsheetml/2006/main" count="1086" uniqueCount="423">
  <si>
    <t>Shipment Profile Report</t>
  </si>
  <si>
    <t>Transport Mode</t>
  </si>
  <si>
    <t>Type</t>
  </si>
  <si>
    <t>MultipleChoice</t>
  </si>
  <si>
    <t>Style</t>
  </si>
  <si>
    <t>DropDown</t>
  </si>
  <si>
    <t>Option</t>
  </si>
  <si>
    <t>AIR</t>
  </si>
  <si>
    <t>Air Freight</t>
  </si>
  <si>
    <t>SEA</t>
  </si>
  <si>
    <t>Sea Freight</t>
  </si>
  <si>
    <t>FSA</t>
  </si>
  <si>
    <t>First by Sea then by Air Freight</t>
  </si>
  <si>
    <t>FAS</t>
  </si>
  <si>
    <t>First by Air then by Sea Freight</t>
  </si>
  <si>
    <t>ROA</t>
  </si>
  <si>
    <t>Road Freight</t>
  </si>
  <si>
    <t>RAI</t>
  </si>
  <si>
    <t>Rail Freight</t>
  </si>
  <si>
    <t>COU</t>
  </si>
  <si>
    <t>Courier</t>
  </si>
  <si>
    <t>Field</t>
  </si>
  <si>
    <t>Container Mode</t>
  </si>
  <si>
    <t>CON</t>
  </si>
  <si>
    <t>Agent Consolidation</t>
  </si>
  <si>
    <t>Air</t>
  </si>
  <si>
    <t>BBK</t>
  </si>
  <si>
    <t>Break Bulk</t>
  </si>
  <si>
    <t>BLK</t>
  </si>
  <si>
    <t>Bulk</t>
  </si>
  <si>
    <t>LQD</t>
  </si>
  <si>
    <t>Liquid</t>
  </si>
  <si>
    <t>BCN</t>
  </si>
  <si>
    <t>Buyer's Consolidation</t>
  </si>
  <si>
    <t>FCL</t>
  </si>
  <si>
    <t>Full Container Load</t>
  </si>
  <si>
    <t>FTL</t>
  </si>
  <si>
    <t>Full Truck Load</t>
  </si>
  <si>
    <t>GRP</t>
  </si>
  <si>
    <t>Groupage / Freight All Kinds</t>
  </si>
  <si>
    <t>LCL</t>
  </si>
  <si>
    <t>Less Container Load</t>
  </si>
  <si>
    <t>LSE</t>
  </si>
  <si>
    <t>Loose</t>
  </si>
  <si>
    <t>LTL</t>
  </si>
  <si>
    <t>Less Truck Load</t>
  </si>
  <si>
    <t>MAI</t>
  </si>
  <si>
    <t>Mail</t>
  </si>
  <si>
    <t>OBC</t>
  </si>
  <si>
    <t>On Board Courier</t>
  </si>
  <si>
    <t>OTH</t>
  </si>
  <si>
    <t>Other</t>
  </si>
  <si>
    <t>ULD</t>
  </si>
  <si>
    <t>Unit Load Device</t>
  </si>
  <si>
    <t>UNA</t>
  </si>
  <si>
    <t>Unaccompanied</t>
  </si>
  <si>
    <t>FAK</t>
  </si>
  <si>
    <t>Freight All Kinds</t>
  </si>
  <si>
    <t>FCX</t>
  </si>
  <si>
    <t>FCL Mixed Shipper</t>
  </si>
  <si>
    <t>EMP</t>
  </si>
  <si>
    <t>Empty</t>
  </si>
  <si>
    <t>ROR</t>
  </si>
  <si>
    <t>Roll On/Roll Off</t>
  </si>
  <si>
    <t>COM</t>
  </si>
  <si>
    <t>Combination</t>
  </si>
  <si>
    <t>CNT</t>
  </si>
  <si>
    <t>Containerised</t>
  </si>
  <si>
    <t>NCT</t>
  </si>
  <si>
    <t>Non-Containerised</t>
  </si>
  <si>
    <t>Mode</t>
  </si>
  <si>
    <t>Origin</t>
  </si>
  <si>
    <t>Destination</t>
  </si>
  <si>
    <t>ETD</t>
  </si>
  <si>
    <t>Date Range</t>
  </si>
  <si>
    <t>ETA</t>
  </si>
  <si>
    <t>Shipment Registered</t>
  </si>
  <si>
    <t>FIeld</t>
  </si>
  <si>
    <t>RegisteredDate</t>
  </si>
  <si>
    <t>Consignor</t>
  </si>
  <si>
    <t>exporter multiple selection Lookup</t>
  </si>
  <si>
    <t>ConsignorPK</t>
  </si>
  <si>
    <t>Consignee</t>
  </si>
  <si>
    <t>importer multiple selection Lookup</t>
  </si>
  <si>
    <t>ConsigneePK</t>
  </si>
  <si>
    <t>Only Invoicing Jobs</t>
  </si>
  <si>
    <t>Checkbox</t>
  </si>
  <si>
    <t>Options</t>
  </si>
  <si>
    <t>Y</t>
  </si>
  <si>
    <t>HeaderExists</t>
  </si>
  <si>
    <t xml:space="preserve">Type </t>
  </si>
  <si>
    <t>Organisation multiple selection Lookup</t>
  </si>
  <si>
    <t>BranchPK</t>
  </si>
  <si>
    <t xml:space="preserve">Job Department </t>
  </si>
  <si>
    <t>department multiple selection lookup</t>
  </si>
  <si>
    <t>DepartmentPK</t>
  </si>
  <si>
    <t>Job Sales Rep</t>
  </si>
  <si>
    <t>staff lookup</t>
  </si>
  <si>
    <t>SalesRepPK</t>
  </si>
  <si>
    <t>Job Operator</t>
  </si>
  <si>
    <t>OperatorPK</t>
  </si>
  <si>
    <t>INCO Term</t>
  </si>
  <si>
    <t>Incoterms codelist</t>
  </si>
  <si>
    <t>INCO</t>
  </si>
  <si>
    <t>PPD/CCX Term</t>
  </si>
  <si>
    <t>PPD</t>
  </si>
  <si>
    <t>Only list Shipments with a Prepaid INCO term</t>
  </si>
  <si>
    <t>CCX</t>
  </si>
  <si>
    <t>Only list Shipments with a Collect INCO term</t>
  </si>
  <si>
    <t>Terms</t>
  </si>
  <si>
    <t>Job Status</t>
  </si>
  <si>
    <t>JobStatus</t>
  </si>
  <si>
    <t>#end</t>
  </si>
  <si>
    <t>default</t>
  </si>
  <si>
    <t>Local Client</t>
  </si>
  <si>
    <t>Only Records with Billing Job Headers in Login Company</t>
  </si>
  <si>
    <t>Freight Direction</t>
  </si>
  <si>
    <t>Default</t>
  </si>
  <si>
    <t>ALL</t>
  </si>
  <si>
    <t>All shipments</t>
  </si>
  <si>
    <t>Only Import Shipments to your Login Country</t>
  </si>
  <si>
    <t>Only Export Shipments from your Login Country</t>
  </si>
  <si>
    <t>Only Other Direction shipments</t>
  </si>
  <si>
    <t>Tab</t>
  </si>
  <si>
    <t>Import Only</t>
  </si>
  <si>
    <t>Export Only</t>
  </si>
  <si>
    <t>Client Type</t>
  </si>
  <si>
    <t>Related Parties</t>
  </si>
  <si>
    <t>CNR</t>
  </si>
  <si>
    <t>CNE</t>
  </si>
  <si>
    <t>SCP</t>
  </si>
  <si>
    <t>Shipper / Consignor</t>
  </si>
  <si>
    <t>Related Party</t>
  </si>
  <si>
    <t>Organisation Lookup</t>
  </si>
  <si>
    <t>Party Type</t>
  </si>
  <si>
    <t>CMB</t>
  </si>
  <si>
    <t>Competitor On Customs Services</t>
  </si>
  <si>
    <t>CMF</t>
  </si>
  <si>
    <t>Competitor On Forwarding</t>
  </si>
  <si>
    <t>CAB</t>
  </si>
  <si>
    <t>Customs Agent Broker</t>
  </si>
  <si>
    <t>IFT</t>
  </si>
  <si>
    <t>Invoice Freight Jobs To</t>
  </si>
  <si>
    <t>IWT</t>
  </si>
  <si>
    <t>Invoice Warehouse Jobs To</t>
  </si>
  <si>
    <t>LTT</t>
  </si>
  <si>
    <t>Local Transport Provider</t>
  </si>
  <si>
    <t>LTB</t>
  </si>
  <si>
    <t>Local Transport Provider Bill To</t>
  </si>
  <si>
    <t>ICT</t>
  </si>
  <si>
    <t>Invoice Customs Jobs To</t>
  </si>
  <si>
    <t>RRT</t>
  </si>
  <si>
    <t>Report Revenue To</t>
  </si>
  <si>
    <t>CAG</t>
  </si>
  <si>
    <t>Controlling Agent</t>
  </si>
  <si>
    <t>SOL</t>
  </si>
  <si>
    <t>Source Of Sales Lead</t>
  </si>
  <si>
    <t>APN</t>
  </si>
  <si>
    <t>AP Netting Group</t>
  </si>
  <si>
    <t>ARN</t>
  </si>
  <si>
    <t>AR Netting Group</t>
  </si>
  <si>
    <t>CFS</t>
  </si>
  <si>
    <t>MNG</t>
  </si>
  <si>
    <t>Management Grouping</t>
  </si>
  <si>
    <t>CCB</t>
  </si>
  <si>
    <t>SRV</t>
  </si>
  <si>
    <t>Service Provider</t>
  </si>
  <si>
    <t>ARS</t>
  </si>
  <si>
    <t>AR Settlement Group</t>
  </si>
  <si>
    <t>APS</t>
  </si>
  <si>
    <t>AP Settlement Group</t>
  </si>
  <si>
    <t>FGO</t>
  </si>
  <si>
    <t>Forwarder Grouping Organization</t>
  </si>
  <si>
    <t>COF</t>
  </si>
  <si>
    <t>Customs Office</t>
  </si>
  <si>
    <t>Include Inactive</t>
  </si>
  <si>
    <t>Include Inactive Shipments</t>
  </si>
  <si>
    <t>FLT</t>
  </si>
  <si>
    <t>CCF</t>
  </si>
  <si>
    <t>Forwarder Local Transport Provider</t>
  </si>
  <si>
    <t>Client CFS</t>
  </si>
  <si>
    <t>Forwarder CFS</t>
  </si>
  <si>
    <t>Co-Load Type</t>
  </si>
  <si>
    <t>MAS</t>
  </si>
  <si>
    <t>SUB</t>
  </si>
  <si>
    <t>STA</t>
  </si>
  <si>
    <t>Stand alone shipments and top level masters</t>
  </si>
  <si>
    <t>Stand alone shipments and bottom level subs</t>
  </si>
  <si>
    <t>Stand alone shipments</t>
  </si>
  <si>
    <t>DAG</t>
  </si>
  <si>
    <t>Delivery Agent</t>
  </si>
  <si>
    <t>location lookup code</t>
  </si>
  <si>
    <t>Other/Cross Trade Only</t>
  </si>
  <si>
    <t>Because a TRANSACTIONS RECOGNIZED DATE RANGE  was used, results listed are PROFIT MOVEMENTS RECOGNIZED IN THAT DATE RANGE.</t>
  </si>
  <si>
    <t>Transaction</t>
  </si>
  <si>
    <t>ConvertToUtc</t>
  </si>
  <si>
    <t>Controlling Customer</t>
  </si>
  <si>
    <r>
      <t>ShipmentControlling</t>
    </r>
    <r>
      <rPr>
        <sz val="10"/>
        <rFont val="Arial"/>
        <family val="2"/>
        <charset val="204"/>
      </rPr>
      <t>Customer</t>
    </r>
    <r>
      <rPr>
        <sz val="10"/>
        <rFont val="Arial"/>
        <family val="2"/>
        <charset val="204"/>
      </rPr>
      <t>PK</t>
    </r>
  </si>
  <si>
    <t>SubstituteMaxDateForNullTo</t>
  </si>
  <si>
    <t>SubstituteMinDateForNullFrom</t>
  </si>
  <si>
    <t>AtLeastOneOfGroup</t>
  </si>
  <si>
    <t>Group 1</t>
  </si>
  <si>
    <t>Required</t>
  </si>
  <si>
    <t>Shipment ID, Defined By, Leg Order</t>
  </si>
  <si>
    <t>ShipmentID, DefinedBy, JW_LegOrder</t>
  </si>
  <si>
    <t>Consignee, Defined By, Leg Order</t>
  </si>
  <si>
    <t>Consignor/Shipper, Defined By, Leg Order</t>
  </si>
  <si>
    <t>Consol, Defined By, Leg Order</t>
  </si>
  <si>
    <t>Local Client, Defined By, Leg Order</t>
  </si>
  <si>
    <t>ConsigneeCode,ShipmentID, DefinedBy, JW_LegOrder</t>
  </si>
  <si>
    <t>ConsignorCode,ShipmentID, DefinedBy, JW_LegOrder</t>
  </si>
  <si>
    <t>ConsolID,ShipmentID, DefinedBy, JW_LegOrder</t>
  </si>
  <si>
    <t>LocalClient,ShipmentID, DefinedBy, JW_LegOrder</t>
  </si>
  <si>
    <t>N</t>
  </si>
  <si>
    <t>From Booking</t>
  </si>
  <si>
    <t>Shipment converted from booking</t>
  </si>
  <si>
    <t>Shipment not converted from booking</t>
  </si>
  <si>
    <t>WRK</t>
  </si>
  <si>
    <t>Working</t>
  </si>
  <si>
    <t>WHL</t>
  </si>
  <si>
    <t>Work On Hold</t>
  </si>
  <si>
    <t>IHL</t>
  </si>
  <si>
    <t>Invoice On Hold</t>
  </si>
  <si>
    <t>CUS</t>
  </si>
  <si>
    <t>Customs Processing Active</t>
  </si>
  <si>
    <t>JRB</t>
  </si>
  <si>
    <t>Job Ready for Revenue Posting</t>
  </si>
  <si>
    <t>JRC</t>
  </si>
  <si>
    <t>Job Ready for Cost Posting</t>
  </si>
  <si>
    <t>JRA</t>
  </si>
  <si>
    <t>Job Ready for Revenue and Cost Posting</t>
  </si>
  <si>
    <t>INV</t>
  </si>
  <si>
    <t>Job Invoiced</t>
  </si>
  <si>
    <t>RDD</t>
  </si>
  <si>
    <t>Job Ready for Delivery</t>
  </si>
  <si>
    <t>CMP</t>
  </si>
  <si>
    <t>Completed</t>
  </si>
  <si>
    <t>CLS</t>
  </si>
  <si>
    <t>Closed</t>
  </si>
  <si>
    <t>ARC</t>
  </si>
  <si>
    <t>Schedule for Archive</t>
  </si>
  <si>
    <t>Text</t>
  </si>
  <si>
    <t>Disabled</t>
  </si>
  <si>
    <t>Show Event Time</t>
  </si>
  <si>
    <t>Show First Event Time with below settings. Performance Warning!</t>
  </si>
  <si>
    <t>JSEvent01</t>
  </si>
  <si>
    <t>JSEventRef01</t>
  </si>
  <si>
    <t>JSEvent02</t>
  </si>
  <si>
    <t>JSEventRef02</t>
  </si>
  <si>
    <t>JSEvent03</t>
  </si>
  <si>
    <t>JSEventRef03</t>
  </si>
  <si>
    <t>JSEvent04</t>
  </si>
  <si>
    <t>JSEventRef04</t>
  </si>
  <si>
    <t>JSEvent05</t>
  </si>
  <si>
    <t>JSEventRef05</t>
  </si>
  <si>
    <t>JSEvent06</t>
  </si>
  <si>
    <t>JSEventRef06</t>
  </si>
  <si>
    <t>JSEvent07</t>
  </si>
  <si>
    <t>JSEventRef07</t>
  </si>
  <si>
    <t>JSEvent08</t>
  </si>
  <si>
    <t>JSEventRef08</t>
  </si>
  <si>
    <t>Event Filter</t>
  </si>
  <si>
    <t>M</t>
  </si>
  <si>
    <t>H</t>
  </si>
  <si>
    <t>Only Miss Event</t>
  </si>
  <si>
    <t>Only Have Event</t>
  </si>
  <si>
    <t>(CASE WHEN JSEvent01 is Null AND JSEvent02 is Null AND JSEvent03 is Null AND JSEvent04 is Null AND JSEvent05 is Null AND JSEvent06 is Null AND JSEvent07 is Null AND JSEvent08 is Null THEN 'M' 
 WHEN isNull(&lt;Show Event Time&gt;,'')='Y' AND  (JSEvent01 is Not Null OR JSEvent02 is Not Null OR JSEvent03 is Not Null OR JSEvent04 is Not Null 
 OR JSEvent05 is Not Null OR JSEvent06 is Not Null OR JSEvent07 is Not Null OR JSEvent08 is Not Null) THEN 'H' END)</t>
  </si>
  <si>
    <t>#End</t>
  </si>
  <si>
    <t>Show Consol Event Time</t>
  </si>
  <si>
    <t>JKEvent01</t>
  </si>
  <si>
    <t>JKEventRef01</t>
  </si>
  <si>
    <t>JKEvent02</t>
  </si>
  <si>
    <t>JKEventRef02</t>
  </si>
  <si>
    <t>JKEvent03</t>
  </si>
  <si>
    <t>JKEventRef03</t>
  </si>
  <si>
    <t>JKEvent04</t>
  </si>
  <si>
    <t>JKEventRef04</t>
  </si>
  <si>
    <t>JKEvent05</t>
  </si>
  <si>
    <t>JKEventRef05</t>
  </si>
  <si>
    <t>JKEvent06</t>
  </si>
  <si>
    <t>JKEventRef06</t>
  </si>
  <si>
    <t>JKEvent07</t>
  </si>
  <si>
    <t>JKEventRef07</t>
  </si>
  <si>
    <t>JKEvent08</t>
  </si>
  <si>
    <t>JKEventRef08</t>
  </si>
  <si>
    <t>Consol Events</t>
  </si>
  <si>
    <t>Consol Event Filter</t>
  </si>
  <si>
    <t>Show Leg Event Time</t>
  </si>
  <si>
    <t>Legs Events</t>
  </si>
  <si>
    <t>JWEvent01</t>
  </si>
  <si>
    <t>JWEventRef01</t>
  </si>
  <si>
    <t>JWEvent02</t>
  </si>
  <si>
    <t>JWEventRef02</t>
  </si>
  <si>
    <t>JWEvent03</t>
  </si>
  <si>
    <t>JWEventRef03</t>
  </si>
  <si>
    <t>JWEvent04</t>
  </si>
  <si>
    <t>JWEventRef04</t>
  </si>
  <si>
    <t>JWEvent05</t>
  </si>
  <si>
    <t>JWEventRef05</t>
  </si>
  <si>
    <t>JWEvent06</t>
  </si>
  <si>
    <t>JWEventRef06</t>
  </si>
  <si>
    <t>JWEvent07</t>
  </si>
  <si>
    <t>JWEventRef07</t>
  </si>
  <si>
    <t>JWEvent08</t>
  </si>
  <si>
    <t>JWEventRef08</t>
  </si>
  <si>
    <t>Legs Event Filter</t>
  </si>
  <si>
    <t xml:space="preserve">(CASE WHEN JWEvent01 is Null AND JWEvent02 is Null AND JWEvent03 is Null AND JWEvent04 is Null AND JWEvent05 is Null AND JWEvent06 is Null AND JWEvent07 is Null AND JWEvent08 is Null THEN 'M' 
 WHEN isNull(&lt;Show Leg Event Time&gt;,'')='Y' AND  (JWEvent01 is </t>
  </si>
  <si>
    <t>Shipment Events</t>
  </si>
  <si>
    <t>Show Notify Party</t>
  </si>
  <si>
    <t>Notify Party Org/Address</t>
  </si>
  <si>
    <t>Notify Organization</t>
  </si>
  <si>
    <t>NPP_OHPK</t>
  </si>
  <si>
    <t>(CASE WHEN JKEvent01 is Null AND JKEvent02 is Null AND JKEvent03 is Null AND JKEvent04 is Null AND JKEvent05 is Null AND JKEvent06 is Null AND JKEvent07 is Null AND JKEvent08 is Null THEN 'M' 
 WHEN isNull(&lt;Show Consol Event Time&gt;,'')='Y' AND 
 (JKEvent01 is Not Null OR JKEvent02 is NOT Null OR JKEvent03 is NOT Null OR JKEvent04 is NOT Null OR JKEvent05 is NOT Null 
 OR JKEvent06 is NOT Null OR JKEvent07 is NOT Null OR JKEvent08 is NOT Null) THEN 'H' END)</t>
  </si>
  <si>
    <t>Leg Load Location</t>
  </si>
  <si>
    <t>Leg Port, ETD and ETA Filters</t>
  </si>
  <si>
    <t>Only First Leg</t>
  </si>
  <si>
    <t>Leg Discharge Location</t>
  </si>
  <si>
    <t>Only Last Leg</t>
  </si>
  <si>
    <t>Job Created</t>
  </si>
  <si>
    <t>JobCreatedDate</t>
  </si>
  <si>
    <t>Job Local Client</t>
  </si>
  <si>
    <t>LocalClientPK</t>
  </si>
  <si>
    <t>Job Branch</t>
  </si>
  <si>
    <t>branch multiple selection lookup</t>
  </si>
  <si>
    <t>Transaction Recognized</t>
  </si>
  <si>
    <t>Job Revenue Recognition Date</t>
  </si>
  <si>
    <t xml:space="preserve">SubstituteMinDateForNullFrom </t>
  </si>
  <si>
    <t xml:space="preserve">SubstituteMaxDateForNullTo </t>
  </si>
  <si>
    <t>RequireBothFromAndToDates</t>
  </si>
  <si>
    <t>ETDLeg</t>
  </si>
  <si>
    <t>ETALeg</t>
  </si>
  <si>
    <t>daterangemaxmonths</t>
  </si>
  <si>
    <t>Reference Numbers</t>
  </si>
  <si>
    <t>RefType01</t>
  </si>
  <si>
    <t>RefNum01</t>
  </si>
  <si>
    <t>RefType02</t>
  </si>
  <si>
    <t>RefNum02</t>
  </si>
  <si>
    <t>RefType03</t>
  </si>
  <si>
    <t>RefNum03</t>
  </si>
  <si>
    <t>RefType04</t>
  </si>
  <si>
    <t>RefNum04</t>
  </si>
  <si>
    <t>RefType05</t>
  </si>
  <si>
    <t>RefNum05</t>
  </si>
  <si>
    <t>Reference Filter</t>
  </si>
  <si>
    <t>Only Miss Reference Number</t>
  </si>
  <si>
    <t>Only Have Reference Number</t>
  </si>
  <si>
    <t>(CASE WHEN Ref01 is Null AND Ref02 is Null AND Ref03 is Null AND Ref04 is Null AND Ref05 is Null AND Ref06 is Null AND Ref07 is Null AND Ref08 is Null AND Ref09 is Null AND Ref10 is Null THEN 'M' 
 WHEN (Ref01 is Not Null OR Ref02 is Not Null OR Ref03 is Not Null OR Ref04 is Not Null OR Ref05 is Not Null OR Ref06 is Not Null OR Ref07 is Not Null OR Ref08 is Not Null OR Ref09 is Not Null OR Ref10 is Not Null) THEN 'H' END)</t>
  </si>
  <si>
    <t>RefType06</t>
  </si>
  <si>
    <t>RefNum06</t>
  </si>
  <si>
    <t>RefType07</t>
  </si>
  <si>
    <t>RefNum07</t>
  </si>
  <si>
    <t>RefType08</t>
  </si>
  <si>
    <t>RefNum08</t>
  </si>
  <si>
    <t>RefType09</t>
  </si>
  <si>
    <t>RefNum09</t>
  </si>
  <si>
    <t>RefType10</t>
  </si>
  <si>
    <t>RefNum10</t>
  </si>
  <si>
    <t xml:space="preserve">DSV Air &amp; Sea Ltd. (IL1) </t>
  </si>
  <si>
    <t xml:space="preserve">Origin: IL, Shipment Registered: From: 01-Jan-26 To: 09-Apr-26, </t>
  </si>
  <si>
    <t xml:space="preserve">
</t>
  </si>
  <si>
    <t>Only Listing Shipments that have Accounting/Workflow Job Headers in DSV Air &amp; Sea Ltd. (IL1)</t>
  </si>
  <si>
    <t>Shipment ID</t>
  </si>
  <si>
    <t>Origin Ctry</t>
  </si>
  <si>
    <t>Dest Ctry</t>
  </si>
  <si>
    <t>Master</t>
  </si>
  <si>
    <t>House Ref</t>
  </si>
  <si>
    <t>Additional Terms</t>
  </si>
  <si>
    <t>PPD/CCX</t>
  </si>
  <si>
    <t>Weight</t>
  </si>
  <si>
    <t>UQ</t>
  </si>
  <si>
    <t>Volume</t>
  </si>
  <si>
    <t>Chargeable</t>
  </si>
  <si>
    <t>Inner</t>
  </si>
  <si>
    <t>Outer</t>
  </si>
  <si>
    <t>Shipment Event (WHR - %)</t>
  </si>
  <si>
    <t>Origin ETD</t>
  </si>
  <si>
    <t>Dest ETA</t>
  </si>
  <si>
    <t>Leg Load Port</t>
  </si>
  <si>
    <t>Leg Discharge Port</t>
  </si>
  <si>
    <t>Leg ATD</t>
  </si>
  <si>
    <t>Leg ATA</t>
  </si>
  <si>
    <t>SAMS0337103</t>
  </si>
  <si>
    <t>ILTLV</t>
  </si>
  <si>
    <t>NLAMS</t>
  </si>
  <si>
    <t>70050870562</t>
  </si>
  <si>
    <t>AMS0337103</t>
  </si>
  <si>
    <t>FOB</t>
  </si>
  <si>
    <t>KG</t>
  </si>
  <si>
    <t>M3</t>
  </si>
  <si>
    <t>CTN</t>
  </si>
  <si>
    <t>PLT</t>
  </si>
  <si>
    <t>SEDC1658114</t>
  </si>
  <si>
    <t>INMAA</t>
  </si>
  <si>
    <t>16083499360</t>
  </si>
  <si>
    <t>ISR10051862</t>
  </si>
  <si>
    <t>DAP</t>
  </si>
  <si>
    <t>Chennai (ex Madras) (INMAA)</t>
  </si>
  <si>
    <t>CYLCA</t>
  </si>
  <si>
    <t>HKHKG</t>
  </si>
  <si>
    <t>SEDC1688913</t>
  </si>
  <si>
    <t>CAYYZ</t>
  </si>
  <si>
    <t>01437623401</t>
  </si>
  <si>
    <t>ISR10053192</t>
  </si>
  <si>
    <t>GRATH</t>
  </si>
  <si>
    <t>SEDC1726012</t>
  </si>
  <si>
    <t>60753067696</t>
  </si>
  <si>
    <t>ISR10055080</t>
  </si>
  <si>
    <t>DEFRA</t>
  </si>
  <si>
    <t>AEAUH</t>
  </si>
  <si>
    <t>SGOT0160722</t>
  </si>
  <si>
    <t>ILAFU</t>
  </si>
  <si>
    <t>SEMMX</t>
  </si>
  <si>
    <t>70051300443</t>
  </si>
  <si>
    <t>CFR</t>
  </si>
  <si>
    <t>700-51300443</t>
  </si>
  <si>
    <t>CIP</t>
  </si>
  <si>
    <t>STLV0144850</t>
  </si>
  <si>
    <t>JOAMM</t>
  </si>
  <si>
    <t>70074340490</t>
  </si>
  <si>
    <t>ISR10055197</t>
  </si>
  <si>
    <t>STLV0144985</t>
  </si>
  <si>
    <t>11411144455</t>
  </si>
  <si>
    <t>ORI07842520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</si>
</sst>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409]dd\-mmm\-yy;@"/>
    <numFmt numFmtId="166" formatCode="[$-409]d\-mmm\-yy;@"/>
    <numFmt numFmtId="169" formatCode="yyyy\-mm\-dd\ hh:mm:ss"/>
    <numFmt numFmtId="170" formatCode="dd\-mmm\-yy\ hh:mm:ss"/>
  </numFmts>
  <fonts count="43" x14ac:knownFonts="1">
    <font>
      <sz val="11"/>
      <color theme="1"/>
      <name val="Calibri"/>
      <scheme val="minor"/>
    </font>
    <font>
      <sz val="11"/>
      <color indexed="8"/>
      <name val="Calibri"/>
      <family val="2"/>
    </font>
    <font>
      <sz val="8"/>
      <name val="Arial"/>
      <family val="2"/>
    </font>
    <font>
      <sz val="10"/>
      <name val="Arial"/>
      <family val="2"/>
    </font>
    <font>
      <b/>
      <sz val="8"/>
      <name val="Arial"/>
      <family val="2"/>
    </font>
    <font>
      <sz val="16"/>
      <name val="Arial"/>
      <family val="2"/>
    </font>
    <font>
      <sz val="14"/>
      <name val="Arial"/>
      <family val="2"/>
    </font>
    <font>
      <sz val="8"/>
      <name val="Arial"/>
      <family val="2"/>
    </font>
    <font>
      <b/>
      <sz val="10"/>
      <color indexed="18"/>
      <name val="Arial"/>
      <family val="2"/>
    </font>
    <font>
      <sz val="10"/>
      <name val="Arial"/>
      <family val="2"/>
      <charset val="204"/>
    </font>
    <font>
      <sz val="10"/>
      <name val="Arial"/>
      <family val="2"/>
      <charset val="204"/>
    </font>
    <font>
      <b/>
      <sz val="10"/>
      <color indexed="18"/>
      <name val="Arial"/>
      <family val="2"/>
      <charset val="204"/>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Calibri"/>
      <family val="2"/>
    </font>
    <font>
      <b/>
      <sz val="10"/>
      <color indexed="18"/>
      <name val="Calibri"/>
      <family val="2"/>
    </font>
    <font>
      <sz val="10"/>
      <name val="Arial"/>
      <family val="2"/>
    </font>
    <font>
      <sz val="11"/>
      <color theme="1"/>
      <name val="Calibri"/>
      <family val="2"/>
      <scheme val="minor"/>
    </font>
    <font>
      <sz val="10"/>
      <color theme="1"/>
      <name val="Arial"/>
      <family val="2"/>
    </font>
    <font>
      <sz val="8"/>
      <color rgb="FF0070C0"/>
      <name val="Arial"/>
      <family val="2"/>
    </font>
    <font>
      <sz val="10"/>
      <name val="Calibri"/>
      <family val="2"/>
      <scheme val="minor"/>
    </font>
    <font>
      <sz val="10"/>
      <color indexed="8"/>
      <name val="Calibri"/>
      <family val="2"/>
      <scheme val="minor"/>
    </font>
    <font>
      <sz val="10"/>
      <color rgb="FFFF0000"/>
      <name val="Calibri"/>
      <family val="2"/>
      <scheme val="minor"/>
    </font>
    <font>
      <b/>
      <sz val="10"/>
      <color indexed="18"/>
      <name val="Calibri"/>
      <family val="2"/>
      <scheme val="minor"/>
    </font>
    <font>
      <b/>
      <sz val="8"/>
      <color rgb="FF00B050"/>
      <name val="Arial"/>
      <family val="2"/>
    </font>
    <font>
      <sz val="10"/>
      <color theme="1"/>
      <name val="Calibri"/>
      <family val="2"/>
    </font>
    <font>
      <b/>
      <sz val="10"/>
      <color rgb="FF002060"/>
      <name val="Calibri"/>
      <family val="2"/>
      <scheme val="minor"/>
    </font>
    <font>
      <sz val="10"/>
      <color theme="1"/>
      <name val="Calibri"/>
      <family val="2"/>
      <scheme val="minor"/>
    </font>
    <font>
      <sz val="10"/>
      <color theme="1"/>
      <name val="Arial"/>
      <family val="2"/>
      <charset val="204"/>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auto="1"/>
      </patternFill>
    </fill>
    <fill>
      <patternFill patternType="solid">
        <fgColor rgb="FFFFFF00"/>
        <bgColor auto="1"/>
      </patternFill>
    </fill>
    <fill>
      <patternFill patternType="solid">
        <fgColor theme="3" tint="0.79995117038483843"/>
        <bgColor auto="1"/>
      </patternFill>
    </fill>
    <fill>
      <patternFill patternType="solid">
        <fgColor theme="0" tint="-0.14996795556505021"/>
        <bgColor auto="1"/>
      </patternFill>
    </fill>
    <fill>
      <patternFill patternType="solid">
        <fgColor theme="0" tint="-0.14993743705557422"/>
        <bgColor auto="1"/>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auto="1"/>
      </bottom>
      <diagonal/>
    </border>
  </borders>
  <cellStyleXfs count="60">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2" fillId="12"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9" borderId="0" applyNumberFormat="0" applyBorder="0" applyAlignment="0" applyProtection="0"/>
    <xf numFmtId="0" fontId="13" fillId="3" borderId="0" applyNumberFormat="0" applyBorder="0" applyAlignment="0" applyProtection="0"/>
    <xf numFmtId="0" fontId="14" fillId="20" borderId="1" applyNumberFormat="0" applyAlignment="0" applyProtection="0"/>
    <xf numFmtId="0" fontId="15" fillId="21" borderId="2" applyNumberFormat="0" applyAlignment="0" applyProtection="0"/>
    <xf numFmtId="164" fontId="3" fillId="0" borderId="0" applyFont="0" applyFill="0" applyBorder="0" applyAlignment="0" applyProtection="0"/>
    <xf numFmtId="164" fontId="31" fillId="0" borderId="0" applyFont="0" applyFill="0" applyBorder="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0" borderId="3" applyNumberFormat="0" applyFill="0" applyAlignment="0" applyProtection="0"/>
    <xf numFmtId="0" fontId="19" fillId="0" borderId="4" applyNumberFormat="0" applyFill="0" applyAlignment="0" applyProtection="0"/>
    <xf numFmtId="0" fontId="20" fillId="0" borderId="5" applyNumberFormat="0" applyFill="0" applyAlignment="0" applyProtection="0"/>
    <xf numFmtId="0" fontId="20" fillId="0" borderId="0" applyNumberFormat="0" applyFill="0" applyBorder="0" applyAlignment="0" applyProtection="0"/>
    <xf numFmtId="0" fontId="21" fillId="7" borderId="1" applyNumberFormat="0" applyAlignment="0" applyProtection="0"/>
    <xf numFmtId="0" fontId="22" fillId="0" borderId="6" applyNumberFormat="0" applyFill="0" applyAlignment="0" applyProtection="0"/>
    <xf numFmtId="0" fontId="23" fillId="22" borderId="0" applyNumberFormat="0" applyBorder="0" applyAlignment="0" applyProtection="0"/>
    <xf numFmtId="0" fontId="3" fillId="0" borderId="0"/>
    <xf numFmtId="0" fontId="3" fillId="0" borderId="0"/>
    <xf numFmtId="0" fontId="9" fillId="0" borderId="0"/>
    <xf numFmtId="0" fontId="31" fillId="0" borderId="0"/>
    <xf numFmtId="0" fontId="31" fillId="0" borderId="0"/>
    <xf numFmtId="0" fontId="3" fillId="0" borderId="0"/>
    <xf numFmtId="0" fontId="31" fillId="0" borderId="0"/>
    <xf numFmtId="0" fontId="3" fillId="0" borderId="0"/>
    <xf numFmtId="0" fontId="30" fillId="0" borderId="0"/>
    <xf numFmtId="0" fontId="31" fillId="0" borderId="0"/>
    <xf numFmtId="0" fontId="3" fillId="0" borderId="0"/>
    <xf numFmtId="0" fontId="31" fillId="0" borderId="0"/>
    <xf numFmtId="0" fontId="31" fillId="0" borderId="0"/>
    <xf numFmtId="0" fontId="3" fillId="0" borderId="0"/>
    <xf numFmtId="0" fontId="31" fillId="0" borderId="0"/>
    <xf numFmtId="0" fontId="31" fillId="0" borderId="0"/>
    <xf numFmtId="0" fontId="9" fillId="23" borderId="7" applyNumberFormat="0" applyFont="0" applyAlignment="0" applyProtection="0"/>
    <xf numFmtId="0" fontId="24" fillId="20" borderId="8" applyNumberFormat="0" applyAlignment="0" applyProtection="0"/>
    <xf numFmtId="0" fontId="25" fillId="0" borderId="0" applyNumberFormat="0" applyFill="0" applyBorder="0" applyAlignment="0" applyProtection="0"/>
    <xf numFmtId="0" fontId="26" fillId="0" borderId="9" applyNumberFormat="0" applyFill="0" applyAlignment="0" applyProtection="0"/>
    <xf numFmtId="0" fontId="27" fillId="0" borderId="0" applyNumberFormat="0" applyFill="0" applyBorder="0" applyAlignment="0" applyProtection="0"/>
  </cellStyleXfs>
  <cellXfs count="78">
    <xf numFmtId="0" fontId="0" fillId="0" borderId="0" xfId="0"/>
    <xf numFmtId="0" fontId="3" fillId="0" borderId="0" xfId="0" applyFont="1"/>
    <xf numFmtId="0" fontId="0" fillId="0" borderId="0" xfId="0" applyAlignment="1">
      <alignment horizontal="left"/>
    </xf>
    <xf numFmtId="0" fontId="3" fillId="0" borderId="0" xfId="0" applyFont="1" applyAlignment="1">
      <alignment horizontal="left"/>
    </xf>
    <xf numFmtId="0" fontId="3" fillId="0" borderId="0" xfId="0" applyFont="1" applyAlignment="1">
      <alignment horizontal="right"/>
    </xf>
    <xf numFmtId="0" fontId="0" fillId="0" borderId="0" xfId="0" applyAlignment="1">
      <alignment horizontal="right"/>
    </xf>
    <xf numFmtId="0" fontId="2" fillId="0" borderId="0" xfId="0" applyFont="1" applyAlignment="1">
      <alignment horizontal="left"/>
    </xf>
    <xf numFmtId="166" fontId="0" fillId="0" borderId="0" xfId="0" applyNumberFormat="1"/>
    <xf numFmtId="0" fontId="5" fillId="0" borderId="0" xfId="0" applyFont="1" applyAlignment="1">
      <alignment horizontal="left"/>
    </xf>
    <xf numFmtId="0" fontId="2" fillId="0" borderId="0" xfId="0" applyFont="1"/>
    <xf numFmtId="0" fontId="6" fillId="0" borderId="0" xfId="0" applyFont="1" applyAlignment="1">
      <alignment horizontal="left"/>
    </xf>
    <xf numFmtId="0" fontId="6" fillId="0" borderId="0" xfId="0" applyFont="1" applyAlignment="1">
      <alignment horizontal="right"/>
    </xf>
    <xf numFmtId="0" fontId="2" fillId="0" borderId="0" xfId="0" applyFont="1" applyAlignment="1">
      <alignment horizontal="right"/>
    </xf>
    <xf numFmtId="0" fontId="6" fillId="0" borderId="0" xfId="0" applyFont="1" applyAlignment="1">
      <alignment horizontal="centerContinuous"/>
    </xf>
    <xf numFmtId="0" fontId="4" fillId="0" borderId="0" xfId="0" applyFont="1" applyAlignment="1">
      <alignment horizontal="left" vertical="top"/>
    </xf>
    <xf numFmtId="0" fontId="3"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centerContinuous" vertical="top"/>
    </xf>
    <xf numFmtId="0" fontId="3" fillId="0" borderId="0" xfId="0" applyFont="1" applyAlignment="1">
      <alignment horizontal="left" vertical="top"/>
    </xf>
    <xf numFmtId="0" fontId="6" fillId="0" borderId="0" xfId="0" applyFont="1" applyAlignment="1">
      <alignment horizontal="right" vertical="top"/>
    </xf>
    <xf numFmtId="0" fontId="6" fillId="0" borderId="0" xfId="0" applyFont="1" applyAlignment="1">
      <alignment horizontal="left" vertical="top"/>
    </xf>
    <xf numFmtId="0" fontId="3" fillId="0" borderId="0" xfId="0" applyFont="1" applyAlignment="1">
      <alignment horizontal="right" vertical="top"/>
    </xf>
    <xf numFmtId="0" fontId="7" fillId="0" borderId="0" xfId="0" applyFont="1"/>
    <xf numFmtId="0" fontId="7" fillId="0" borderId="0" xfId="0" applyFont="1" applyAlignment="1">
      <alignment horizontal="right"/>
    </xf>
    <xf numFmtId="0" fontId="7" fillId="0" borderId="0" xfId="0" applyFont="1" applyAlignment="1">
      <alignment horizontal="left"/>
    </xf>
    <xf numFmtId="166" fontId="7" fillId="0" borderId="0" xfId="0" applyNumberFormat="1" applyFont="1"/>
    <xf numFmtId="0" fontId="7" fillId="0" borderId="0" xfId="0" applyFont="1" applyAlignment="1">
      <alignment vertical="center" wrapText="1"/>
    </xf>
    <xf numFmtId="0" fontId="4" fillId="24" borderId="10" xfId="0" applyFont="1" applyFill="1" applyBorder="1" applyAlignment="1">
      <alignment vertical="center" wrapText="1"/>
    </xf>
    <xf numFmtId="0" fontId="4" fillId="24" borderId="10" xfId="0" applyFont="1" applyFill="1" applyBorder="1" applyAlignment="1">
      <alignment horizontal="left" vertical="center" wrapText="1"/>
    </xf>
    <xf numFmtId="0" fontId="4" fillId="24" borderId="10" xfId="0" applyFont="1" applyFill="1" applyBorder="1" applyAlignment="1">
      <alignment horizontal="right" vertical="center" wrapText="1"/>
    </xf>
    <xf numFmtId="0" fontId="7" fillId="0" borderId="0" xfId="0" applyFont="1" applyAlignment="1">
      <alignment vertical="top"/>
    </xf>
    <xf numFmtId="0" fontId="7" fillId="0" borderId="0" xfId="0" applyFont="1" applyAlignment="1">
      <alignment horizontal="left" vertical="top"/>
    </xf>
    <xf numFmtId="165" fontId="7" fillId="0" borderId="0" xfId="0" applyNumberFormat="1" applyFont="1" applyAlignment="1">
      <alignment horizontal="left" vertical="top"/>
    </xf>
    <xf numFmtId="2" fontId="7" fillId="0" borderId="0" xfId="0" applyNumberFormat="1" applyFont="1" applyAlignment="1">
      <alignment horizontal="right" vertical="top"/>
    </xf>
    <xf numFmtId="0" fontId="7" fillId="0" borderId="0" xfId="0" applyFont="1" applyAlignment="1">
      <alignment horizontal="right" vertical="top"/>
    </xf>
    <xf numFmtId="0" fontId="2" fillId="0" borderId="0" xfId="0" applyFont="1" applyAlignment="1">
      <alignment vertical="center" wrapText="1"/>
    </xf>
    <xf numFmtId="0" fontId="11" fillId="0" borderId="0" xfId="0" applyFont="1" applyAlignment="1">
      <alignment vertical="center"/>
    </xf>
    <xf numFmtId="0" fontId="10" fillId="0" borderId="0" xfId="0" applyFont="1" applyAlignment="1">
      <alignment vertical="center"/>
    </xf>
    <xf numFmtId="0" fontId="32" fillId="0" borderId="0" xfId="0" applyFont="1" applyAlignment="1">
      <alignment vertical="center"/>
    </xf>
    <xf numFmtId="0" fontId="33" fillId="0" borderId="0" xfId="0" applyFont="1" applyAlignment="1">
      <alignment vertical="center"/>
    </xf>
    <xf numFmtId="0" fontId="33" fillId="0" borderId="0" xfId="0" applyFont="1" applyAlignment="1">
      <alignment horizontal="left"/>
    </xf>
    <xf numFmtId="0" fontId="33" fillId="0" borderId="0" xfId="0" applyFont="1"/>
    <xf numFmtId="0" fontId="33" fillId="0" borderId="0" xfId="0" applyFont="1" applyAlignment="1">
      <alignment vertical="top"/>
    </xf>
    <xf numFmtId="0" fontId="9" fillId="0" borderId="0" xfId="0" applyFont="1" applyAlignment="1">
      <alignment vertical="center"/>
    </xf>
    <xf numFmtId="0" fontId="3" fillId="0" borderId="0" xfId="53" applyFont="1"/>
    <xf numFmtId="0" fontId="2" fillId="0" borderId="0" xfId="53" applyFont="1"/>
    <xf numFmtId="0" fontId="3" fillId="0" borderId="0" xfId="53" applyFont="1" applyAlignment="1">
      <alignment vertical="top"/>
    </xf>
    <xf numFmtId="0" fontId="4" fillId="24" borderId="10" xfId="53" applyFont="1" applyFill="1" applyBorder="1" applyAlignment="1">
      <alignment vertical="center" wrapText="1"/>
    </xf>
    <xf numFmtId="0" fontId="2" fillId="26" borderId="0" xfId="53" applyFont="1" applyFill="1" applyAlignment="1">
      <alignment vertical="top"/>
    </xf>
    <xf numFmtId="15" fontId="2" fillId="26" borderId="0" xfId="53" applyNumberFormat="1" applyFont="1" applyFill="1" applyAlignment="1">
      <alignment vertical="top"/>
    </xf>
    <xf numFmtId="0" fontId="34" fillId="0" borderId="0" xfId="52" applyFont="1"/>
    <xf numFmtId="0" fontId="34" fillId="0" borderId="0" xfId="51" applyFont="1" applyAlignment="1">
      <alignment vertical="center"/>
    </xf>
    <xf numFmtId="0" fontId="35" fillId="0" borderId="0" xfId="52" applyFont="1"/>
    <xf numFmtId="0" fontId="36" fillId="0" borderId="0" xfId="52" applyFont="1"/>
    <xf numFmtId="0" fontId="8" fillId="0" borderId="0" xfId="54" applyFont="1"/>
    <xf numFmtId="0" fontId="31" fillId="0" borderId="0" xfId="54"/>
    <xf numFmtId="0" fontId="37" fillId="25" borderId="0" xfId="51" applyFont="1" applyFill="1" applyAlignment="1">
      <alignment vertical="center"/>
    </xf>
    <xf numFmtId="0" fontId="34" fillId="25" borderId="0" xfId="51" applyFont="1" applyFill="1" applyAlignment="1">
      <alignment vertical="center"/>
    </xf>
    <xf numFmtId="0" fontId="11" fillId="25" borderId="0" xfId="0" applyFont="1" applyFill="1" applyAlignment="1">
      <alignment vertical="center"/>
    </xf>
    <xf numFmtId="0" fontId="10" fillId="25" borderId="0" xfId="0" applyFont="1" applyFill="1" applyAlignment="1">
      <alignment vertical="center"/>
    </xf>
    <xf numFmtId="0" fontId="9" fillId="25" borderId="0" xfId="0" applyFont="1" applyFill="1" applyAlignment="1">
      <alignment vertical="center"/>
    </xf>
    <xf numFmtId="0" fontId="32" fillId="25" borderId="0" xfId="0" applyFont="1" applyFill="1" applyAlignment="1">
      <alignment vertical="center"/>
    </xf>
    <xf numFmtId="0" fontId="32" fillId="25" borderId="0" xfId="51" applyFont="1" applyFill="1"/>
    <xf numFmtId="169" fontId="38" fillId="24" borderId="10" xfId="50" applyNumberFormat="1" applyFont="1" applyFill="1" applyBorder="1" applyAlignment="1">
      <alignment vertical="center" wrapText="1"/>
    </xf>
    <xf numFmtId="0" fontId="29" fillId="27" borderId="0" xfId="51" applyFont="1" applyFill="1" applyAlignment="1">
      <alignment vertical="center"/>
    </xf>
    <xf numFmtId="0" fontId="28" fillId="27" borderId="0" xfId="51" applyFont="1" applyFill="1" applyAlignment="1">
      <alignment vertical="center"/>
    </xf>
    <xf numFmtId="0" fontId="39" fillId="27" borderId="0" xfId="51" applyFont="1" applyFill="1" applyAlignment="1">
      <alignment vertical="center"/>
    </xf>
    <xf numFmtId="0" fontId="40" fillId="28" borderId="0" xfId="51" applyFont="1" applyFill="1" applyAlignment="1">
      <alignment vertical="center"/>
    </xf>
    <xf numFmtId="0" fontId="41" fillId="28" borderId="0" xfId="51" applyFont="1" applyFill="1" applyAlignment="1">
      <alignment vertical="center"/>
    </xf>
    <xf numFmtId="0" fontId="42" fillId="28" borderId="0" xfId="51" applyFont="1" applyFill="1" applyAlignment="1">
      <alignment vertical="center"/>
    </xf>
    <xf numFmtId="0" fontId="41" fillId="28" borderId="0" xfId="51" applyFont="1" applyFill="1" applyAlignment="1">
      <alignment vertical="center" wrapText="1"/>
    </xf>
    <xf numFmtId="170" fontId="2" fillId="0" borderId="0" xfId="0" applyNumberFormat="1" applyFont="1" applyAlignment="1">
      <alignment vertical="top"/>
    </xf>
    <xf numFmtId="0" fontId="29" fillId="28" borderId="0" xfId="51" applyFont="1" applyFill="1" applyAlignment="1">
      <alignment vertical="center"/>
    </xf>
    <xf numFmtId="0" fontId="28" fillId="28" borderId="0" xfId="51" applyFont="1" applyFill="1" applyAlignment="1">
      <alignment vertical="center"/>
    </xf>
    <xf numFmtId="0" fontId="39" fillId="28" borderId="0" xfId="51" applyFont="1" applyFill="1" applyAlignment="1">
      <alignment vertical="center"/>
    </xf>
    <xf numFmtId="0" fontId="3" fillId="0" borderId="0" xfId="39"/>
    <xf numFmtId="0" fontId="8" fillId="0" borderId="0" xfId="39" applyFont="1"/>
    <xf numFmtId="0" fontId="36" fillId="0" borderId="0" xfId="0" applyFont="1" applyAlignment="1">
      <alignment horizontal="left" vertical="top"/>
    </xf>
  </cellXfs>
  <cellStyles count="60">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Calculation 2" xfId="26" xr:uid="{00000000-0005-0000-0000-000019000000}"/>
    <cellStyle name="Check Cell 2" xfId="27" xr:uid="{00000000-0005-0000-0000-00001A000000}"/>
    <cellStyle name="Comma 2" xfId="28" xr:uid="{00000000-0005-0000-0000-00001C000000}"/>
    <cellStyle name="Comma 3" xfId="29" xr:uid="{00000000-0005-0000-0000-00001D000000}"/>
    <cellStyle name="Explanatory Text 2" xfId="30" xr:uid="{00000000-0005-0000-0000-000020000000}"/>
    <cellStyle name="Good 2" xfId="31" xr:uid="{00000000-0005-0000-0000-000021000000}"/>
    <cellStyle name="Heading 1 2" xfId="32" xr:uid="{00000000-0005-0000-0000-000022000000}"/>
    <cellStyle name="Heading 2 2" xfId="33" xr:uid="{00000000-0005-0000-0000-000023000000}"/>
    <cellStyle name="Heading 3 2" xfId="34" xr:uid="{00000000-0005-0000-0000-000024000000}"/>
    <cellStyle name="Heading 4 2" xfId="35" xr:uid="{00000000-0005-0000-0000-000025000000}"/>
    <cellStyle name="Input 2" xfId="36" xr:uid="{00000000-0005-0000-0000-000026000000}"/>
    <cellStyle name="Linked Cell 2" xfId="37" xr:uid="{00000000-0005-0000-0000-000027000000}"/>
    <cellStyle name="Neutral 2" xfId="38" xr:uid="{00000000-0005-0000-0000-000028000000}"/>
    <cellStyle name="Normal" xfId="0" builtinId="0"/>
    <cellStyle name="Normal 2" xfId="39" xr:uid="{00000000-0005-0000-0000-00002A000000}"/>
    <cellStyle name="Normal 2 2" xfId="40" xr:uid="{00000000-0005-0000-0000-00002B000000}"/>
    <cellStyle name="Normal 2 3" xfId="41" xr:uid="{00000000-0005-0000-0000-00002C000000}"/>
    <cellStyle name="Normal 2 4" xfId="42" xr:uid="{00000000-0005-0000-0000-00002D000000}"/>
    <cellStyle name="Normal 2_Filter" xfId="43" xr:uid="{00000000-0005-0000-0000-00002E000000}"/>
    <cellStyle name="Normal 3 2" xfId="44" xr:uid="{00000000-0005-0000-0000-00002F000000}"/>
    <cellStyle name="Normal 3 3" xfId="45" xr:uid="{00000000-0005-0000-0000-000030000000}"/>
    <cellStyle name="Normal 4" xfId="46" xr:uid="{00000000-0005-0000-0000-000031000000}"/>
    <cellStyle name="Normal 5" xfId="47" xr:uid="{00000000-0005-0000-0000-000032000000}"/>
    <cellStyle name="Normal 6" xfId="48" xr:uid="{00000000-0005-0000-0000-000033000000}"/>
    <cellStyle name="Normal 9" xfId="49" xr:uid="{00000000-0005-0000-0000-000034000000}"/>
    <cellStyle name="Normal_CSP with No Packing Details" xfId="50" xr:uid="{00000000-0005-0000-0000-000035000000}"/>
    <cellStyle name="Normal_Filter" xfId="51" xr:uid="{00000000-0005-0000-0000-000037000000}"/>
    <cellStyle name="Normal_Filter_1" xfId="52" xr:uid="{00000000-0005-0000-0000-000038000000}"/>
    <cellStyle name="Normal_Shipment Profile_1" xfId="53" xr:uid="{00000000-0005-0000-0000-00003A000000}"/>
    <cellStyle name="Normal_Sort" xfId="54" xr:uid="{00000000-0005-0000-0000-00003B000000}"/>
    <cellStyle name="Note 2" xfId="55" xr:uid="{00000000-0005-0000-0000-00003C000000}"/>
    <cellStyle name="Output 2" xfId="56" xr:uid="{00000000-0005-0000-0000-00003D000000}"/>
    <cellStyle name="Title 2" xfId="57" xr:uid="{00000000-0005-0000-0000-00003E000000}"/>
    <cellStyle name="Total 2" xfId="58" xr:uid="{00000000-0005-0000-0000-00003F000000}"/>
    <cellStyle name="Warning Text 2" xfId="59" xr:uid="{00000000-0005-0000-0000-000040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C30"/>
  <sheetViews>
    <sheetView tabSelected="1" topLeftCell="C1" zoomScale="225" workbookViewId="0">
      <selection activeCell="F28" sqref="F28"/>
    </sheetView>
  </sheetViews>
  <sheetFormatPr baseColWidth="10" defaultColWidth="9.1640625" defaultRowHeight="15" x14ac:dyDescent="0.2"/>
  <cols>
    <col min="1" max="1" width="0" style="41" hidden="1" customWidth="1"/>
    <col min="2" max="2" width="0.5" customWidth="1"/>
    <col min="3" max="3" width="15.5" customWidth="1"/>
    <col min="4" max="5" width="9.5" customWidth="1"/>
    <col min="6" max="7" width="10.5" customWidth="1"/>
    <col min="8" max="9" width="18.5" customWidth="1"/>
    <col min="10" max="10" width="6.5" style="2" customWidth="1"/>
    <col min="11" max="11" width="23.5" style="2" customWidth="1"/>
    <col min="12" max="12" width="7.83203125" style="2" customWidth="1"/>
    <col min="13" max="13" width="11.5" style="5" customWidth="1"/>
    <col min="14" max="14" width="6.5" style="2" customWidth="1"/>
    <col min="15" max="15" width="11.83203125" style="5" customWidth="1"/>
    <col min="16" max="16" width="5.5" style="2" customWidth="1"/>
    <col min="17" max="17" width="11.5" style="5" customWidth="1"/>
    <col min="18" max="18" width="6" style="2" customWidth="1"/>
    <col min="19" max="19" width="11.5" style="5" customWidth="1"/>
    <col min="20" max="20" width="6" style="2" customWidth="1"/>
    <col min="21" max="21" width="11.5" style="5" customWidth="1"/>
    <col min="22" max="22" width="5.83203125" style="2" customWidth="1"/>
    <col min="23" max="23" width="15.5" customWidth="1"/>
    <col min="24" max="25" width="10.5" customWidth="1"/>
    <col min="26" max="29" width="9" customWidth="1"/>
  </cols>
  <sheetData>
    <row r="1" spans="1:29" s="9" customFormat="1" ht="20.25" customHeight="1" x14ac:dyDescent="0.2">
      <c r="A1" s="41"/>
      <c r="B1" s="8" t="s">
        <v>357</v>
      </c>
      <c r="C1" s="8"/>
      <c r="D1" s="2"/>
      <c r="E1" s="2"/>
      <c r="F1" s="2"/>
      <c r="G1" s="2"/>
      <c r="I1" s="2"/>
      <c r="J1" s="2"/>
      <c r="K1" s="2"/>
      <c r="L1" s="6"/>
      <c r="M1" s="5"/>
      <c r="N1" s="10"/>
      <c r="O1" s="11"/>
      <c r="P1" s="6"/>
      <c r="Q1" s="12"/>
      <c r="R1" s="6"/>
      <c r="S1" s="12"/>
      <c r="T1" s="6"/>
      <c r="U1" s="12"/>
      <c r="V1" s="6"/>
      <c r="X1" s="2"/>
      <c r="Y1" s="2"/>
      <c r="Z1" s="45"/>
      <c r="AA1" s="45"/>
      <c r="AB1" s="45"/>
      <c r="AC1" s="45"/>
    </row>
    <row r="2" spans="1:29" s="1" customFormat="1" ht="18" customHeight="1" x14ac:dyDescent="0.2">
      <c r="A2" s="41"/>
      <c r="B2" s="10" t="s">
        <v>0</v>
      </c>
      <c r="C2" s="10"/>
      <c r="D2" s="13"/>
      <c r="E2" s="13"/>
      <c r="F2" s="13"/>
      <c r="G2" s="13"/>
      <c r="I2" s="13"/>
      <c r="J2" s="2"/>
      <c r="K2" s="2"/>
      <c r="L2" s="3"/>
      <c r="M2" s="11"/>
      <c r="N2" s="10"/>
      <c r="O2" s="11"/>
      <c r="P2" s="6"/>
      <c r="Q2" s="4"/>
      <c r="R2" s="3"/>
      <c r="S2" s="4"/>
      <c r="T2" s="3"/>
      <c r="U2" s="4"/>
      <c r="V2" s="3"/>
      <c r="X2" s="13"/>
      <c r="Y2" s="13"/>
      <c r="Z2" s="44"/>
      <c r="AA2" s="44"/>
      <c r="AB2" s="44"/>
      <c r="AC2" s="44"/>
    </row>
    <row r="3" spans="1:29" s="15" customFormat="1" ht="11.25" customHeight="1" x14ac:dyDescent="0.2">
      <c r="A3" s="42"/>
      <c r="B3" s="14" t="str">
        <f>"Shipment Filters: "</f>
        <v xml:space="preserve">Shipment Filters: </v>
      </c>
      <c r="C3" s="14"/>
      <c r="D3" s="16"/>
      <c r="E3" s="16"/>
      <c r="F3" s="16"/>
      <c r="G3" s="16"/>
      <c r="I3" s="17"/>
      <c r="J3" s="2"/>
      <c r="K3" s="2"/>
      <c r="L3" s="18"/>
      <c r="M3" s="19"/>
      <c r="N3" s="20"/>
      <c r="O3" s="19"/>
      <c r="P3" s="16"/>
      <c r="Q3" s="21"/>
      <c r="R3" s="18"/>
      <c r="S3" s="21"/>
      <c r="T3" s="18"/>
      <c r="U3" s="21"/>
      <c r="V3" s="18"/>
      <c r="X3" s="17"/>
      <c r="Y3" s="17"/>
      <c r="Z3" s="46"/>
      <c r="AA3" s="46"/>
      <c r="AB3" s="46"/>
      <c r="AC3" s="46"/>
    </row>
    <row r="4" spans="1:29" s="15" customFormat="1" ht="11.25" customHeight="1" x14ac:dyDescent="0.2">
      <c r="A4" s="42"/>
      <c r="B4" s="16" t="str">
        <f xml:space="preserve"> IF("AIR"="","","Transport Mode: AIR, ")
 &amp;IF(""="","","Container Mode: , ")
 &amp;IF("3/1/2026 12:00:00 AM"="1/01/1900","","ETD: From: 01-Mar-26 To: 09-Apr-26, ")
 &amp;IF("1/1/1900 12:00:00 AM"="1/01/1900","","ETA: , ")
 &amp;IF("ALL"="","","Freight Direction: ALL, ")</f>
        <v xml:space="preserve">Transport Mode: AIR, ETD: From: 01-Mar-26 To: 09-Apr-26, ETA: , Freight Direction: ALL, </v>
      </c>
      <c r="C4" s="16"/>
      <c r="D4" s="16"/>
      <c r="E4" s="16"/>
      <c r="F4" s="16"/>
      <c r="G4" s="16"/>
      <c r="I4" s="17"/>
      <c r="J4" s="2"/>
      <c r="K4" s="2"/>
      <c r="L4" s="18"/>
      <c r="M4" s="19"/>
      <c r="N4" s="20"/>
      <c r="O4" s="19"/>
      <c r="P4" s="16"/>
      <c r="Q4" s="21"/>
      <c r="R4" s="18"/>
      <c r="S4" s="21"/>
      <c r="T4" s="18"/>
      <c r="U4" s="21"/>
      <c r="V4" s="18"/>
      <c r="X4" s="17"/>
      <c r="Y4" s="17"/>
      <c r="Z4" s="46"/>
      <c r="AA4" s="46"/>
      <c r="AB4" s="46"/>
      <c r="AC4" s="46"/>
    </row>
    <row r="5" spans="1:29" s="15" customFormat="1" ht="11.25" customHeight="1" x14ac:dyDescent="0.2">
      <c r="A5" s="42"/>
      <c r="B5" s="16" t="s">
        <v>358</v>
      </c>
      <c r="C5" s="16"/>
      <c r="D5" s="16"/>
      <c r="E5" s="16"/>
      <c r="F5" s="16"/>
      <c r="G5" s="16"/>
      <c r="I5" s="17"/>
      <c r="J5" s="18"/>
      <c r="K5" s="18"/>
      <c r="L5" s="18"/>
      <c r="M5" s="19"/>
      <c r="N5" s="20"/>
      <c r="O5" s="19"/>
      <c r="P5" s="16"/>
      <c r="Q5" s="21"/>
      <c r="R5" s="18"/>
      <c r="S5" s="21"/>
      <c r="T5" s="18"/>
      <c r="U5" s="21"/>
      <c r="V5" s="18"/>
      <c r="X5" s="17"/>
      <c r="Y5" s="17"/>
      <c r="Z5" s="46"/>
      <c r="AA5" s="46"/>
      <c r="AB5" s="46"/>
      <c r="AC5" s="46"/>
    </row>
    <row r="6" spans="1:29" s="15" customFormat="1" ht="11.25" customHeight="1" x14ac:dyDescent="0.2">
      <c r="A6" s="42"/>
      <c r="B6" s="14" t="str">
        <f>"Invoicing Job Filters:"</f>
        <v>Invoicing Job Filters:</v>
      </c>
      <c r="C6" s="14"/>
      <c r="D6" s="16"/>
      <c r="E6" s="16"/>
      <c r="F6" s="16"/>
      <c r="G6" s="16"/>
      <c r="I6" s="17"/>
      <c r="J6" s="18"/>
      <c r="K6" s="18"/>
      <c r="L6" s="18"/>
      <c r="M6" s="19"/>
      <c r="N6" s="20"/>
      <c r="O6" s="19"/>
      <c r="P6" s="16"/>
      <c r="Q6" s="21"/>
      <c r="R6" s="18"/>
      <c r="S6" s="21"/>
      <c r="T6" s="18"/>
      <c r="U6" s="21"/>
      <c r="V6" s="18"/>
      <c r="X6" s="17"/>
      <c r="Y6" s="17"/>
      <c r="Z6" s="46"/>
      <c r="AA6" s="46"/>
      <c r="AB6" s="46"/>
      <c r="AC6" s="46"/>
    </row>
    <row r="7" spans="1:29" s="15" customFormat="1" ht="0" hidden="1" customHeight="1" x14ac:dyDescent="0.2">
      <c r="A7" s="42"/>
      <c r="B7" s="16" t="s">
        <v>359</v>
      </c>
      <c r="C7" s="16"/>
      <c r="D7" s="16"/>
      <c r="E7" s="16"/>
      <c r="F7" s="16"/>
      <c r="G7" s="16"/>
      <c r="I7" s="17"/>
      <c r="J7" s="18"/>
      <c r="K7" s="18"/>
      <c r="L7" s="18"/>
      <c r="M7" s="19"/>
      <c r="N7" s="20"/>
      <c r="O7" s="19"/>
      <c r="P7" s="16"/>
      <c r="Q7" s="21"/>
      <c r="R7" s="18"/>
      <c r="S7" s="21"/>
      <c r="T7" s="18"/>
      <c r="U7" s="21"/>
      <c r="V7" s="18"/>
      <c r="X7" s="17"/>
      <c r="Y7" s="17"/>
      <c r="Z7" s="46"/>
      <c r="AA7" s="46"/>
      <c r="AB7" s="46"/>
      <c r="AC7" s="46"/>
    </row>
    <row r="8" spans="1:29" s="15" customFormat="1" ht="0" hidden="1" customHeight="1" x14ac:dyDescent="0.2">
      <c r="A8" s="42"/>
      <c r="B8" s="16" t="str">
        <f>IF(""="","","Job Revenue Recognition Date: ")</f>
        <v/>
      </c>
      <c r="C8" s="16"/>
      <c r="D8" s="16"/>
      <c r="E8" s="16"/>
      <c r="F8" s="16"/>
      <c r="G8" s="16"/>
      <c r="I8" s="17"/>
      <c r="J8" s="18"/>
      <c r="K8" s="18"/>
      <c r="L8" s="18"/>
      <c r="M8" s="19"/>
      <c r="N8" s="20"/>
      <c r="O8" s="19"/>
      <c r="P8" s="16"/>
      <c r="Q8" s="21"/>
      <c r="R8" s="18"/>
      <c r="S8" s="21"/>
      <c r="T8" s="18"/>
      <c r="U8" s="21"/>
      <c r="V8" s="18"/>
      <c r="X8" s="17"/>
      <c r="Y8" s="17"/>
      <c r="Z8" s="46"/>
      <c r="AA8" s="46"/>
      <c r="AB8" s="46"/>
      <c r="AC8" s="46"/>
    </row>
    <row r="9" spans="1:29" s="15" customFormat="1" ht="0" hidden="1" customHeight="1" x14ac:dyDescent="0.15">
      <c r="A9" s="41"/>
      <c r="B9" s="6" t="s">
        <v>360</v>
      </c>
      <c r="C9" s="16"/>
      <c r="D9" s="16"/>
      <c r="E9" s="16"/>
      <c r="F9" s="16"/>
      <c r="G9" s="16"/>
      <c r="I9" s="17"/>
      <c r="J9" s="18"/>
      <c r="K9" s="18"/>
      <c r="L9" s="18"/>
      <c r="M9" s="19"/>
      <c r="N9" s="20"/>
      <c r="O9" s="19"/>
      <c r="P9" s="16"/>
      <c r="Q9" s="21"/>
      <c r="R9" s="18"/>
      <c r="S9" s="21"/>
      <c r="T9" s="18"/>
      <c r="U9" s="21"/>
      <c r="V9" s="18"/>
      <c r="X9" s="17"/>
      <c r="Y9" s="17"/>
      <c r="Z9" s="46"/>
      <c r="AA9" s="46"/>
      <c r="AB9" s="46"/>
      <c r="AC9" s="46"/>
    </row>
    <row r="10" spans="1:29" s="15" customFormat="1" ht="0" hidden="1" customHeight="1" x14ac:dyDescent="0.15">
      <c r="A10" s="41"/>
      <c r="B10" s="6" t="str">
        <f>IF(""="","","Transactions Recognized Lines Posted ")</f>
        <v/>
      </c>
      <c r="C10" s="16"/>
      <c r="D10" s="16"/>
      <c r="E10" s="16"/>
      <c r="F10" s="16"/>
      <c r="G10" s="16"/>
      <c r="I10" s="17"/>
      <c r="J10" s="18"/>
      <c r="K10" s="18"/>
      <c r="L10" s="18"/>
      <c r="M10" s="19"/>
      <c r="N10" s="20"/>
      <c r="O10" s="19"/>
      <c r="P10" s="16"/>
      <c r="Q10" s="21"/>
      <c r="R10" s="18"/>
      <c r="S10" s="21"/>
      <c r="T10" s="18"/>
      <c r="U10" s="21"/>
      <c r="V10" s="18"/>
      <c r="X10" s="17"/>
      <c r="Y10" s="17"/>
      <c r="Z10" s="46"/>
      <c r="AA10" s="46"/>
      <c r="AB10" s="46"/>
      <c r="AC10" s="46"/>
    </row>
    <row r="11" spans="1:29" s="15" customFormat="1" ht="0" hidden="1" customHeight="1" x14ac:dyDescent="0.15">
      <c r="A11" s="41"/>
      <c r="B11" s="6" t="s">
        <v>193</v>
      </c>
      <c r="C11" s="16"/>
      <c r="D11" s="16"/>
      <c r="E11" s="16"/>
      <c r="F11" s="16"/>
      <c r="G11" s="16"/>
      <c r="I11" s="17"/>
      <c r="J11" s="18"/>
      <c r="K11" s="18"/>
      <c r="L11" s="18"/>
      <c r="M11" s="19"/>
      <c r="N11" s="20"/>
      <c r="O11" s="19"/>
      <c r="P11" s="16"/>
      <c r="Q11" s="21"/>
      <c r="R11" s="18"/>
      <c r="S11" s="21"/>
      <c r="T11" s="18"/>
      <c r="U11" s="21"/>
      <c r="V11" s="18"/>
      <c r="X11" s="17"/>
      <c r="Y11" s="17"/>
      <c r="Z11" s="46"/>
      <c r="AA11" s="46"/>
      <c r="AB11" s="46"/>
      <c r="AC11" s="46"/>
    </row>
    <row r="12" spans="1:29" s="15" customFormat="1" ht="11.25" customHeight="1" x14ac:dyDescent="0.15">
      <c r="A12" s="41"/>
      <c r="B12" s="9" t="str">
        <f>"Printed by Evgeni Rouvinsky  09-Apr-26 15:19"</f>
        <v>Printed by Evgeni Rouvinsky  09-Apr-26 15:19</v>
      </c>
      <c r="C12" s="16"/>
      <c r="D12" s="16"/>
      <c r="E12" s="16"/>
      <c r="F12" s="16"/>
      <c r="G12" s="16"/>
      <c r="I12" s="17"/>
      <c r="J12" s="18"/>
      <c r="K12" s="18"/>
      <c r="L12" s="18"/>
      <c r="M12" s="19"/>
      <c r="N12" s="20"/>
      <c r="O12" s="19"/>
      <c r="P12" s="16"/>
      <c r="Q12" s="21"/>
      <c r="R12" s="18"/>
      <c r="S12" s="21"/>
      <c r="T12" s="18"/>
      <c r="U12" s="21"/>
      <c r="V12" s="18"/>
      <c r="X12" s="17"/>
      <c r="Y12" s="17"/>
      <c r="Z12" s="46"/>
      <c r="AA12" s="46"/>
      <c r="AB12" s="46"/>
      <c r="AC12" s="46"/>
    </row>
    <row r="13" spans="1:29" s="22" customFormat="1" ht="3.75" customHeight="1" x14ac:dyDescent="0.2">
      <c r="A13" s="41"/>
      <c r="H13" s="25"/>
      <c r="J13" s="2"/>
      <c r="K13" s="2"/>
      <c r="L13" s="2"/>
      <c r="M13" s="23"/>
      <c r="N13" s="24"/>
      <c r="O13" s="23"/>
      <c r="P13" s="24"/>
      <c r="Q13" s="23"/>
      <c r="R13" s="24"/>
      <c r="S13" s="23"/>
      <c r="T13" s="24"/>
      <c r="U13" s="23"/>
      <c r="V13" s="24"/>
      <c r="Z13" s="45"/>
      <c r="AA13" s="45"/>
      <c r="AB13" s="45"/>
      <c r="AC13" s="45"/>
    </row>
    <row r="14" spans="1:29" s="26" customFormat="1" ht="38.25" customHeight="1" x14ac:dyDescent="0.2">
      <c r="A14" s="39"/>
      <c r="B14" s="35"/>
      <c r="C14" s="27" t="s">
        <v>361</v>
      </c>
      <c r="D14" s="27" t="s">
        <v>71</v>
      </c>
      <c r="E14" s="27" t="s">
        <v>362</v>
      </c>
      <c r="F14" s="27" t="s">
        <v>72</v>
      </c>
      <c r="G14" s="27" t="s">
        <v>363</v>
      </c>
      <c r="H14" s="27" t="s">
        <v>364</v>
      </c>
      <c r="I14" s="27" t="s">
        <v>365</v>
      </c>
      <c r="J14" s="28" t="s">
        <v>103</v>
      </c>
      <c r="K14" s="28" t="s">
        <v>366</v>
      </c>
      <c r="L14" s="28" t="s">
        <v>367</v>
      </c>
      <c r="M14" s="29" t="s">
        <v>368</v>
      </c>
      <c r="N14" s="28" t="s">
        <v>369</v>
      </c>
      <c r="O14" s="29" t="s">
        <v>370</v>
      </c>
      <c r="P14" s="28" t="s">
        <v>369</v>
      </c>
      <c r="Q14" s="29" t="s">
        <v>371</v>
      </c>
      <c r="R14" s="28" t="s">
        <v>369</v>
      </c>
      <c r="S14" s="29" t="s">
        <v>372</v>
      </c>
      <c r="T14" s="28" t="s">
        <v>369</v>
      </c>
      <c r="U14" s="29" t="s">
        <v>373</v>
      </c>
      <c r="V14" s="28" t="s">
        <v>369</v>
      </c>
      <c r="W14" s="63" t="s">
        <v>374</v>
      </c>
      <c r="X14" s="27" t="s">
        <v>375</v>
      </c>
      <c r="Y14" s="27" t="s">
        <v>376</v>
      </c>
      <c r="Z14" s="47" t="s">
        <v>377</v>
      </c>
      <c r="AA14" s="47" t="s">
        <v>378</v>
      </c>
      <c r="AB14" s="47" t="s">
        <v>379</v>
      </c>
      <c r="AC14" s="47" t="s">
        <v>380</v>
      </c>
    </row>
    <row r="15" spans="1:29" s="30" customFormat="1" ht="11.25" customHeight="1" x14ac:dyDescent="0.15">
      <c r="A15" s="40"/>
      <c r="C15" s="16" t="s">
        <v>381</v>
      </c>
      <c r="D15" s="31" t="s">
        <v>382</v>
      </c>
      <c r="E15" s="31" t="str">
        <f t="shared" ref="E15:E24" si="0">MID(D15,1,2)</f>
        <v>IL</v>
      </c>
      <c r="F15" s="31" t="s">
        <v>383</v>
      </c>
      <c r="G15" s="31" t="str">
        <f t="shared" ref="G15:G24" si="1">MID(F15,1,2)</f>
        <v>NL</v>
      </c>
      <c r="H15" s="16" t="s">
        <v>384</v>
      </c>
      <c r="I15" s="31" t="s">
        <v>385</v>
      </c>
      <c r="J15" s="31" t="s">
        <v>386</v>
      </c>
      <c r="K15" s="16"/>
      <c r="L15" s="31" t="s">
        <v>107</v>
      </c>
      <c r="M15" s="33">
        <v>780</v>
      </c>
      <c r="N15" s="31" t="s">
        <v>387</v>
      </c>
      <c r="O15" s="33">
        <v>4.83</v>
      </c>
      <c r="P15" s="31" t="s">
        <v>388</v>
      </c>
      <c r="Q15" s="33">
        <v>805</v>
      </c>
      <c r="R15" s="31" t="s">
        <v>387</v>
      </c>
      <c r="S15" s="33">
        <v>0</v>
      </c>
      <c r="T15" s="31" t="s">
        <v>389</v>
      </c>
      <c r="U15" s="34">
        <v>6</v>
      </c>
      <c r="V15" s="31" t="s">
        <v>390</v>
      </c>
      <c r="W15" s="71"/>
      <c r="X15" s="32">
        <v>46096.208333333336</v>
      </c>
      <c r="Y15" s="32">
        <v>46096.511805555558</v>
      </c>
      <c r="Z15" s="48" t="s">
        <v>382</v>
      </c>
      <c r="AA15" s="48" t="s">
        <v>383</v>
      </c>
      <c r="AB15" s="49"/>
      <c r="AC15" s="49">
        <v>46097.352083333331</v>
      </c>
    </row>
    <row r="16" spans="1:29" s="30" customFormat="1" ht="11.25" customHeight="1" x14ac:dyDescent="0.15">
      <c r="A16" s="40"/>
      <c r="C16" s="16" t="s">
        <v>391</v>
      </c>
      <c r="D16" s="31" t="s">
        <v>382</v>
      </c>
      <c r="E16" s="31" t="str">
        <f t="shared" si="0"/>
        <v>IL</v>
      </c>
      <c r="F16" s="31" t="s">
        <v>392</v>
      </c>
      <c r="G16" s="31" t="str">
        <f t="shared" si="1"/>
        <v>IN</v>
      </c>
      <c r="H16" s="16" t="s">
        <v>393</v>
      </c>
      <c r="I16" s="31" t="s">
        <v>394</v>
      </c>
      <c r="J16" s="31" t="s">
        <v>395</v>
      </c>
      <c r="K16" s="16" t="s">
        <v>396</v>
      </c>
      <c r="L16" s="31" t="s">
        <v>105</v>
      </c>
      <c r="M16" s="33">
        <v>236</v>
      </c>
      <c r="N16" s="31" t="s">
        <v>387</v>
      </c>
      <c r="O16" s="33">
        <v>3.38</v>
      </c>
      <c r="P16" s="31" t="s">
        <v>388</v>
      </c>
      <c r="Q16" s="33">
        <v>564</v>
      </c>
      <c r="R16" s="31" t="s">
        <v>387</v>
      </c>
      <c r="S16" s="33">
        <v>0</v>
      </c>
      <c r="T16" s="31" t="s">
        <v>389</v>
      </c>
      <c r="U16" s="34">
        <v>1</v>
      </c>
      <c r="V16" s="31" t="s">
        <v>390</v>
      </c>
      <c r="W16" s="71">
        <v>46078.669444444444</v>
      </c>
      <c r="X16" s="32">
        <v>46082</v>
      </c>
      <c r="Y16" s="32">
        <v>46104.024305555555</v>
      </c>
      <c r="Z16" s="48" t="s">
        <v>382</v>
      </c>
      <c r="AA16" s="48" t="s">
        <v>397</v>
      </c>
      <c r="AB16" s="49">
        <v>46099.76666666667</v>
      </c>
      <c r="AC16" s="49">
        <v>46099.798611111109</v>
      </c>
    </row>
    <row r="17" spans="1:29" s="30" customFormat="1" ht="11.25" customHeight="1" x14ac:dyDescent="0.15">
      <c r="A17" s="40"/>
      <c r="C17" s="16" t="s">
        <v>391</v>
      </c>
      <c r="D17" s="31" t="s">
        <v>382</v>
      </c>
      <c r="E17" s="31" t="str">
        <f t="shared" si="0"/>
        <v>IL</v>
      </c>
      <c r="F17" s="31" t="s">
        <v>392</v>
      </c>
      <c r="G17" s="31" t="str">
        <f t="shared" si="1"/>
        <v>IN</v>
      </c>
      <c r="H17" s="16" t="s">
        <v>393</v>
      </c>
      <c r="I17" s="31" t="s">
        <v>394</v>
      </c>
      <c r="J17" s="31" t="s">
        <v>395</v>
      </c>
      <c r="K17" s="16" t="s">
        <v>396</v>
      </c>
      <c r="L17" s="31" t="s">
        <v>105</v>
      </c>
      <c r="M17" s="33">
        <v>236</v>
      </c>
      <c r="N17" s="31" t="s">
        <v>387</v>
      </c>
      <c r="O17" s="33">
        <v>3.38</v>
      </c>
      <c r="P17" s="31" t="s">
        <v>388</v>
      </c>
      <c r="Q17" s="33">
        <v>564</v>
      </c>
      <c r="R17" s="31" t="s">
        <v>387</v>
      </c>
      <c r="S17" s="33">
        <v>0</v>
      </c>
      <c r="T17" s="31" t="s">
        <v>389</v>
      </c>
      <c r="U17" s="34">
        <v>1</v>
      </c>
      <c r="V17" s="31" t="s">
        <v>390</v>
      </c>
      <c r="W17" s="71">
        <v>46078.669444444444</v>
      </c>
      <c r="X17" s="32">
        <v>46082</v>
      </c>
      <c r="Y17" s="32">
        <v>46104.024305555555</v>
      </c>
      <c r="Z17" s="48" t="s">
        <v>397</v>
      </c>
      <c r="AA17" s="48" t="s">
        <v>398</v>
      </c>
      <c r="AB17" s="49">
        <v>46099.913194444445</v>
      </c>
      <c r="AC17" s="49">
        <v>46100.77847222222</v>
      </c>
    </row>
    <row r="18" spans="1:29" s="30" customFormat="1" ht="11.25" customHeight="1" x14ac:dyDescent="0.15">
      <c r="A18" s="40"/>
      <c r="C18" s="16" t="s">
        <v>391</v>
      </c>
      <c r="D18" s="31" t="s">
        <v>382</v>
      </c>
      <c r="E18" s="31" t="str">
        <f t="shared" si="0"/>
        <v>IL</v>
      </c>
      <c r="F18" s="31" t="s">
        <v>392</v>
      </c>
      <c r="G18" s="31" t="str">
        <f t="shared" si="1"/>
        <v>IN</v>
      </c>
      <c r="H18" s="16" t="s">
        <v>393</v>
      </c>
      <c r="I18" s="31" t="s">
        <v>394</v>
      </c>
      <c r="J18" s="31" t="s">
        <v>395</v>
      </c>
      <c r="K18" s="16" t="s">
        <v>396</v>
      </c>
      <c r="L18" s="31" t="s">
        <v>105</v>
      </c>
      <c r="M18" s="33">
        <v>236</v>
      </c>
      <c r="N18" s="31" t="s">
        <v>387</v>
      </c>
      <c r="O18" s="33">
        <v>3.38</v>
      </c>
      <c r="P18" s="31" t="s">
        <v>388</v>
      </c>
      <c r="Q18" s="33">
        <v>564</v>
      </c>
      <c r="R18" s="31" t="s">
        <v>387</v>
      </c>
      <c r="S18" s="33">
        <v>0</v>
      </c>
      <c r="T18" s="31" t="s">
        <v>389</v>
      </c>
      <c r="U18" s="34">
        <v>1</v>
      </c>
      <c r="V18" s="31" t="s">
        <v>390</v>
      </c>
      <c r="W18" s="71">
        <v>46078.669444444444</v>
      </c>
      <c r="X18" s="32">
        <v>46082</v>
      </c>
      <c r="Y18" s="32">
        <v>46104.024305555555</v>
      </c>
      <c r="Z18" s="48" t="s">
        <v>398</v>
      </c>
      <c r="AA18" s="48" t="s">
        <v>392</v>
      </c>
      <c r="AB18" s="49">
        <v>46103.890972222223</v>
      </c>
      <c r="AC18" s="49">
        <v>46104.022916666669</v>
      </c>
    </row>
    <row r="19" spans="1:29" s="30" customFormat="1" ht="11.25" customHeight="1" x14ac:dyDescent="0.15">
      <c r="A19" s="40"/>
      <c r="C19" s="16" t="s">
        <v>399</v>
      </c>
      <c r="D19" s="31" t="s">
        <v>382</v>
      </c>
      <c r="E19" s="31" t="str">
        <f t="shared" si="0"/>
        <v>IL</v>
      </c>
      <c r="F19" s="31" t="s">
        <v>400</v>
      </c>
      <c r="G19" s="31" t="str">
        <f t="shared" si="1"/>
        <v>CA</v>
      </c>
      <c r="H19" s="16" t="s">
        <v>401</v>
      </c>
      <c r="I19" s="31" t="s">
        <v>402</v>
      </c>
      <c r="J19" s="31" t="s">
        <v>395</v>
      </c>
      <c r="K19" s="16"/>
      <c r="L19" s="31" t="s">
        <v>105</v>
      </c>
      <c r="M19" s="33">
        <v>1035</v>
      </c>
      <c r="N19" s="31" t="s">
        <v>387</v>
      </c>
      <c r="O19" s="33">
        <v>9.3239999999999998</v>
      </c>
      <c r="P19" s="31" t="s">
        <v>388</v>
      </c>
      <c r="Q19" s="33">
        <v>1650</v>
      </c>
      <c r="R19" s="31" t="s">
        <v>387</v>
      </c>
      <c r="S19" s="33">
        <v>0</v>
      </c>
      <c r="T19" s="31" t="s">
        <v>389</v>
      </c>
      <c r="U19" s="34">
        <v>6</v>
      </c>
      <c r="V19" s="31" t="s">
        <v>390</v>
      </c>
      <c r="W19" s="71">
        <v>46097.306805555556</v>
      </c>
      <c r="X19" s="32">
        <v>46098.517361111109</v>
      </c>
      <c r="Y19" s="32">
        <v>46101</v>
      </c>
      <c r="Z19" s="48" t="s">
        <v>382</v>
      </c>
      <c r="AA19" s="48" t="s">
        <v>403</v>
      </c>
      <c r="AB19" s="49">
        <v>46098.536805555559</v>
      </c>
      <c r="AC19" s="49">
        <v>46098.620138888888</v>
      </c>
    </row>
    <row r="20" spans="1:29" s="30" customFormat="1" ht="11.25" customHeight="1" x14ac:dyDescent="0.15">
      <c r="A20" s="40"/>
      <c r="C20" s="16" t="s">
        <v>399</v>
      </c>
      <c r="D20" s="31" t="s">
        <v>382</v>
      </c>
      <c r="E20" s="31" t="str">
        <f t="shared" si="0"/>
        <v>IL</v>
      </c>
      <c r="F20" s="31" t="s">
        <v>400</v>
      </c>
      <c r="G20" s="31" t="str">
        <f t="shared" si="1"/>
        <v>CA</v>
      </c>
      <c r="H20" s="16" t="s">
        <v>401</v>
      </c>
      <c r="I20" s="31" t="s">
        <v>402</v>
      </c>
      <c r="J20" s="31" t="s">
        <v>395</v>
      </c>
      <c r="K20" s="16"/>
      <c r="L20" s="31" t="s">
        <v>105</v>
      </c>
      <c r="M20" s="33">
        <v>1035</v>
      </c>
      <c r="N20" s="31" t="s">
        <v>387</v>
      </c>
      <c r="O20" s="33">
        <v>9.3239999999999998</v>
      </c>
      <c r="P20" s="31" t="s">
        <v>388</v>
      </c>
      <c r="Q20" s="33">
        <v>1650</v>
      </c>
      <c r="R20" s="31" t="s">
        <v>387</v>
      </c>
      <c r="S20" s="33">
        <v>0</v>
      </c>
      <c r="T20" s="31" t="s">
        <v>389</v>
      </c>
      <c r="U20" s="34">
        <v>6</v>
      </c>
      <c r="V20" s="31" t="s">
        <v>390</v>
      </c>
      <c r="W20" s="71">
        <v>46097.306805555556</v>
      </c>
      <c r="X20" s="32">
        <v>46098.517361111109</v>
      </c>
      <c r="Y20" s="32">
        <v>46101</v>
      </c>
      <c r="Z20" s="48" t="s">
        <v>403</v>
      </c>
      <c r="AA20" s="48" t="s">
        <v>400</v>
      </c>
      <c r="AB20" s="49">
        <v>46100.503472222219</v>
      </c>
      <c r="AC20" s="49">
        <v>46100.6875</v>
      </c>
    </row>
    <row r="21" spans="1:29" s="30" customFormat="1" ht="11.25" customHeight="1" x14ac:dyDescent="0.15">
      <c r="A21" s="40"/>
      <c r="C21" s="16" t="s">
        <v>404</v>
      </c>
      <c r="D21" s="31" t="s">
        <v>382</v>
      </c>
      <c r="E21" s="31" t="str">
        <f t="shared" si="0"/>
        <v>IL</v>
      </c>
      <c r="F21" s="31" t="s">
        <v>392</v>
      </c>
      <c r="G21" s="31" t="str">
        <f t="shared" si="1"/>
        <v>IN</v>
      </c>
      <c r="H21" s="16" t="s">
        <v>405</v>
      </c>
      <c r="I21" s="31" t="s">
        <v>406</v>
      </c>
      <c r="J21" s="31" t="s">
        <v>395</v>
      </c>
      <c r="K21" s="16" t="s">
        <v>396</v>
      </c>
      <c r="L21" s="31" t="s">
        <v>105</v>
      </c>
      <c r="M21" s="33">
        <v>76</v>
      </c>
      <c r="N21" s="31" t="s">
        <v>387</v>
      </c>
      <c r="O21" s="33">
        <v>3.38</v>
      </c>
      <c r="P21" s="31" t="s">
        <v>388</v>
      </c>
      <c r="Q21" s="33">
        <v>564</v>
      </c>
      <c r="R21" s="31" t="s">
        <v>387</v>
      </c>
      <c r="S21" s="33">
        <v>0</v>
      </c>
      <c r="T21" s="31" t="s">
        <v>389</v>
      </c>
      <c r="U21" s="34">
        <v>1</v>
      </c>
      <c r="V21" s="31" t="s">
        <v>390</v>
      </c>
      <c r="W21" s="71">
        <v>46119.272083333337</v>
      </c>
      <c r="X21" s="32">
        <v>46121</v>
      </c>
      <c r="Y21" s="32">
        <v>46126</v>
      </c>
      <c r="Z21" s="48" t="s">
        <v>382</v>
      </c>
      <c r="AA21" s="48" t="s">
        <v>407</v>
      </c>
      <c r="AB21" s="49"/>
      <c r="AC21" s="49"/>
    </row>
    <row r="22" spans="1:29" s="30" customFormat="1" ht="11.25" customHeight="1" x14ac:dyDescent="0.15">
      <c r="A22" s="40"/>
      <c r="C22" s="16" t="s">
        <v>404</v>
      </c>
      <c r="D22" s="31" t="s">
        <v>382</v>
      </c>
      <c r="E22" s="31" t="str">
        <f t="shared" si="0"/>
        <v>IL</v>
      </c>
      <c r="F22" s="31" t="s">
        <v>392</v>
      </c>
      <c r="G22" s="31" t="str">
        <f t="shared" si="1"/>
        <v>IN</v>
      </c>
      <c r="H22" s="16" t="s">
        <v>405</v>
      </c>
      <c r="I22" s="31" t="s">
        <v>406</v>
      </c>
      <c r="J22" s="31" t="s">
        <v>395</v>
      </c>
      <c r="K22" s="16" t="s">
        <v>396</v>
      </c>
      <c r="L22" s="31" t="s">
        <v>105</v>
      </c>
      <c r="M22" s="33">
        <v>76</v>
      </c>
      <c r="N22" s="31" t="s">
        <v>387</v>
      </c>
      <c r="O22" s="33">
        <v>3.38</v>
      </c>
      <c r="P22" s="31" t="s">
        <v>388</v>
      </c>
      <c r="Q22" s="33">
        <v>564</v>
      </c>
      <c r="R22" s="31" t="s">
        <v>387</v>
      </c>
      <c r="S22" s="33">
        <v>0</v>
      </c>
      <c r="T22" s="31" t="s">
        <v>389</v>
      </c>
      <c r="U22" s="34">
        <v>1</v>
      </c>
      <c r="V22" s="31" t="s">
        <v>390</v>
      </c>
      <c r="W22" s="71">
        <v>46119.272083333337</v>
      </c>
      <c r="X22" s="32">
        <v>46121</v>
      </c>
      <c r="Y22" s="32">
        <v>46126</v>
      </c>
      <c r="Z22" s="48" t="s">
        <v>407</v>
      </c>
      <c r="AA22" s="48" t="s">
        <v>408</v>
      </c>
      <c r="AB22" s="49"/>
      <c r="AC22" s="49"/>
    </row>
    <row r="23" spans="1:29" s="30" customFormat="1" ht="11.25" customHeight="1" x14ac:dyDescent="0.15">
      <c r="A23" s="40"/>
      <c r="C23" s="16" t="s">
        <v>404</v>
      </c>
      <c r="D23" s="31" t="s">
        <v>382</v>
      </c>
      <c r="E23" s="31" t="str">
        <f t="shared" si="0"/>
        <v>IL</v>
      </c>
      <c r="F23" s="31" t="s">
        <v>392</v>
      </c>
      <c r="G23" s="31" t="str">
        <f t="shared" si="1"/>
        <v>IN</v>
      </c>
      <c r="H23" s="16" t="s">
        <v>405</v>
      </c>
      <c r="I23" s="31" t="s">
        <v>406</v>
      </c>
      <c r="J23" s="31" t="s">
        <v>395</v>
      </c>
      <c r="K23" s="16" t="s">
        <v>396</v>
      </c>
      <c r="L23" s="31" t="s">
        <v>105</v>
      </c>
      <c r="M23" s="33">
        <v>76</v>
      </c>
      <c r="N23" s="31" t="s">
        <v>387</v>
      </c>
      <c r="O23" s="33">
        <v>3.38</v>
      </c>
      <c r="P23" s="31" t="s">
        <v>388</v>
      </c>
      <c r="Q23" s="33">
        <v>564</v>
      </c>
      <c r="R23" s="31" t="s">
        <v>387</v>
      </c>
      <c r="S23" s="33">
        <v>0</v>
      </c>
      <c r="T23" s="31" t="s">
        <v>389</v>
      </c>
      <c r="U23" s="34">
        <v>1</v>
      </c>
      <c r="V23" s="31" t="s">
        <v>390</v>
      </c>
      <c r="W23" s="71">
        <v>46119.272083333337</v>
      </c>
      <c r="X23" s="32">
        <v>46121</v>
      </c>
      <c r="Y23" s="32">
        <v>46126</v>
      </c>
      <c r="Z23" s="48" t="s">
        <v>408</v>
      </c>
      <c r="AA23" s="48" t="s">
        <v>392</v>
      </c>
      <c r="AB23" s="49"/>
      <c r="AC23" s="49"/>
    </row>
    <row r="24" spans="1:29" s="30" customFormat="1" ht="11.25" customHeight="1" x14ac:dyDescent="0.15">
      <c r="A24" s="40"/>
      <c r="C24" s="16" t="s">
        <v>409</v>
      </c>
      <c r="D24" s="31" t="s">
        <v>410</v>
      </c>
      <c r="E24" s="31" t="str">
        <f t="shared" si="0"/>
        <v>IL</v>
      </c>
      <c r="F24" s="31" t="s">
        <v>411</v>
      </c>
      <c r="G24" s="31" t="str">
        <f t="shared" si="1"/>
        <v>SE</v>
      </c>
      <c r="H24" s="16">
        <v>70051300443</v>
      </c>
      <c r="I24" s="31" t="s">
        <v>412</v>
      </c>
      <c r="J24" s="31" t="s">
        <v>413</v>
      </c>
      <c r="K24" s="16" t="s">
        <v>414</v>
      </c>
      <c r="L24" s="31" t="s">
        <v>105</v>
      </c>
      <c r="M24" s="33">
        <v>735</v>
      </c>
      <c r="N24" s="31" t="s">
        <v>387</v>
      </c>
      <c r="O24" s="33">
        <v>6.65</v>
      </c>
      <c r="P24" s="31" t="s">
        <v>388</v>
      </c>
      <c r="Q24" s="33">
        <v>1109.5</v>
      </c>
      <c r="R24" s="31" t="s">
        <v>387</v>
      </c>
      <c r="S24" s="33">
        <v>0</v>
      </c>
      <c r="T24" s="31" t="s">
        <v>389</v>
      </c>
      <c r="U24" s="34">
        <v>5</v>
      </c>
      <c r="V24" s="31" t="s">
        <v>390</v>
      </c>
      <c r="W24" s="71"/>
      <c r="X24" s="32">
        <v>46084</v>
      </c>
      <c r="Y24" s="32">
        <v>46112.958333333336</v>
      </c>
      <c r="Z24" s="48" t="s">
        <v>410</v>
      </c>
      <c r="AA24" s="48" t="s">
        <v>411</v>
      </c>
      <c r="AB24" s="49"/>
      <c r="AC24" s="49"/>
    </row>
    <row r="25" spans="1:29" s="30" customFormat="1" ht="11.25" customHeight="1" x14ac:dyDescent="0.15">
      <c r="A25" s="40"/>
      <c r="C25" s="16" t="s">
        <v>416</v>
      </c>
      <c r="D25" s="31" t="s">
        <v>382</v>
      </c>
      <c r="E25" s="31" t="str">
        <f t="shared" ref="E25:E26" si="2">MID(D25,1,2)</f>
        <v>IL</v>
      </c>
      <c r="F25" s="31" t="s">
        <v>417</v>
      </c>
      <c r="G25" s="31" t="str">
        <f t="shared" ref="G25:G26" si="3">MID(F25,1,2)</f>
        <v>JO</v>
      </c>
      <c r="H25" s="16" t="s">
        <v>418</v>
      </c>
      <c r="I25" s="31" t="s">
        <v>419</v>
      </c>
      <c r="J25" s="31" t="s">
        <v>413</v>
      </c>
      <c r="K25" s="16"/>
      <c r="L25" s="31" t="s">
        <v>105</v>
      </c>
      <c r="M25" s="33">
        <v>54</v>
      </c>
      <c r="N25" s="31" t="s">
        <v>387</v>
      </c>
      <c r="O25" s="33">
        <v>0.36299999999999999</v>
      </c>
      <c r="P25" s="31" t="s">
        <v>388</v>
      </c>
      <c r="Q25" s="33">
        <v>60.5</v>
      </c>
      <c r="R25" s="31" t="s">
        <v>387</v>
      </c>
      <c r="S25" s="33">
        <v>0</v>
      </c>
      <c r="T25" s="31" t="s">
        <v>389</v>
      </c>
      <c r="U25" s="34">
        <v>1</v>
      </c>
      <c r="V25" s="31" t="s">
        <v>390</v>
      </c>
      <c r="W25" s="71"/>
      <c r="X25" s="32">
        <v>46117.420138888891</v>
      </c>
      <c r="Y25" s="32">
        <v>46125.42083333333</v>
      </c>
      <c r="Z25" s="48" t="s">
        <v>382</v>
      </c>
      <c r="AA25" s="48" t="s">
        <v>417</v>
      </c>
      <c r="AB25" s="49"/>
      <c r="AC25" s="49"/>
    </row>
    <row r="26" spans="1:29" s="30" customFormat="1" ht="11.25" customHeight="1" x14ac:dyDescent="0.15">
      <c r="A26" s="40"/>
      <c r="C26" s="16" t="s">
        <v>420</v>
      </c>
      <c r="D26" s="31" t="s">
        <v>382</v>
      </c>
      <c r="E26" s="31" t="str">
        <f t="shared" si="2"/>
        <v>IL</v>
      </c>
      <c r="F26" s="31" t="s">
        <v>408</v>
      </c>
      <c r="G26" s="31" t="str">
        <f t="shared" si="3"/>
        <v>AE</v>
      </c>
      <c r="H26" s="16" t="s">
        <v>421</v>
      </c>
      <c r="I26" s="31" t="s">
        <v>422</v>
      </c>
      <c r="J26" s="31" t="s">
        <v>415</v>
      </c>
      <c r="K26" s="16"/>
      <c r="L26" s="31" t="s">
        <v>105</v>
      </c>
      <c r="M26" s="33">
        <v>341</v>
      </c>
      <c r="N26" s="31" t="s">
        <v>387</v>
      </c>
      <c r="O26" s="33">
        <v>2.4940000000000002</v>
      </c>
      <c r="P26" s="31" t="s">
        <v>388</v>
      </c>
      <c r="Q26" s="33">
        <v>416</v>
      </c>
      <c r="R26" s="31" t="s">
        <v>387</v>
      </c>
      <c r="S26" s="33">
        <v>0</v>
      </c>
      <c r="T26" s="31" t="s">
        <v>389</v>
      </c>
      <c r="U26" s="34">
        <v>4</v>
      </c>
      <c r="V26" s="31" t="s">
        <v>390</v>
      </c>
      <c r="W26" s="71"/>
      <c r="X26" s="32">
        <v>46121.557638888888</v>
      </c>
      <c r="Y26" s="32">
        <v>46121.557638888888</v>
      </c>
      <c r="Z26" s="48" t="s">
        <v>382</v>
      </c>
      <c r="AA26" s="48" t="s">
        <v>408</v>
      </c>
      <c r="AB26" s="49"/>
      <c r="AC26" s="49"/>
    </row>
    <row r="27" spans="1:29" x14ac:dyDescent="0.2">
      <c r="A27" s="40"/>
      <c r="H27" s="7"/>
    </row>
    <row r="28" spans="1:29" x14ac:dyDescent="0.2">
      <c r="H28" s="7"/>
    </row>
    <row r="29" spans="1:29" x14ac:dyDescent="0.2">
      <c r="H29" s="7"/>
    </row>
    <row r="30" spans="1:29" x14ac:dyDescent="0.2">
      <c r="H30" s="7"/>
    </row>
  </sheetData>
  <pageMargins left="0.39370078740157499" right="0.39370078740157499" top="0.39370078740157499" bottom="0.39370078740157499" header="0.511811023622047" footer="0.511811023622047"/>
  <pageSetup paperSize="9" scale="11" fitToHeight="0" orientation="landscape" r:id="rId1"/>
  <headerFooter>
    <oddFooter>&amp;C_x000D_&amp;1#&amp;"Aptos"&amp;10&amp;K000000 DSV internal</oddFooter>
  </headerFooter>
  <rowBreaks count="1" manualBreakCount="1">
    <brk id="2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83"/>
  <sheetViews>
    <sheetView topLeftCell="A365" workbookViewId="0">
      <selection activeCell="D375" sqref="D375"/>
    </sheetView>
  </sheetViews>
  <sheetFormatPr baseColWidth="10" defaultColWidth="9.1640625" defaultRowHeight="13" x14ac:dyDescent="0.2"/>
  <cols>
    <col min="1" max="1" width="29.5" style="38" bestFit="1" customWidth="1"/>
    <col min="2" max="2" width="11.5" style="38" bestFit="1" customWidth="1"/>
    <col min="3" max="3" width="33.83203125" style="38" bestFit="1" customWidth="1"/>
    <col min="4" max="4" width="49.5" style="38" bestFit="1" customWidth="1"/>
    <col min="5" max="16384" width="9.1640625" style="38"/>
  </cols>
  <sheetData>
    <row r="1" spans="1:5" x14ac:dyDescent="0.2">
      <c r="A1" s="36" t="s">
        <v>1</v>
      </c>
      <c r="B1" s="37" t="s">
        <v>2</v>
      </c>
      <c r="C1" s="37" t="s">
        <v>3</v>
      </c>
      <c r="D1" s="37"/>
      <c r="E1" s="37"/>
    </row>
    <row r="2" spans="1:5" x14ac:dyDescent="0.2">
      <c r="A2" s="36"/>
      <c r="B2" s="37" t="s">
        <v>4</v>
      </c>
      <c r="C2" s="37" t="s">
        <v>5</v>
      </c>
      <c r="D2" s="37"/>
      <c r="E2" s="37"/>
    </row>
    <row r="3" spans="1:5" x14ac:dyDescent="0.2">
      <c r="A3" s="36"/>
      <c r="B3" s="37" t="s">
        <v>6</v>
      </c>
      <c r="C3" s="37" t="s">
        <v>7</v>
      </c>
      <c r="D3" s="37" t="s">
        <v>8</v>
      </c>
      <c r="E3" s="37"/>
    </row>
    <row r="4" spans="1:5" x14ac:dyDescent="0.2">
      <c r="A4" s="36"/>
      <c r="B4" s="37"/>
      <c r="C4" s="37" t="s">
        <v>9</v>
      </c>
      <c r="D4" s="37" t="s">
        <v>10</v>
      </c>
      <c r="E4" s="37"/>
    </row>
    <row r="5" spans="1:5" x14ac:dyDescent="0.2">
      <c r="A5" s="36"/>
      <c r="B5" s="37"/>
      <c r="C5" s="37" t="s">
        <v>11</v>
      </c>
      <c r="D5" s="37" t="s">
        <v>12</v>
      </c>
      <c r="E5" s="37"/>
    </row>
    <row r="6" spans="1:5" x14ac:dyDescent="0.2">
      <c r="A6" s="36"/>
      <c r="B6" s="37"/>
      <c r="C6" s="37" t="s">
        <v>13</v>
      </c>
      <c r="D6" s="37" t="s">
        <v>14</v>
      </c>
      <c r="E6" s="37"/>
    </row>
    <row r="7" spans="1:5" x14ac:dyDescent="0.2">
      <c r="A7" s="36"/>
      <c r="B7" s="37"/>
      <c r="C7" s="37" t="s">
        <v>15</v>
      </c>
      <c r="D7" s="37" t="s">
        <v>16</v>
      </c>
      <c r="E7" s="37"/>
    </row>
    <row r="8" spans="1:5" x14ac:dyDescent="0.2">
      <c r="A8" s="36"/>
      <c r="B8" s="37"/>
      <c r="C8" s="37" t="s">
        <v>17</v>
      </c>
      <c r="D8" s="37" t="s">
        <v>18</v>
      </c>
      <c r="E8" s="37"/>
    </row>
    <row r="9" spans="1:5" x14ac:dyDescent="0.2">
      <c r="A9" s="36"/>
      <c r="B9" s="37"/>
      <c r="C9" s="37" t="s">
        <v>19</v>
      </c>
      <c r="D9" s="37" t="s">
        <v>20</v>
      </c>
      <c r="E9" s="37"/>
    </row>
    <row r="10" spans="1:5" x14ac:dyDescent="0.2">
      <c r="A10" s="36"/>
      <c r="B10" s="37" t="s">
        <v>21</v>
      </c>
      <c r="C10" s="37" t="s">
        <v>2</v>
      </c>
      <c r="D10" s="37"/>
      <c r="E10" s="37"/>
    </row>
    <row r="11" spans="1:5" x14ac:dyDescent="0.2">
      <c r="A11" s="36" t="s">
        <v>22</v>
      </c>
      <c r="B11" s="37" t="s">
        <v>2</v>
      </c>
      <c r="C11" s="37" t="s">
        <v>3</v>
      </c>
      <c r="D11" s="37"/>
      <c r="E11" s="37"/>
    </row>
    <row r="12" spans="1:5" x14ac:dyDescent="0.2">
      <c r="A12" s="36"/>
      <c r="B12" s="37" t="s">
        <v>4</v>
      </c>
      <c r="C12" s="37" t="s">
        <v>5</v>
      </c>
      <c r="D12" s="37"/>
      <c r="E12" s="37"/>
    </row>
    <row r="13" spans="1:5" x14ac:dyDescent="0.2">
      <c r="A13" s="36"/>
      <c r="B13" s="37" t="s">
        <v>6</v>
      </c>
      <c r="C13" s="37" t="s">
        <v>23</v>
      </c>
      <c r="D13" s="37" t="s">
        <v>24</v>
      </c>
      <c r="E13" s="37"/>
    </row>
    <row r="14" spans="1:5" x14ac:dyDescent="0.2">
      <c r="A14" s="36"/>
      <c r="B14" s="37"/>
      <c r="C14" s="37" t="s">
        <v>7</v>
      </c>
      <c r="D14" s="37" t="s">
        <v>25</v>
      </c>
      <c r="E14" s="37"/>
    </row>
    <row r="15" spans="1:5" x14ac:dyDescent="0.2">
      <c r="A15" s="36"/>
      <c r="B15" s="37"/>
      <c r="C15" s="37" t="s">
        <v>26</v>
      </c>
      <c r="D15" s="37" t="s">
        <v>27</v>
      </c>
      <c r="E15" s="37"/>
    </row>
    <row r="16" spans="1:5" x14ac:dyDescent="0.2">
      <c r="A16" s="36"/>
      <c r="B16" s="37"/>
      <c r="C16" s="37" t="s">
        <v>28</v>
      </c>
      <c r="D16" s="37" t="s">
        <v>29</v>
      </c>
      <c r="E16" s="37"/>
    </row>
    <row r="17" spans="1:5" x14ac:dyDescent="0.2">
      <c r="A17" s="36"/>
      <c r="B17" s="37"/>
      <c r="C17" s="37" t="s">
        <v>30</v>
      </c>
      <c r="D17" s="37" t="s">
        <v>31</v>
      </c>
      <c r="E17" s="37"/>
    </row>
    <row r="18" spans="1:5" x14ac:dyDescent="0.2">
      <c r="A18" s="36"/>
      <c r="B18" s="37"/>
      <c r="C18" s="37" t="s">
        <v>32</v>
      </c>
      <c r="D18" s="37" t="s">
        <v>33</v>
      </c>
      <c r="E18" s="37"/>
    </row>
    <row r="19" spans="1:5" x14ac:dyDescent="0.2">
      <c r="A19" s="36"/>
      <c r="B19" s="37"/>
      <c r="C19" s="37" t="s">
        <v>34</v>
      </c>
      <c r="D19" s="37" t="s">
        <v>35</v>
      </c>
      <c r="E19" s="37"/>
    </row>
    <row r="20" spans="1:5" x14ac:dyDescent="0.2">
      <c r="A20" s="36"/>
      <c r="B20" s="37"/>
      <c r="C20" s="37" t="s">
        <v>36</v>
      </c>
      <c r="D20" s="37" t="s">
        <v>37</v>
      </c>
      <c r="E20" s="37"/>
    </row>
    <row r="21" spans="1:5" x14ac:dyDescent="0.2">
      <c r="A21" s="36"/>
      <c r="B21" s="37"/>
      <c r="C21" s="37" t="s">
        <v>38</v>
      </c>
      <c r="D21" s="37" t="s">
        <v>39</v>
      </c>
      <c r="E21" s="37"/>
    </row>
    <row r="22" spans="1:5" x14ac:dyDescent="0.2">
      <c r="A22" s="36"/>
      <c r="B22" s="37"/>
      <c r="C22" s="37" t="s">
        <v>40</v>
      </c>
      <c r="D22" s="37" t="s">
        <v>41</v>
      </c>
      <c r="E22" s="37"/>
    </row>
    <row r="23" spans="1:5" x14ac:dyDescent="0.2">
      <c r="A23" s="36"/>
      <c r="B23" s="37"/>
      <c r="C23" s="37" t="s">
        <v>42</v>
      </c>
      <c r="D23" s="37" t="s">
        <v>43</v>
      </c>
      <c r="E23" s="37"/>
    </row>
    <row r="24" spans="1:5" x14ac:dyDescent="0.2">
      <c r="A24" s="36"/>
      <c r="B24" s="37"/>
      <c r="C24" s="37" t="s">
        <v>44</v>
      </c>
      <c r="D24" s="37" t="s">
        <v>45</v>
      </c>
      <c r="E24" s="37"/>
    </row>
    <row r="25" spans="1:5" x14ac:dyDescent="0.2">
      <c r="A25" s="36"/>
      <c r="B25" s="37"/>
      <c r="C25" s="37" t="s">
        <v>46</v>
      </c>
      <c r="D25" s="37" t="s">
        <v>47</v>
      </c>
      <c r="E25" s="37"/>
    </row>
    <row r="26" spans="1:5" x14ac:dyDescent="0.2">
      <c r="A26" s="36"/>
      <c r="B26" s="37"/>
      <c r="C26" s="37" t="s">
        <v>48</v>
      </c>
      <c r="D26" s="37" t="s">
        <v>49</v>
      </c>
      <c r="E26" s="37"/>
    </row>
    <row r="27" spans="1:5" x14ac:dyDescent="0.2">
      <c r="A27" s="36"/>
      <c r="B27" s="37"/>
      <c r="C27" s="37" t="s">
        <v>50</v>
      </c>
      <c r="D27" s="37" t="s">
        <v>51</v>
      </c>
      <c r="E27" s="37"/>
    </row>
    <row r="28" spans="1:5" x14ac:dyDescent="0.2">
      <c r="A28" s="36"/>
      <c r="B28" s="37"/>
      <c r="C28" s="37" t="s">
        <v>52</v>
      </c>
      <c r="D28" s="37" t="s">
        <v>53</v>
      </c>
      <c r="E28" s="37"/>
    </row>
    <row r="29" spans="1:5" x14ac:dyDescent="0.2">
      <c r="A29" s="36"/>
      <c r="B29" s="37"/>
      <c r="C29" s="37" t="s">
        <v>54</v>
      </c>
      <c r="D29" s="37" t="s">
        <v>55</v>
      </c>
      <c r="E29" s="37"/>
    </row>
    <row r="30" spans="1:5" x14ac:dyDescent="0.2">
      <c r="A30" s="36"/>
      <c r="B30" s="37"/>
      <c r="C30" s="37" t="s">
        <v>56</v>
      </c>
      <c r="D30" s="37" t="s">
        <v>57</v>
      </c>
      <c r="E30" s="37"/>
    </row>
    <row r="31" spans="1:5" x14ac:dyDescent="0.2">
      <c r="A31" s="36"/>
      <c r="B31" s="37"/>
      <c r="C31" s="37" t="s">
        <v>58</v>
      </c>
      <c r="D31" s="37" t="s">
        <v>59</v>
      </c>
      <c r="E31" s="37"/>
    </row>
    <row r="32" spans="1:5" x14ac:dyDescent="0.2">
      <c r="A32" s="36"/>
      <c r="B32" s="37"/>
      <c r="C32" s="37" t="s">
        <v>60</v>
      </c>
      <c r="D32" s="37" t="s">
        <v>61</v>
      </c>
      <c r="E32" s="37"/>
    </row>
    <row r="33" spans="1:5" x14ac:dyDescent="0.2">
      <c r="A33" s="36"/>
      <c r="B33" s="37"/>
      <c r="C33" s="37" t="s">
        <v>62</v>
      </c>
      <c r="D33" s="37" t="s">
        <v>63</v>
      </c>
      <c r="E33" s="37"/>
    </row>
    <row r="34" spans="1:5" x14ac:dyDescent="0.2">
      <c r="A34" s="36"/>
      <c r="B34" s="37"/>
      <c r="C34" s="37" t="s">
        <v>64</v>
      </c>
      <c r="D34" s="37" t="s">
        <v>65</v>
      </c>
      <c r="E34" s="37"/>
    </row>
    <row r="35" spans="1:5" x14ac:dyDescent="0.2">
      <c r="A35" s="36"/>
      <c r="B35" s="37"/>
      <c r="C35" s="37" t="s">
        <v>66</v>
      </c>
      <c r="D35" s="37" t="s">
        <v>67</v>
      </c>
      <c r="E35" s="37"/>
    </row>
    <row r="36" spans="1:5" x14ac:dyDescent="0.2">
      <c r="A36" s="36"/>
      <c r="B36" s="37"/>
      <c r="C36" s="37" t="s">
        <v>68</v>
      </c>
      <c r="D36" s="37" t="s">
        <v>69</v>
      </c>
      <c r="E36" s="37"/>
    </row>
    <row r="37" spans="1:5" x14ac:dyDescent="0.2">
      <c r="A37" s="36"/>
      <c r="B37" s="37" t="s">
        <v>21</v>
      </c>
      <c r="C37" s="37" t="s">
        <v>70</v>
      </c>
      <c r="D37" s="37"/>
      <c r="E37" s="37"/>
    </row>
    <row r="38" spans="1:5" x14ac:dyDescent="0.2">
      <c r="A38" s="36" t="s">
        <v>71</v>
      </c>
      <c r="B38" s="37" t="s">
        <v>2</v>
      </c>
      <c r="C38" s="43" t="s">
        <v>191</v>
      </c>
      <c r="D38" s="37"/>
      <c r="E38" s="37"/>
    </row>
    <row r="39" spans="1:5" x14ac:dyDescent="0.2">
      <c r="A39" s="36" t="s">
        <v>72</v>
      </c>
      <c r="B39" s="37" t="s">
        <v>2</v>
      </c>
      <c r="C39" s="43" t="s">
        <v>191</v>
      </c>
      <c r="D39" s="37"/>
      <c r="E39" s="37"/>
    </row>
    <row r="40" spans="1:5" x14ac:dyDescent="0.2">
      <c r="A40" s="36" t="s">
        <v>73</v>
      </c>
      <c r="B40" s="37" t="s">
        <v>2</v>
      </c>
      <c r="C40" s="37" t="s">
        <v>74</v>
      </c>
      <c r="D40" s="37"/>
      <c r="E40" s="37"/>
    </row>
    <row r="41" spans="1:5" x14ac:dyDescent="0.2">
      <c r="A41" s="36"/>
      <c r="B41" s="37" t="s">
        <v>21</v>
      </c>
      <c r="C41" s="37" t="s">
        <v>73</v>
      </c>
      <c r="D41" s="37"/>
      <c r="E41" s="37"/>
    </row>
    <row r="42" spans="1:5" ht="14" x14ac:dyDescent="0.2">
      <c r="A42" s="36"/>
      <c r="B42" s="50" t="s">
        <v>199</v>
      </c>
      <c r="C42" s="51"/>
      <c r="D42" s="37"/>
      <c r="E42" s="37"/>
    </row>
    <row r="43" spans="1:5" ht="14" x14ac:dyDescent="0.2">
      <c r="A43" s="36"/>
      <c r="B43" s="52" t="s">
        <v>198</v>
      </c>
      <c r="C43" s="51"/>
      <c r="D43" s="37"/>
      <c r="E43" s="37"/>
    </row>
    <row r="44" spans="1:5" ht="14" x14ac:dyDescent="0.2">
      <c r="A44" s="36"/>
      <c r="B44" s="77" t="s">
        <v>331</v>
      </c>
      <c r="C44" s="77">
        <v>6</v>
      </c>
      <c r="D44" s="37"/>
      <c r="E44" s="37"/>
    </row>
    <row r="45" spans="1:5" ht="14" x14ac:dyDescent="0.2">
      <c r="A45" s="36"/>
      <c r="B45" s="53" t="s">
        <v>200</v>
      </c>
      <c r="C45" s="53" t="s">
        <v>201</v>
      </c>
      <c r="D45" s="37"/>
      <c r="E45" s="37"/>
    </row>
    <row r="46" spans="1:5" x14ac:dyDescent="0.2">
      <c r="A46" s="36" t="s">
        <v>75</v>
      </c>
      <c r="B46" s="37" t="s">
        <v>2</v>
      </c>
      <c r="C46" s="37" t="s">
        <v>74</v>
      </c>
      <c r="D46" s="37"/>
      <c r="E46" s="37"/>
    </row>
    <row r="47" spans="1:5" x14ac:dyDescent="0.2">
      <c r="A47" s="36"/>
      <c r="B47" s="37" t="s">
        <v>21</v>
      </c>
      <c r="C47" s="37" t="s">
        <v>75</v>
      </c>
      <c r="D47" s="37"/>
      <c r="E47" s="37"/>
    </row>
    <row r="48" spans="1:5" ht="14" x14ac:dyDescent="0.2">
      <c r="A48" s="36"/>
      <c r="B48" s="50" t="s">
        <v>199</v>
      </c>
      <c r="C48" s="51"/>
      <c r="D48" s="37"/>
      <c r="E48" s="37"/>
    </row>
    <row r="49" spans="1:5" ht="14" x14ac:dyDescent="0.2">
      <c r="A49" s="36"/>
      <c r="B49" s="52" t="s">
        <v>198</v>
      </c>
      <c r="C49" s="51"/>
      <c r="D49" s="37"/>
      <c r="E49" s="37"/>
    </row>
    <row r="50" spans="1:5" ht="14" x14ac:dyDescent="0.2">
      <c r="A50" s="36"/>
      <c r="B50" s="77" t="s">
        <v>331</v>
      </c>
      <c r="C50" s="77">
        <v>6</v>
      </c>
      <c r="D50" s="37"/>
      <c r="E50" s="37"/>
    </row>
    <row r="51" spans="1:5" ht="14" x14ac:dyDescent="0.2">
      <c r="A51" s="36"/>
      <c r="B51" s="53" t="s">
        <v>200</v>
      </c>
      <c r="C51" s="53" t="s">
        <v>201</v>
      </c>
      <c r="D51" s="37"/>
      <c r="E51" s="37"/>
    </row>
    <row r="52" spans="1:5" x14ac:dyDescent="0.2">
      <c r="A52" s="36" t="s">
        <v>76</v>
      </c>
      <c r="B52" s="37" t="s">
        <v>2</v>
      </c>
      <c r="C52" s="37" t="s">
        <v>74</v>
      </c>
      <c r="D52" s="37"/>
      <c r="E52" s="37"/>
    </row>
    <row r="53" spans="1:5" x14ac:dyDescent="0.2">
      <c r="A53" s="36"/>
      <c r="B53" s="37" t="s">
        <v>77</v>
      </c>
      <c r="C53" s="37" t="s">
        <v>78</v>
      </c>
      <c r="D53" s="37"/>
      <c r="E53" s="37"/>
    </row>
    <row r="54" spans="1:5" ht="14" x14ac:dyDescent="0.2">
      <c r="A54" s="36"/>
      <c r="B54" s="50" t="s">
        <v>199</v>
      </c>
      <c r="C54" s="37"/>
      <c r="D54" s="37"/>
      <c r="E54" s="37"/>
    </row>
    <row r="55" spans="1:5" ht="14" x14ac:dyDescent="0.2">
      <c r="A55" s="36"/>
      <c r="B55" s="52" t="s">
        <v>198</v>
      </c>
      <c r="C55" s="37"/>
      <c r="D55" s="37"/>
      <c r="E55" s="37"/>
    </row>
    <row r="56" spans="1:5" ht="14" x14ac:dyDescent="0.2">
      <c r="A56" s="36"/>
      <c r="B56" s="51" t="s">
        <v>195</v>
      </c>
      <c r="C56" s="37"/>
      <c r="D56" s="37"/>
      <c r="E56" s="37"/>
    </row>
    <row r="57" spans="1:5" ht="14" x14ac:dyDescent="0.2">
      <c r="A57" s="36"/>
      <c r="B57" s="77" t="s">
        <v>331</v>
      </c>
      <c r="C57" s="77">
        <v>12</v>
      </c>
      <c r="D57" s="37"/>
      <c r="E57" s="37"/>
    </row>
    <row r="58" spans="1:5" ht="14" x14ac:dyDescent="0.2">
      <c r="A58" s="36"/>
      <c r="B58" s="53" t="s">
        <v>202</v>
      </c>
      <c r="C58" s="37"/>
      <c r="D58" s="37"/>
      <c r="E58" s="37"/>
    </row>
    <row r="59" spans="1:5" x14ac:dyDescent="0.2">
      <c r="A59" s="36" t="s">
        <v>79</v>
      </c>
      <c r="B59" s="37" t="s">
        <v>2</v>
      </c>
      <c r="C59" s="37" t="s">
        <v>80</v>
      </c>
      <c r="D59" s="37"/>
      <c r="E59" s="37"/>
    </row>
    <row r="60" spans="1:5" x14ac:dyDescent="0.2">
      <c r="A60" s="36"/>
      <c r="B60" s="37" t="s">
        <v>21</v>
      </c>
      <c r="C60" s="37" t="s">
        <v>81</v>
      </c>
      <c r="D60" s="37"/>
      <c r="E60" s="37"/>
    </row>
    <row r="61" spans="1:5" x14ac:dyDescent="0.2">
      <c r="A61" s="36" t="s">
        <v>82</v>
      </c>
      <c r="B61" s="37" t="s">
        <v>2</v>
      </c>
      <c r="C61" s="37" t="s">
        <v>83</v>
      </c>
      <c r="D61" s="37"/>
      <c r="E61" s="37"/>
    </row>
    <row r="62" spans="1:5" x14ac:dyDescent="0.2">
      <c r="A62" s="36"/>
      <c r="B62" s="37" t="s">
        <v>21</v>
      </c>
      <c r="C62" s="37" t="s">
        <v>84</v>
      </c>
      <c r="D62" s="37"/>
      <c r="E62" s="37"/>
    </row>
    <row r="63" spans="1:5" x14ac:dyDescent="0.2">
      <c r="A63" s="36" t="s">
        <v>85</v>
      </c>
      <c r="B63" s="37" t="s">
        <v>2</v>
      </c>
      <c r="C63" s="37" t="s">
        <v>86</v>
      </c>
      <c r="D63" s="37"/>
      <c r="E63" s="37"/>
    </row>
    <row r="64" spans="1:5" x14ac:dyDescent="0.2">
      <c r="A64" s="36"/>
      <c r="B64" s="37" t="s">
        <v>87</v>
      </c>
      <c r="C64" s="37" t="s">
        <v>88</v>
      </c>
      <c r="D64" s="37" t="s">
        <v>115</v>
      </c>
      <c r="E64" s="37"/>
    </row>
    <row r="65" spans="1:5" x14ac:dyDescent="0.2">
      <c r="A65" s="36"/>
      <c r="B65" s="37" t="s">
        <v>21</v>
      </c>
      <c r="C65" s="37" t="s">
        <v>89</v>
      </c>
      <c r="D65" s="37"/>
      <c r="E65" s="37"/>
    </row>
    <row r="66" spans="1:5" x14ac:dyDescent="0.2">
      <c r="A66" s="36" t="s">
        <v>101</v>
      </c>
      <c r="B66" s="37" t="s">
        <v>2</v>
      </c>
      <c r="C66" s="37" t="s">
        <v>102</v>
      </c>
      <c r="D66" s="37"/>
      <c r="E66" s="37"/>
    </row>
    <row r="67" spans="1:5" x14ac:dyDescent="0.2">
      <c r="A67" s="36"/>
      <c r="B67" s="37" t="s">
        <v>21</v>
      </c>
      <c r="C67" s="37" t="s">
        <v>103</v>
      </c>
      <c r="D67" s="37"/>
      <c r="E67" s="37"/>
    </row>
    <row r="68" spans="1:5" x14ac:dyDescent="0.2">
      <c r="A68" s="36" t="s">
        <v>104</v>
      </c>
      <c r="B68" s="37" t="s">
        <v>2</v>
      </c>
      <c r="C68" s="37" t="s">
        <v>3</v>
      </c>
      <c r="D68" s="37"/>
      <c r="E68" s="37"/>
    </row>
    <row r="69" spans="1:5" x14ac:dyDescent="0.2">
      <c r="A69" s="36"/>
      <c r="B69" s="37" t="s">
        <v>4</v>
      </c>
      <c r="C69" s="37" t="s">
        <v>5</v>
      </c>
      <c r="D69" s="37"/>
      <c r="E69" s="37"/>
    </row>
    <row r="70" spans="1:5" x14ac:dyDescent="0.2">
      <c r="A70" s="36"/>
      <c r="B70" s="37" t="s">
        <v>6</v>
      </c>
      <c r="C70" s="37" t="s">
        <v>105</v>
      </c>
      <c r="D70" s="37" t="s">
        <v>106</v>
      </c>
      <c r="E70" s="37"/>
    </row>
    <row r="71" spans="1:5" x14ac:dyDescent="0.2">
      <c r="A71" s="36"/>
      <c r="B71" s="37"/>
      <c r="C71" s="37" t="s">
        <v>107</v>
      </c>
      <c r="D71" s="37" t="s">
        <v>108</v>
      </c>
      <c r="E71" s="37"/>
    </row>
    <row r="72" spans="1:5" x14ac:dyDescent="0.2">
      <c r="A72" s="36"/>
      <c r="B72" s="37" t="s">
        <v>21</v>
      </c>
      <c r="C72" s="37" t="s">
        <v>109</v>
      </c>
      <c r="D72" s="37"/>
      <c r="E72" s="37"/>
    </row>
    <row r="73" spans="1:5" x14ac:dyDescent="0.2">
      <c r="A73" s="36" t="s">
        <v>175</v>
      </c>
      <c r="B73" s="37" t="s">
        <v>2</v>
      </c>
      <c r="C73" s="37" t="s">
        <v>86</v>
      </c>
      <c r="D73" s="37"/>
      <c r="E73" s="37"/>
    </row>
    <row r="74" spans="1:5" x14ac:dyDescent="0.2">
      <c r="A74" s="36"/>
      <c r="B74" s="37" t="s">
        <v>87</v>
      </c>
      <c r="C74" s="37" t="s">
        <v>88</v>
      </c>
      <c r="D74" s="37" t="s">
        <v>176</v>
      </c>
      <c r="E74" s="37"/>
    </row>
    <row r="75" spans="1:5" x14ac:dyDescent="0.2">
      <c r="A75" s="36" t="s">
        <v>196</v>
      </c>
      <c r="B75" s="37" t="s">
        <v>90</v>
      </c>
      <c r="C75" s="37" t="s">
        <v>91</v>
      </c>
      <c r="D75" s="37"/>
      <c r="E75" s="37"/>
    </row>
    <row r="76" spans="1:5" x14ac:dyDescent="0.2">
      <c r="A76" s="36"/>
      <c r="B76" s="37" t="s">
        <v>21</v>
      </c>
      <c r="C76" s="43" t="s">
        <v>197</v>
      </c>
      <c r="D76" s="37"/>
      <c r="E76" s="37"/>
    </row>
    <row r="77" spans="1:5" x14ac:dyDescent="0.2">
      <c r="A77" s="36" t="s">
        <v>116</v>
      </c>
      <c r="B77" s="37" t="s">
        <v>2</v>
      </c>
      <c r="C77" s="37" t="s">
        <v>3</v>
      </c>
      <c r="D77" s="37"/>
      <c r="E77" s="37"/>
    </row>
    <row r="78" spans="1:5" x14ac:dyDescent="0.2">
      <c r="A78" s="36"/>
      <c r="B78" s="37" t="s">
        <v>4</v>
      </c>
      <c r="C78" s="37" t="s">
        <v>5</v>
      </c>
      <c r="D78" s="37"/>
      <c r="E78" s="37"/>
    </row>
    <row r="79" spans="1:5" x14ac:dyDescent="0.2">
      <c r="A79" s="36"/>
      <c r="B79" s="37" t="s">
        <v>117</v>
      </c>
      <c r="C79" s="37" t="s">
        <v>118</v>
      </c>
      <c r="D79" s="37"/>
      <c r="E79" s="37"/>
    </row>
    <row r="80" spans="1:5" x14ac:dyDescent="0.2">
      <c r="A80" s="36"/>
      <c r="B80" s="37" t="s">
        <v>6</v>
      </c>
      <c r="C80" s="37" t="s">
        <v>118</v>
      </c>
      <c r="D80" s="37" t="s">
        <v>119</v>
      </c>
      <c r="E80" s="37"/>
    </row>
    <row r="81" spans="1:5" x14ac:dyDescent="0.2">
      <c r="A81" s="36"/>
      <c r="B81" s="37"/>
      <c r="C81" s="37" t="s">
        <v>124</v>
      </c>
      <c r="D81" s="37" t="s">
        <v>120</v>
      </c>
      <c r="E81" s="37"/>
    </row>
    <row r="82" spans="1:5" x14ac:dyDescent="0.2">
      <c r="A82" s="36"/>
      <c r="B82" s="37"/>
      <c r="C82" s="37" t="s">
        <v>125</v>
      </c>
      <c r="D82" s="37" t="s">
        <v>121</v>
      </c>
      <c r="E82" s="37"/>
    </row>
    <row r="83" spans="1:5" x14ac:dyDescent="0.2">
      <c r="A83" s="36"/>
      <c r="B83" s="37"/>
      <c r="C83" s="43" t="s">
        <v>192</v>
      </c>
      <c r="D83" s="37" t="s">
        <v>122</v>
      </c>
      <c r="E83" s="37"/>
    </row>
    <row r="84" spans="1:5" x14ac:dyDescent="0.2">
      <c r="A84" s="36" t="s">
        <v>182</v>
      </c>
      <c r="B84" s="37" t="s">
        <v>2</v>
      </c>
      <c r="C84" s="37" t="s">
        <v>3</v>
      </c>
      <c r="D84" s="37"/>
      <c r="E84" s="37"/>
    </row>
    <row r="85" spans="1:5" x14ac:dyDescent="0.2">
      <c r="A85" s="36"/>
      <c r="B85" s="37" t="s">
        <v>4</v>
      </c>
      <c r="C85" s="37" t="s">
        <v>5</v>
      </c>
      <c r="D85" s="37"/>
      <c r="E85" s="37"/>
    </row>
    <row r="86" spans="1:5" x14ac:dyDescent="0.2">
      <c r="A86" s="36"/>
      <c r="B86" s="43" t="s">
        <v>6</v>
      </c>
      <c r="C86" s="43" t="s">
        <v>118</v>
      </c>
      <c r="D86" s="43" t="s">
        <v>119</v>
      </c>
      <c r="E86" s="37"/>
    </row>
    <row r="87" spans="1:5" x14ac:dyDescent="0.2">
      <c r="A87" s="36"/>
      <c r="B87" s="37"/>
      <c r="C87" s="43" t="s">
        <v>183</v>
      </c>
      <c r="D87" s="43" t="s">
        <v>186</v>
      </c>
      <c r="E87" s="37"/>
    </row>
    <row r="88" spans="1:5" x14ac:dyDescent="0.2">
      <c r="A88" s="36"/>
      <c r="B88" s="37"/>
      <c r="C88" s="43" t="s">
        <v>184</v>
      </c>
      <c r="D88" s="43" t="s">
        <v>187</v>
      </c>
      <c r="E88" s="37"/>
    </row>
    <row r="89" spans="1:5" x14ac:dyDescent="0.2">
      <c r="A89" s="36"/>
      <c r="B89" s="37"/>
      <c r="C89" s="43" t="s">
        <v>185</v>
      </c>
      <c r="D89" s="43" t="s">
        <v>188</v>
      </c>
      <c r="E89" s="37"/>
    </row>
    <row r="90" spans="1:5" x14ac:dyDescent="0.2">
      <c r="A90" s="36"/>
      <c r="B90" s="37" t="s">
        <v>117</v>
      </c>
      <c r="C90" s="37" t="s">
        <v>118</v>
      </c>
      <c r="D90" s="37"/>
      <c r="E90" s="37"/>
    </row>
    <row r="91" spans="1:5" ht="14" x14ac:dyDescent="0.2">
      <c r="A91" s="56" t="s">
        <v>214</v>
      </c>
      <c r="B91" s="57" t="s">
        <v>2</v>
      </c>
      <c r="C91" s="57" t="s">
        <v>3</v>
      </c>
      <c r="D91" s="57"/>
      <c r="E91" s="37"/>
    </row>
    <row r="92" spans="1:5" ht="14" x14ac:dyDescent="0.2">
      <c r="A92" s="56"/>
      <c r="B92" s="57" t="s">
        <v>6</v>
      </c>
      <c r="C92" s="57" t="s">
        <v>88</v>
      </c>
      <c r="D92" s="57" t="s">
        <v>215</v>
      </c>
      <c r="E92" s="37"/>
    </row>
    <row r="93" spans="1:5" ht="14" x14ac:dyDescent="0.2">
      <c r="A93" s="56"/>
      <c r="B93" s="57"/>
      <c r="C93" s="57" t="s">
        <v>213</v>
      </c>
      <c r="D93" s="57" t="s">
        <v>216</v>
      </c>
      <c r="E93" s="37"/>
    </row>
    <row r="94" spans="1:5" x14ac:dyDescent="0.15">
      <c r="A94" s="76" t="s">
        <v>313</v>
      </c>
      <c r="B94" s="75" t="s">
        <v>2</v>
      </c>
      <c r="C94" s="75" t="s">
        <v>191</v>
      </c>
      <c r="D94" s="75"/>
      <c r="E94" s="37"/>
    </row>
    <row r="95" spans="1:5" x14ac:dyDescent="0.15">
      <c r="A95" s="75"/>
      <c r="B95" s="75" t="s">
        <v>123</v>
      </c>
      <c r="C95" s="75" t="s">
        <v>314</v>
      </c>
      <c r="D95" s="75"/>
      <c r="E95" s="37"/>
    </row>
    <row r="96" spans="1:5" x14ac:dyDescent="0.15">
      <c r="A96" s="76" t="s">
        <v>329</v>
      </c>
      <c r="B96" s="75" t="s">
        <v>2</v>
      </c>
      <c r="C96" s="75" t="s">
        <v>74</v>
      </c>
      <c r="D96" s="75"/>
      <c r="E96" s="37"/>
    </row>
    <row r="97" spans="1:5" x14ac:dyDescent="0.15">
      <c r="A97" s="75"/>
      <c r="B97" s="75" t="s">
        <v>198</v>
      </c>
      <c r="C97" s="75"/>
      <c r="D97" s="75"/>
      <c r="E97" s="37"/>
    </row>
    <row r="98" spans="1:5" x14ac:dyDescent="0.15">
      <c r="A98" s="75"/>
      <c r="B98" s="75" t="s">
        <v>199</v>
      </c>
      <c r="C98" s="75"/>
      <c r="D98" s="75"/>
      <c r="E98" s="37"/>
    </row>
    <row r="99" spans="1:5" x14ac:dyDescent="0.15">
      <c r="A99" s="75"/>
      <c r="B99" s="75" t="s">
        <v>123</v>
      </c>
      <c r="C99" s="75" t="s">
        <v>314</v>
      </c>
      <c r="D99" s="75"/>
      <c r="E99" s="37"/>
    </row>
    <row r="100" spans="1:5" x14ac:dyDescent="0.15">
      <c r="A100" s="76" t="s">
        <v>315</v>
      </c>
      <c r="B100" s="75" t="s">
        <v>2</v>
      </c>
      <c r="C100" s="75" t="s">
        <v>86</v>
      </c>
      <c r="D100" s="75"/>
      <c r="E100" s="37"/>
    </row>
    <row r="101" spans="1:5" x14ac:dyDescent="0.15">
      <c r="A101" s="75"/>
      <c r="B101" s="75" t="s">
        <v>87</v>
      </c>
      <c r="C101" s="75" t="s">
        <v>88</v>
      </c>
      <c r="D101" s="75" t="s">
        <v>315</v>
      </c>
      <c r="E101" s="37"/>
    </row>
    <row r="102" spans="1:5" x14ac:dyDescent="0.15">
      <c r="A102" s="75"/>
      <c r="B102" s="75" t="s">
        <v>123</v>
      </c>
      <c r="C102" s="75" t="s">
        <v>314</v>
      </c>
      <c r="D102" s="75"/>
      <c r="E102" s="37"/>
    </row>
    <row r="103" spans="1:5" x14ac:dyDescent="0.15">
      <c r="A103" s="76" t="s">
        <v>316</v>
      </c>
      <c r="B103" s="75" t="s">
        <v>2</v>
      </c>
      <c r="C103" s="75" t="s">
        <v>191</v>
      </c>
      <c r="D103" s="75"/>
      <c r="E103" s="37"/>
    </row>
    <row r="104" spans="1:5" x14ac:dyDescent="0.15">
      <c r="A104" s="75"/>
      <c r="B104" s="75" t="s">
        <v>123</v>
      </c>
      <c r="C104" s="75" t="s">
        <v>314</v>
      </c>
      <c r="D104" s="75"/>
      <c r="E104" s="37"/>
    </row>
    <row r="105" spans="1:5" x14ac:dyDescent="0.15">
      <c r="A105" s="76" t="s">
        <v>330</v>
      </c>
      <c r="B105" s="75" t="s">
        <v>2</v>
      </c>
      <c r="C105" s="75" t="s">
        <v>74</v>
      </c>
      <c r="D105" s="75"/>
      <c r="E105" s="37"/>
    </row>
    <row r="106" spans="1:5" x14ac:dyDescent="0.15">
      <c r="A106" s="75"/>
      <c r="B106" s="75" t="s">
        <v>198</v>
      </c>
      <c r="C106" s="75"/>
      <c r="D106" s="75"/>
      <c r="E106" s="37"/>
    </row>
    <row r="107" spans="1:5" x14ac:dyDescent="0.15">
      <c r="A107" s="75"/>
      <c r="B107" s="75" t="s">
        <v>199</v>
      </c>
      <c r="C107" s="75"/>
      <c r="D107" s="75"/>
      <c r="E107" s="37"/>
    </row>
    <row r="108" spans="1:5" x14ac:dyDescent="0.15">
      <c r="A108" s="75"/>
      <c r="B108" s="75" t="s">
        <v>123</v>
      </c>
      <c r="C108" s="75" t="s">
        <v>314</v>
      </c>
      <c r="D108" s="75"/>
      <c r="E108" s="37"/>
    </row>
    <row r="109" spans="1:5" x14ac:dyDescent="0.15">
      <c r="A109" s="76" t="s">
        <v>317</v>
      </c>
      <c r="B109" s="75" t="s">
        <v>2</v>
      </c>
      <c r="C109" s="75" t="s">
        <v>86</v>
      </c>
      <c r="D109" s="75"/>
      <c r="E109" s="37"/>
    </row>
    <row r="110" spans="1:5" x14ac:dyDescent="0.15">
      <c r="A110" s="75"/>
      <c r="B110" s="75" t="s">
        <v>87</v>
      </c>
      <c r="C110" s="75" t="s">
        <v>88</v>
      </c>
      <c r="D110" s="75" t="s">
        <v>317</v>
      </c>
      <c r="E110" s="37"/>
    </row>
    <row r="111" spans="1:5" x14ac:dyDescent="0.15">
      <c r="A111" s="75"/>
      <c r="B111" s="75" t="s">
        <v>123</v>
      </c>
      <c r="C111" s="75" t="s">
        <v>314</v>
      </c>
      <c r="D111" s="75"/>
      <c r="E111" s="37"/>
    </row>
    <row r="112" spans="1:5" x14ac:dyDescent="0.2">
      <c r="A112" s="36" t="s">
        <v>324</v>
      </c>
      <c r="B112" s="38" t="s">
        <v>2</v>
      </c>
      <c r="C112" s="38" t="s">
        <v>74</v>
      </c>
      <c r="E112" s="37"/>
    </row>
    <row r="113" spans="1:5" x14ac:dyDescent="0.2">
      <c r="B113" s="38" t="s">
        <v>326</v>
      </c>
      <c r="E113" s="37"/>
    </row>
    <row r="114" spans="1:5" x14ac:dyDescent="0.2">
      <c r="B114" s="38" t="s">
        <v>327</v>
      </c>
      <c r="E114" s="37"/>
    </row>
    <row r="115" spans="1:5" x14ac:dyDescent="0.2">
      <c r="B115" s="38" t="s">
        <v>328</v>
      </c>
      <c r="E115" s="37"/>
    </row>
    <row r="116" spans="1:5" x14ac:dyDescent="0.2">
      <c r="B116" s="43" t="s">
        <v>123</v>
      </c>
      <c r="C116" s="43" t="s">
        <v>194</v>
      </c>
      <c r="E116" s="37"/>
    </row>
    <row r="117" spans="1:5" x14ac:dyDescent="0.2">
      <c r="A117" s="36" t="s">
        <v>325</v>
      </c>
      <c r="B117" s="38" t="s">
        <v>2</v>
      </c>
      <c r="C117" s="38" t="s">
        <v>74</v>
      </c>
      <c r="E117" s="37"/>
    </row>
    <row r="118" spans="1:5" x14ac:dyDescent="0.2">
      <c r="B118" s="38" t="s">
        <v>326</v>
      </c>
      <c r="E118" s="37"/>
    </row>
    <row r="119" spans="1:5" x14ac:dyDescent="0.2">
      <c r="B119" s="38" t="s">
        <v>327</v>
      </c>
      <c r="E119" s="37"/>
    </row>
    <row r="120" spans="1:5" x14ac:dyDescent="0.2">
      <c r="B120" s="43" t="s">
        <v>123</v>
      </c>
      <c r="C120" s="43" t="s">
        <v>194</v>
      </c>
      <c r="E120" s="37"/>
    </row>
    <row r="121" spans="1:5" x14ac:dyDescent="0.2">
      <c r="A121" s="36" t="s">
        <v>318</v>
      </c>
      <c r="B121" s="43" t="s">
        <v>2</v>
      </c>
      <c r="C121" s="43" t="s">
        <v>74</v>
      </c>
      <c r="D121" s="43"/>
      <c r="E121" s="37"/>
    </row>
    <row r="122" spans="1:5" x14ac:dyDescent="0.2">
      <c r="A122" s="36"/>
      <c r="B122" s="43" t="s">
        <v>21</v>
      </c>
      <c r="C122" s="43" t="s">
        <v>319</v>
      </c>
      <c r="D122" s="43"/>
      <c r="E122" s="37"/>
    </row>
    <row r="123" spans="1:5" x14ac:dyDescent="0.2">
      <c r="A123" s="36"/>
      <c r="B123" s="43" t="s">
        <v>195</v>
      </c>
      <c r="C123" s="43"/>
      <c r="D123" s="43"/>
      <c r="E123" s="37"/>
    </row>
    <row r="124" spans="1:5" x14ac:dyDescent="0.2">
      <c r="A124" s="36"/>
      <c r="B124" s="43" t="s">
        <v>123</v>
      </c>
      <c r="C124" s="43" t="s">
        <v>194</v>
      </c>
      <c r="D124" s="43"/>
      <c r="E124" s="37"/>
    </row>
    <row r="125" spans="1:5" x14ac:dyDescent="0.2">
      <c r="A125" s="36" t="s">
        <v>320</v>
      </c>
      <c r="B125" s="43" t="s">
        <v>90</v>
      </c>
      <c r="C125" s="43" t="s">
        <v>91</v>
      </c>
      <c r="D125" s="43"/>
      <c r="E125" s="37"/>
    </row>
    <row r="126" spans="1:5" x14ac:dyDescent="0.2">
      <c r="A126" s="36"/>
      <c r="B126" s="43" t="s">
        <v>21</v>
      </c>
      <c r="C126" s="43" t="s">
        <v>321</v>
      </c>
      <c r="D126" s="43"/>
      <c r="E126" s="37"/>
    </row>
    <row r="127" spans="1:5" x14ac:dyDescent="0.2">
      <c r="A127" s="36"/>
      <c r="B127" s="43" t="s">
        <v>123</v>
      </c>
      <c r="C127" s="43" t="s">
        <v>194</v>
      </c>
      <c r="D127" s="43"/>
      <c r="E127" s="37"/>
    </row>
    <row r="128" spans="1:5" x14ac:dyDescent="0.2">
      <c r="A128" s="36" t="s">
        <v>322</v>
      </c>
      <c r="B128" s="43" t="s">
        <v>2</v>
      </c>
      <c r="C128" s="43" t="s">
        <v>323</v>
      </c>
      <c r="D128" s="43"/>
      <c r="E128" s="37"/>
    </row>
    <row r="129" spans="1:5" x14ac:dyDescent="0.2">
      <c r="A129" s="36"/>
      <c r="B129" s="43" t="s">
        <v>21</v>
      </c>
      <c r="C129" s="43" t="s">
        <v>92</v>
      </c>
      <c r="D129" s="43"/>
      <c r="E129" s="37"/>
    </row>
    <row r="130" spans="1:5" x14ac:dyDescent="0.2">
      <c r="A130" s="36"/>
      <c r="B130" s="37" t="s">
        <v>123</v>
      </c>
      <c r="C130" s="43" t="s">
        <v>194</v>
      </c>
      <c r="D130" s="37"/>
      <c r="E130" s="37"/>
    </row>
    <row r="131" spans="1:5" x14ac:dyDescent="0.2">
      <c r="A131" s="36" t="s">
        <v>93</v>
      </c>
      <c r="B131" s="37" t="s">
        <v>2</v>
      </c>
      <c r="C131" s="37" t="s">
        <v>94</v>
      </c>
      <c r="D131" s="37"/>
      <c r="E131" s="37"/>
    </row>
    <row r="132" spans="1:5" x14ac:dyDescent="0.2">
      <c r="A132" s="36"/>
      <c r="B132" s="37" t="s">
        <v>21</v>
      </c>
      <c r="C132" s="37" t="s">
        <v>95</v>
      </c>
      <c r="D132" s="37"/>
      <c r="E132" s="37"/>
    </row>
    <row r="133" spans="1:5" x14ac:dyDescent="0.2">
      <c r="A133" s="36"/>
      <c r="B133" s="37" t="s">
        <v>123</v>
      </c>
      <c r="C133" s="43" t="s">
        <v>194</v>
      </c>
      <c r="D133" s="37"/>
      <c r="E133" s="37"/>
    </row>
    <row r="134" spans="1:5" x14ac:dyDescent="0.2">
      <c r="A134" s="36" t="s">
        <v>96</v>
      </c>
      <c r="B134" s="37" t="s">
        <v>2</v>
      </c>
      <c r="C134" s="37" t="s">
        <v>97</v>
      </c>
      <c r="D134" s="37"/>
      <c r="E134" s="37"/>
    </row>
    <row r="135" spans="1:5" x14ac:dyDescent="0.2">
      <c r="A135" s="36"/>
      <c r="B135" s="37" t="s">
        <v>21</v>
      </c>
      <c r="C135" s="37" t="s">
        <v>98</v>
      </c>
      <c r="D135" s="37"/>
      <c r="E135" s="37"/>
    </row>
    <row r="136" spans="1:5" x14ac:dyDescent="0.2">
      <c r="A136" s="36"/>
      <c r="B136" s="37" t="s">
        <v>123</v>
      </c>
      <c r="C136" s="43" t="s">
        <v>194</v>
      </c>
      <c r="D136" s="37"/>
      <c r="E136" s="37"/>
    </row>
    <row r="137" spans="1:5" x14ac:dyDescent="0.2">
      <c r="A137" s="36" t="s">
        <v>99</v>
      </c>
      <c r="B137" s="37" t="s">
        <v>2</v>
      </c>
      <c r="C137" s="37" t="s">
        <v>97</v>
      </c>
      <c r="D137" s="37"/>
      <c r="E137" s="37"/>
    </row>
    <row r="138" spans="1:5" x14ac:dyDescent="0.2">
      <c r="A138" s="36"/>
      <c r="B138" s="37" t="s">
        <v>21</v>
      </c>
      <c r="C138" s="37" t="s">
        <v>100</v>
      </c>
      <c r="D138" s="37"/>
      <c r="E138" s="37"/>
    </row>
    <row r="139" spans="1:5" x14ac:dyDescent="0.2">
      <c r="A139" s="36"/>
      <c r="B139" s="37" t="s">
        <v>123</v>
      </c>
      <c r="C139" s="43" t="s">
        <v>194</v>
      </c>
      <c r="D139" s="37"/>
      <c r="E139" s="37"/>
    </row>
    <row r="140" spans="1:5" x14ac:dyDescent="0.2">
      <c r="A140" s="58" t="s">
        <v>110</v>
      </c>
      <c r="B140" s="59" t="s">
        <v>2</v>
      </c>
      <c r="C140" s="60" t="s">
        <v>86</v>
      </c>
      <c r="D140" s="59"/>
      <c r="E140" s="37"/>
    </row>
    <row r="141" spans="1:5" x14ac:dyDescent="0.15">
      <c r="A141" s="58"/>
      <c r="B141" s="61" t="s">
        <v>87</v>
      </c>
      <c r="C141" s="62" t="s">
        <v>217</v>
      </c>
      <c r="D141" s="62" t="s">
        <v>218</v>
      </c>
      <c r="E141" s="37"/>
    </row>
    <row r="142" spans="1:5" x14ac:dyDescent="0.15">
      <c r="A142" s="58"/>
      <c r="B142" s="61"/>
      <c r="C142" s="62" t="s">
        <v>219</v>
      </c>
      <c r="D142" s="62" t="s">
        <v>220</v>
      </c>
      <c r="E142" s="37"/>
    </row>
    <row r="143" spans="1:5" x14ac:dyDescent="0.15">
      <c r="A143" s="58"/>
      <c r="B143" s="59"/>
      <c r="C143" s="62" t="s">
        <v>221</v>
      </c>
      <c r="D143" s="62" t="s">
        <v>222</v>
      </c>
      <c r="E143" s="37"/>
    </row>
    <row r="144" spans="1:5" x14ac:dyDescent="0.15">
      <c r="A144" s="58"/>
      <c r="B144" s="59"/>
      <c r="C144" s="62" t="s">
        <v>223</v>
      </c>
      <c r="D144" s="62" t="s">
        <v>224</v>
      </c>
      <c r="E144" s="37"/>
    </row>
    <row r="145" spans="1:5" x14ac:dyDescent="0.15">
      <c r="A145" s="58"/>
      <c r="B145" s="59"/>
      <c r="C145" s="62" t="s">
        <v>225</v>
      </c>
      <c r="D145" s="62" t="s">
        <v>226</v>
      </c>
      <c r="E145" s="37"/>
    </row>
    <row r="146" spans="1:5" x14ac:dyDescent="0.15">
      <c r="A146" s="58"/>
      <c r="B146" s="59"/>
      <c r="C146" s="62" t="s">
        <v>227</v>
      </c>
      <c r="D146" s="62" t="s">
        <v>228</v>
      </c>
      <c r="E146" s="37"/>
    </row>
    <row r="147" spans="1:5" x14ac:dyDescent="0.15">
      <c r="A147" s="58"/>
      <c r="B147" s="59"/>
      <c r="C147" s="62" t="s">
        <v>229</v>
      </c>
      <c r="D147" s="62" t="s">
        <v>230</v>
      </c>
      <c r="E147" s="37"/>
    </row>
    <row r="148" spans="1:5" x14ac:dyDescent="0.15">
      <c r="A148" s="58"/>
      <c r="B148" s="59"/>
      <c r="C148" s="62" t="s">
        <v>231</v>
      </c>
      <c r="D148" s="62" t="s">
        <v>232</v>
      </c>
      <c r="E148" s="37"/>
    </row>
    <row r="149" spans="1:5" x14ac:dyDescent="0.15">
      <c r="A149" s="58"/>
      <c r="B149" s="59"/>
      <c r="C149" s="62" t="s">
        <v>233</v>
      </c>
      <c r="D149" s="62" t="s">
        <v>234</v>
      </c>
      <c r="E149" s="37"/>
    </row>
    <row r="150" spans="1:5" x14ac:dyDescent="0.15">
      <c r="A150" s="58"/>
      <c r="B150" s="59"/>
      <c r="C150" s="62" t="s">
        <v>235</v>
      </c>
      <c r="D150" s="62" t="s">
        <v>236</v>
      </c>
      <c r="E150" s="37"/>
    </row>
    <row r="151" spans="1:5" x14ac:dyDescent="0.15">
      <c r="A151" s="58"/>
      <c r="B151" s="59"/>
      <c r="C151" s="62" t="s">
        <v>237</v>
      </c>
      <c r="D151" s="62" t="s">
        <v>238</v>
      </c>
      <c r="E151" s="37"/>
    </row>
    <row r="152" spans="1:5" x14ac:dyDescent="0.15">
      <c r="A152" s="58"/>
      <c r="B152" s="59"/>
      <c r="C152" s="62" t="s">
        <v>239</v>
      </c>
      <c r="D152" s="62" t="s">
        <v>240</v>
      </c>
      <c r="E152" s="37"/>
    </row>
    <row r="153" spans="1:5" x14ac:dyDescent="0.2">
      <c r="A153" s="58"/>
      <c r="B153" s="59" t="s">
        <v>21</v>
      </c>
      <c r="C153" s="59" t="s">
        <v>111</v>
      </c>
      <c r="D153" s="59"/>
      <c r="E153" s="37"/>
    </row>
    <row r="154" spans="1:5" x14ac:dyDescent="0.2">
      <c r="A154" s="58"/>
      <c r="B154" s="59" t="s">
        <v>123</v>
      </c>
      <c r="C154" s="60" t="s">
        <v>194</v>
      </c>
      <c r="D154" s="59"/>
      <c r="E154" s="37"/>
    </row>
    <row r="155" spans="1:5" x14ac:dyDescent="0.2">
      <c r="A155" s="36"/>
      <c r="B155" s="37"/>
      <c r="C155" s="37"/>
      <c r="D155" s="37"/>
      <c r="E155" s="37"/>
    </row>
    <row r="156" spans="1:5" x14ac:dyDescent="0.2">
      <c r="A156" s="36" t="s">
        <v>126</v>
      </c>
      <c r="B156" s="37" t="s">
        <v>2</v>
      </c>
      <c r="C156" s="37" t="s">
        <v>3</v>
      </c>
      <c r="D156" s="37"/>
      <c r="E156" s="37"/>
    </row>
    <row r="157" spans="1:5" x14ac:dyDescent="0.2">
      <c r="A157" s="36"/>
      <c r="B157" s="37" t="s">
        <v>4</v>
      </c>
      <c r="C157" s="37" t="s">
        <v>5</v>
      </c>
      <c r="D157" s="37"/>
      <c r="E157" s="37"/>
    </row>
    <row r="158" spans="1:5" x14ac:dyDescent="0.2">
      <c r="A158" s="36"/>
      <c r="B158" s="37" t="s">
        <v>6</v>
      </c>
      <c r="C158" s="37" t="s">
        <v>128</v>
      </c>
      <c r="D158" s="37" t="s">
        <v>131</v>
      </c>
    </row>
    <row r="159" spans="1:5" x14ac:dyDescent="0.2">
      <c r="A159" s="36"/>
      <c r="B159" s="37"/>
      <c r="C159" s="37" t="s">
        <v>129</v>
      </c>
      <c r="D159" s="37" t="s">
        <v>82</v>
      </c>
    </row>
    <row r="160" spans="1:5" x14ac:dyDescent="0.2">
      <c r="A160" s="36"/>
      <c r="B160" s="37"/>
      <c r="C160" s="37" t="s">
        <v>40</v>
      </c>
      <c r="D160" s="37" t="s">
        <v>114</v>
      </c>
    </row>
    <row r="161" spans="1:4" x14ac:dyDescent="0.2">
      <c r="A161" s="36"/>
      <c r="B161" s="37"/>
      <c r="C161" s="37" t="s">
        <v>130</v>
      </c>
      <c r="D161" s="43" t="s">
        <v>196</v>
      </c>
    </row>
    <row r="162" spans="1:4" x14ac:dyDescent="0.2">
      <c r="A162" s="36"/>
      <c r="B162" s="37" t="s">
        <v>123</v>
      </c>
      <c r="C162" s="37" t="s">
        <v>127</v>
      </c>
    </row>
    <row r="163" spans="1:4" x14ac:dyDescent="0.2">
      <c r="A163" s="36" t="s">
        <v>134</v>
      </c>
      <c r="B163" s="37" t="s">
        <v>2</v>
      </c>
      <c r="C163" s="37" t="s">
        <v>3</v>
      </c>
      <c r="D163" s="37"/>
    </row>
    <row r="164" spans="1:4" x14ac:dyDescent="0.2">
      <c r="A164" s="36"/>
      <c r="B164" s="37" t="s">
        <v>4</v>
      </c>
      <c r="C164" s="37" t="s">
        <v>5</v>
      </c>
      <c r="D164" s="37"/>
    </row>
    <row r="165" spans="1:4" x14ac:dyDescent="0.2">
      <c r="A165" s="36"/>
      <c r="B165" s="37" t="s">
        <v>6</v>
      </c>
      <c r="C165" s="38" t="s">
        <v>157</v>
      </c>
      <c r="D165" s="38" t="s">
        <v>158</v>
      </c>
    </row>
    <row r="166" spans="1:4" x14ac:dyDescent="0.2">
      <c r="A166" s="36"/>
      <c r="B166" s="37"/>
      <c r="C166" s="38" t="s">
        <v>169</v>
      </c>
      <c r="D166" s="38" t="s">
        <v>170</v>
      </c>
    </row>
    <row r="167" spans="1:4" x14ac:dyDescent="0.2">
      <c r="A167" s="36"/>
      <c r="B167" s="37"/>
      <c r="C167" s="38" t="s">
        <v>159</v>
      </c>
      <c r="D167" s="38" t="s">
        <v>160</v>
      </c>
    </row>
    <row r="168" spans="1:4" x14ac:dyDescent="0.2">
      <c r="A168" s="36"/>
      <c r="B168" s="37"/>
      <c r="C168" s="38" t="s">
        <v>167</v>
      </c>
      <c r="D168" s="38" t="s">
        <v>168</v>
      </c>
    </row>
    <row r="169" spans="1:4" x14ac:dyDescent="0.2">
      <c r="A169" s="36"/>
      <c r="B169" s="37"/>
      <c r="C169" s="38" t="s">
        <v>139</v>
      </c>
      <c r="D169" s="38" t="s">
        <v>140</v>
      </c>
    </row>
    <row r="170" spans="1:4" x14ac:dyDescent="0.2">
      <c r="A170" s="36"/>
      <c r="B170" s="37"/>
      <c r="C170" s="38" t="s">
        <v>153</v>
      </c>
      <c r="D170" s="38" t="s">
        <v>154</v>
      </c>
    </row>
    <row r="171" spans="1:4" x14ac:dyDescent="0.2">
      <c r="A171" s="36"/>
      <c r="B171" s="37"/>
      <c r="C171" s="38" t="s">
        <v>164</v>
      </c>
      <c r="D171" s="38" t="s">
        <v>196</v>
      </c>
    </row>
    <row r="172" spans="1:4" x14ac:dyDescent="0.2">
      <c r="A172" s="36"/>
      <c r="B172" s="37"/>
      <c r="C172" s="38" t="s">
        <v>178</v>
      </c>
      <c r="D172" s="38" t="s">
        <v>180</v>
      </c>
    </row>
    <row r="173" spans="1:4" x14ac:dyDescent="0.2">
      <c r="A173" s="36"/>
      <c r="B173" s="37"/>
      <c r="C173" s="38" t="s">
        <v>161</v>
      </c>
      <c r="D173" s="38" t="s">
        <v>181</v>
      </c>
    </row>
    <row r="174" spans="1:4" x14ac:dyDescent="0.2">
      <c r="A174" s="36"/>
      <c r="B174" s="37"/>
      <c r="C174" s="38" t="s">
        <v>135</v>
      </c>
      <c r="D174" s="38" t="s">
        <v>136</v>
      </c>
    </row>
    <row r="175" spans="1:4" x14ac:dyDescent="0.2">
      <c r="A175" s="36"/>
      <c r="B175" s="37"/>
      <c r="C175" s="38" t="s">
        <v>137</v>
      </c>
      <c r="D175" s="38" t="s">
        <v>138</v>
      </c>
    </row>
    <row r="176" spans="1:4" x14ac:dyDescent="0.2">
      <c r="A176" s="36"/>
      <c r="B176" s="37"/>
      <c r="C176" s="38" t="s">
        <v>173</v>
      </c>
      <c r="D176" s="38" t="s">
        <v>174</v>
      </c>
    </row>
    <row r="177" spans="1:4" x14ac:dyDescent="0.2">
      <c r="A177" s="36"/>
      <c r="B177" s="37"/>
      <c r="C177" s="38" t="s">
        <v>189</v>
      </c>
      <c r="D177" s="38" t="s">
        <v>190</v>
      </c>
    </row>
    <row r="178" spans="1:4" x14ac:dyDescent="0.2">
      <c r="A178" s="36"/>
      <c r="B178" s="37"/>
      <c r="C178" s="38" t="s">
        <v>171</v>
      </c>
      <c r="D178" s="38" t="s">
        <v>172</v>
      </c>
    </row>
    <row r="179" spans="1:4" x14ac:dyDescent="0.2">
      <c r="A179" s="36"/>
      <c r="B179" s="37"/>
      <c r="C179" s="38" t="s">
        <v>177</v>
      </c>
      <c r="D179" s="38" t="s">
        <v>179</v>
      </c>
    </row>
    <row r="180" spans="1:4" x14ac:dyDescent="0.2">
      <c r="A180" s="36"/>
      <c r="C180" s="38" t="s">
        <v>149</v>
      </c>
      <c r="D180" s="38" t="s">
        <v>150</v>
      </c>
    </row>
    <row r="181" spans="1:4" x14ac:dyDescent="0.2">
      <c r="A181" s="36"/>
      <c r="C181" s="38" t="s">
        <v>141</v>
      </c>
      <c r="D181" s="38" t="s">
        <v>142</v>
      </c>
    </row>
    <row r="182" spans="1:4" x14ac:dyDescent="0.2">
      <c r="A182" s="36"/>
      <c r="C182" s="38" t="s">
        <v>143</v>
      </c>
      <c r="D182" s="38" t="s">
        <v>144</v>
      </c>
    </row>
    <row r="183" spans="1:4" x14ac:dyDescent="0.2">
      <c r="A183" s="36"/>
      <c r="C183" s="38" t="s">
        <v>147</v>
      </c>
      <c r="D183" s="38" t="s">
        <v>148</v>
      </c>
    </row>
    <row r="184" spans="1:4" x14ac:dyDescent="0.2">
      <c r="A184" s="36"/>
      <c r="C184" s="38" t="s">
        <v>145</v>
      </c>
      <c r="D184" s="38" t="s">
        <v>146</v>
      </c>
    </row>
    <row r="185" spans="1:4" x14ac:dyDescent="0.2">
      <c r="A185" s="36"/>
      <c r="C185" s="38" t="s">
        <v>162</v>
      </c>
      <c r="D185" s="38" t="s">
        <v>163</v>
      </c>
    </row>
    <row r="186" spans="1:4" x14ac:dyDescent="0.2">
      <c r="C186" s="38" t="s">
        <v>151</v>
      </c>
      <c r="D186" s="38" t="s">
        <v>152</v>
      </c>
    </row>
    <row r="187" spans="1:4" x14ac:dyDescent="0.2">
      <c r="C187" s="38" t="s">
        <v>155</v>
      </c>
      <c r="D187" s="38" t="s">
        <v>156</v>
      </c>
    </row>
    <row r="188" spans="1:4" x14ac:dyDescent="0.2">
      <c r="C188" s="38" t="s">
        <v>165</v>
      </c>
      <c r="D188" s="38" t="s">
        <v>166</v>
      </c>
    </row>
    <row r="189" spans="1:4" x14ac:dyDescent="0.2">
      <c r="A189" s="36"/>
      <c r="B189" s="37" t="s">
        <v>123</v>
      </c>
      <c r="C189" s="37" t="s">
        <v>127</v>
      </c>
    </row>
    <row r="190" spans="1:4" x14ac:dyDescent="0.2">
      <c r="A190" s="36" t="s">
        <v>132</v>
      </c>
      <c r="B190" s="38" t="s">
        <v>2</v>
      </c>
      <c r="C190" s="37" t="s">
        <v>133</v>
      </c>
    </row>
    <row r="191" spans="1:4" x14ac:dyDescent="0.2">
      <c r="A191" s="36"/>
      <c r="B191" s="37" t="s">
        <v>123</v>
      </c>
      <c r="C191" s="43" t="s">
        <v>127</v>
      </c>
    </row>
    <row r="192" spans="1:4" x14ac:dyDescent="0.2">
      <c r="A192" s="36"/>
      <c r="B192" s="37"/>
      <c r="C192" s="37"/>
    </row>
    <row r="193" spans="1:4" ht="14" x14ac:dyDescent="0.2">
      <c r="A193" s="72" t="s">
        <v>308</v>
      </c>
      <c r="B193" s="73" t="s">
        <v>2</v>
      </c>
      <c r="C193" s="73" t="s">
        <v>3</v>
      </c>
      <c r="D193" s="73"/>
    </row>
    <row r="194" spans="1:4" ht="14" x14ac:dyDescent="0.2">
      <c r="A194" s="72"/>
      <c r="B194" s="73" t="s">
        <v>4</v>
      </c>
      <c r="C194" s="73" t="s">
        <v>5</v>
      </c>
      <c r="D194" s="73"/>
    </row>
    <row r="195" spans="1:4" ht="14" x14ac:dyDescent="0.2">
      <c r="A195" s="72"/>
      <c r="B195" s="73" t="s">
        <v>117</v>
      </c>
      <c r="C195" s="73" t="s">
        <v>213</v>
      </c>
      <c r="D195" s="73"/>
    </row>
    <row r="196" spans="1:4" ht="14" x14ac:dyDescent="0.2">
      <c r="A196" s="72"/>
      <c r="B196" s="73" t="s">
        <v>6</v>
      </c>
      <c r="C196" s="73" t="s">
        <v>213</v>
      </c>
      <c r="D196" s="74" t="s">
        <v>242</v>
      </c>
    </row>
    <row r="197" spans="1:4" ht="14" x14ac:dyDescent="0.2">
      <c r="A197" s="72"/>
      <c r="B197" s="73"/>
      <c r="C197" s="73" t="s">
        <v>88</v>
      </c>
      <c r="D197" s="73" t="s">
        <v>309</v>
      </c>
    </row>
    <row r="198" spans="1:4" ht="14" x14ac:dyDescent="0.2">
      <c r="A198" s="72"/>
      <c r="B198" s="73" t="s">
        <v>123</v>
      </c>
      <c r="C198" s="73" t="s">
        <v>127</v>
      </c>
      <c r="D198" s="73"/>
    </row>
    <row r="199" spans="1:4" ht="14" x14ac:dyDescent="0.2">
      <c r="A199" s="72" t="s">
        <v>310</v>
      </c>
      <c r="B199" s="73" t="s">
        <v>2</v>
      </c>
      <c r="C199" s="65" t="s">
        <v>91</v>
      </c>
      <c r="D199" s="73"/>
    </row>
    <row r="200" spans="1:4" ht="14" x14ac:dyDescent="0.2">
      <c r="A200" s="72"/>
      <c r="B200" s="73" t="s">
        <v>21</v>
      </c>
      <c r="C200" s="73" t="s">
        <v>311</v>
      </c>
      <c r="D200" s="73"/>
    </row>
    <row r="201" spans="1:4" ht="14" x14ac:dyDescent="0.2">
      <c r="A201" s="72"/>
      <c r="B201" s="65" t="s">
        <v>123</v>
      </c>
      <c r="C201" s="65" t="s">
        <v>127</v>
      </c>
      <c r="D201" s="73"/>
    </row>
    <row r="202" spans="1:4" ht="14" x14ac:dyDescent="0.2">
      <c r="A202" s="64" t="s">
        <v>243</v>
      </c>
      <c r="B202" s="65" t="s">
        <v>2</v>
      </c>
      <c r="C202" s="65" t="s">
        <v>3</v>
      </c>
      <c r="D202" s="66"/>
    </row>
    <row r="203" spans="1:4" ht="14" x14ac:dyDescent="0.2">
      <c r="A203" s="64"/>
      <c r="B203" s="65" t="s">
        <v>4</v>
      </c>
      <c r="C203" s="65" t="s">
        <v>5</v>
      </c>
      <c r="D203" s="65"/>
    </row>
    <row r="204" spans="1:4" ht="14" x14ac:dyDescent="0.2">
      <c r="A204" s="64"/>
      <c r="B204" s="65" t="s">
        <v>117</v>
      </c>
      <c r="C204" s="65" t="s">
        <v>213</v>
      </c>
      <c r="D204" s="65"/>
    </row>
    <row r="205" spans="1:4" ht="14" x14ac:dyDescent="0.2">
      <c r="A205" s="64"/>
      <c r="B205" s="65" t="s">
        <v>6</v>
      </c>
      <c r="C205" s="65" t="s">
        <v>213</v>
      </c>
      <c r="D205" s="65" t="s">
        <v>242</v>
      </c>
    </row>
    <row r="206" spans="1:4" ht="14" x14ac:dyDescent="0.2">
      <c r="A206" s="64"/>
      <c r="B206" s="65"/>
      <c r="C206" s="65" t="s">
        <v>88</v>
      </c>
      <c r="D206" s="65" t="s">
        <v>244</v>
      </c>
    </row>
    <row r="207" spans="1:4" ht="14" x14ac:dyDescent="0.2">
      <c r="A207" s="64"/>
      <c r="B207" s="65" t="s">
        <v>123</v>
      </c>
      <c r="C207" s="65" t="s">
        <v>307</v>
      </c>
      <c r="D207" s="65"/>
    </row>
    <row r="208" spans="1:4" ht="14" x14ac:dyDescent="0.2">
      <c r="A208" s="64" t="s">
        <v>245</v>
      </c>
      <c r="B208" s="65" t="s">
        <v>2</v>
      </c>
      <c r="C208" s="65" t="s">
        <v>241</v>
      </c>
      <c r="D208" s="65"/>
    </row>
    <row r="209" spans="1:4" ht="14" x14ac:dyDescent="0.2">
      <c r="A209" s="64"/>
      <c r="B209" s="65" t="s">
        <v>123</v>
      </c>
      <c r="C209" s="65" t="s">
        <v>307</v>
      </c>
      <c r="D209" s="65"/>
    </row>
    <row r="210" spans="1:4" ht="14" x14ac:dyDescent="0.2">
      <c r="A210" s="64" t="s">
        <v>246</v>
      </c>
      <c r="B210" s="65" t="s">
        <v>2</v>
      </c>
      <c r="C210" s="65" t="s">
        <v>241</v>
      </c>
      <c r="D210" s="65"/>
    </row>
    <row r="211" spans="1:4" ht="14" x14ac:dyDescent="0.2">
      <c r="A211" s="64"/>
      <c r="B211" s="65" t="s">
        <v>123</v>
      </c>
      <c r="C211" s="65" t="s">
        <v>307</v>
      </c>
      <c r="D211" s="65"/>
    </row>
    <row r="212" spans="1:4" ht="14" x14ac:dyDescent="0.2">
      <c r="A212" s="64" t="s">
        <v>247</v>
      </c>
      <c r="B212" s="65" t="s">
        <v>2</v>
      </c>
      <c r="C212" s="65" t="s">
        <v>241</v>
      </c>
      <c r="D212" s="65"/>
    </row>
    <row r="213" spans="1:4" ht="14" x14ac:dyDescent="0.2">
      <c r="A213" s="64"/>
      <c r="B213" s="65" t="s">
        <v>123</v>
      </c>
      <c r="C213" s="65" t="s">
        <v>307</v>
      </c>
      <c r="D213" s="65"/>
    </row>
    <row r="214" spans="1:4" ht="14" x14ac:dyDescent="0.2">
      <c r="A214" s="64" t="s">
        <v>248</v>
      </c>
      <c r="B214" s="65" t="s">
        <v>2</v>
      </c>
      <c r="C214" s="65" t="s">
        <v>241</v>
      </c>
      <c r="D214" s="65"/>
    </row>
    <row r="215" spans="1:4" ht="14" x14ac:dyDescent="0.2">
      <c r="A215" s="64"/>
      <c r="B215" s="65" t="s">
        <v>123</v>
      </c>
      <c r="C215" s="65" t="s">
        <v>307</v>
      </c>
      <c r="D215" s="65"/>
    </row>
    <row r="216" spans="1:4" ht="14" x14ac:dyDescent="0.2">
      <c r="A216" s="64" t="s">
        <v>249</v>
      </c>
      <c r="B216" s="65" t="s">
        <v>2</v>
      </c>
      <c r="C216" s="65" t="s">
        <v>241</v>
      </c>
      <c r="D216" s="65"/>
    </row>
    <row r="217" spans="1:4" ht="14" x14ac:dyDescent="0.2">
      <c r="A217" s="64"/>
      <c r="B217" s="65" t="s">
        <v>123</v>
      </c>
      <c r="C217" s="65" t="s">
        <v>307</v>
      </c>
      <c r="D217" s="65"/>
    </row>
    <row r="218" spans="1:4" ht="14" x14ac:dyDescent="0.2">
      <c r="A218" s="64" t="s">
        <v>250</v>
      </c>
      <c r="B218" s="65" t="s">
        <v>2</v>
      </c>
      <c r="C218" s="65" t="s">
        <v>241</v>
      </c>
      <c r="D218" s="65"/>
    </row>
    <row r="219" spans="1:4" ht="14" x14ac:dyDescent="0.2">
      <c r="A219" s="64"/>
      <c r="B219" s="65" t="s">
        <v>123</v>
      </c>
      <c r="C219" s="65" t="s">
        <v>307</v>
      </c>
      <c r="D219" s="65"/>
    </row>
    <row r="220" spans="1:4" ht="14" x14ac:dyDescent="0.2">
      <c r="A220" s="64" t="s">
        <v>251</v>
      </c>
      <c r="B220" s="65" t="s">
        <v>2</v>
      </c>
      <c r="C220" s="65" t="s">
        <v>241</v>
      </c>
      <c r="D220" s="65"/>
    </row>
    <row r="221" spans="1:4" ht="14" x14ac:dyDescent="0.2">
      <c r="A221" s="64"/>
      <c r="B221" s="65" t="s">
        <v>123</v>
      </c>
      <c r="C221" s="65" t="s">
        <v>307</v>
      </c>
      <c r="D221" s="65"/>
    </row>
    <row r="222" spans="1:4" ht="14" x14ac:dyDescent="0.2">
      <c r="A222" s="64" t="s">
        <v>252</v>
      </c>
      <c r="B222" s="65" t="s">
        <v>2</v>
      </c>
      <c r="C222" s="65" t="s">
        <v>241</v>
      </c>
      <c r="D222" s="65"/>
    </row>
    <row r="223" spans="1:4" ht="14" x14ac:dyDescent="0.2">
      <c r="A223" s="64"/>
      <c r="B223" s="65" t="s">
        <v>123</v>
      </c>
      <c r="C223" s="65" t="s">
        <v>307</v>
      </c>
      <c r="D223" s="65"/>
    </row>
    <row r="224" spans="1:4" ht="14" x14ac:dyDescent="0.2">
      <c r="A224" s="64" t="s">
        <v>253</v>
      </c>
      <c r="B224" s="65" t="s">
        <v>2</v>
      </c>
      <c r="C224" s="65" t="s">
        <v>241</v>
      </c>
      <c r="D224" s="65"/>
    </row>
    <row r="225" spans="1:4" ht="14" x14ac:dyDescent="0.2">
      <c r="A225" s="64"/>
      <c r="B225" s="65" t="s">
        <v>123</v>
      </c>
      <c r="C225" s="65" t="s">
        <v>307</v>
      </c>
      <c r="D225" s="65"/>
    </row>
    <row r="226" spans="1:4" ht="14" x14ac:dyDescent="0.2">
      <c r="A226" s="64" t="s">
        <v>254</v>
      </c>
      <c r="B226" s="65" t="s">
        <v>2</v>
      </c>
      <c r="C226" s="65" t="s">
        <v>241</v>
      </c>
      <c r="D226" s="65"/>
    </row>
    <row r="227" spans="1:4" ht="14" x14ac:dyDescent="0.2">
      <c r="A227" s="64"/>
      <c r="B227" s="65" t="s">
        <v>123</v>
      </c>
      <c r="C227" s="65" t="s">
        <v>307</v>
      </c>
      <c r="D227" s="65"/>
    </row>
    <row r="228" spans="1:4" ht="14" x14ac:dyDescent="0.2">
      <c r="A228" s="64" t="s">
        <v>255</v>
      </c>
      <c r="B228" s="65" t="s">
        <v>2</v>
      </c>
      <c r="C228" s="65" t="s">
        <v>241</v>
      </c>
      <c r="D228" s="65"/>
    </row>
    <row r="229" spans="1:4" ht="14" x14ac:dyDescent="0.2">
      <c r="A229" s="64"/>
      <c r="B229" s="65" t="s">
        <v>123</v>
      </c>
      <c r="C229" s="65" t="s">
        <v>307</v>
      </c>
      <c r="D229" s="65"/>
    </row>
    <row r="230" spans="1:4" ht="14" x14ac:dyDescent="0.2">
      <c r="A230" s="64" t="s">
        <v>256</v>
      </c>
      <c r="B230" s="65" t="s">
        <v>2</v>
      </c>
      <c r="C230" s="65" t="s">
        <v>241</v>
      </c>
      <c r="D230" s="65"/>
    </row>
    <row r="231" spans="1:4" ht="14" x14ac:dyDescent="0.2">
      <c r="A231" s="64"/>
      <c r="B231" s="65" t="s">
        <v>123</v>
      </c>
      <c r="C231" s="65" t="s">
        <v>307</v>
      </c>
      <c r="D231" s="65"/>
    </row>
    <row r="232" spans="1:4" ht="14" x14ac:dyDescent="0.2">
      <c r="A232" s="64" t="s">
        <v>257</v>
      </c>
      <c r="B232" s="65" t="s">
        <v>2</v>
      </c>
      <c r="C232" s="65" t="s">
        <v>241</v>
      </c>
      <c r="D232" s="65"/>
    </row>
    <row r="233" spans="1:4" ht="14" x14ac:dyDescent="0.2">
      <c r="A233" s="64"/>
      <c r="B233" s="65" t="s">
        <v>123</v>
      </c>
      <c r="C233" s="65" t="s">
        <v>307</v>
      </c>
      <c r="D233" s="65"/>
    </row>
    <row r="234" spans="1:4" ht="14" x14ac:dyDescent="0.2">
      <c r="A234" s="64" t="s">
        <v>258</v>
      </c>
      <c r="B234" s="65" t="s">
        <v>2</v>
      </c>
      <c r="C234" s="65" t="s">
        <v>241</v>
      </c>
      <c r="D234" s="65"/>
    </row>
    <row r="235" spans="1:4" ht="14" x14ac:dyDescent="0.2">
      <c r="A235" s="64"/>
      <c r="B235" s="65" t="s">
        <v>123</v>
      </c>
      <c r="C235" s="65" t="s">
        <v>307</v>
      </c>
      <c r="D235" s="65"/>
    </row>
    <row r="236" spans="1:4" ht="14" x14ac:dyDescent="0.2">
      <c r="A236" s="64" t="s">
        <v>259</v>
      </c>
      <c r="B236" s="65" t="s">
        <v>2</v>
      </c>
      <c r="C236" s="65" t="s">
        <v>241</v>
      </c>
      <c r="D236" s="65"/>
    </row>
    <row r="237" spans="1:4" ht="14" x14ac:dyDescent="0.2">
      <c r="A237" s="64"/>
      <c r="B237" s="65" t="s">
        <v>123</v>
      </c>
      <c r="C237" s="65" t="s">
        <v>307</v>
      </c>
      <c r="D237" s="65"/>
    </row>
    <row r="238" spans="1:4" ht="14" x14ac:dyDescent="0.2">
      <c r="A238" s="64" t="s">
        <v>260</v>
      </c>
      <c r="B238" s="65" t="s">
        <v>2</v>
      </c>
      <c r="C238" s="65" t="s">
        <v>241</v>
      </c>
      <c r="D238" s="65"/>
    </row>
    <row r="239" spans="1:4" ht="14" x14ac:dyDescent="0.2">
      <c r="A239" s="64"/>
      <c r="B239" s="65" t="s">
        <v>123</v>
      </c>
      <c r="C239" s="65" t="s">
        <v>307</v>
      </c>
      <c r="D239" s="65"/>
    </row>
    <row r="240" spans="1:4" ht="14" x14ac:dyDescent="0.2">
      <c r="A240" s="67" t="s">
        <v>261</v>
      </c>
      <c r="B240" s="68" t="s">
        <v>2</v>
      </c>
      <c r="C240" s="68" t="s">
        <v>3</v>
      </c>
      <c r="D240" s="69"/>
    </row>
    <row r="241" spans="1:4" ht="14" x14ac:dyDescent="0.2">
      <c r="A241" s="68"/>
      <c r="B241" s="65" t="s">
        <v>4</v>
      </c>
      <c r="C241" s="65" t="s">
        <v>5</v>
      </c>
      <c r="D241" s="69"/>
    </row>
    <row r="242" spans="1:4" ht="14" x14ac:dyDescent="0.2">
      <c r="A242" s="68"/>
      <c r="B242" s="68" t="s">
        <v>6</v>
      </c>
      <c r="C242" s="68" t="s">
        <v>262</v>
      </c>
      <c r="D242" s="68" t="s">
        <v>264</v>
      </c>
    </row>
    <row r="243" spans="1:4" ht="14" x14ac:dyDescent="0.2">
      <c r="A243" s="68"/>
      <c r="B243" s="68"/>
      <c r="C243" s="68" t="s">
        <v>263</v>
      </c>
      <c r="D243" s="68" t="s">
        <v>265</v>
      </c>
    </row>
    <row r="244" spans="1:4" ht="180" x14ac:dyDescent="0.2">
      <c r="A244" s="68"/>
      <c r="B244" s="68" t="s">
        <v>21</v>
      </c>
      <c r="C244" s="70" t="s">
        <v>266</v>
      </c>
      <c r="D244" s="68"/>
    </row>
    <row r="245" spans="1:4" ht="14" x14ac:dyDescent="0.2">
      <c r="A245" s="68"/>
      <c r="B245" s="68" t="s">
        <v>123</v>
      </c>
      <c r="C245" s="65" t="s">
        <v>307</v>
      </c>
      <c r="D245" s="68"/>
    </row>
    <row r="246" spans="1:4" ht="14" x14ac:dyDescent="0.2">
      <c r="A246" s="68"/>
      <c r="B246" s="68"/>
      <c r="C246" s="68"/>
      <c r="D246" s="68"/>
    </row>
    <row r="247" spans="1:4" ht="14" x14ac:dyDescent="0.2">
      <c r="A247" s="64" t="s">
        <v>268</v>
      </c>
      <c r="B247" s="65" t="s">
        <v>2</v>
      </c>
      <c r="C247" s="65" t="s">
        <v>3</v>
      </c>
      <c r="D247" s="66"/>
    </row>
    <row r="248" spans="1:4" ht="14" x14ac:dyDescent="0.2">
      <c r="A248" s="64"/>
      <c r="B248" s="65" t="s">
        <v>4</v>
      </c>
      <c r="C248" s="65" t="s">
        <v>5</v>
      </c>
      <c r="D248" s="65"/>
    </row>
    <row r="249" spans="1:4" ht="14" x14ac:dyDescent="0.2">
      <c r="A249" s="64"/>
      <c r="B249" s="65" t="s">
        <v>117</v>
      </c>
      <c r="C249" s="65" t="s">
        <v>213</v>
      </c>
      <c r="D249" s="65"/>
    </row>
    <row r="250" spans="1:4" ht="14" x14ac:dyDescent="0.2">
      <c r="A250" s="64"/>
      <c r="B250" s="65" t="s">
        <v>6</v>
      </c>
      <c r="C250" s="65" t="s">
        <v>213</v>
      </c>
      <c r="D250" s="65" t="s">
        <v>242</v>
      </c>
    </row>
    <row r="251" spans="1:4" ht="14" x14ac:dyDescent="0.2">
      <c r="A251" s="64"/>
      <c r="B251" s="65"/>
      <c r="C251" s="65" t="s">
        <v>88</v>
      </c>
      <c r="D251" s="65" t="s">
        <v>244</v>
      </c>
    </row>
    <row r="252" spans="1:4" ht="14" x14ac:dyDescent="0.2">
      <c r="A252" s="64"/>
      <c r="B252" s="65" t="s">
        <v>123</v>
      </c>
      <c r="C252" s="65" t="s">
        <v>285</v>
      </c>
      <c r="D252" s="65"/>
    </row>
    <row r="253" spans="1:4" ht="14" x14ac:dyDescent="0.2">
      <c r="A253" s="64" t="s">
        <v>269</v>
      </c>
      <c r="B253" s="65" t="s">
        <v>2</v>
      </c>
      <c r="C253" s="65" t="s">
        <v>241</v>
      </c>
      <c r="D253" s="65"/>
    </row>
    <row r="254" spans="1:4" ht="14" x14ac:dyDescent="0.2">
      <c r="A254" s="64"/>
      <c r="B254" s="65" t="s">
        <v>123</v>
      </c>
      <c r="C254" s="65" t="s">
        <v>285</v>
      </c>
      <c r="D254" s="65"/>
    </row>
    <row r="255" spans="1:4" ht="14" x14ac:dyDescent="0.2">
      <c r="A255" s="64" t="s">
        <v>270</v>
      </c>
      <c r="B255" s="65" t="s">
        <v>2</v>
      </c>
      <c r="C255" s="65" t="s">
        <v>241</v>
      </c>
      <c r="D255" s="65"/>
    </row>
    <row r="256" spans="1:4" ht="14" x14ac:dyDescent="0.2">
      <c r="A256" s="64"/>
      <c r="B256" s="65" t="s">
        <v>123</v>
      </c>
      <c r="C256" s="65" t="s">
        <v>285</v>
      </c>
      <c r="D256" s="65"/>
    </row>
    <row r="257" spans="1:4" ht="14" x14ac:dyDescent="0.2">
      <c r="A257" s="64" t="s">
        <v>271</v>
      </c>
      <c r="B257" s="65" t="s">
        <v>2</v>
      </c>
      <c r="C257" s="65" t="s">
        <v>241</v>
      </c>
      <c r="D257" s="65"/>
    </row>
    <row r="258" spans="1:4" ht="14" x14ac:dyDescent="0.2">
      <c r="A258" s="64"/>
      <c r="B258" s="65" t="s">
        <v>123</v>
      </c>
      <c r="C258" s="65" t="s">
        <v>285</v>
      </c>
      <c r="D258" s="65"/>
    </row>
    <row r="259" spans="1:4" ht="14" x14ac:dyDescent="0.2">
      <c r="A259" s="64" t="s">
        <v>272</v>
      </c>
      <c r="B259" s="65" t="s">
        <v>2</v>
      </c>
      <c r="C259" s="65" t="s">
        <v>241</v>
      </c>
      <c r="D259" s="65"/>
    </row>
    <row r="260" spans="1:4" ht="14" x14ac:dyDescent="0.2">
      <c r="A260" s="64"/>
      <c r="B260" s="65" t="s">
        <v>123</v>
      </c>
      <c r="C260" s="65" t="s">
        <v>285</v>
      </c>
      <c r="D260" s="65"/>
    </row>
    <row r="261" spans="1:4" ht="14" x14ac:dyDescent="0.2">
      <c r="A261" s="64" t="s">
        <v>273</v>
      </c>
      <c r="B261" s="65" t="s">
        <v>2</v>
      </c>
      <c r="C261" s="65" t="s">
        <v>241</v>
      </c>
      <c r="D261" s="65"/>
    </row>
    <row r="262" spans="1:4" ht="14" x14ac:dyDescent="0.2">
      <c r="A262" s="64"/>
      <c r="B262" s="65" t="s">
        <v>123</v>
      </c>
      <c r="C262" s="65" t="s">
        <v>285</v>
      </c>
      <c r="D262" s="65"/>
    </row>
    <row r="263" spans="1:4" ht="14" x14ac:dyDescent="0.2">
      <c r="A263" s="64" t="s">
        <v>274</v>
      </c>
      <c r="B263" s="65" t="s">
        <v>2</v>
      </c>
      <c r="C263" s="65" t="s">
        <v>241</v>
      </c>
      <c r="D263" s="65"/>
    </row>
    <row r="264" spans="1:4" ht="14" x14ac:dyDescent="0.2">
      <c r="A264" s="64"/>
      <c r="B264" s="65" t="s">
        <v>123</v>
      </c>
      <c r="C264" s="65" t="s">
        <v>285</v>
      </c>
      <c r="D264" s="65"/>
    </row>
    <row r="265" spans="1:4" ht="14" x14ac:dyDescent="0.2">
      <c r="A265" s="64" t="s">
        <v>275</v>
      </c>
      <c r="B265" s="65" t="s">
        <v>2</v>
      </c>
      <c r="C265" s="65" t="s">
        <v>241</v>
      </c>
      <c r="D265" s="65"/>
    </row>
    <row r="266" spans="1:4" ht="14" x14ac:dyDescent="0.2">
      <c r="A266" s="64"/>
      <c r="B266" s="65" t="s">
        <v>123</v>
      </c>
      <c r="C266" s="65" t="s">
        <v>285</v>
      </c>
      <c r="D266" s="65"/>
    </row>
    <row r="267" spans="1:4" ht="14" x14ac:dyDescent="0.2">
      <c r="A267" s="64" t="s">
        <v>276</v>
      </c>
      <c r="B267" s="65" t="s">
        <v>2</v>
      </c>
      <c r="C267" s="65" t="s">
        <v>241</v>
      </c>
      <c r="D267" s="65"/>
    </row>
    <row r="268" spans="1:4" ht="14" x14ac:dyDescent="0.2">
      <c r="A268" s="64"/>
      <c r="B268" s="65" t="s">
        <v>123</v>
      </c>
      <c r="C268" s="65" t="s">
        <v>285</v>
      </c>
      <c r="D268" s="65"/>
    </row>
    <row r="269" spans="1:4" ht="14" x14ac:dyDescent="0.2">
      <c r="A269" s="64" t="s">
        <v>277</v>
      </c>
      <c r="B269" s="65" t="s">
        <v>2</v>
      </c>
      <c r="C269" s="65" t="s">
        <v>241</v>
      </c>
      <c r="D269" s="65"/>
    </row>
    <row r="270" spans="1:4" ht="14" x14ac:dyDescent="0.2">
      <c r="A270" s="64"/>
      <c r="B270" s="65" t="s">
        <v>123</v>
      </c>
      <c r="C270" s="65" t="s">
        <v>285</v>
      </c>
      <c r="D270" s="65"/>
    </row>
    <row r="271" spans="1:4" ht="14" x14ac:dyDescent="0.2">
      <c r="A271" s="64" t="s">
        <v>278</v>
      </c>
      <c r="B271" s="65" t="s">
        <v>2</v>
      </c>
      <c r="C271" s="65" t="s">
        <v>241</v>
      </c>
      <c r="D271" s="65"/>
    </row>
    <row r="272" spans="1:4" ht="14" x14ac:dyDescent="0.2">
      <c r="A272" s="64"/>
      <c r="B272" s="65" t="s">
        <v>123</v>
      </c>
      <c r="C272" s="65" t="s">
        <v>285</v>
      </c>
      <c r="D272" s="65"/>
    </row>
    <row r="273" spans="1:4" ht="14" x14ac:dyDescent="0.2">
      <c r="A273" s="64" t="s">
        <v>279</v>
      </c>
      <c r="B273" s="65" t="s">
        <v>2</v>
      </c>
      <c r="C273" s="65" t="s">
        <v>241</v>
      </c>
      <c r="D273" s="65"/>
    </row>
    <row r="274" spans="1:4" ht="14" x14ac:dyDescent="0.2">
      <c r="A274" s="64"/>
      <c r="B274" s="65" t="s">
        <v>123</v>
      </c>
      <c r="C274" s="65" t="s">
        <v>285</v>
      </c>
      <c r="D274" s="65"/>
    </row>
    <row r="275" spans="1:4" ht="14" x14ac:dyDescent="0.2">
      <c r="A275" s="64" t="s">
        <v>280</v>
      </c>
      <c r="B275" s="65" t="s">
        <v>2</v>
      </c>
      <c r="C275" s="65" t="s">
        <v>241</v>
      </c>
      <c r="D275" s="65"/>
    </row>
    <row r="276" spans="1:4" ht="14" x14ac:dyDescent="0.2">
      <c r="A276" s="64"/>
      <c r="B276" s="65" t="s">
        <v>123</v>
      </c>
      <c r="C276" s="65" t="s">
        <v>285</v>
      </c>
      <c r="D276" s="65"/>
    </row>
    <row r="277" spans="1:4" ht="14" x14ac:dyDescent="0.2">
      <c r="A277" s="64" t="s">
        <v>281</v>
      </c>
      <c r="B277" s="65" t="s">
        <v>2</v>
      </c>
      <c r="C277" s="65" t="s">
        <v>241</v>
      </c>
      <c r="D277" s="65"/>
    </row>
    <row r="278" spans="1:4" ht="14" x14ac:dyDescent="0.2">
      <c r="A278" s="64"/>
      <c r="B278" s="65" t="s">
        <v>123</v>
      </c>
      <c r="C278" s="65" t="s">
        <v>285</v>
      </c>
      <c r="D278" s="65"/>
    </row>
    <row r="279" spans="1:4" ht="14" x14ac:dyDescent="0.2">
      <c r="A279" s="64" t="s">
        <v>282</v>
      </c>
      <c r="B279" s="65" t="s">
        <v>2</v>
      </c>
      <c r="C279" s="65" t="s">
        <v>241</v>
      </c>
      <c r="D279" s="65"/>
    </row>
    <row r="280" spans="1:4" ht="14" x14ac:dyDescent="0.2">
      <c r="A280" s="64"/>
      <c r="B280" s="65" t="s">
        <v>123</v>
      </c>
      <c r="C280" s="65" t="s">
        <v>285</v>
      </c>
      <c r="D280" s="65"/>
    </row>
    <row r="281" spans="1:4" ht="14" x14ac:dyDescent="0.2">
      <c r="A281" s="64" t="s">
        <v>283</v>
      </c>
      <c r="B281" s="65" t="s">
        <v>2</v>
      </c>
      <c r="C281" s="65" t="s">
        <v>241</v>
      </c>
      <c r="D281" s="65"/>
    </row>
    <row r="282" spans="1:4" ht="14" x14ac:dyDescent="0.2">
      <c r="A282" s="64"/>
      <c r="B282" s="65" t="s">
        <v>123</v>
      </c>
      <c r="C282" s="65" t="s">
        <v>285</v>
      </c>
      <c r="D282" s="65"/>
    </row>
    <row r="283" spans="1:4" ht="14" x14ac:dyDescent="0.2">
      <c r="A283" s="64" t="s">
        <v>284</v>
      </c>
      <c r="B283" s="65" t="s">
        <v>2</v>
      </c>
      <c r="C283" s="65" t="s">
        <v>241</v>
      </c>
      <c r="D283" s="65"/>
    </row>
    <row r="284" spans="1:4" ht="14" x14ac:dyDescent="0.2">
      <c r="A284" s="64"/>
      <c r="B284" s="65" t="s">
        <v>123</v>
      </c>
      <c r="C284" s="65" t="s">
        <v>285</v>
      </c>
      <c r="D284" s="65"/>
    </row>
    <row r="285" spans="1:4" ht="14" x14ac:dyDescent="0.2">
      <c r="A285" s="67" t="s">
        <v>286</v>
      </c>
      <c r="B285" s="68" t="s">
        <v>2</v>
      </c>
      <c r="C285" s="68" t="s">
        <v>3</v>
      </c>
      <c r="D285" s="69"/>
    </row>
    <row r="286" spans="1:4" ht="14" x14ac:dyDescent="0.2">
      <c r="A286" s="68"/>
      <c r="B286" s="65" t="s">
        <v>4</v>
      </c>
      <c r="C286" s="65" t="s">
        <v>5</v>
      </c>
      <c r="D286" s="69"/>
    </row>
    <row r="287" spans="1:4" ht="14" x14ac:dyDescent="0.2">
      <c r="A287" s="68"/>
      <c r="B287" s="68" t="s">
        <v>6</v>
      </c>
      <c r="C287" s="68" t="s">
        <v>262</v>
      </c>
      <c r="D287" s="68" t="s">
        <v>264</v>
      </c>
    </row>
    <row r="288" spans="1:4" ht="14" x14ac:dyDescent="0.2">
      <c r="A288" s="68"/>
      <c r="B288" s="68"/>
      <c r="C288" s="68" t="s">
        <v>263</v>
      </c>
      <c r="D288" s="68" t="s">
        <v>265</v>
      </c>
    </row>
    <row r="289" spans="1:4" ht="180" x14ac:dyDescent="0.2">
      <c r="A289" s="68"/>
      <c r="B289" s="68" t="s">
        <v>21</v>
      </c>
      <c r="C289" s="70" t="s">
        <v>312</v>
      </c>
      <c r="D289" s="68"/>
    </row>
    <row r="290" spans="1:4" ht="14" x14ac:dyDescent="0.2">
      <c r="A290" s="68"/>
      <c r="B290" s="68" t="s">
        <v>123</v>
      </c>
      <c r="C290" s="65" t="s">
        <v>285</v>
      </c>
      <c r="D290" s="68"/>
    </row>
    <row r="291" spans="1:4" ht="14" x14ac:dyDescent="0.2">
      <c r="A291" s="68"/>
      <c r="B291" s="68"/>
      <c r="C291" s="68"/>
      <c r="D291" s="68"/>
    </row>
    <row r="292" spans="1:4" ht="14" x14ac:dyDescent="0.2">
      <c r="A292" s="64" t="s">
        <v>287</v>
      </c>
      <c r="B292" s="65" t="s">
        <v>2</v>
      </c>
      <c r="C292" s="65" t="s">
        <v>3</v>
      </c>
      <c r="D292" s="66"/>
    </row>
    <row r="293" spans="1:4" ht="14" x14ac:dyDescent="0.2">
      <c r="A293" s="64"/>
      <c r="B293" s="65" t="s">
        <v>4</v>
      </c>
      <c r="C293" s="65" t="s">
        <v>5</v>
      </c>
      <c r="D293" s="65"/>
    </row>
    <row r="294" spans="1:4" ht="14" x14ac:dyDescent="0.2">
      <c r="A294" s="64"/>
      <c r="B294" s="65" t="s">
        <v>117</v>
      </c>
      <c r="C294" s="65" t="s">
        <v>213</v>
      </c>
      <c r="D294" s="65"/>
    </row>
    <row r="295" spans="1:4" ht="14" x14ac:dyDescent="0.2">
      <c r="A295" s="64"/>
      <c r="B295" s="65" t="s">
        <v>6</v>
      </c>
      <c r="C295" s="65" t="s">
        <v>213</v>
      </c>
      <c r="D295" s="65" t="s">
        <v>242</v>
      </c>
    </row>
    <row r="296" spans="1:4" ht="14" x14ac:dyDescent="0.2">
      <c r="A296" s="64"/>
      <c r="B296" s="65"/>
      <c r="C296" s="65" t="s">
        <v>88</v>
      </c>
      <c r="D296" s="65" t="s">
        <v>244</v>
      </c>
    </row>
    <row r="297" spans="1:4" ht="14" x14ac:dyDescent="0.2">
      <c r="A297" s="64"/>
      <c r="B297" s="65" t="s">
        <v>123</v>
      </c>
      <c r="C297" s="65" t="s">
        <v>288</v>
      </c>
      <c r="D297" s="65"/>
    </row>
    <row r="298" spans="1:4" ht="14" x14ac:dyDescent="0.2">
      <c r="A298" s="64" t="s">
        <v>289</v>
      </c>
      <c r="B298" s="65" t="s">
        <v>2</v>
      </c>
      <c r="C298" s="65" t="s">
        <v>241</v>
      </c>
      <c r="D298" s="65"/>
    </row>
    <row r="299" spans="1:4" ht="14" x14ac:dyDescent="0.2">
      <c r="A299" s="64"/>
      <c r="B299" s="65" t="s">
        <v>123</v>
      </c>
      <c r="C299" s="65" t="s">
        <v>288</v>
      </c>
      <c r="D299" s="65"/>
    </row>
    <row r="300" spans="1:4" ht="14" x14ac:dyDescent="0.2">
      <c r="A300" s="64" t="s">
        <v>290</v>
      </c>
      <c r="B300" s="65" t="s">
        <v>2</v>
      </c>
      <c r="C300" s="65" t="s">
        <v>241</v>
      </c>
      <c r="D300" s="65"/>
    </row>
    <row r="301" spans="1:4" ht="14" x14ac:dyDescent="0.2">
      <c r="A301" s="64"/>
      <c r="B301" s="65" t="s">
        <v>123</v>
      </c>
      <c r="C301" s="65" t="s">
        <v>288</v>
      </c>
      <c r="D301" s="65"/>
    </row>
    <row r="302" spans="1:4" ht="14" x14ac:dyDescent="0.2">
      <c r="A302" s="64" t="s">
        <v>291</v>
      </c>
      <c r="B302" s="65" t="s">
        <v>2</v>
      </c>
      <c r="C302" s="65" t="s">
        <v>241</v>
      </c>
      <c r="D302" s="65"/>
    </row>
    <row r="303" spans="1:4" ht="14" x14ac:dyDescent="0.2">
      <c r="A303" s="64"/>
      <c r="B303" s="65" t="s">
        <v>123</v>
      </c>
      <c r="C303" s="65" t="s">
        <v>288</v>
      </c>
      <c r="D303" s="65"/>
    </row>
    <row r="304" spans="1:4" ht="14" x14ac:dyDescent="0.2">
      <c r="A304" s="64" t="s">
        <v>292</v>
      </c>
      <c r="B304" s="65" t="s">
        <v>2</v>
      </c>
      <c r="C304" s="65" t="s">
        <v>241</v>
      </c>
      <c r="D304" s="65"/>
    </row>
    <row r="305" spans="1:4" ht="14" x14ac:dyDescent="0.2">
      <c r="A305" s="64"/>
      <c r="B305" s="65" t="s">
        <v>123</v>
      </c>
      <c r="C305" s="65" t="s">
        <v>288</v>
      </c>
      <c r="D305" s="65"/>
    </row>
    <row r="306" spans="1:4" ht="14" x14ac:dyDescent="0.2">
      <c r="A306" s="64" t="s">
        <v>293</v>
      </c>
      <c r="B306" s="65" t="s">
        <v>2</v>
      </c>
      <c r="C306" s="65" t="s">
        <v>241</v>
      </c>
      <c r="D306" s="65"/>
    </row>
    <row r="307" spans="1:4" ht="14" x14ac:dyDescent="0.2">
      <c r="A307" s="64"/>
      <c r="B307" s="65" t="s">
        <v>123</v>
      </c>
      <c r="C307" s="65" t="s">
        <v>288</v>
      </c>
      <c r="D307" s="65"/>
    </row>
    <row r="308" spans="1:4" ht="14" x14ac:dyDescent="0.2">
      <c r="A308" s="64" t="s">
        <v>294</v>
      </c>
      <c r="B308" s="65" t="s">
        <v>2</v>
      </c>
      <c r="C308" s="65" t="s">
        <v>241</v>
      </c>
      <c r="D308" s="65"/>
    </row>
    <row r="309" spans="1:4" ht="14" x14ac:dyDescent="0.2">
      <c r="A309" s="64"/>
      <c r="B309" s="65" t="s">
        <v>123</v>
      </c>
      <c r="C309" s="65" t="s">
        <v>288</v>
      </c>
      <c r="D309" s="65"/>
    </row>
    <row r="310" spans="1:4" ht="14" x14ac:dyDescent="0.2">
      <c r="A310" s="64" t="s">
        <v>295</v>
      </c>
      <c r="B310" s="65" t="s">
        <v>2</v>
      </c>
      <c r="C310" s="65" t="s">
        <v>241</v>
      </c>
      <c r="D310" s="65"/>
    </row>
    <row r="311" spans="1:4" ht="14" x14ac:dyDescent="0.2">
      <c r="A311" s="64"/>
      <c r="B311" s="65" t="s">
        <v>123</v>
      </c>
      <c r="C311" s="65" t="s">
        <v>288</v>
      </c>
      <c r="D311" s="65"/>
    </row>
    <row r="312" spans="1:4" ht="14" x14ac:dyDescent="0.2">
      <c r="A312" s="64" t="s">
        <v>296</v>
      </c>
      <c r="B312" s="65" t="s">
        <v>2</v>
      </c>
      <c r="C312" s="65" t="s">
        <v>241</v>
      </c>
      <c r="D312" s="65"/>
    </row>
    <row r="313" spans="1:4" ht="14" x14ac:dyDescent="0.2">
      <c r="A313" s="64"/>
      <c r="B313" s="65" t="s">
        <v>123</v>
      </c>
      <c r="C313" s="65" t="s">
        <v>288</v>
      </c>
      <c r="D313" s="65"/>
    </row>
    <row r="314" spans="1:4" ht="14" x14ac:dyDescent="0.2">
      <c r="A314" s="64" t="s">
        <v>297</v>
      </c>
      <c r="B314" s="65" t="s">
        <v>2</v>
      </c>
      <c r="C314" s="65" t="s">
        <v>241</v>
      </c>
      <c r="D314" s="65"/>
    </row>
    <row r="315" spans="1:4" ht="14" x14ac:dyDescent="0.2">
      <c r="A315" s="64"/>
      <c r="B315" s="65" t="s">
        <v>123</v>
      </c>
      <c r="C315" s="65" t="s">
        <v>288</v>
      </c>
      <c r="D315" s="65"/>
    </row>
    <row r="316" spans="1:4" ht="14" x14ac:dyDescent="0.2">
      <c r="A316" s="64" t="s">
        <v>298</v>
      </c>
      <c r="B316" s="65" t="s">
        <v>2</v>
      </c>
      <c r="C316" s="65" t="s">
        <v>241</v>
      </c>
      <c r="D316" s="65"/>
    </row>
    <row r="317" spans="1:4" ht="14" x14ac:dyDescent="0.2">
      <c r="A317" s="64"/>
      <c r="B317" s="65" t="s">
        <v>123</v>
      </c>
      <c r="C317" s="65" t="s">
        <v>288</v>
      </c>
      <c r="D317" s="65"/>
    </row>
    <row r="318" spans="1:4" ht="14" x14ac:dyDescent="0.2">
      <c r="A318" s="64" t="s">
        <v>299</v>
      </c>
      <c r="B318" s="65" t="s">
        <v>2</v>
      </c>
      <c r="C318" s="65" t="s">
        <v>241</v>
      </c>
      <c r="D318" s="65"/>
    </row>
    <row r="319" spans="1:4" ht="14" x14ac:dyDescent="0.2">
      <c r="A319" s="64"/>
      <c r="B319" s="65" t="s">
        <v>123</v>
      </c>
      <c r="C319" s="65" t="s">
        <v>288</v>
      </c>
      <c r="D319" s="65"/>
    </row>
    <row r="320" spans="1:4" ht="14" x14ac:dyDescent="0.2">
      <c r="A320" s="64" t="s">
        <v>300</v>
      </c>
      <c r="B320" s="65" t="s">
        <v>2</v>
      </c>
      <c r="C320" s="65" t="s">
        <v>241</v>
      </c>
      <c r="D320" s="65"/>
    </row>
    <row r="321" spans="1:4" ht="14" x14ac:dyDescent="0.2">
      <c r="A321" s="64"/>
      <c r="B321" s="65" t="s">
        <v>123</v>
      </c>
      <c r="C321" s="65" t="s">
        <v>288</v>
      </c>
      <c r="D321" s="65"/>
    </row>
    <row r="322" spans="1:4" ht="14" x14ac:dyDescent="0.2">
      <c r="A322" s="64" t="s">
        <v>301</v>
      </c>
      <c r="B322" s="65" t="s">
        <v>2</v>
      </c>
      <c r="C322" s="65" t="s">
        <v>241</v>
      </c>
      <c r="D322" s="65"/>
    </row>
    <row r="323" spans="1:4" ht="14" x14ac:dyDescent="0.2">
      <c r="A323" s="64"/>
      <c r="B323" s="65" t="s">
        <v>123</v>
      </c>
      <c r="C323" s="65" t="s">
        <v>288</v>
      </c>
      <c r="D323" s="65"/>
    </row>
    <row r="324" spans="1:4" ht="14" x14ac:dyDescent="0.2">
      <c r="A324" s="64" t="s">
        <v>302</v>
      </c>
      <c r="B324" s="65" t="s">
        <v>2</v>
      </c>
      <c r="C324" s="65" t="s">
        <v>241</v>
      </c>
      <c r="D324" s="65"/>
    </row>
    <row r="325" spans="1:4" ht="14" x14ac:dyDescent="0.2">
      <c r="A325" s="64"/>
      <c r="B325" s="65" t="s">
        <v>123</v>
      </c>
      <c r="C325" s="65" t="s">
        <v>288</v>
      </c>
      <c r="D325" s="65"/>
    </row>
    <row r="326" spans="1:4" ht="14" x14ac:dyDescent="0.2">
      <c r="A326" s="64" t="s">
        <v>303</v>
      </c>
      <c r="B326" s="65" t="s">
        <v>2</v>
      </c>
      <c r="C326" s="65" t="s">
        <v>241</v>
      </c>
      <c r="D326" s="65"/>
    </row>
    <row r="327" spans="1:4" ht="14" x14ac:dyDescent="0.2">
      <c r="A327" s="64"/>
      <c r="B327" s="65" t="s">
        <v>123</v>
      </c>
      <c r="C327" s="65" t="s">
        <v>288</v>
      </c>
      <c r="D327" s="65"/>
    </row>
    <row r="328" spans="1:4" ht="14" x14ac:dyDescent="0.2">
      <c r="A328" s="64" t="s">
        <v>304</v>
      </c>
      <c r="B328" s="65" t="s">
        <v>2</v>
      </c>
      <c r="C328" s="65" t="s">
        <v>241</v>
      </c>
      <c r="D328" s="65"/>
    </row>
    <row r="329" spans="1:4" ht="14" x14ac:dyDescent="0.2">
      <c r="A329" s="64"/>
      <c r="B329" s="65" t="s">
        <v>123</v>
      </c>
      <c r="C329" s="65" t="s">
        <v>288</v>
      </c>
      <c r="D329" s="65"/>
    </row>
    <row r="330" spans="1:4" ht="14" x14ac:dyDescent="0.2">
      <c r="A330" s="67" t="s">
        <v>305</v>
      </c>
      <c r="B330" s="68" t="s">
        <v>2</v>
      </c>
      <c r="C330" s="68" t="s">
        <v>3</v>
      </c>
      <c r="D330" s="69"/>
    </row>
    <row r="331" spans="1:4" ht="14" x14ac:dyDescent="0.2">
      <c r="A331" s="68"/>
      <c r="B331" s="65" t="s">
        <v>4</v>
      </c>
      <c r="C331" s="65" t="s">
        <v>5</v>
      </c>
      <c r="D331" s="69"/>
    </row>
    <row r="332" spans="1:4" ht="14" x14ac:dyDescent="0.2">
      <c r="A332" s="68"/>
      <c r="B332" s="68" t="s">
        <v>6</v>
      </c>
      <c r="C332" s="68" t="s">
        <v>262</v>
      </c>
      <c r="D332" s="68" t="s">
        <v>264</v>
      </c>
    </row>
    <row r="333" spans="1:4" ht="14" x14ac:dyDescent="0.2">
      <c r="A333" s="68"/>
      <c r="B333" s="68"/>
      <c r="C333" s="68" t="s">
        <v>263</v>
      </c>
      <c r="D333" s="68" t="s">
        <v>265</v>
      </c>
    </row>
    <row r="334" spans="1:4" ht="105" x14ac:dyDescent="0.2">
      <c r="A334" s="68"/>
      <c r="B334" s="68" t="s">
        <v>21</v>
      </c>
      <c r="C334" s="70" t="s">
        <v>306</v>
      </c>
      <c r="D334" s="68"/>
    </row>
    <row r="335" spans="1:4" ht="14" x14ac:dyDescent="0.2">
      <c r="A335" s="68"/>
      <c r="B335" s="68" t="s">
        <v>123</v>
      </c>
      <c r="C335" s="65" t="s">
        <v>288</v>
      </c>
      <c r="D335" s="68"/>
    </row>
    <row r="336" spans="1:4" ht="14" x14ac:dyDescent="0.2">
      <c r="A336" s="68"/>
      <c r="B336" s="68"/>
      <c r="C336" s="68"/>
      <c r="D336" s="68"/>
    </row>
    <row r="337" spans="1:4" ht="14" x14ac:dyDescent="0.2">
      <c r="A337" s="64" t="s">
        <v>333</v>
      </c>
      <c r="B337" s="65" t="s">
        <v>2</v>
      </c>
      <c r="C337" s="65" t="s">
        <v>241</v>
      </c>
      <c r="D337" s="65"/>
    </row>
    <row r="338" spans="1:4" ht="14" x14ac:dyDescent="0.2">
      <c r="A338" s="64"/>
      <c r="B338" s="65" t="s">
        <v>123</v>
      </c>
      <c r="C338" s="65" t="s">
        <v>332</v>
      </c>
      <c r="D338" s="65"/>
    </row>
    <row r="339" spans="1:4" ht="14" x14ac:dyDescent="0.2">
      <c r="A339" s="64" t="s">
        <v>334</v>
      </c>
      <c r="B339" s="65" t="s">
        <v>2</v>
      </c>
      <c r="C339" s="65" t="s">
        <v>241</v>
      </c>
      <c r="D339" s="65"/>
    </row>
    <row r="340" spans="1:4" ht="14" x14ac:dyDescent="0.2">
      <c r="A340" s="64"/>
      <c r="B340" s="65" t="s">
        <v>123</v>
      </c>
      <c r="C340" s="65" t="s">
        <v>332</v>
      </c>
      <c r="D340" s="65"/>
    </row>
    <row r="341" spans="1:4" ht="14" x14ac:dyDescent="0.2">
      <c r="A341" s="64" t="s">
        <v>335</v>
      </c>
      <c r="B341" s="65" t="s">
        <v>2</v>
      </c>
      <c r="C341" s="65" t="s">
        <v>241</v>
      </c>
      <c r="D341" s="65"/>
    </row>
    <row r="342" spans="1:4" ht="14" x14ac:dyDescent="0.2">
      <c r="A342" s="64"/>
      <c r="B342" s="65" t="s">
        <v>123</v>
      </c>
      <c r="C342" s="65" t="s">
        <v>332</v>
      </c>
      <c r="D342" s="65"/>
    </row>
    <row r="343" spans="1:4" ht="14" x14ac:dyDescent="0.2">
      <c r="A343" s="64" t="s">
        <v>336</v>
      </c>
      <c r="B343" s="65" t="s">
        <v>2</v>
      </c>
      <c r="C343" s="65" t="s">
        <v>241</v>
      </c>
      <c r="D343" s="65"/>
    </row>
    <row r="344" spans="1:4" ht="14" x14ac:dyDescent="0.2">
      <c r="A344" s="64"/>
      <c r="B344" s="65" t="s">
        <v>123</v>
      </c>
      <c r="C344" s="65" t="s">
        <v>332</v>
      </c>
      <c r="D344" s="65"/>
    </row>
    <row r="345" spans="1:4" ht="14" x14ac:dyDescent="0.2">
      <c r="A345" s="64" t="s">
        <v>337</v>
      </c>
      <c r="B345" s="65" t="s">
        <v>2</v>
      </c>
      <c r="C345" s="65" t="s">
        <v>241</v>
      </c>
      <c r="D345" s="65"/>
    </row>
    <row r="346" spans="1:4" ht="14" x14ac:dyDescent="0.2">
      <c r="A346" s="64"/>
      <c r="B346" s="65" t="s">
        <v>123</v>
      </c>
      <c r="C346" s="65" t="s">
        <v>332</v>
      </c>
      <c r="D346" s="65"/>
    </row>
    <row r="347" spans="1:4" ht="14" x14ac:dyDescent="0.2">
      <c r="A347" s="64" t="s">
        <v>338</v>
      </c>
      <c r="B347" s="65" t="s">
        <v>2</v>
      </c>
      <c r="C347" s="65" t="s">
        <v>241</v>
      </c>
      <c r="D347" s="65"/>
    </row>
    <row r="348" spans="1:4" ht="14" x14ac:dyDescent="0.2">
      <c r="A348" s="64"/>
      <c r="B348" s="65" t="s">
        <v>123</v>
      </c>
      <c r="C348" s="65" t="s">
        <v>332</v>
      </c>
      <c r="D348" s="65"/>
    </row>
    <row r="349" spans="1:4" ht="14" x14ac:dyDescent="0.2">
      <c r="A349" s="64" t="s">
        <v>339</v>
      </c>
      <c r="B349" s="65" t="s">
        <v>2</v>
      </c>
      <c r="C349" s="65" t="s">
        <v>241</v>
      </c>
      <c r="D349" s="65"/>
    </row>
    <row r="350" spans="1:4" ht="14" x14ac:dyDescent="0.2">
      <c r="A350" s="64"/>
      <c r="B350" s="65" t="s">
        <v>123</v>
      </c>
      <c r="C350" s="65" t="s">
        <v>332</v>
      </c>
      <c r="D350" s="65"/>
    </row>
    <row r="351" spans="1:4" ht="14" x14ac:dyDescent="0.2">
      <c r="A351" s="64" t="s">
        <v>340</v>
      </c>
      <c r="B351" s="65" t="s">
        <v>2</v>
      </c>
      <c r="C351" s="65" t="s">
        <v>241</v>
      </c>
      <c r="D351" s="65"/>
    </row>
    <row r="352" spans="1:4" ht="14" x14ac:dyDescent="0.2">
      <c r="A352" s="64"/>
      <c r="B352" s="65" t="s">
        <v>123</v>
      </c>
      <c r="C352" s="65" t="s">
        <v>332</v>
      </c>
      <c r="D352" s="65"/>
    </row>
    <row r="353" spans="1:4" ht="14" x14ac:dyDescent="0.2">
      <c r="A353" s="64" t="s">
        <v>341</v>
      </c>
      <c r="B353" s="65" t="s">
        <v>2</v>
      </c>
      <c r="C353" s="65" t="s">
        <v>241</v>
      </c>
      <c r="D353" s="65"/>
    </row>
    <row r="354" spans="1:4" ht="14" x14ac:dyDescent="0.2">
      <c r="A354" s="64"/>
      <c r="B354" s="65" t="s">
        <v>123</v>
      </c>
      <c r="C354" s="65" t="s">
        <v>332</v>
      </c>
      <c r="D354" s="65"/>
    </row>
    <row r="355" spans="1:4" ht="14" x14ac:dyDescent="0.2">
      <c r="A355" s="64" t="s">
        <v>342</v>
      </c>
      <c r="B355" s="65" t="s">
        <v>2</v>
      </c>
      <c r="C355" s="65" t="s">
        <v>241</v>
      </c>
      <c r="D355" s="65"/>
    </row>
    <row r="356" spans="1:4" ht="14" x14ac:dyDescent="0.2">
      <c r="A356" s="64"/>
      <c r="B356" s="65" t="s">
        <v>123</v>
      </c>
      <c r="C356" s="65" t="s">
        <v>332</v>
      </c>
      <c r="D356" s="65"/>
    </row>
    <row r="357" spans="1:4" ht="14" x14ac:dyDescent="0.2">
      <c r="A357" s="64" t="s">
        <v>347</v>
      </c>
      <c r="B357" s="65" t="s">
        <v>2</v>
      </c>
      <c r="C357" s="65" t="s">
        <v>241</v>
      </c>
      <c r="D357" s="65"/>
    </row>
    <row r="358" spans="1:4" ht="14" x14ac:dyDescent="0.2">
      <c r="A358" s="64"/>
      <c r="B358" s="65" t="s">
        <v>123</v>
      </c>
      <c r="C358" s="65" t="s">
        <v>332</v>
      </c>
      <c r="D358" s="65"/>
    </row>
    <row r="359" spans="1:4" ht="14" x14ac:dyDescent="0.2">
      <c r="A359" s="64" t="s">
        <v>348</v>
      </c>
      <c r="B359" s="65" t="s">
        <v>2</v>
      </c>
      <c r="C359" s="65" t="s">
        <v>241</v>
      </c>
      <c r="D359" s="65"/>
    </row>
    <row r="360" spans="1:4" ht="14" x14ac:dyDescent="0.2">
      <c r="A360" s="64"/>
      <c r="B360" s="65" t="s">
        <v>123</v>
      </c>
      <c r="C360" s="65" t="s">
        <v>332</v>
      </c>
      <c r="D360" s="65"/>
    </row>
    <row r="361" spans="1:4" ht="14" x14ac:dyDescent="0.2">
      <c r="A361" s="64" t="s">
        <v>349</v>
      </c>
      <c r="B361" s="65" t="s">
        <v>2</v>
      </c>
      <c r="C361" s="65" t="s">
        <v>241</v>
      </c>
      <c r="D361" s="65"/>
    </row>
    <row r="362" spans="1:4" ht="14" x14ac:dyDescent="0.2">
      <c r="A362" s="64"/>
      <c r="B362" s="65" t="s">
        <v>123</v>
      </c>
      <c r="C362" s="65" t="s">
        <v>332</v>
      </c>
      <c r="D362" s="65"/>
    </row>
    <row r="363" spans="1:4" ht="14" x14ac:dyDescent="0.2">
      <c r="A363" s="64" t="s">
        <v>350</v>
      </c>
      <c r="B363" s="65" t="s">
        <v>2</v>
      </c>
      <c r="C363" s="65" t="s">
        <v>241</v>
      </c>
      <c r="D363" s="65"/>
    </row>
    <row r="364" spans="1:4" ht="14" x14ac:dyDescent="0.2">
      <c r="A364" s="64"/>
      <c r="B364" s="65" t="s">
        <v>123</v>
      </c>
      <c r="C364" s="65" t="s">
        <v>332</v>
      </c>
      <c r="D364" s="65"/>
    </row>
    <row r="365" spans="1:4" ht="14" x14ac:dyDescent="0.2">
      <c r="A365" s="64" t="s">
        <v>351</v>
      </c>
      <c r="B365" s="65" t="s">
        <v>2</v>
      </c>
      <c r="C365" s="65" t="s">
        <v>241</v>
      </c>
      <c r="D365" s="65"/>
    </row>
    <row r="366" spans="1:4" ht="14" x14ac:dyDescent="0.2">
      <c r="A366" s="64"/>
      <c r="B366" s="65" t="s">
        <v>123</v>
      </c>
      <c r="C366" s="65" t="s">
        <v>332</v>
      </c>
      <c r="D366" s="65"/>
    </row>
    <row r="367" spans="1:4" ht="14" x14ac:dyDescent="0.2">
      <c r="A367" s="64" t="s">
        <v>352</v>
      </c>
      <c r="B367" s="65" t="s">
        <v>2</v>
      </c>
      <c r="C367" s="65" t="s">
        <v>241</v>
      </c>
      <c r="D367" s="65"/>
    </row>
    <row r="368" spans="1:4" ht="14" x14ac:dyDescent="0.2">
      <c r="A368" s="64"/>
      <c r="B368" s="65" t="s">
        <v>123</v>
      </c>
      <c r="C368" s="65" t="s">
        <v>332</v>
      </c>
      <c r="D368" s="65"/>
    </row>
    <row r="369" spans="1:4" ht="13.25" customHeight="1" x14ac:dyDescent="0.2">
      <c r="A369" s="64" t="s">
        <v>353</v>
      </c>
      <c r="B369" s="65" t="s">
        <v>2</v>
      </c>
      <c r="C369" s="65" t="s">
        <v>241</v>
      </c>
      <c r="D369" s="65"/>
    </row>
    <row r="370" spans="1:4" ht="14" x14ac:dyDescent="0.2">
      <c r="A370" s="64"/>
      <c r="B370" s="65" t="s">
        <v>123</v>
      </c>
      <c r="C370" s="65" t="s">
        <v>332</v>
      </c>
      <c r="D370" s="65"/>
    </row>
    <row r="371" spans="1:4" ht="14" x14ac:dyDescent="0.2">
      <c r="A371" s="64" t="s">
        <v>354</v>
      </c>
      <c r="B371" s="65" t="s">
        <v>2</v>
      </c>
      <c r="C371" s="65" t="s">
        <v>241</v>
      </c>
      <c r="D371" s="65"/>
    </row>
    <row r="372" spans="1:4" ht="14" x14ac:dyDescent="0.2">
      <c r="A372" s="64"/>
      <c r="B372" s="65" t="s">
        <v>123</v>
      </c>
      <c r="C372" s="65" t="s">
        <v>332</v>
      </c>
      <c r="D372" s="65"/>
    </row>
    <row r="373" spans="1:4" ht="14" x14ac:dyDescent="0.2">
      <c r="A373" s="64" t="s">
        <v>355</v>
      </c>
      <c r="B373" s="65" t="s">
        <v>2</v>
      </c>
      <c r="C373" s="65" t="s">
        <v>241</v>
      </c>
      <c r="D373" s="65"/>
    </row>
    <row r="374" spans="1:4" ht="14" x14ac:dyDescent="0.2">
      <c r="A374" s="64"/>
      <c r="B374" s="65" t="s">
        <v>123</v>
      </c>
      <c r="C374" s="65" t="s">
        <v>332</v>
      </c>
      <c r="D374" s="65"/>
    </row>
    <row r="375" spans="1:4" ht="14" x14ac:dyDescent="0.2">
      <c r="A375" s="64" t="s">
        <v>356</v>
      </c>
      <c r="B375" s="65" t="s">
        <v>2</v>
      </c>
      <c r="C375" s="65" t="s">
        <v>241</v>
      </c>
      <c r="D375" s="65"/>
    </row>
    <row r="376" spans="1:4" ht="14" x14ac:dyDescent="0.2">
      <c r="A376" s="64"/>
      <c r="B376" s="65" t="s">
        <v>123</v>
      </c>
      <c r="C376" s="65" t="s">
        <v>332</v>
      </c>
      <c r="D376" s="65"/>
    </row>
    <row r="377" spans="1:4" ht="14" x14ac:dyDescent="0.2">
      <c r="A377" s="67" t="s">
        <v>343</v>
      </c>
      <c r="B377" s="68" t="s">
        <v>2</v>
      </c>
      <c r="C377" s="68" t="s">
        <v>3</v>
      </c>
      <c r="D377" s="69"/>
    </row>
    <row r="378" spans="1:4" ht="14" x14ac:dyDescent="0.2">
      <c r="A378" s="68"/>
      <c r="B378" s="65" t="s">
        <v>4</v>
      </c>
      <c r="C378" s="65" t="s">
        <v>5</v>
      </c>
      <c r="D378" s="69"/>
    </row>
    <row r="379" spans="1:4" ht="14" x14ac:dyDescent="0.2">
      <c r="A379" s="68"/>
      <c r="B379" s="68" t="s">
        <v>6</v>
      </c>
      <c r="C379" s="68" t="s">
        <v>262</v>
      </c>
      <c r="D379" s="68" t="s">
        <v>344</v>
      </c>
    </row>
    <row r="380" spans="1:4" ht="14" x14ac:dyDescent="0.2">
      <c r="A380" s="68"/>
      <c r="B380" s="68"/>
      <c r="C380" s="68" t="s">
        <v>263</v>
      </c>
      <c r="D380" s="68" t="s">
        <v>345</v>
      </c>
    </row>
    <row r="381" spans="1:4" ht="150" x14ac:dyDescent="0.2">
      <c r="A381" s="68"/>
      <c r="B381" s="68" t="s">
        <v>21</v>
      </c>
      <c r="C381" s="70" t="s">
        <v>346</v>
      </c>
      <c r="D381" s="68"/>
    </row>
    <row r="382" spans="1:4" ht="14" x14ac:dyDescent="0.2">
      <c r="A382" s="64"/>
      <c r="B382" s="65" t="s">
        <v>123</v>
      </c>
      <c r="C382" s="65" t="s">
        <v>332</v>
      </c>
      <c r="D382" s="65"/>
    </row>
    <row r="383" spans="1:4" ht="14" x14ac:dyDescent="0.2">
      <c r="A383" s="64" t="s">
        <v>267</v>
      </c>
      <c r="B383" s="64"/>
      <c r="C383" s="64"/>
      <c r="D383" s="64"/>
    </row>
  </sheetData>
  <pageMargins left="0.7" right="0.7" top="0.75" bottom="0.75" header="0.3" footer="0.3"/>
  <pageSetup orientation="portrait" r:id="rId1"/>
  <headerFooter>
    <oddFooter>&amp;C_x000D_&amp;1#&amp;"Aptos"&amp;10&amp;K000000 DSV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election activeCell="G7" sqref="G7"/>
    </sheetView>
  </sheetViews>
  <sheetFormatPr baseColWidth="10" defaultColWidth="9.1640625" defaultRowHeight="15" x14ac:dyDescent="0.2"/>
  <cols>
    <col min="1" max="1" width="19.1640625" customWidth="1"/>
    <col min="2" max="2" width="38.83203125" customWidth="1"/>
  </cols>
  <sheetData>
    <row r="1" spans="1:3" x14ac:dyDescent="0.2">
      <c r="A1" s="54" t="s">
        <v>203</v>
      </c>
      <c r="B1" s="55" t="s">
        <v>204</v>
      </c>
      <c r="C1" s="54" t="s">
        <v>113</v>
      </c>
    </row>
    <row r="2" spans="1:3" x14ac:dyDescent="0.2">
      <c r="A2" s="54" t="s">
        <v>205</v>
      </c>
      <c r="B2" s="55" t="s">
        <v>209</v>
      </c>
      <c r="C2" s="55"/>
    </row>
    <row r="3" spans="1:3" x14ac:dyDescent="0.2">
      <c r="A3" s="54" t="s">
        <v>206</v>
      </c>
      <c r="B3" s="55" t="s">
        <v>210</v>
      </c>
      <c r="C3" s="55"/>
    </row>
    <row r="4" spans="1:3" x14ac:dyDescent="0.2">
      <c r="A4" s="54" t="s">
        <v>207</v>
      </c>
      <c r="B4" s="55" t="s">
        <v>211</v>
      </c>
      <c r="C4" s="55"/>
    </row>
    <row r="5" spans="1:3" x14ac:dyDescent="0.2">
      <c r="A5" s="54" t="s">
        <v>208</v>
      </c>
      <c r="B5" s="55" t="s">
        <v>212</v>
      </c>
      <c r="C5" s="55"/>
    </row>
    <row r="6" spans="1:3" x14ac:dyDescent="0.2">
      <c r="A6" s="54" t="s">
        <v>112</v>
      </c>
      <c r="B6" s="55"/>
      <c r="C6" s="55"/>
    </row>
  </sheetData>
  <pageMargins left="0.7" right="0.7" top="0.75" bottom="0.75" header="0.3" footer="0.3"/>
  <headerFooter>
    <oddFooter>&amp;C_x000D_&amp;1#&amp;"Aptos"&amp;10&amp;K000000 DSV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C6FE041C7069043A4B769D3E3F5C3D5" ma:contentTypeVersion="13" ma:contentTypeDescription="Create a new document." ma:contentTypeScope="" ma:versionID="6b52f7927138f2b71a45aa09a3328e6a">
  <xsd:schema xmlns:xsd="http://www.w3.org/2001/XMLSchema" xmlns:xs="http://www.w3.org/2001/XMLSchema" xmlns:p="http://schemas.microsoft.com/office/2006/metadata/properties" xmlns:ns3="ac904c72-6056-49de-9834-a7006f2155f4" xmlns:ns4="8754b981-e016-48f4-8e86-77da01424002" targetNamespace="http://schemas.microsoft.com/office/2006/metadata/properties" ma:root="true" ma:fieldsID="b4bc9505648f51de8ae26aaf33b11294" ns3:_="" ns4:_="">
    <xsd:import namespace="ac904c72-6056-49de-9834-a7006f2155f4"/>
    <xsd:import namespace="8754b981-e016-48f4-8e86-77da01424002"/>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904c72-6056-49de-9834-a7006f2155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54b981-e016-48f4-8e86-77da01424002"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270C037-DB34-4419-A73C-5A8B0C51A349}">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FC1FD32-1C2F-4AF2-988F-248A132B1E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904c72-6056-49de-9834-a7006f2155f4"/>
    <ds:schemaRef ds:uri="8754b981-e016-48f4-8e86-77da014240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55AA955-0253-4B63-B744-2B5AD20FEF4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Shipment Profile</vt:lpstr>
      <vt:lpstr>'Shipment Profile'!Print_Titles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Alon Marom</cp:lastModifiedBy>
  <dcterms:created xsi:type="dcterms:W3CDTF">2026-04-09T12:19:35Z</dcterms:created>
  <dcterms:modified xsi:type="dcterms:W3CDTF">2026-04-10T08:33:39Z</dcterms:modified>
</cp:coreProperties>
</file>